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aaj\Microsoft Advance Excel\Recorded\Excel in data analysis\"/>
    </mc:Choice>
  </mc:AlternateContent>
  <xr:revisionPtr revIDLastSave="0" documentId="13_ncr:1_{236EBFEA-4D38-4B00-BB57-63D96ED1B864}" xr6:coauthVersionLast="47" xr6:coauthVersionMax="47" xr10:uidLastSave="{00000000-0000-0000-0000-000000000000}"/>
  <bookViews>
    <workbookView xWindow="-108" yWindow="-108" windowWidth="23256" windowHeight="12456" firstSheet="9" activeTab="15" xr2:uid="{52B6B87E-E842-4A9E-8BA0-E61B982F3C12}"/>
  </bookViews>
  <sheets>
    <sheet name="Goal Seek" sheetId="2" r:id="rId1"/>
    <sheet name="Goal Seek 2" sheetId="1" r:id="rId2"/>
    <sheet name="Scenario Manager" sheetId="3" r:id="rId3"/>
    <sheet name="Scenario Summary" sheetId="19" r:id="rId4"/>
    <sheet name="Scenario Manager-2" sheetId="4" r:id="rId5"/>
    <sheet name="Data table 1 var" sheetId="8" r:id="rId6"/>
    <sheet name="Data Table 2 var" sheetId="9" r:id="rId7"/>
    <sheet name="Data Table-1 Var-Row" sheetId="13" r:id="rId8"/>
    <sheet name="Data Table-1 Var-Column" sheetId="12" r:id="rId9"/>
    <sheet name="Data Table 2" sheetId="5" r:id="rId10"/>
    <sheet name="Solver" sheetId="6" r:id="rId11"/>
    <sheet name="Jan" sheetId="14" r:id="rId12"/>
    <sheet name="Feb" sheetId="15" r:id="rId13"/>
    <sheet name="Mar" sheetId="16" r:id="rId14"/>
    <sheet name="Expected Report" sheetId="17" r:id="rId15"/>
    <sheet name="Data Validation" sheetId="18" r:id="rId16"/>
  </sheets>
  <definedNames>
    <definedName name="Fruits">'Data Validation'!$C$76:$C$84</definedName>
    <definedName name="Meats">'Data Validation'!$D$76:$D$79</definedName>
    <definedName name="solver_adj" localSheetId="10" hidden="1">Solver!$C$19:$F$20</definedName>
    <definedName name="solver_cvg" localSheetId="10" hidden="1">0.0001</definedName>
    <definedName name="solver_drv" localSheetId="10" hidden="1">1</definedName>
    <definedName name="solver_eng" localSheetId="10" hidden="1">2</definedName>
    <definedName name="solver_est" localSheetId="10" hidden="1">1</definedName>
    <definedName name="solver_itr" localSheetId="10" hidden="1">2147483647</definedName>
    <definedName name="solver_lhs1" localSheetId="10" hidden="1">Solver!$C$23:$F$23</definedName>
    <definedName name="solver_lhs2" localSheetId="10" hidden="1">Solver!$H$19:$H$20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2</definedName>
    <definedName name="solver_nwt" localSheetId="10" hidden="1">1</definedName>
    <definedName name="solver_opt" localSheetId="10" hidden="1">Solver!$C$25</definedName>
    <definedName name="solver_pre" localSheetId="10" hidden="1">0.000001</definedName>
    <definedName name="solver_rbv" localSheetId="10" hidden="1">1</definedName>
    <definedName name="solver_rel1" localSheetId="10" hidden="1">2</definedName>
    <definedName name="solver_rel2" localSheetId="10" hidden="1">1</definedName>
    <definedName name="solver_rhs1" localSheetId="10" hidden="1">Solver!$C$22:$F$22</definedName>
    <definedName name="solver_rhs2" localSheetId="10" hidden="1">Solver!$J$19:$J$20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2</definedName>
    <definedName name="solver_val" localSheetId="10" hidden="1">0</definedName>
    <definedName name="solver_ver" localSheetId="10" hidden="1">3</definedName>
    <definedName name="Vegetables">'Data Validation'!$B$76:$B$84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" i="18" l="1"/>
  <c r="E52" i="18"/>
  <c r="C52" i="18"/>
  <c r="D52" i="18"/>
  <c r="C71" i="17"/>
  <c r="E71" i="17"/>
  <c r="F71" i="17"/>
  <c r="G71" i="17"/>
  <c r="H71" i="17"/>
  <c r="I71" i="17"/>
  <c r="I74" i="17" s="1"/>
  <c r="C72" i="17"/>
  <c r="E72" i="17"/>
  <c r="F72" i="17"/>
  <c r="G72" i="17"/>
  <c r="H72" i="17"/>
  <c r="J72" i="17"/>
  <c r="J74" i="17" s="1"/>
  <c r="D73" i="17"/>
  <c r="E73" i="17"/>
  <c r="F73" i="17"/>
  <c r="G73" i="17"/>
  <c r="H73" i="17"/>
  <c r="J73" i="17"/>
  <c r="C74" i="17"/>
  <c r="D74" i="17"/>
  <c r="E74" i="17"/>
  <c r="F74" i="17"/>
  <c r="G74" i="17"/>
  <c r="H74" i="17"/>
  <c r="C75" i="17"/>
  <c r="E75" i="17"/>
  <c r="F75" i="17"/>
  <c r="G75" i="17"/>
  <c r="G78" i="17" s="1"/>
  <c r="H75" i="17"/>
  <c r="H78" i="17" s="1"/>
  <c r="I75" i="17"/>
  <c r="I78" i="17" s="1"/>
  <c r="C76" i="17"/>
  <c r="E76" i="17"/>
  <c r="F76" i="17"/>
  <c r="G76" i="17"/>
  <c r="H76" i="17"/>
  <c r="J76" i="17"/>
  <c r="J78" i="17" s="1"/>
  <c r="D77" i="17"/>
  <c r="E77" i="17"/>
  <c r="F77" i="17"/>
  <c r="G77" i="17"/>
  <c r="H77" i="17"/>
  <c r="J77" i="17"/>
  <c r="C78" i="17"/>
  <c r="D78" i="17"/>
  <c r="E78" i="17"/>
  <c r="F78" i="17"/>
  <c r="C79" i="17"/>
  <c r="E79" i="17"/>
  <c r="E82" i="17" s="1"/>
  <c r="F79" i="17"/>
  <c r="F82" i="17" s="1"/>
  <c r="G79" i="17"/>
  <c r="G82" i="17" s="1"/>
  <c r="H79" i="17"/>
  <c r="H82" i="17" s="1"/>
  <c r="I79" i="17"/>
  <c r="I82" i="17" s="1"/>
  <c r="C80" i="17"/>
  <c r="E80" i="17"/>
  <c r="F80" i="17"/>
  <c r="G80" i="17"/>
  <c r="H80" i="17"/>
  <c r="J80" i="17"/>
  <c r="D81" i="17"/>
  <c r="E81" i="17"/>
  <c r="F81" i="17"/>
  <c r="G81" i="17"/>
  <c r="H81" i="17"/>
  <c r="J81" i="17"/>
  <c r="J82" i="17" s="1"/>
  <c r="C82" i="17"/>
  <c r="D82" i="17"/>
  <c r="C83" i="17"/>
  <c r="C86" i="17" s="1"/>
  <c r="E83" i="17"/>
  <c r="E86" i="17" s="1"/>
  <c r="F83" i="17"/>
  <c r="F86" i="17" s="1"/>
  <c r="G83" i="17"/>
  <c r="G86" i="17" s="1"/>
  <c r="H83" i="17"/>
  <c r="H86" i="17" s="1"/>
  <c r="I83" i="17"/>
  <c r="I86" i="17" s="1"/>
  <c r="C84" i="17"/>
  <c r="E84" i="17"/>
  <c r="F84" i="17"/>
  <c r="G84" i="17"/>
  <c r="H84" i="17"/>
  <c r="J84" i="17"/>
  <c r="D85" i="17"/>
  <c r="D86" i="17" s="1"/>
  <c r="E85" i="17"/>
  <c r="F85" i="17"/>
  <c r="G85" i="17"/>
  <c r="H85" i="17"/>
  <c r="J85" i="17"/>
  <c r="J86" i="17" s="1"/>
  <c r="C87" i="17"/>
  <c r="C90" i="17" s="1"/>
  <c r="E87" i="17"/>
  <c r="E90" i="17" s="1"/>
  <c r="F87" i="17"/>
  <c r="F90" i="17" s="1"/>
  <c r="G87" i="17"/>
  <c r="G90" i="17" s="1"/>
  <c r="H87" i="17"/>
  <c r="I87" i="17"/>
  <c r="C88" i="17"/>
  <c r="E88" i="17"/>
  <c r="F88" i="17"/>
  <c r="G88" i="17"/>
  <c r="H88" i="17"/>
  <c r="J88" i="17"/>
  <c r="D89" i="17"/>
  <c r="D90" i="17" s="1"/>
  <c r="E89" i="17"/>
  <c r="F89" i="17"/>
  <c r="G89" i="17"/>
  <c r="H89" i="17"/>
  <c r="J89" i="17"/>
  <c r="H90" i="17"/>
  <c r="I90" i="17"/>
  <c r="J90" i="17"/>
  <c r="C91" i="17"/>
  <c r="C94" i="17" s="1"/>
  <c r="E91" i="17"/>
  <c r="E94" i="17" s="1"/>
  <c r="F91" i="17"/>
  <c r="G91" i="17"/>
  <c r="H91" i="17"/>
  <c r="I91" i="17"/>
  <c r="C92" i="17"/>
  <c r="E92" i="17"/>
  <c r="F92" i="17"/>
  <c r="G92" i="17"/>
  <c r="H92" i="17"/>
  <c r="J92" i="17"/>
  <c r="D93" i="17"/>
  <c r="D94" i="17" s="1"/>
  <c r="E93" i="17"/>
  <c r="F93" i="17"/>
  <c r="G93" i="17"/>
  <c r="H93" i="17"/>
  <c r="J93" i="17"/>
  <c r="F94" i="17"/>
  <c r="G94" i="17"/>
  <c r="H94" i="17"/>
  <c r="I94" i="17"/>
  <c r="J94" i="17"/>
  <c r="C95" i="17"/>
  <c r="E95" i="17"/>
  <c r="F95" i="17"/>
  <c r="G95" i="17"/>
  <c r="H95" i="17"/>
  <c r="I95" i="17"/>
  <c r="I98" i="17" s="1"/>
  <c r="C96" i="17"/>
  <c r="E96" i="17"/>
  <c r="F96" i="17"/>
  <c r="G96" i="17"/>
  <c r="H96" i="17"/>
  <c r="J96" i="17"/>
  <c r="J98" i="17" s="1"/>
  <c r="D97" i="17"/>
  <c r="E97" i="17"/>
  <c r="F97" i="17"/>
  <c r="G97" i="17"/>
  <c r="H97" i="17"/>
  <c r="J97" i="17"/>
  <c r="C98" i="17"/>
  <c r="D98" i="17"/>
  <c r="E98" i="17"/>
  <c r="F98" i="17"/>
  <c r="G98" i="17"/>
  <c r="H98" i="17"/>
  <c r="C99" i="17"/>
  <c r="E99" i="17"/>
  <c r="F99" i="17"/>
  <c r="G99" i="17"/>
  <c r="G102" i="17" s="1"/>
  <c r="H99" i="17"/>
  <c r="H102" i="17" s="1"/>
  <c r="I99" i="17"/>
  <c r="I102" i="17" s="1"/>
  <c r="C100" i="17"/>
  <c r="E100" i="17"/>
  <c r="F100" i="17"/>
  <c r="G100" i="17"/>
  <c r="H100" i="17"/>
  <c r="J100" i="17"/>
  <c r="J102" i="17" s="1"/>
  <c r="D101" i="17"/>
  <c r="E101" i="17"/>
  <c r="F101" i="17"/>
  <c r="G101" i="17"/>
  <c r="H101" i="17"/>
  <c r="J101" i="17"/>
  <c r="C102" i="17"/>
  <c r="D102" i="17"/>
  <c r="E102" i="17"/>
  <c r="F102" i="17"/>
  <c r="C103" i="17"/>
  <c r="E103" i="17"/>
  <c r="E106" i="17" s="1"/>
  <c r="F103" i="17"/>
  <c r="F106" i="17" s="1"/>
  <c r="G103" i="17"/>
  <c r="G106" i="17" s="1"/>
  <c r="H103" i="17"/>
  <c r="H106" i="17" s="1"/>
  <c r="I103" i="17"/>
  <c r="I106" i="17" s="1"/>
  <c r="C104" i="17"/>
  <c r="E104" i="17"/>
  <c r="F104" i="17"/>
  <c r="G104" i="17"/>
  <c r="H104" i="17"/>
  <c r="J104" i="17"/>
  <c r="D105" i="17"/>
  <c r="E105" i="17"/>
  <c r="F105" i="17"/>
  <c r="G105" i="17"/>
  <c r="H105" i="17"/>
  <c r="J105" i="17"/>
  <c r="J106" i="17" s="1"/>
  <c r="C106" i="17"/>
  <c r="D106" i="17"/>
  <c r="C107" i="17"/>
  <c r="C110" i="17" s="1"/>
  <c r="E107" i="17"/>
  <c r="E110" i="17" s="1"/>
  <c r="F107" i="17"/>
  <c r="F110" i="17" s="1"/>
  <c r="G107" i="17"/>
  <c r="G110" i="17" s="1"/>
  <c r="H107" i="17"/>
  <c r="H110" i="17" s="1"/>
  <c r="I107" i="17"/>
  <c r="I110" i="17" s="1"/>
  <c r="C108" i="17"/>
  <c r="E108" i="17"/>
  <c r="F108" i="17"/>
  <c r="G108" i="17"/>
  <c r="H108" i="17"/>
  <c r="J108" i="17"/>
  <c r="D109" i="17"/>
  <c r="D110" i="17" s="1"/>
  <c r="E109" i="17"/>
  <c r="F109" i="17"/>
  <c r="G109" i="17"/>
  <c r="H109" i="17"/>
  <c r="J109" i="17"/>
  <c r="J110" i="17" s="1"/>
  <c r="C111" i="17"/>
  <c r="E111" i="17"/>
  <c r="E113" i="17" s="1"/>
  <c r="F111" i="17"/>
  <c r="F113" i="17" s="1"/>
  <c r="G111" i="17"/>
  <c r="H111" i="17"/>
  <c r="I111" i="17"/>
  <c r="C112" i="17"/>
  <c r="E112" i="17"/>
  <c r="F112" i="17"/>
  <c r="G112" i="17"/>
  <c r="H112" i="17"/>
  <c r="H113" i="17" s="1"/>
  <c r="J112" i="17"/>
  <c r="J113" i="17" s="1"/>
  <c r="C113" i="17"/>
  <c r="G113" i="17"/>
  <c r="I113" i="17"/>
  <c r="C114" i="17"/>
  <c r="E114" i="17"/>
  <c r="F114" i="17"/>
  <c r="F117" i="17" s="1"/>
  <c r="G114" i="17"/>
  <c r="G117" i="17" s="1"/>
  <c r="H114" i="17"/>
  <c r="H117" i="17" s="1"/>
  <c r="I114" i="17"/>
  <c r="I117" i="17" s="1"/>
  <c r="C115" i="17"/>
  <c r="E115" i="17"/>
  <c r="F115" i="17"/>
  <c r="G115" i="17"/>
  <c r="H115" i="17"/>
  <c r="J115" i="17"/>
  <c r="D116" i="17"/>
  <c r="E116" i="17"/>
  <c r="F116" i="17"/>
  <c r="G116" i="17"/>
  <c r="H116" i="17"/>
  <c r="J116" i="17"/>
  <c r="J117" i="17" s="1"/>
  <c r="C117" i="17"/>
  <c r="D117" i="17"/>
  <c r="E117" i="17"/>
  <c r="C118" i="17"/>
  <c r="E118" i="17"/>
  <c r="E121" i="17" s="1"/>
  <c r="F118" i="17"/>
  <c r="F121" i="17" s="1"/>
  <c r="G118" i="17"/>
  <c r="G121" i="17" s="1"/>
  <c r="H118" i="17"/>
  <c r="H121" i="17" s="1"/>
  <c r="I118" i="17"/>
  <c r="I121" i="17" s="1"/>
  <c r="C119" i="17"/>
  <c r="E119" i="17"/>
  <c r="F119" i="17"/>
  <c r="G119" i="17"/>
  <c r="H119" i="17"/>
  <c r="J119" i="17"/>
  <c r="D120" i="17"/>
  <c r="D121" i="17" s="1"/>
  <c r="E120" i="17"/>
  <c r="F120" i="17"/>
  <c r="G120" i="17"/>
  <c r="H120" i="17"/>
  <c r="J120" i="17"/>
  <c r="J121" i="17" s="1"/>
  <c r="C121" i="17"/>
  <c r="C20" i="17"/>
  <c r="E20" i="17"/>
  <c r="F20" i="17"/>
  <c r="G20" i="17"/>
  <c r="H20" i="17"/>
  <c r="I20" i="17"/>
  <c r="C21" i="17"/>
  <c r="E21" i="17"/>
  <c r="F21" i="17"/>
  <c r="G21" i="17"/>
  <c r="H21" i="17"/>
  <c r="J21" i="17"/>
  <c r="J23" i="17" s="1"/>
  <c r="D22" i="17"/>
  <c r="D23" i="17" s="1"/>
  <c r="E22" i="17"/>
  <c r="F22" i="17"/>
  <c r="G22" i="17"/>
  <c r="H22" i="17"/>
  <c r="J22" i="17"/>
  <c r="I23" i="17"/>
  <c r="C24" i="17"/>
  <c r="E24" i="17"/>
  <c r="F24" i="17"/>
  <c r="G24" i="17"/>
  <c r="H24" i="17"/>
  <c r="I24" i="17"/>
  <c r="I27" i="17" s="1"/>
  <c r="C25" i="17"/>
  <c r="E25" i="17"/>
  <c r="F25" i="17"/>
  <c r="G25" i="17"/>
  <c r="H25" i="17"/>
  <c r="J25" i="17"/>
  <c r="D26" i="17"/>
  <c r="D27" i="17" s="1"/>
  <c r="E26" i="17"/>
  <c r="F26" i="17"/>
  <c r="G26" i="17"/>
  <c r="H26" i="17"/>
  <c r="J26" i="17"/>
  <c r="C28" i="17"/>
  <c r="E28" i="17"/>
  <c r="F28" i="17"/>
  <c r="G28" i="17"/>
  <c r="H28" i="17"/>
  <c r="I28" i="17"/>
  <c r="I31" i="17" s="1"/>
  <c r="C29" i="17"/>
  <c r="E29" i="17"/>
  <c r="F29" i="17"/>
  <c r="G29" i="17"/>
  <c r="H29" i="17"/>
  <c r="J29" i="17"/>
  <c r="D30" i="17"/>
  <c r="D31" i="17" s="1"/>
  <c r="E30" i="17"/>
  <c r="F30" i="17"/>
  <c r="G30" i="17"/>
  <c r="H30" i="17"/>
  <c r="J30" i="17"/>
  <c r="C32" i="17"/>
  <c r="E32" i="17"/>
  <c r="F32" i="17"/>
  <c r="G32" i="17"/>
  <c r="H32" i="17"/>
  <c r="I32" i="17"/>
  <c r="I35" i="17" s="1"/>
  <c r="C33" i="17"/>
  <c r="E33" i="17"/>
  <c r="F33" i="17"/>
  <c r="G33" i="17"/>
  <c r="H33" i="17"/>
  <c r="J33" i="17"/>
  <c r="D34" i="17"/>
  <c r="D35" i="17" s="1"/>
  <c r="E34" i="17"/>
  <c r="F34" i="17"/>
  <c r="G34" i="17"/>
  <c r="H34" i="17"/>
  <c r="J34" i="17"/>
  <c r="C36" i="17"/>
  <c r="E36" i="17"/>
  <c r="F36" i="17"/>
  <c r="G36" i="17"/>
  <c r="H36" i="17"/>
  <c r="I36" i="17"/>
  <c r="I39" i="17" s="1"/>
  <c r="C37" i="17"/>
  <c r="E37" i="17"/>
  <c r="F37" i="17"/>
  <c r="G37" i="17"/>
  <c r="H37" i="17"/>
  <c r="J37" i="17"/>
  <c r="J39" i="17" s="1"/>
  <c r="D38" i="17"/>
  <c r="D39" i="17" s="1"/>
  <c r="E38" i="17"/>
  <c r="F38" i="17"/>
  <c r="G38" i="17"/>
  <c r="H38" i="17"/>
  <c r="J38" i="17"/>
  <c r="C40" i="17"/>
  <c r="E40" i="17"/>
  <c r="F40" i="17"/>
  <c r="G40" i="17"/>
  <c r="H40" i="17"/>
  <c r="I40" i="17"/>
  <c r="C41" i="17"/>
  <c r="E41" i="17"/>
  <c r="F41" i="17"/>
  <c r="G41" i="17"/>
  <c r="H41" i="17"/>
  <c r="J41" i="17"/>
  <c r="D42" i="17"/>
  <c r="D43" i="17" s="1"/>
  <c r="E42" i="17"/>
  <c r="F42" i="17"/>
  <c r="G42" i="17"/>
  <c r="H42" i="17"/>
  <c r="J42" i="17"/>
  <c r="I43" i="17"/>
  <c r="C44" i="17"/>
  <c r="C47" i="17" s="1"/>
  <c r="E44" i="17"/>
  <c r="F44" i="17"/>
  <c r="G44" i="17"/>
  <c r="H44" i="17"/>
  <c r="I44" i="17"/>
  <c r="C45" i="17"/>
  <c r="E45" i="17"/>
  <c r="F45" i="17"/>
  <c r="G45" i="17"/>
  <c r="H45" i="17"/>
  <c r="J45" i="17"/>
  <c r="J47" i="17" s="1"/>
  <c r="D46" i="17"/>
  <c r="D47" i="17" s="1"/>
  <c r="E46" i="17"/>
  <c r="F46" i="17"/>
  <c r="G46" i="17"/>
  <c r="H46" i="17"/>
  <c r="J46" i="17"/>
  <c r="I47" i="17"/>
  <c r="C48" i="17"/>
  <c r="E48" i="17"/>
  <c r="F48" i="17"/>
  <c r="G48" i="17"/>
  <c r="H48" i="17"/>
  <c r="I48" i="17"/>
  <c r="I51" i="17" s="1"/>
  <c r="C49" i="17"/>
  <c r="E49" i="17"/>
  <c r="F49" i="17"/>
  <c r="G49" i="17"/>
  <c r="H49" i="17"/>
  <c r="J49" i="17"/>
  <c r="D50" i="17"/>
  <c r="D51" i="17" s="1"/>
  <c r="E50" i="17"/>
  <c r="F50" i="17"/>
  <c r="G50" i="17"/>
  <c r="H50" i="17"/>
  <c r="J50" i="17"/>
  <c r="C52" i="17"/>
  <c r="E52" i="17"/>
  <c r="F52" i="17"/>
  <c r="G52" i="17"/>
  <c r="H52" i="17"/>
  <c r="I52" i="17"/>
  <c r="I55" i="17" s="1"/>
  <c r="C53" i="17"/>
  <c r="E53" i="17"/>
  <c r="F53" i="17"/>
  <c r="G53" i="17"/>
  <c r="H53" i="17"/>
  <c r="J53" i="17"/>
  <c r="D54" i="17"/>
  <c r="D55" i="17" s="1"/>
  <c r="E54" i="17"/>
  <c r="F54" i="17"/>
  <c r="G54" i="17"/>
  <c r="H54" i="17"/>
  <c r="J54" i="17"/>
  <c r="C56" i="17"/>
  <c r="C59" i="17" s="1"/>
  <c r="E56" i="17"/>
  <c r="F56" i="17"/>
  <c r="G56" i="17"/>
  <c r="H56" i="17"/>
  <c r="I56" i="17"/>
  <c r="I59" i="17" s="1"/>
  <c r="C57" i="17"/>
  <c r="E57" i="17"/>
  <c r="F57" i="17"/>
  <c r="G57" i="17"/>
  <c r="H57" i="17"/>
  <c r="J57" i="17"/>
  <c r="D58" i="17"/>
  <c r="D59" i="17" s="1"/>
  <c r="E58" i="17"/>
  <c r="F58" i="17"/>
  <c r="G58" i="17"/>
  <c r="H58" i="17"/>
  <c r="J58" i="17"/>
  <c r="J59" i="17" s="1"/>
  <c r="C60" i="17"/>
  <c r="E60" i="17"/>
  <c r="F60" i="17"/>
  <c r="G60" i="17"/>
  <c r="H60" i="17"/>
  <c r="I60" i="17"/>
  <c r="I62" i="17" s="1"/>
  <c r="C61" i="17"/>
  <c r="C62" i="17" s="1"/>
  <c r="E61" i="17"/>
  <c r="E62" i="17" s="1"/>
  <c r="F61" i="17"/>
  <c r="F62" i="17" s="1"/>
  <c r="G61" i="17"/>
  <c r="G62" i="17" s="1"/>
  <c r="H61" i="17"/>
  <c r="J61" i="17"/>
  <c r="J62" i="17" s="1"/>
  <c r="C63" i="17"/>
  <c r="E63" i="17"/>
  <c r="F63" i="17"/>
  <c r="G63" i="17"/>
  <c r="H63" i="17"/>
  <c r="I63" i="17"/>
  <c r="I66" i="17" s="1"/>
  <c r="C64" i="17"/>
  <c r="C66" i="17" s="1"/>
  <c r="E64" i="17"/>
  <c r="F64" i="17"/>
  <c r="G64" i="17"/>
  <c r="H64" i="17"/>
  <c r="J64" i="17"/>
  <c r="D65" i="17"/>
  <c r="E65" i="17"/>
  <c r="F65" i="17"/>
  <c r="G65" i="17"/>
  <c r="H65" i="17"/>
  <c r="J65" i="17"/>
  <c r="J66" i="17" s="1"/>
  <c r="D66" i="17"/>
  <c r="C25" i="6"/>
  <c r="H20" i="6"/>
  <c r="C12" i="12"/>
  <c r="F7" i="12" s="1"/>
  <c r="C12" i="13"/>
  <c r="F8" i="13" s="1"/>
  <c r="D7" i="9"/>
  <c r="D8" i="9" s="1"/>
  <c r="D7" i="8"/>
  <c r="D8" i="8" s="1"/>
  <c r="C19" i="3"/>
  <c r="C22" i="3" s="1"/>
  <c r="C17" i="3"/>
  <c r="C16" i="3"/>
  <c r="C15" i="3"/>
  <c r="C14" i="3"/>
  <c r="C13" i="3"/>
  <c r="C19" i="1"/>
  <c r="C21" i="1" s="1"/>
  <c r="C17" i="1"/>
  <c r="C16" i="1"/>
  <c r="C15" i="1"/>
  <c r="C14" i="1"/>
  <c r="C13" i="1"/>
  <c r="C20" i="1" s="1"/>
  <c r="H19" i="6"/>
  <c r="D22" i="6"/>
  <c r="C22" i="6"/>
  <c r="G15" i="16"/>
  <c r="F15" i="16"/>
  <c r="E15" i="16"/>
  <c r="D15" i="16"/>
  <c r="C15" i="16"/>
  <c r="B15" i="16"/>
  <c r="G16" i="15"/>
  <c r="F16" i="15"/>
  <c r="E16" i="15"/>
  <c r="D16" i="15"/>
  <c r="C16" i="15"/>
  <c r="B16" i="15"/>
  <c r="G16" i="14"/>
  <c r="F16" i="14"/>
  <c r="E16" i="14"/>
  <c r="D16" i="14"/>
  <c r="C16" i="14"/>
  <c r="B16" i="14"/>
  <c r="D53" i="18" l="1"/>
  <c r="H51" i="17"/>
  <c r="G27" i="17"/>
  <c r="F66" i="17"/>
  <c r="F27" i="17"/>
  <c r="G23" i="17"/>
  <c r="E66" i="17"/>
  <c r="J43" i="17"/>
  <c r="E27" i="17"/>
  <c r="F23" i="17"/>
  <c r="F55" i="17"/>
  <c r="H43" i="17"/>
  <c r="C35" i="17"/>
  <c r="C27" i="17"/>
  <c r="E23" i="17"/>
  <c r="H23" i="17"/>
  <c r="F47" i="17"/>
  <c r="G43" i="17"/>
  <c r="J27" i="17"/>
  <c r="C55" i="17"/>
  <c r="H47" i="17"/>
  <c r="E55" i="17"/>
  <c r="G47" i="17"/>
  <c r="E47" i="17"/>
  <c r="G51" i="17"/>
  <c r="E31" i="17"/>
  <c r="F51" i="17"/>
  <c r="E51" i="17"/>
  <c r="J35" i="17"/>
  <c r="J55" i="17"/>
  <c r="E43" i="17"/>
  <c r="G35" i="17"/>
  <c r="C43" i="17"/>
  <c r="H55" i="17"/>
  <c r="G59" i="17"/>
  <c r="E59" i="17"/>
  <c r="E39" i="17"/>
  <c r="H31" i="17"/>
  <c r="F43" i="17"/>
  <c r="H35" i="17"/>
  <c r="F35" i="17"/>
  <c r="G55" i="17"/>
  <c r="E35" i="17"/>
  <c r="H66" i="17"/>
  <c r="H59" i="17"/>
  <c r="J51" i="17"/>
  <c r="H39" i="17"/>
  <c r="G66" i="17"/>
  <c r="G39" i="17"/>
  <c r="C31" i="17"/>
  <c r="C39" i="17"/>
  <c r="G31" i="17"/>
  <c r="F59" i="17"/>
  <c r="F39" i="17"/>
  <c r="J31" i="17"/>
  <c r="H27" i="17"/>
  <c r="H62" i="17"/>
  <c r="C51" i="17"/>
  <c r="F31" i="17"/>
  <c r="C23" i="17"/>
  <c r="C13" i="12"/>
  <c r="C14" i="12" s="1"/>
  <c r="C13" i="13"/>
  <c r="C14" i="13" s="1"/>
  <c r="C21" i="3"/>
  <c r="C20" i="3"/>
  <c r="C22" i="1"/>
  <c r="C23" i="1" s="1"/>
  <c r="C13" i="4"/>
  <c r="B19" i="3"/>
  <c r="B17" i="3"/>
  <c r="B16" i="3"/>
  <c r="B15" i="3"/>
  <c r="B14" i="3"/>
  <c r="B13" i="3"/>
  <c r="B20" i="3" s="1"/>
  <c r="C23" i="3" l="1"/>
  <c r="E10" i="9"/>
  <c r="B12" i="9" s="1"/>
  <c r="E10" i="8"/>
  <c r="C12" i="8" s="1"/>
  <c r="B21" i="3"/>
  <c r="B23" i="3" s="1"/>
  <c r="B22" i="3"/>
  <c r="F22" i="6"/>
  <c r="E22" i="6"/>
  <c r="F7" i="5"/>
  <c r="C15" i="4"/>
  <c r="D14" i="4"/>
  <c r="D12" i="4"/>
  <c r="E12" i="4" s="1"/>
  <c r="F12" i="4" s="1"/>
  <c r="D11" i="4"/>
  <c r="E11" i="4" s="1"/>
  <c r="F11" i="4" s="1"/>
  <c r="G12" i="4" l="1"/>
  <c r="E14" i="4"/>
  <c r="F14" i="4" s="1"/>
  <c r="D15" i="4"/>
  <c r="D13" i="4"/>
  <c r="E15" i="4" l="1"/>
  <c r="E13" i="4"/>
  <c r="G14" i="4"/>
  <c r="F15" i="4" l="1"/>
  <c r="G15" i="4" s="1"/>
  <c r="F13" i="4"/>
  <c r="G13" i="4" s="1"/>
  <c r="G11" i="4"/>
  <c r="B8" i="2" l="1"/>
  <c r="B19" i="1"/>
  <c r="B22" i="1" s="1"/>
  <c r="B17" i="1"/>
  <c r="B16" i="1"/>
  <c r="B15" i="1"/>
  <c r="B14" i="1"/>
  <c r="B13" i="1"/>
  <c r="J16" i="2" l="1"/>
  <c r="J17" i="2"/>
  <c r="J8" i="2"/>
  <c r="J9" i="2"/>
  <c r="J10" i="2"/>
  <c r="J11" i="2"/>
  <c r="J12" i="2"/>
  <c r="J13" i="2"/>
  <c r="J14" i="2"/>
  <c r="J15" i="2"/>
  <c r="D17" i="2"/>
  <c r="H8" i="2"/>
  <c r="I8" i="2" s="1"/>
  <c r="B20" i="1"/>
  <c r="D10" i="2"/>
  <c r="D14" i="2"/>
  <c r="D16" i="2"/>
  <c r="C8" i="2"/>
  <c r="D12" i="2"/>
  <c r="D8" i="2"/>
  <c r="B9" i="2" s="1"/>
  <c r="D9" i="2"/>
  <c r="D11" i="2"/>
  <c r="D13" i="2"/>
  <c r="D15" i="2"/>
  <c r="B21" i="1"/>
  <c r="H9" i="2" l="1"/>
  <c r="H10" i="2" s="1"/>
  <c r="C9" i="2"/>
  <c r="E9" i="2" s="1"/>
  <c r="K8" i="2"/>
  <c r="B23" i="1"/>
  <c r="E8" i="2"/>
  <c r="B10" i="2"/>
  <c r="I9" i="2" l="1"/>
  <c r="K9" i="2" s="1"/>
  <c r="I10" i="2"/>
  <c r="K10" i="2" s="1"/>
  <c r="H11" i="2"/>
  <c r="B11" i="2"/>
  <c r="C10" i="2"/>
  <c r="E10" i="2" s="1"/>
  <c r="I11" i="2" l="1"/>
  <c r="K11" i="2" s="1"/>
  <c r="H12" i="2"/>
  <c r="C11" i="2"/>
  <c r="E11" i="2" s="1"/>
  <c r="B12" i="2"/>
  <c r="B13" i="2" s="1"/>
  <c r="C12" i="2" l="1"/>
  <c r="E12" i="2" s="1"/>
  <c r="I12" i="2"/>
  <c r="K12" i="2" s="1"/>
  <c r="H13" i="2"/>
  <c r="B14" i="2"/>
  <c r="C13" i="2"/>
  <c r="E13" i="2" s="1"/>
  <c r="I13" i="2" l="1"/>
  <c r="K13" i="2" s="1"/>
  <c r="H14" i="2"/>
  <c r="B15" i="2"/>
  <c r="C14" i="2"/>
  <c r="E14" i="2" s="1"/>
  <c r="I14" i="2" l="1"/>
  <c r="K14" i="2" s="1"/>
  <c r="H15" i="2"/>
  <c r="B16" i="2"/>
  <c r="C15" i="2"/>
  <c r="E15" i="2" s="1"/>
  <c r="I15" i="2" l="1"/>
  <c r="K15" i="2" s="1"/>
  <c r="H16" i="2"/>
  <c r="C16" i="2"/>
  <c r="E16" i="2" s="1"/>
  <c r="B17" i="2"/>
  <c r="I16" i="2" l="1"/>
  <c r="K16" i="2" s="1"/>
  <c r="H17" i="2"/>
  <c r="I17" i="2" s="1"/>
  <c r="K17" i="2" s="1"/>
  <c r="C17" i="2"/>
  <c r="E17" i="2" s="1"/>
  <c r="E18" i="2" s="1"/>
  <c r="B5" i="2" s="1"/>
  <c r="K18" i="2" l="1"/>
</calcChain>
</file>

<file path=xl/sharedStrings.xml><?xml version="1.0" encoding="utf-8"?>
<sst xmlns="http://schemas.openxmlformats.org/spreadsheetml/2006/main" count="470" uniqueCount="230">
  <si>
    <t xml:space="preserve"> Full Day Training</t>
  </si>
  <si>
    <t>Cost Item</t>
  </si>
  <si>
    <t>Amount</t>
  </si>
  <si>
    <t>Gross Profit</t>
  </si>
  <si>
    <t>Hotel Conference Room</t>
  </si>
  <si>
    <t>Feeding per participant</t>
  </si>
  <si>
    <t>Training Material</t>
  </si>
  <si>
    <t>Certificate</t>
  </si>
  <si>
    <t>Prize for best participant</t>
  </si>
  <si>
    <t>Analysis based on estimates</t>
  </si>
  <si>
    <t>Figure</t>
  </si>
  <si>
    <t>Number of participants</t>
  </si>
  <si>
    <t>Course Fee</t>
  </si>
  <si>
    <t>Total Feeding cost</t>
  </si>
  <si>
    <t>Conference Room cost</t>
  </si>
  <si>
    <t>Training Materials cost</t>
  </si>
  <si>
    <t>Certificate Costs</t>
  </si>
  <si>
    <t>Prize Award cost</t>
  </si>
  <si>
    <t>Total Revenue</t>
  </si>
  <si>
    <t>Total Cost</t>
  </si>
  <si>
    <t>TaxFee (5%)</t>
  </si>
  <si>
    <t>Contigencies (7%)</t>
  </si>
  <si>
    <t>Loan Amount</t>
  </si>
  <si>
    <t>Payment period</t>
  </si>
  <si>
    <t>Interest Rate</t>
  </si>
  <si>
    <t>Payment Amount</t>
  </si>
  <si>
    <t>Loan Schedule</t>
  </si>
  <si>
    <t>Loan Balance</t>
  </si>
  <si>
    <t>Interest</t>
  </si>
  <si>
    <t>Principal</t>
  </si>
  <si>
    <t>Total Payment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</si>
  <si>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</si>
  <si>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</si>
  <si>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</si>
  <si>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</si>
  <si>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</si>
  <si>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</si>
  <si>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</si>
  <si>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</si>
  <si>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</si>
  <si>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</si>
  <si>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r>
      <rPr>
        <b/>
        <sz val="12"/>
        <rFont val="Segoe UI"/>
        <family val="2"/>
      </rPr>
      <t>Scenario manager</t>
    </r>
    <r>
      <rPr>
        <sz val="12"/>
        <rFont val="Segoe UI"/>
        <family val="2"/>
      </rPr>
      <t xml:space="preserve"> in excel is a part of three what-if-analysis tools . We can use it to see the impact of changing input values without changing the actual data.</t>
    </r>
  </si>
  <si>
    <t>Worst case</t>
  </si>
  <si>
    <t>Most likely</t>
  </si>
  <si>
    <t>Best likely</t>
  </si>
  <si>
    <t>Qtr1</t>
  </si>
  <si>
    <t>Qtr2</t>
  </si>
  <si>
    <t>Qtr3</t>
  </si>
  <si>
    <t>Qtr4</t>
  </si>
  <si>
    <t>Annual</t>
  </si>
  <si>
    <t>Q to Q growth</t>
  </si>
  <si>
    <t>Sales</t>
  </si>
  <si>
    <t>COGS</t>
  </si>
  <si>
    <t>GP</t>
  </si>
  <si>
    <t>Expenses</t>
  </si>
  <si>
    <t>Profit</t>
  </si>
  <si>
    <r>
      <rPr>
        <b/>
        <sz val="11"/>
        <rFont val="Segoe UI"/>
        <family val="2"/>
      </rPr>
      <t>Data tables</t>
    </r>
    <r>
      <rPr>
        <sz val="11"/>
        <rFont val="Segoe UI"/>
        <family val="2"/>
      </rPr>
      <t xml:space="preserve"> are one of the existing parts of What-If analysis tools, which allow you to observe your result by experimenting it with different values of variables and to compare the outcomes stored by the data table.</t>
    </r>
  </si>
  <si>
    <t>Loan Analysis</t>
  </si>
  <si>
    <t xml:space="preserve">Interest Rate: </t>
  </si>
  <si>
    <t>Rate of Interest</t>
  </si>
  <si>
    <t>Months of loan</t>
  </si>
  <si>
    <t xml:space="preserve">Loan Amount: </t>
  </si>
  <si>
    <t xml:space="preserve">Payments Due: </t>
  </si>
  <si>
    <t xml:space="preserve">Monthly Payment: </t>
  </si>
  <si>
    <t xml:space="preserve">Total Payment: </t>
  </si>
  <si>
    <t xml:space="preserve">Total Interest: </t>
  </si>
  <si>
    <r>
      <t>Use</t>
    </r>
    <r>
      <rPr>
        <b/>
        <sz val="11"/>
        <color rgb="FF1E1E1E"/>
        <rFont val="Segoe UI"/>
        <family val="2"/>
      </rPr>
      <t xml:space="preserve"> Solver</t>
    </r>
    <r>
      <rPr>
        <sz val="11"/>
        <color rgb="FF1E1E1E"/>
        <rFont val="Segoe UI"/>
        <family val="2"/>
      </rPr>
      <t xml:space="preserve"> to find an optimal (maximum or minimum) value for a formula in one cell — called the objective cell — subject to constraints, or limits, on the values of other formula cells on a worksheet. </t>
    </r>
  </si>
  <si>
    <t>Cost of Shipping Per Product</t>
  </si>
  <si>
    <t>Customer 1</t>
  </si>
  <si>
    <t>Customer 2</t>
  </si>
  <si>
    <t>Customer 3</t>
  </si>
  <si>
    <t>Customer 4</t>
  </si>
  <si>
    <t>WareHouse1</t>
  </si>
  <si>
    <t>WareHouse2</t>
  </si>
  <si>
    <t>Number of Product Shipped</t>
  </si>
  <si>
    <t>Total Shipped</t>
  </si>
  <si>
    <t>Available in Warehouse</t>
  </si>
  <si>
    <t>Total Received</t>
  </si>
  <si>
    <t>Ordered</t>
  </si>
  <si>
    <t>Total Shipping Cost</t>
  </si>
  <si>
    <t>Book Store</t>
  </si>
  <si>
    <t>Total Number Of Books</t>
  </si>
  <si>
    <t>% Sold For The Highest Price</t>
  </si>
  <si>
    <t>Number ofBooks</t>
  </si>
  <si>
    <t>UnitProfit</t>
  </si>
  <si>
    <t>Highest Price</t>
  </si>
  <si>
    <t>Lower Price</t>
  </si>
  <si>
    <t>Total Profit</t>
  </si>
  <si>
    <t>HighestPrice</t>
  </si>
  <si>
    <t>Number of Books</t>
  </si>
  <si>
    <t>January Report</t>
  </si>
  <si>
    <t>Average of Monthly Gross Salary</t>
  </si>
  <si>
    <t>Mumbai</t>
  </si>
  <si>
    <t>Delhi</t>
  </si>
  <si>
    <t>Pune</t>
  </si>
  <si>
    <t>Nagpur</t>
  </si>
  <si>
    <t>Chennai</t>
  </si>
  <si>
    <t>Banglore</t>
  </si>
  <si>
    <t>Accounting</t>
  </si>
  <si>
    <t>Business Development</t>
  </si>
  <si>
    <t>Engineering</t>
  </si>
  <si>
    <t>Human Resources</t>
  </si>
  <si>
    <t>Legal</t>
  </si>
  <si>
    <t>Marketing</t>
  </si>
  <si>
    <t>Product Management</t>
  </si>
  <si>
    <t>Research and Development</t>
  </si>
  <si>
    <t>Services</t>
  </si>
  <si>
    <t>Support</t>
  </si>
  <si>
    <t>Training</t>
  </si>
  <si>
    <t>Grand Total</t>
  </si>
  <si>
    <t>February Report</t>
  </si>
  <si>
    <t>Kota</t>
  </si>
  <si>
    <t>March Report</t>
  </si>
  <si>
    <t>Hydrabad</t>
  </si>
  <si>
    <t>Qrt1 Report</t>
  </si>
  <si>
    <t>Ex.1</t>
  </si>
  <si>
    <t>Allow any whole number between 0 to 100</t>
  </si>
  <si>
    <t>Ex.2</t>
  </si>
  <si>
    <t>Allow any value between 0 to 100 with decimals</t>
  </si>
  <si>
    <t>Ex.3</t>
  </si>
  <si>
    <t>Allow any value between 0 to 100 with input message as "Please Enter any value between 0 to 100"</t>
  </si>
  <si>
    <t>Ex.4</t>
  </si>
  <si>
    <t>Error Alert</t>
  </si>
  <si>
    <t>Enter any whole number between 0 to 100</t>
  </si>
  <si>
    <t>Ex.5</t>
  </si>
  <si>
    <t>Create a list from range E28:E29</t>
  </si>
  <si>
    <t>Student</t>
  </si>
  <si>
    <t>Attendance</t>
  </si>
  <si>
    <t>Gitesh</t>
  </si>
  <si>
    <t>Mahesh</t>
  </si>
  <si>
    <t>Melvin</t>
  </si>
  <si>
    <t>Neelesh</t>
  </si>
  <si>
    <t>Kishor</t>
  </si>
  <si>
    <t>Ashish</t>
  </si>
  <si>
    <t>Ex.6</t>
  </si>
  <si>
    <t>Create a validation list so that user can only enter dates between 1st Apr  2019 and 31st Mar.2020</t>
  </si>
  <si>
    <t>Ex.7</t>
  </si>
  <si>
    <t>Validate cell show that the duplicate values are not allowed</t>
  </si>
  <si>
    <t>Ex.8</t>
  </si>
  <si>
    <t>Validate cells so that first three characters are "EMP"</t>
  </si>
  <si>
    <t>Ex.9</t>
  </si>
  <si>
    <t>Validate cells so that only phone  numbers are allowed in the below cells</t>
  </si>
  <si>
    <t>Validate cells so that only date below todays date is  allowed in the below cells</t>
  </si>
  <si>
    <t>Select Header</t>
  </si>
  <si>
    <t>dependant list</t>
  </si>
  <si>
    <t>Vegetables</t>
  </si>
  <si>
    <t>Fruits</t>
  </si>
  <si>
    <t>Meats</t>
  </si>
  <si>
    <t>Chicken</t>
  </si>
  <si>
    <t>Arugula</t>
  </si>
  <si>
    <t>Apple</t>
  </si>
  <si>
    <t>Beef</t>
  </si>
  <si>
    <t>Asparagus</t>
  </si>
  <si>
    <t>Cherry</t>
  </si>
  <si>
    <t>Beet</t>
  </si>
  <si>
    <t>Lemon</t>
  </si>
  <si>
    <t>Lamb</t>
  </si>
  <si>
    <t>Broccoli</t>
  </si>
  <si>
    <t>Orange</t>
  </si>
  <si>
    <t>Pork</t>
  </si>
  <si>
    <t>Carrot</t>
  </si>
  <si>
    <t>Peach</t>
  </si>
  <si>
    <t>Cauliflower</t>
  </si>
  <si>
    <t>Pear</t>
  </si>
  <si>
    <t>Celery</t>
  </si>
  <si>
    <t>Raspberry</t>
  </si>
  <si>
    <t>Corn</t>
  </si>
  <si>
    <t>Strawberry</t>
  </si>
  <si>
    <t>Green Bean</t>
  </si>
  <si>
    <t>Kiwi</t>
  </si>
  <si>
    <t>Grade table data validation</t>
  </si>
  <si>
    <t>Name of Employee</t>
  </si>
  <si>
    <t>Grade</t>
  </si>
  <si>
    <t>Salary</t>
  </si>
  <si>
    <t>Ghate Akash Ramesh</t>
  </si>
  <si>
    <t>Lieutenant</t>
  </si>
  <si>
    <t>Minimum</t>
  </si>
  <si>
    <t>Maximum</t>
  </si>
  <si>
    <t>Budhwani Meehir Suresh</t>
  </si>
  <si>
    <t>Major</t>
  </si>
  <si>
    <t>Beldare Apoorva Vijay</t>
  </si>
  <si>
    <t>Captain</t>
  </si>
  <si>
    <t>Ghoman Bhagyashri Ramesh</t>
  </si>
  <si>
    <t>LT Colonel</t>
  </si>
  <si>
    <t>Adhav Ajay Waman</t>
  </si>
  <si>
    <t>Colonel</t>
  </si>
  <si>
    <t>Bharate Farhin Vasantha</t>
  </si>
  <si>
    <t>Brigadier</t>
  </si>
  <si>
    <t>Godhane Debolina Ramchandra</t>
  </si>
  <si>
    <t>Major General</t>
  </si>
  <si>
    <t>Chaudhari Neha Sunil</t>
  </si>
  <si>
    <t>Chaudhary Nikita Sunil</t>
  </si>
  <si>
    <t>Kumar Yash Adesh</t>
  </si>
  <si>
    <t>Shekhar Vaibhavi Ajay</t>
  </si>
  <si>
    <t>Dhananjay Sukanya Ajay</t>
  </si>
  <si>
    <t>Ritesh Shivani Ajit</t>
  </si>
  <si>
    <t>Garud RIitesh Ashish</t>
  </si>
  <si>
    <t>Deshpande Priyanka Ashok</t>
  </si>
  <si>
    <t>Ex.10</t>
  </si>
  <si>
    <t>Ex.11</t>
  </si>
  <si>
    <t>$C$11</t>
  </si>
  <si>
    <t>$C$12</t>
  </si>
  <si>
    <t>$C$23</t>
  </si>
  <si>
    <t>Case1</t>
  </si>
  <si>
    <t>Created by Muski on 08-01-2026</t>
  </si>
  <si>
    <t>case2</t>
  </si>
  <si>
    <t>Case3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</si>
  <si>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</si>
  <si>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</si>
  <si>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</si>
  <si>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</si>
  <si>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</si>
  <si>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</si>
  <si>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</si>
  <si>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Module8-The Data Tab</t>
  </si>
  <si>
    <t>Yes</t>
  </si>
  <si>
    <t>No</t>
  </si>
  <si>
    <t>Data validation list</t>
  </si>
  <si>
    <t>Muskan</t>
  </si>
  <si>
    <t>Roshni</t>
  </si>
  <si>
    <t>Kanchan</t>
  </si>
  <si>
    <t>Deepak</t>
  </si>
  <si>
    <t>emp123</t>
  </si>
  <si>
    <t>emp155</t>
  </si>
  <si>
    <t>emp267</t>
  </si>
  <si>
    <t>emp100</t>
  </si>
  <si>
    <t xml:space="preserve">Here duplicates can also be rejected by writing COUNTIF() in AND() </t>
  </si>
  <si>
    <t>to remove duplicate emp id</t>
  </si>
  <si>
    <t xml:space="preserve">If we want to more restrict it as we want </t>
  </si>
  <si>
    <t xml:space="preserve">indian number starts with 91 LEFT(B60,2)="91"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</si>
</sst>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₹&quot;\ #,##0.00;[Red]&quot;₹&quot;\ \-#,##0.00"/>
    <numFmt numFmtId="43" formatCode="_ * #,##0.00_ ;_ * \-#,##0.00_ ;_ * &quot;-&quot;??_ ;_ @_ "/>
    <numFmt numFmtId="164" formatCode="[$₹-449]\ ###0.00"/>
    <numFmt numFmtId="165" formatCode="&quot;₹&quot;\ #,##0.00"/>
    <numFmt numFmtId="166" formatCode="_ * #,##0_ ;_ * \-#,##0_ ;_ * &quot;-&quot;??_ ;_ @_ "/>
    <numFmt numFmtId="167" formatCode="&quot;$&quot;#,##0"/>
    <numFmt numFmtId="168" formatCode="0.000%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Segoe UI"/>
      <family val="2"/>
    </font>
    <font>
      <b/>
      <sz val="12"/>
      <name val="Segoe UI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Segoe UI"/>
      <family val="2"/>
    </font>
    <font>
      <b/>
      <sz val="11"/>
      <name val="Segoe UI"/>
      <family val="2"/>
    </font>
    <font>
      <sz val="11"/>
      <color rgb="FF1E1E1E"/>
      <name val="Segoe UI"/>
      <family val="2"/>
    </font>
    <font>
      <b/>
      <sz val="11"/>
      <color rgb="FF1E1E1E"/>
      <name val="Segoe UI"/>
      <family val="2"/>
    </font>
    <font>
      <b/>
      <sz val="12"/>
      <color theme="1"/>
      <name val="Calibri"/>
      <family val="2"/>
      <scheme val="minor"/>
    </font>
    <font>
      <sz val="22"/>
      <color theme="0"/>
      <name val="Andalus"/>
      <family val="1"/>
    </font>
    <font>
      <sz val="18"/>
      <name val="Arial Unicode MS"/>
      <family val="2"/>
    </font>
    <font>
      <sz val="12"/>
      <color theme="0"/>
      <name val="Andalus"/>
      <family val="1"/>
    </font>
    <font>
      <b/>
      <sz val="12"/>
      <color theme="1"/>
      <name val="Arial"/>
      <family val="2"/>
    </font>
    <font>
      <sz val="12"/>
      <name val="Arial Unicode MS"/>
      <family val="2"/>
    </font>
    <font>
      <b/>
      <sz val="12"/>
      <name val="Arial Unicode MS"/>
    </font>
    <font>
      <sz val="14"/>
      <color theme="0"/>
      <name val="Andalus"/>
      <family val="1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name val="Arial Unicode MS"/>
      <family val="2"/>
    </font>
    <font>
      <b/>
      <sz val="14"/>
      <name val="Arial Unicode MS"/>
    </font>
    <font>
      <b/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Verdana"/>
      <family val="2"/>
    </font>
    <font>
      <sz val="14"/>
      <color theme="8"/>
      <name val="Verdana"/>
      <family val="2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7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9" borderId="8"/>
    <xf numFmtId="0" fontId="15" fillId="10" borderId="24"/>
    <xf numFmtId="0" fontId="26" fillId="0" borderId="0"/>
    <xf numFmtId="0" fontId="29" fillId="13" borderId="1">
      <alignment horizontal="center"/>
    </xf>
    <xf numFmtId="0" fontId="1" fillId="0" borderId="1"/>
  </cellStyleXfs>
  <cellXfs count="164">
    <xf numFmtId="0" fontId="0" fillId="0" borderId="0" xfId="0"/>
    <xf numFmtId="0" fontId="3" fillId="0" borderId="1" xfId="0" applyFont="1" applyBorder="1"/>
    <xf numFmtId="164" fontId="3" fillId="0" borderId="1" xfId="0" applyNumberFormat="1" applyFont="1" applyBorder="1"/>
    <xf numFmtId="0" fontId="0" fillId="0" borderId="1" xfId="0" applyBorder="1"/>
    <xf numFmtId="165" fontId="0" fillId="0" borderId="1" xfId="0" applyNumberFormat="1" applyBorder="1"/>
    <xf numFmtId="0" fontId="0" fillId="3" borderId="1" xfId="1" applyNumberFormat="1" applyFont="1" applyFill="1" applyBorder="1"/>
    <xf numFmtId="165" fontId="0" fillId="3" borderId="1" xfId="0" applyNumberFormat="1" applyFill="1" applyBorder="1"/>
    <xf numFmtId="165" fontId="0" fillId="0" borderId="0" xfId="0" applyNumberFormat="1"/>
    <xf numFmtId="165" fontId="3" fillId="0" borderId="1" xfId="0" applyNumberFormat="1" applyFont="1" applyBorder="1"/>
    <xf numFmtId="164" fontId="0" fillId="0" borderId="0" xfId="0" applyNumberFormat="1"/>
    <xf numFmtId="43" fontId="0" fillId="0" borderId="0" xfId="1" applyFont="1"/>
    <xf numFmtId="0" fontId="7" fillId="0" borderId="0" xfId="0" applyFont="1"/>
    <xf numFmtId="0" fontId="8" fillId="5" borderId="3" xfId="0" applyFont="1" applyFill="1" applyBorder="1"/>
    <xf numFmtId="0" fontId="8" fillId="5" borderId="2" xfId="0" applyFont="1" applyFill="1" applyBorder="1"/>
    <xf numFmtId="0" fontId="8" fillId="5" borderId="4" xfId="0" applyFont="1" applyFill="1" applyBorder="1"/>
    <xf numFmtId="9" fontId="7" fillId="0" borderId="8" xfId="0" applyNumberFormat="1" applyFont="1" applyBorder="1"/>
    <xf numFmtId="9" fontId="7" fillId="0" borderId="1" xfId="0" applyNumberFormat="1" applyFont="1" applyBorder="1"/>
    <xf numFmtId="9" fontId="7" fillId="0" borderId="9" xfId="0" applyNumberFormat="1" applyFont="1" applyBorder="1"/>
    <xf numFmtId="9" fontId="7" fillId="0" borderId="10" xfId="0" applyNumberFormat="1" applyFont="1" applyBorder="1"/>
    <xf numFmtId="9" fontId="7" fillId="0" borderId="11" xfId="0" applyNumberFormat="1" applyFont="1" applyBorder="1"/>
    <xf numFmtId="9" fontId="7" fillId="0" borderId="12" xfId="0" applyNumberFormat="1" applyFont="1" applyBorder="1"/>
    <xf numFmtId="9" fontId="7" fillId="0" borderId="0" xfId="0" applyNumberFormat="1" applyFont="1"/>
    <xf numFmtId="0" fontId="8" fillId="5" borderId="0" xfId="0" applyFont="1" applyFill="1"/>
    <xf numFmtId="166" fontId="7" fillId="0" borderId="1" xfId="1" applyNumberFormat="1" applyFont="1" applyBorder="1"/>
    <xf numFmtId="0" fontId="0" fillId="0" borderId="17" xfId="0" applyBorder="1"/>
    <xf numFmtId="0" fontId="0" fillId="0" borderId="18" xfId="0" applyBorder="1"/>
    <xf numFmtId="0" fontId="0" fillId="0" borderId="21" xfId="0" applyBorder="1"/>
    <xf numFmtId="8" fontId="3" fillId="3" borderId="20" xfId="0" applyNumberFormat="1" applyFont="1" applyFill="1" applyBorder="1"/>
    <xf numFmtId="0" fontId="3" fillId="3" borderId="17" xfId="0" applyFont="1" applyFill="1" applyBorder="1"/>
    <xf numFmtId="0" fontId="8" fillId="5" borderId="1" xfId="0" applyFont="1" applyFill="1" applyBorder="1"/>
    <xf numFmtId="9" fontId="7" fillId="7" borderId="22" xfId="0" applyNumberFormat="1" applyFont="1" applyFill="1" applyBorder="1"/>
    <xf numFmtId="10" fontId="3" fillId="3" borderId="19" xfId="0" applyNumberFormat="1" applyFont="1" applyFill="1" applyBorder="1"/>
    <xf numFmtId="2" fontId="0" fillId="0" borderId="1" xfId="0" applyNumberFormat="1" applyBorder="1"/>
    <xf numFmtId="0" fontId="7" fillId="7" borderId="22" xfId="0" applyFont="1" applyFill="1" applyBorder="1"/>
    <xf numFmtId="43" fontId="7" fillId="7" borderId="22" xfId="1" applyFont="1" applyFill="1" applyBorder="1"/>
    <xf numFmtId="8" fontId="7" fillId="7" borderId="22" xfId="0" applyNumberFormat="1" applyFont="1" applyFill="1" applyBorder="1"/>
    <xf numFmtId="2" fontId="0" fillId="8" borderId="1" xfId="0" applyNumberFormat="1" applyFill="1" applyBorder="1"/>
    <xf numFmtId="0" fontId="8" fillId="5" borderId="5" xfId="0" applyFont="1" applyFill="1" applyBorder="1"/>
    <xf numFmtId="8" fontId="7" fillId="7" borderId="12" xfId="0" applyNumberFormat="1" applyFont="1" applyFill="1" applyBorder="1"/>
    <xf numFmtId="0" fontId="2" fillId="5" borderId="24" xfId="0" applyFont="1" applyFill="1" applyBorder="1"/>
    <xf numFmtId="0" fontId="2" fillId="5" borderId="25" xfId="0" applyFont="1" applyFill="1" applyBorder="1"/>
    <xf numFmtId="0" fontId="2" fillId="5" borderId="26" xfId="0" applyFont="1" applyFill="1" applyBorder="1"/>
    <xf numFmtId="0" fontId="7" fillId="3" borderId="8" xfId="0" applyFont="1" applyFill="1" applyBorder="1"/>
    <xf numFmtId="0" fontId="0" fillId="0" borderId="9" xfId="0" applyBorder="1"/>
    <xf numFmtId="0" fontId="7" fillId="3" borderId="10" xfId="0" applyFont="1" applyFill="1" applyBorder="1"/>
    <xf numFmtId="0" fontId="0" fillId="0" borderId="11" xfId="0" applyBorder="1"/>
    <xf numFmtId="0" fontId="0" fillId="0" borderId="12" xfId="0" applyBorder="1"/>
    <xf numFmtId="0" fontId="2" fillId="5" borderId="1" xfId="0" applyFont="1" applyFill="1" applyBorder="1"/>
    <xf numFmtId="0" fontId="3" fillId="0" borderId="25" xfId="0" applyFont="1" applyBorder="1"/>
    <xf numFmtId="0" fontId="3" fillId="0" borderId="26" xfId="0" applyFont="1" applyBorder="1"/>
    <xf numFmtId="0" fontId="2" fillId="5" borderId="10" xfId="0" applyFont="1" applyFill="1" applyBorder="1"/>
    <xf numFmtId="0" fontId="3" fillId="0" borderId="11" xfId="0" applyFont="1" applyBorder="1"/>
    <xf numFmtId="0" fontId="3" fillId="0" borderId="12" xfId="0" applyFont="1" applyBorder="1"/>
    <xf numFmtId="43" fontId="13" fillId="0" borderId="27" xfId="1" applyFont="1" applyBorder="1"/>
    <xf numFmtId="165" fontId="0" fillId="0" borderId="1" xfId="1" applyNumberFormat="1" applyFont="1" applyBorder="1"/>
    <xf numFmtId="165" fontId="0" fillId="0" borderId="17" xfId="0" applyNumberFormat="1" applyBorder="1"/>
    <xf numFmtId="165" fontId="3" fillId="0" borderId="27" xfId="0" applyNumberFormat="1" applyFont="1" applyBorder="1"/>
    <xf numFmtId="0" fontId="13" fillId="12" borderId="1" xfId="0" applyFont="1" applyFill="1" applyBorder="1"/>
    <xf numFmtId="165" fontId="3" fillId="8" borderId="27" xfId="0" applyNumberFormat="1" applyFont="1" applyFill="1" applyBorder="1"/>
    <xf numFmtId="165" fontId="0" fillId="8" borderId="1" xfId="0" applyNumberFormat="1" applyFill="1" applyBorder="1"/>
    <xf numFmtId="0" fontId="0" fillId="8" borderId="1" xfId="0" applyFill="1" applyBorder="1"/>
    <xf numFmtId="168" fontId="0" fillId="8" borderId="1" xfId="0" applyNumberFormat="1" applyFill="1" applyBorder="1"/>
    <xf numFmtId="0" fontId="16" fillId="9" borderId="8" xfId="3" applyFont="1"/>
    <xf numFmtId="0" fontId="17" fillId="0" borderId="0" xfId="0" applyFont="1"/>
    <xf numFmtId="0" fontId="18" fillId="10" borderId="24" xfId="4" applyFont="1"/>
    <xf numFmtId="9" fontId="18" fillId="10" borderId="24" xfId="2" applyFont="1" applyFill="1" applyBorder="1"/>
    <xf numFmtId="0" fontId="16" fillId="11" borderId="8" xfId="3" applyFont="1" applyFill="1"/>
    <xf numFmtId="9" fontId="19" fillId="10" borderId="24" xfId="2" applyFont="1" applyFill="1" applyBorder="1"/>
    <xf numFmtId="0" fontId="19" fillId="10" borderId="24" xfId="4" applyFont="1"/>
    <xf numFmtId="0" fontId="20" fillId="9" borderId="8" xfId="3" applyFont="1"/>
    <xf numFmtId="0" fontId="21" fillId="0" borderId="0" xfId="0" applyFont="1"/>
    <xf numFmtId="0" fontId="22" fillId="0" borderId="0" xfId="0" applyFont="1"/>
    <xf numFmtId="0" fontId="23" fillId="10" borderId="24" xfId="4" applyFont="1"/>
    <xf numFmtId="9" fontId="23" fillId="10" borderId="24" xfId="2" applyFont="1" applyFill="1" applyBorder="1"/>
    <xf numFmtId="9" fontId="21" fillId="0" borderId="0" xfId="2" applyFont="1"/>
    <xf numFmtId="167" fontId="21" fillId="0" borderId="0" xfId="0" applyNumberFormat="1" applyFont="1"/>
    <xf numFmtId="9" fontId="21" fillId="0" borderId="0" xfId="0" applyNumberFormat="1" applyFont="1"/>
    <xf numFmtId="0" fontId="20" fillId="11" borderId="8" xfId="3" applyFont="1" applyFill="1"/>
    <xf numFmtId="9" fontId="24" fillId="10" borderId="24" xfId="2" applyFont="1" applyFill="1" applyBorder="1"/>
    <xf numFmtId="8" fontId="3" fillId="11" borderId="20" xfId="0" applyNumberFormat="1" applyFont="1" applyFill="1" applyBorder="1"/>
    <xf numFmtId="0" fontId="27" fillId="0" borderId="0" xfId="5" applyFont="1"/>
    <xf numFmtId="0" fontId="26" fillId="0" borderId="0" xfId="5"/>
    <xf numFmtId="1" fontId="27" fillId="0" borderId="0" xfId="5" applyNumberFormat="1" applyFont="1"/>
    <xf numFmtId="1" fontId="26" fillId="0" borderId="0" xfId="5" applyNumberFormat="1"/>
    <xf numFmtId="0" fontId="21" fillId="0" borderId="0" xfId="5" applyFont="1"/>
    <xf numFmtId="0" fontId="21" fillId="0" borderId="23" xfId="0" applyFont="1" applyBorder="1"/>
    <xf numFmtId="1" fontId="21" fillId="0" borderId="23" xfId="0" applyNumberFormat="1" applyFont="1" applyBorder="1"/>
    <xf numFmtId="0" fontId="29" fillId="13" borderId="1" xfId="6">
      <alignment horizontal="center"/>
    </xf>
    <xf numFmtId="0" fontId="30" fillId="0" borderId="0" xfId="0" applyFont="1"/>
    <xf numFmtId="0" fontId="30" fillId="0" borderId="0" xfId="0" applyFont="1" applyAlignment="1">
      <alignment horizontal="left"/>
    </xf>
    <xf numFmtId="0" fontId="30" fillId="0" borderId="31" xfId="0" applyFont="1" applyBorder="1"/>
    <xf numFmtId="0" fontId="1" fillId="0" borderId="1" xfId="7"/>
    <xf numFmtId="0" fontId="29" fillId="13" borderId="1" xfId="6" applyAlignment="1">
      <alignment horizontal="left"/>
    </xf>
    <xf numFmtId="14" fontId="30" fillId="0" borderId="0" xfId="0" applyNumberFormat="1" applyFont="1"/>
    <xf numFmtId="14" fontId="0" fillId="0" borderId="1" xfId="0" applyNumberFormat="1" applyBorder="1"/>
    <xf numFmtId="0" fontId="31" fillId="0" borderId="0" xfId="0" applyFont="1" applyAlignment="1">
      <alignment horizontal="left"/>
    </xf>
    <xf numFmtId="0" fontId="30" fillId="4" borderId="0" xfId="0" applyFont="1" applyFill="1"/>
    <xf numFmtId="0" fontId="30" fillId="4" borderId="0" xfId="0" applyFont="1" applyFill="1" applyAlignment="1">
      <alignment horizontal="left"/>
    </xf>
    <xf numFmtId="0" fontId="1" fillId="4" borderId="1" xfId="7" applyFill="1"/>
    <xf numFmtId="0" fontId="0" fillId="0" borderId="1" xfId="7" applyFont="1"/>
    <xf numFmtId="0" fontId="0" fillId="0" borderId="0" xfId="0" applyAlignment="1">
      <alignment horizontal="left"/>
    </xf>
    <xf numFmtId="0" fontId="13" fillId="0" borderId="1" xfId="7" applyFont="1"/>
    <xf numFmtId="0" fontId="13" fillId="4" borderId="1" xfId="0" applyFont="1" applyFill="1" applyBorder="1"/>
    <xf numFmtId="0" fontId="4" fillId="14" borderId="30" xfId="0" applyFont="1" applyFill="1" applyBorder="1"/>
    <xf numFmtId="1" fontId="4" fillId="14" borderId="30" xfId="0" applyNumberFormat="1" applyFont="1" applyFill="1" applyBorder="1"/>
    <xf numFmtId="0" fontId="0" fillId="6" borderId="1" xfId="0" applyFill="1" applyBorder="1"/>
    <xf numFmtId="165" fontId="0" fillId="0" borderId="6" xfId="0" applyNumberFormat="1" applyBorder="1"/>
    <xf numFmtId="0" fontId="32" fillId="15" borderId="16" xfId="0" applyFont="1" applyFill="1" applyBorder="1" applyAlignment="1">
      <alignment horizontal="left"/>
    </xf>
    <xf numFmtId="0" fontId="32" fillId="15" borderId="3" xfId="0" applyFont="1" applyFill="1" applyBorder="1" applyAlignment="1">
      <alignment horizontal="left"/>
    </xf>
    <xf numFmtId="0" fontId="0" fillId="0" borderId="19" xfId="0" applyBorder="1"/>
    <xf numFmtId="0" fontId="33" fillId="16" borderId="0" xfId="0" applyFont="1" applyFill="1" applyAlignment="1">
      <alignment horizontal="left"/>
    </xf>
    <xf numFmtId="0" fontId="34" fillId="16" borderId="19" xfId="0" applyFont="1" applyFill="1" applyBorder="1" applyAlignment="1">
      <alignment horizontal="left"/>
    </xf>
    <xf numFmtId="0" fontId="33" fillId="16" borderId="6" xfId="0" applyFont="1" applyFill="1" applyBorder="1" applyAlignment="1">
      <alignment horizontal="left"/>
    </xf>
    <xf numFmtId="0" fontId="35" fillId="15" borderId="3" xfId="0" applyFont="1" applyFill="1" applyBorder="1" applyAlignment="1">
      <alignment horizontal="right"/>
    </xf>
    <xf numFmtId="0" fontId="35" fillId="15" borderId="16" xfId="0" applyFont="1" applyFill="1" applyBorder="1" applyAlignment="1">
      <alignment horizontal="right"/>
    </xf>
    <xf numFmtId="0" fontId="0" fillId="17" borderId="0" xfId="0" applyFill="1"/>
    <xf numFmtId="165" fontId="0" fillId="17" borderId="0" xfId="0" applyNumberFormat="1" applyFill="1"/>
    <xf numFmtId="0" fontId="36" fillId="0" borderId="0" xfId="0" applyFont="1" applyAlignment="1">
      <alignment vertical="top" wrapText="1"/>
    </xf>
    <xf numFmtId="43" fontId="7" fillId="7" borderId="22" xfId="0" applyNumberFormat="1" applyFont="1" applyFill="1" applyBorder="1"/>
    <xf numFmtId="43" fontId="7" fillId="7" borderId="12" xfId="0" applyNumberFormat="1" applyFont="1" applyFill="1" applyBorder="1"/>
    <xf numFmtId="0" fontId="0" fillId="18" borderId="0" xfId="0" applyFill="1"/>
    <xf numFmtId="1" fontId="0" fillId="0" borderId="0" xfId="0" applyNumberFormat="1"/>
    <xf numFmtId="0" fontId="4" fillId="14" borderId="21" xfId="0" applyFont="1" applyFill="1" applyBorder="1"/>
    <xf numFmtId="1" fontId="4" fillId="14" borderId="21" xfId="0" applyNumberFormat="1" applyFont="1" applyFill="1" applyBorder="1"/>
    <xf numFmtId="0" fontId="4" fillId="2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14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4" fillId="5" borderId="15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3" fillId="6" borderId="19" xfId="0" applyFont="1" applyFill="1" applyBorder="1" applyAlignment="1">
      <alignment horizontal="center"/>
    </xf>
    <xf numFmtId="0" fontId="3" fillId="6" borderId="20" xfId="0" applyFont="1" applyFill="1" applyBorder="1" applyAlignment="1">
      <alignment horizontal="center"/>
    </xf>
    <xf numFmtId="0" fontId="3" fillId="6" borderId="21" xfId="0" applyFont="1" applyFill="1" applyBorder="1" applyAlignment="1">
      <alignment horizontal="center" vertical="center" textRotation="90"/>
    </xf>
    <xf numFmtId="0" fontId="3" fillId="6" borderId="23" xfId="0" applyFont="1" applyFill="1" applyBorder="1" applyAlignment="1">
      <alignment horizontal="center" vertical="center" textRotation="90"/>
    </xf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28" fillId="11" borderId="28" xfId="0" applyFont="1" applyFill="1" applyBorder="1" applyAlignment="1">
      <alignment horizontal="center" vertical="center"/>
    </xf>
    <xf numFmtId="0" fontId="28" fillId="11" borderId="29" xfId="0" applyFont="1" applyFill="1" applyBorder="1" applyAlignment="1">
      <alignment horizontal="center" vertical="center"/>
    </xf>
    <xf numFmtId="0" fontId="25" fillId="11" borderId="13" xfId="0" applyFont="1" applyFill="1" applyBorder="1" applyAlignment="1">
      <alignment horizontal="center" vertical="center"/>
    </xf>
    <xf numFmtId="0" fontId="25" fillId="11" borderId="0" xfId="0" applyFont="1" applyFill="1" applyAlignment="1">
      <alignment horizontal="center" vertical="center"/>
    </xf>
    <xf numFmtId="0" fontId="29" fillId="13" borderId="1" xfId="6">
      <alignment horizontal="center"/>
    </xf>
    <xf numFmtId="0" fontId="29" fillId="13" borderId="18" xfId="6" applyBorder="1">
      <alignment horizontal="center"/>
    </xf>
    <xf numFmtId="0" fontId="29" fillId="13" borderId="19" xfId="6" applyBorder="1">
      <alignment horizontal="center"/>
    </xf>
    <xf numFmtId="0" fontId="29" fillId="13" borderId="20" xfId="6" applyBorder="1">
      <alignment horizontal="center"/>
    </xf>
    <xf numFmtId="0" fontId="30" fillId="4" borderId="0" xfId="0" applyFont="1" applyFill="1" applyAlignment="1"/>
  </cellXfs>
  <cellStyles count="8">
    <cellStyle name="Comma" xfId="1" builtinId="3"/>
    <cellStyle name="Contains" xfId="3" xr:uid="{6482497B-68D8-42D3-8A3D-C29D761DE687}"/>
    <cellStyle name="itt contain" xfId="4" xr:uid="{9C85E7A3-816B-46E6-9F15-26363BF2D76A}"/>
    <cellStyle name="Normal" xfId="0" builtinId="0"/>
    <cellStyle name="Normal 2" xfId="5" xr:uid="{D5140BE1-00C3-4874-A83B-45166039C60E}"/>
    <cellStyle name="Percent" xfId="2" builtinId="5"/>
    <cellStyle name="Training Data" xfId="7" xr:uid="{96D50DE1-9FA6-4DBD-8606-68E6BB0FE2CB}"/>
    <cellStyle name="Workshop" xfId="6" xr:uid="{03FF58AF-B430-4B2D-AA46-7202CE05EE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227670</xdr:colOff>
      <xdr:row>5</xdr:row>
      <xdr:rowOff>72641</xdr:rowOff>
    </xdr:from>
    <xdr:to>
      <xdr:col>7</xdr:col>
      <xdr:colOff>720184</xdr:colOff>
      <xdr:row>10</xdr:row>
      <xdr:rowOff>27710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3B1BB9-E5A1-40EC-A3AC-2D587028B241}"/>
            </a:ext>
          </a:extLst>
        </xdr:cNvPr>
        <xdr:cNvSpPr txBox="1"/>
      </xdr:nvSpPr>
      <xdr:spPr>
        <a:xfrm>
          <a:off x="837270" y="903914"/>
          <a:ext cx="6581587" cy="855614"/>
        </a:xfrm>
        <a:prstGeom prst="rect">
          <a:avLst/>
        </a:prstGeom>
        <a:ln/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>
              <a:solidFill>
                <a:schemeClr val="bg1"/>
              </a:solidFill>
            </a:rPr>
            <a:t>Problem</a:t>
          </a:r>
          <a:r>
            <a:rPr lang="en-IN" sz="1200">
              <a:solidFill>
                <a:schemeClr val="bg1"/>
              </a:solidFill>
            </a:rPr>
            <a:t>: You want to minimize the cost of shipping goods from 2 different warehouses to 4 different customers. Each warehouse has a limited supply and each customer has a certain demand.</a:t>
          </a:r>
        </a:p>
        <a:p>
          <a:pPr algn="ctr"/>
          <a:r>
            <a:rPr lang="en-IN" sz="1200" b="1">
              <a:solidFill>
                <a:schemeClr val="bg1"/>
              </a:solidFill>
            </a:rPr>
            <a:t>Goal:</a:t>
          </a:r>
          <a:r>
            <a:rPr lang="en-IN" sz="1200">
              <a:solidFill>
                <a:schemeClr val="bg1"/>
              </a:solidFill>
            </a:rPr>
            <a:t> Minimize the total shipping cost, not exceeding the quantity available at each warehouse, and meeting the demand of each customer.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2BE1-00B7-4307-A01E-3AD76903AD39}">
  <dimension ref="A2:K18"/>
  <sheetViews>
    <sheetView topLeftCell="E1" zoomScaleNormal="100" workbookViewId="0">
      <selection activeCell="J20" sqref="J20"/>
    </sheetView>
  </sheetViews>
  <sheetFormatPr defaultColWidth="8.88671875" defaultRowHeight="14.4"/>
  <cols>
    <col min="1" max="1" width="17.5546875" bestFit="1" customWidth="1"/>
    <col min="2" max="5" width="15.77734375" customWidth="1"/>
    <col min="6" max="6" width="4.44140625" customWidth="1"/>
    <col min="7" max="7" width="14.109375" bestFit="1" customWidth="1"/>
    <col min="8" max="11" width="15" customWidth="1"/>
  </cols>
  <sheetData>
    <row r="2" spans="1:11" ht="15.6">
      <c r="A2" s="57" t="s">
        <v>22</v>
      </c>
      <c r="B2" s="59">
        <v>3000000</v>
      </c>
    </row>
    <row r="3" spans="1:11" ht="15.6">
      <c r="A3" s="57" t="s">
        <v>23</v>
      </c>
      <c r="B3" s="60">
        <v>10</v>
      </c>
    </row>
    <row r="4" spans="1:11" ht="15.6">
      <c r="A4" s="57" t="s">
        <v>24</v>
      </c>
      <c r="B4" s="61">
        <v>0.18181818181818182</v>
      </c>
    </row>
    <row r="5" spans="1:11" ht="15.6">
      <c r="A5" s="57" t="s">
        <v>25</v>
      </c>
      <c r="B5" s="4">
        <f>E18</f>
        <v>5999999.9999999991</v>
      </c>
    </row>
    <row r="7" spans="1:11" ht="15.6">
      <c r="A7" s="57" t="s">
        <v>26</v>
      </c>
      <c r="B7" s="57" t="s">
        <v>27</v>
      </c>
      <c r="C7" s="57" t="s">
        <v>28</v>
      </c>
      <c r="D7" s="57" t="s">
        <v>29</v>
      </c>
      <c r="E7" s="57" t="s">
        <v>30</v>
      </c>
      <c r="G7" s="57" t="s">
        <v>26</v>
      </c>
      <c r="H7" s="57" t="s">
        <v>27</v>
      </c>
      <c r="I7" s="57" t="s">
        <v>28</v>
      </c>
      <c r="J7" s="57" t="s">
        <v>29</v>
      </c>
      <c r="K7" s="57" t="s">
        <v>30</v>
      </c>
    </row>
    <row r="8" spans="1:11">
      <c r="A8" s="3" t="s">
        <v>31</v>
      </c>
      <c r="B8" s="54">
        <f>B2</f>
        <v>3000000</v>
      </c>
      <c r="C8" s="4">
        <f>B8*$B$4</f>
        <v>545454.54545454541</v>
      </c>
      <c r="D8" s="4">
        <f>$B$8/10</f>
        <v>300000</v>
      </c>
      <c r="E8" s="4">
        <f>C8+D8</f>
        <v>845454.54545454541</v>
      </c>
      <c r="F8" s="7"/>
      <c r="G8" s="3" t="s">
        <v>31</v>
      </c>
      <c r="H8" s="54">
        <f>B8</f>
        <v>3000000</v>
      </c>
      <c r="I8" s="4">
        <f>H8*B4</f>
        <v>545454.54545454541</v>
      </c>
      <c r="J8" s="4">
        <f>$B$8/$B$3</f>
        <v>300000</v>
      </c>
      <c r="K8" s="4">
        <f>I8+J8</f>
        <v>845454.54545454541</v>
      </c>
    </row>
    <row r="9" spans="1:11">
      <c r="A9" s="3" t="s">
        <v>32</v>
      </c>
      <c r="B9" s="54">
        <f>B8-D8</f>
        <v>2700000</v>
      </c>
      <c r="C9" s="4">
        <f>B9*$B$4</f>
        <v>490909.09090909094</v>
      </c>
      <c r="D9" s="4">
        <f t="shared" ref="D9:D17" si="0">$B$8/10</f>
        <v>300000</v>
      </c>
      <c r="E9" s="4">
        <f>C9+D9</f>
        <v>790909.09090909094</v>
      </c>
      <c r="F9" s="7"/>
      <c r="G9" s="3" t="s">
        <v>32</v>
      </c>
      <c r="H9" s="54">
        <f>H8-J8</f>
        <v>2700000</v>
      </c>
      <c r="I9" s="4">
        <f>H9*B4</f>
        <v>490909.09090909094</v>
      </c>
      <c r="J9" s="4">
        <f t="shared" ref="J9:J17" si="1">$B$8/$B$3</f>
        <v>300000</v>
      </c>
      <c r="K9" s="4">
        <f t="shared" ref="K9:K17" si="2">I9+J9</f>
        <v>790909.09090909094</v>
      </c>
    </row>
    <row r="10" spans="1:11">
      <c r="A10" s="3" t="s">
        <v>33</v>
      </c>
      <c r="B10" s="54">
        <f>B9-D9</f>
        <v>2400000</v>
      </c>
      <c r="C10" s="4">
        <f t="shared" ref="C10:C17" si="3">B10*$B$4</f>
        <v>436363.63636363635</v>
      </c>
      <c r="D10" s="4">
        <f t="shared" si="0"/>
        <v>300000</v>
      </c>
      <c r="E10" s="4">
        <f t="shared" ref="E10:E16" si="4">C10+D10</f>
        <v>736363.63636363635</v>
      </c>
      <c r="F10" s="7"/>
      <c r="G10" s="3" t="s">
        <v>33</v>
      </c>
      <c r="H10" s="54">
        <f t="shared" ref="H10:H17" si="5">H9-J9</f>
        <v>2400000</v>
      </c>
      <c r="I10" s="4">
        <f>H10*B4</f>
        <v>436363.63636363635</v>
      </c>
      <c r="J10" s="4">
        <f t="shared" si="1"/>
        <v>300000</v>
      </c>
      <c r="K10" s="4">
        <f t="shared" si="2"/>
        <v>736363.63636363635</v>
      </c>
    </row>
    <row r="11" spans="1:11">
      <c r="A11" s="3" t="s">
        <v>34</v>
      </c>
      <c r="B11" s="54">
        <f t="shared" ref="B11:B17" si="6">B10-D10</f>
        <v>2100000</v>
      </c>
      <c r="C11" s="4">
        <f t="shared" si="3"/>
        <v>381818.18181818182</v>
      </c>
      <c r="D11" s="4">
        <f t="shared" si="0"/>
        <v>300000</v>
      </c>
      <c r="E11" s="4">
        <f>C11+D11</f>
        <v>681818.18181818188</v>
      </c>
      <c r="F11" s="7"/>
      <c r="G11" s="3" t="s">
        <v>34</v>
      </c>
      <c r="H11" s="54">
        <f t="shared" si="5"/>
        <v>2100000</v>
      </c>
      <c r="I11" s="4">
        <f>H11*B4</f>
        <v>381818.18181818182</v>
      </c>
      <c r="J11" s="4">
        <f t="shared" si="1"/>
        <v>300000</v>
      </c>
      <c r="K11" s="4">
        <f t="shared" si="2"/>
        <v>681818.18181818188</v>
      </c>
    </row>
    <row r="12" spans="1:11">
      <c r="A12" s="3" t="s">
        <v>35</v>
      </c>
      <c r="B12" s="54">
        <f t="shared" si="6"/>
        <v>1800000</v>
      </c>
      <c r="C12" s="4">
        <f t="shared" si="3"/>
        <v>327272.72727272729</v>
      </c>
      <c r="D12" s="4">
        <f t="shared" si="0"/>
        <v>300000</v>
      </c>
      <c r="E12" s="4">
        <f t="shared" si="4"/>
        <v>627272.72727272729</v>
      </c>
      <c r="F12" s="7"/>
      <c r="G12" s="3" t="s">
        <v>35</v>
      </c>
      <c r="H12" s="54">
        <f t="shared" si="5"/>
        <v>1800000</v>
      </c>
      <c r="I12" s="4">
        <f>H12*B4</f>
        <v>327272.72727272729</v>
      </c>
      <c r="J12" s="4">
        <f t="shared" si="1"/>
        <v>300000</v>
      </c>
      <c r="K12" s="4">
        <f t="shared" si="2"/>
        <v>627272.72727272729</v>
      </c>
    </row>
    <row r="13" spans="1:11">
      <c r="A13" s="3" t="s">
        <v>36</v>
      </c>
      <c r="B13" s="54">
        <f t="shared" si="6"/>
        <v>1500000</v>
      </c>
      <c r="C13" s="4">
        <f t="shared" si="3"/>
        <v>272727.27272727271</v>
      </c>
      <c r="D13" s="4">
        <f t="shared" si="0"/>
        <v>300000</v>
      </c>
      <c r="E13" s="4">
        <f t="shared" si="4"/>
        <v>572727.27272727271</v>
      </c>
      <c r="F13" s="7"/>
      <c r="G13" s="3" t="s">
        <v>36</v>
      </c>
      <c r="H13" s="54">
        <f t="shared" si="5"/>
        <v>1500000</v>
      </c>
      <c r="I13" s="4">
        <f>H13*B4</f>
        <v>272727.27272727271</v>
      </c>
      <c r="J13" s="4">
        <f t="shared" si="1"/>
        <v>300000</v>
      </c>
      <c r="K13" s="4">
        <f t="shared" si="2"/>
        <v>572727.27272727271</v>
      </c>
    </row>
    <row r="14" spans="1:11">
      <c r="A14" s="3" t="s">
        <v>37</v>
      </c>
      <c r="B14" s="54">
        <f t="shared" si="6"/>
        <v>1200000</v>
      </c>
      <c r="C14" s="4">
        <f t="shared" si="3"/>
        <v>218181.81818181818</v>
      </c>
      <c r="D14" s="4">
        <f t="shared" si="0"/>
        <v>300000</v>
      </c>
      <c r="E14" s="4">
        <f t="shared" si="4"/>
        <v>518181.81818181818</v>
      </c>
      <c r="F14" s="7"/>
      <c r="G14" s="3" t="s">
        <v>37</v>
      </c>
      <c r="H14" s="54">
        <f t="shared" si="5"/>
        <v>1200000</v>
      </c>
      <c r="I14" s="4">
        <f>H14*B4</f>
        <v>218181.81818181818</v>
      </c>
      <c r="J14" s="4">
        <f t="shared" si="1"/>
        <v>300000</v>
      </c>
      <c r="K14" s="4">
        <f t="shared" si="2"/>
        <v>518181.81818181818</v>
      </c>
    </row>
    <row r="15" spans="1:11">
      <c r="A15" s="3" t="s">
        <v>38</v>
      </c>
      <c r="B15" s="54">
        <f t="shared" si="6"/>
        <v>900000</v>
      </c>
      <c r="C15" s="4">
        <f t="shared" si="3"/>
        <v>163636.36363636365</v>
      </c>
      <c r="D15" s="4">
        <f t="shared" si="0"/>
        <v>300000</v>
      </c>
      <c r="E15" s="4">
        <f t="shared" si="4"/>
        <v>463636.36363636365</v>
      </c>
      <c r="F15" s="7"/>
      <c r="G15" s="3" t="s">
        <v>38</v>
      </c>
      <c r="H15" s="54">
        <f t="shared" si="5"/>
        <v>900000</v>
      </c>
      <c r="I15" s="4">
        <f>H15*B4</f>
        <v>163636.36363636365</v>
      </c>
      <c r="J15" s="4">
        <f t="shared" si="1"/>
        <v>300000</v>
      </c>
      <c r="K15" s="4">
        <f t="shared" si="2"/>
        <v>463636.36363636365</v>
      </c>
    </row>
    <row r="16" spans="1:11">
      <c r="A16" s="3" t="s">
        <v>39</v>
      </c>
      <c r="B16" s="54">
        <f t="shared" si="6"/>
        <v>600000</v>
      </c>
      <c r="C16" s="4">
        <f t="shared" si="3"/>
        <v>109090.90909090909</v>
      </c>
      <c r="D16" s="4">
        <f t="shared" si="0"/>
        <v>300000</v>
      </c>
      <c r="E16" s="4">
        <f t="shared" si="4"/>
        <v>409090.90909090906</v>
      </c>
      <c r="F16" s="7"/>
      <c r="G16" s="3" t="s">
        <v>39</v>
      </c>
      <c r="H16" s="54">
        <f t="shared" si="5"/>
        <v>600000</v>
      </c>
      <c r="I16" s="4">
        <f>H16*B4</f>
        <v>109090.90909090909</v>
      </c>
      <c r="J16" s="4">
        <f t="shared" si="1"/>
        <v>300000</v>
      </c>
      <c r="K16" s="4">
        <f t="shared" si="2"/>
        <v>409090.90909090906</v>
      </c>
    </row>
    <row r="17" spans="1:11" ht="15" thickBot="1">
      <c r="A17" s="3" t="s">
        <v>40</v>
      </c>
      <c r="B17" s="54">
        <f t="shared" si="6"/>
        <v>300000</v>
      </c>
      <c r="C17" s="4">
        <f t="shared" si="3"/>
        <v>54545.454545454544</v>
      </c>
      <c r="D17" s="4">
        <f t="shared" si="0"/>
        <v>300000</v>
      </c>
      <c r="E17" s="55">
        <f>C17+D17</f>
        <v>354545.45454545453</v>
      </c>
      <c r="F17" s="7"/>
      <c r="G17" s="3" t="s">
        <v>40</v>
      </c>
      <c r="H17" s="54">
        <f t="shared" si="5"/>
        <v>300000</v>
      </c>
      <c r="I17" s="4">
        <f>H17*B4</f>
        <v>54545.454545454544</v>
      </c>
      <c r="J17" s="4">
        <f t="shared" si="1"/>
        <v>300000</v>
      </c>
      <c r="K17" s="4">
        <f t="shared" si="2"/>
        <v>354545.45454545453</v>
      </c>
    </row>
    <row r="18" spans="1:11" ht="15" thickBot="1">
      <c r="E18" s="56">
        <f>SUM(E8:E17)</f>
        <v>5999999.9999999991</v>
      </c>
      <c r="K18" s="58">
        <f>SUM(K8:K17)</f>
        <v>5999999.9999999991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B3F52-FADC-4D7B-8A8F-23E327FD638F}">
  <dimension ref="A1:F23"/>
  <sheetViews>
    <sheetView zoomScale="110" zoomScaleNormal="110" workbookViewId="0">
      <selection activeCell="E15" sqref="E15"/>
    </sheetView>
  </sheetViews>
  <sheetFormatPr defaultColWidth="8.88671875" defaultRowHeight="14.4"/>
  <cols>
    <col min="1" max="1" width="28.6640625" bestFit="1" customWidth="1"/>
    <col min="2" max="2" width="15" style="9" bestFit="1" customWidth="1"/>
    <col min="3" max="3" width="14.44140625" bestFit="1" customWidth="1"/>
    <col min="6" max="6" width="11.33203125" bestFit="1" customWidth="1"/>
  </cols>
  <sheetData>
    <row r="1" spans="1:6" ht="18">
      <c r="A1" s="124" t="s">
        <v>0</v>
      </c>
      <c r="B1" s="124"/>
      <c r="C1" s="124"/>
      <c r="D1" s="124"/>
    </row>
    <row r="3" spans="1:6">
      <c r="A3" s="1" t="s">
        <v>1</v>
      </c>
      <c r="B3" s="2" t="s">
        <v>2</v>
      </c>
      <c r="C3" s="2" t="s">
        <v>2</v>
      </c>
      <c r="F3" t="s">
        <v>3</v>
      </c>
    </row>
    <row r="4" spans="1:6">
      <c r="A4" s="3" t="s">
        <v>4</v>
      </c>
      <c r="B4" s="4">
        <v>50000</v>
      </c>
      <c r="C4" s="4">
        <v>50000</v>
      </c>
    </row>
    <row r="5" spans="1:6">
      <c r="A5" s="3" t="s">
        <v>5</v>
      </c>
      <c r="B5" s="4">
        <v>1200</v>
      </c>
      <c r="C5" s="4">
        <v>1200</v>
      </c>
    </row>
    <row r="6" spans="1:6">
      <c r="A6" s="3" t="s">
        <v>6</v>
      </c>
      <c r="B6" s="4">
        <v>3000</v>
      </c>
      <c r="C6" s="4">
        <v>3000</v>
      </c>
    </row>
    <row r="7" spans="1:6">
      <c r="A7" s="3" t="s">
        <v>7</v>
      </c>
      <c r="B7" s="4">
        <v>2000</v>
      </c>
      <c r="C7" s="4">
        <v>2000</v>
      </c>
    </row>
    <row r="8" spans="1:6">
      <c r="A8" s="3" t="s">
        <v>8</v>
      </c>
      <c r="B8" s="4">
        <v>50000</v>
      </c>
      <c r="C8" s="4">
        <v>50000</v>
      </c>
    </row>
    <row r="9" spans="1:6">
      <c r="C9" s="9"/>
    </row>
    <row r="10" spans="1:6">
      <c r="A10" s="1" t="s">
        <v>9</v>
      </c>
      <c r="B10" s="2" t="s">
        <v>10</v>
      </c>
      <c r="C10" s="2"/>
    </row>
    <row r="11" spans="1:6">
      <c r="A11" s="3" t="s">
        <v>11</v>
      </c>
      <c r="B11" s="5">
        <v>40</v>
      </c>
      <c r="C11" s="5">
        <v>43.859649122807006</v>
      </c>
    </row>
    <row r="12" spans="1:6">
      <c r="A12" s="3" t="s">
        <v>12</v>
      </c>
      <c r="B12" s="6">
        <v>20000</v>
      </c>
      <c r="C12" s="6">
        <v>20000</v>
      </c>
    </row>
    <row r="13" spans="1:6">
      <c r="A13" s="3" t="s">
        <v>13</v>
      </c>
      <c r="B13" s="4">
        <f>B11*B5</f>
        <v>48000</v>
      </c>
      <c r="C13" s="4">
        <f>C11*C5</f>
        <v>52631.578947368405</v>
      </c>
    </row>
    <row r="14" spans="1:6">
      <c r="A14" s="3" t="s">
        <v>14</v>
      </c>
      <c r="B14" s="4">
        <f>B4</f>
        <v>50000</v>
      </c>
      <c r="C14" s="4">
        <f>C4</f>
        <v>50000</v>
      </c>
    </row>
    <row r="15" spans="1:6">
      <c r="A15" s="3" t="s">
        <v>15</v>
      </c>
      <c r="B15" s="4">
        <f>B6*B11</f>
        <v>120000</v>
      </c>
      <c r="C15" s="4">
        <f>C11*C6</f>
        <v>131578.94736842101</v>
      </c>
    </row>
    <row r="16" spans="1:6">
      <c r="A16" s="3" t="s">
        <v>16</v>
      </c>
      <c r="B16" s="4">
        <f>B7*B11</f>
        <v>80000</v>
      </c>
      <c r="C16" s="4">
        <f>C11*C7</f>
        <v>87719.298245614016</v>
      </c>
    </row>
    <row r="17" spans="1:3">
      <c r="A17" s="3" t="s">
        <v>17</v>
      </c>
      <c r="B17" s="4">
        <f>B8</f>
        <v>50000</v>
      </c>
      <c r="C17" s="4">
        <f>C8</f>
        <v>50000</v>
      </c>
    </row>
    <row r="18" spans="1:3">
      <c r="C18" s="9"/>
    </row>
    <row r="19" spans="1:3">
      <c r="A19" s="3" t="s">
        <v>18</v>
      </c>
      <c r="B19" s="4">
        <f>B11*B12</f>
        <v>800000</v>
      </c>
      <c r="C19" s="4">
        <f>C11*C12</f>
        <v>877192.9824561401</v>
      </c>
    </row>
    <row r="20" spans="1:3">
      <c r="A20" s="3" t="s">
        <v>19</v>
      </c>
      <c r="B20" s="4">
        <f>SUM(B13:B17)</f>
        <v>348000</v>
      </c>
      <c r="C20" s="4">
        <f>SUM(C13:C17)</f>
        <v>371929.82456140342</v>
      </c>
    </row>
    <row r="21" spans="1:3">
      <c r="A21" s="3" t="s">
        <v>20</v>
      </c>
      <c r="B21" s="4">
        <f>B19*0.05</f>
        <v>40000</v>
      </c>
      <c r="C21" s="4">
        <f>C19*5%</f>
        <v>43859.649122807008</v>
      </c>
    </row>
    <row r="22" spans="1:3">
      <c r="A22" s="3" t="s">
        <v>21</v>
      </c>
      <c r="B22" s="4">
        <f>B19*0.07</f>
        <v>56000.000000000007</v>
      </c>
      <c r="C22" s="4">
        <f>C19*7%</f>
        <v>61403.50877192981</v>
      </c>
    </row>
    <row r="23" spans="1:3">
      <c r="A23" s="1" t="s">
        <v>3</v>
      </c>
      <c r="B23" s="8">
        <f>B19-SUM(B20:B22)</f>
        <v>356000</v>
      </c>
      <c r="C23" s="8">
        <f>C19-SUM(C20:C22)</f>
        <v>399999.99999999983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9DD6-D73E-4F45-9B89-539E3EAB077F}">
  <dimension ref="A1:G23"/>
  <sheetViews>
    <sheetView zoomScale="110" zoomScaleNormal="110" workbookViewId="0">
      <selection activeCell="E18" sqref="E18"/>
    </sheetView>
  </sheetViews>
  <sheetFormatPr defaultColWidth="8.88671875" defaultRowHeight="14.4"/>
  <cols>
    <col min="1" max="1" width="28.6640625" bestFit="1" customWidth="1"/>
    <col min="2" max="2" width="15" style="9" bestFit="1" customWidth="1"/>
    <col min="3" max="3" width="14.44140625" bestFit="1" customWidth="1"/>
    <col min="6" max="6" width="11.33203125" bestFit="1" customWidth="1"/>
  </cols>
  <sheetData>
    <row r="1" spans="1:7" ht="18">
      <c r="A1" s="124" t="s">
        <v>0</v>
      </c>
      <c r="B1" s="124"/>
      <c r="C1" s="124"/>
      <c r="D1" s="124"/>
    </row>
    <row r="3" spans="1:7">
      <c r="A3" s="1" t="s">
        <v>1</v>
      </c>
      <c r="B3" s="2" t="s">
        <v>2</v>
      </c>
      <c r="F3" t="s">
        <v>3</v>
      </c>
      <c r="G3">
        <v>1500000</v>
      </c>
    </row>
    <row r="4" spans="1:7">
      <c r="A4" s="3" t="s">
        <v>4</v>
      </c>
      <c r="B4" s="4">
        <v>50000</v>
      </c>
      <c r="C4" s="4">
        <v>50000</v>
      </c>
    </row>
    <row r="5" spans="1:7">
      <c r="A5" s="3" t="s">
        <v>5</v>
      </c>
      <c r="B5" s="4">
        <v>1200</v>
      </c>
      <c r="C5" s="4">
        <v>1200</v>
      </c>
    </row>
    <row r="6" spans="1:7">
      <c r="A6" s="3" t="s">
        <v>6</v>
      </c>
      <c r="B6" s="4">
        <v>3000</v>
      </c>
      <c r="C6" s="4">
        <v>3000</v>
      </c>
    </row>
    <row r="7" spans="1:7">
      <c r="A7" s="3" t="s">
        <v>7</v>
      </c>
      <c r="B7" s="4">
        <v>2000</v>
      </c>
      <c r="C7" s="4">
        <v>2000</v>
      </c>
    </row>
    <row r="8" spans="1:7">
      <c r="A8" s="3" t="s">
        <v>8</v>
      </c>
      <c r="B8" s="4">
        <v>50000</v>
      </c>
      <c r="C8" s="4">
        <v>50000</v>
      </c>
    </row>
    <row r="9" spans="1:7">
      <c r="C9" s="9"/>
    </row>
    <row r="10" spans="1:7">
      <c r="A10" s="1" t="s">
        <v>9</v>
      </c>
      <c r="B10" s="2"/>
      <c r="C10" s="2"/>
    </row>
    <row r="11" spans="1:7">
      <c r="A11" s="3" t="s">
        <v>11</v>
      </c>
      <c r="B11" s="5">
        <v>40</v>
      </c>
      <c r="C11" s="5">
        <v>50</v>
      </c>
    </row>
    <row r="12" spans="1:7">
      <c r="A12" s="3" t="s">
        <v>12</v>
      </c>
      <c r="B12" s="6">
        <v>20000</v>
      </c>
      <c r="C12" s="6">
        <v>22000</v>
      </c>
    </row>
    <row r="13" spans="1:7">
      <c r="A13" s="3" t="s">
        <v>13</v>
      </c>
      <c r="B13" s="4">
        <f>B11*B5</f>
        <v>48000</v>
      </c>
      <c r="C13" s="4">
        <f>C11*C5</f>
        <v>60000</v>
      </c>
    </row>
    <row r="14" spans="1:7">
      <c r="A14" s="3" t="s">
        <v>14</v>
      </c>
      <c r="B14" s="4">
        <f>B4</f>
        <v>50000</v>
      </c>
      <c r="C14" s="4">
        <f>C4</f>
        <v>50000</v>
      </c>
    </row>
    <row r="15" spans="1:7">
      <c r="A15" s="3" t="s">
        <v>15</v>
      </c>
      <c r="B15" s="4">
        <f>B11*B6</f>
        <v>120000</v>
      </c>
      <c r="C15" s="4">
        <f>C11*C6</f>
        <v>150000</v>
      </c>
    </row>
    <row r="16" spans="1:7">
      <c r="A16" s="3" t="s">
        <v>16</v>
      </c>
      <c r="B16" s="4">
        <f>B11*B7</f>
        <v>80000</v>
      </c>
      <c r="C16" s="4">
        <f>C11*C7</f>
        <v>100000</v>
      </c>
    </row>
    <row r="17" spans="1:3">
      <c r="A17" s="3" t="s">
        <v>17</v>
      </c>
      <c r="B17" s="4">
        <f>B8</f>
        <v>50000</v>
      </c>
      <c r="C17" s="4">
        <f>C8</f>
        <v>50000</v>
      </c>
    </row>
    <row r="18" spans="1:3">
      <c r="C18" s="9"/>
    </row>
    <row r="19" spans="1:3">
      <c r="A19" s="3" t="s">
        <v>18</v>
      </c>
      <c r="B19" s="4">
        <f>B12*B11</f>
        <v>800000</v>
      </c>
      <c r="C19" s="4">
        <f>C12*C11</f>
        <v>1100000</v>
      </c>
    </row>
    <row r="20" spans="1:3">
      <c r="A20" s="3" t="s">
        <v>19</v>
      </c>
      <c r="B20" s="4">
        <f>SUM(B13:B17)</f>
        <v>348000</v>
      </c>
      <c r="C20" s="4">
        <f>SUM(C13:C17)</f>
        <v>410000</v>
      </c>
    </row>
    <row r="21" spans="1:3">
      <c r="A21" s="3" t="s">
        <v>20</v>
      </c>
      <c r="B21" s="4">
        <f>B19*5%</f>
        <v>40000</v>
      </c>
      <c r="C21" s="4">
        <f>C19*5%</f>
        <v>55000</v>
      </c>
    </row>
    <row r="22" spans="1:3">
      <c r="A22" s="3" t="s">
        <v>21</v>
      </c>
      <c r="B22" s="4">
        <f>B19*7%</f>
        <v>56000.000000000007</v>
      </c>
      <c r="C22" s="4">
        <f>C19*7%</f>
        <v>77000.000000000015</v>
      </c>
    </row>
    <row r="23" spans="1:3">
      <c r="A23" s="1" t="s">
        <v>3</v>
      </c>
      <c r="B23" s="8">
        <f>B19-SUM(B20:B22)</f>
        <v>356000</v>
      </c>
      <c r="C23" s="8">
        <f>C19-SUM(C20:C22)</f>
        <v>558000</v>
      </c>
    </row>
  </sheetData>
  <scenarios current="2" show="2" sqref="C23">
    <scenario name="Case1" locked="1" count="2" user="Muski" comment="Created by Muski on 08-01-2026">
      <inputCells r="C11" val="40"/>
      <inputCells r="C12" val="21000" numFmtId="165"/>
    </scenario>
    <scenario name="case2" locked="1" count="2" user="Muski" comment="Created by Muski on 08-01-2026">
      <inputCells r="C11" val="45"/>
      <inputCells r="C12" val="18000" numFmtId="165"/>
    </scenario>
    <scenario name="Case3" locked="1" count="2" user="Muski" comment="Created by Muski on 08-01-2026">
      <inputCells r="C11" val="50"/>
      <inputCells r="C12" val="22000" numFmtId="165"/>
    </scenario>
  </scenarios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9B59-B3E5-4DED-A23D-C351594FD806}">
  <sheetPr>
    <outlinePr summaryBelow="0"/>
  </sheetPr>
  <dimension ref="B1:G12"/>
  <sheetViews>
    <sheetView showGridLines="0" workbookViewId="0"/>
  </sheetViews>
  <sheetFormatPr defaultRowHeight="14.4" outlineLevelRow="1" outlineLevelCol="1"/>
  <cols>
    <col min="3" max="3" width="6.109375" bestFit="1" customWidth="1"/>
    <col min="4" max="7" width="13.109375" bestFit="1" customWidth="1" outlineLevel="1"/>
  </cols>
  <sheetData>
    <row r="1" spans="2:7" ht="15" thickBot="1"/>
    <row r="2" spans="2:7" ht="15.6">
      <c r="B2" s="108" t="s">
        <v>207</v>
      </c>
      <c r="C2" s="108"/>
      <c r="D2" s="113"/>
      <c r="E2" s="113"/>
      <c r="F2" s="113"/>
      <c r="G2" s="113"/>
    </row>
    <row r="3" spans="2:7" ht="15.6" collapsed="1">
      <c r="B3" s="107"/>
      <c r="C3" s="107"/>
      <c r="D3" s="114" t="s">
        <v>209</v>
      </c>
      <c r="E3" s="114" t="s">
        <v>203</v>
      </c>
      <c r="F3" s="114" t="s">
        <v>205</v>
      </c>
      <c r="G3" s="114" t="s">
        <v>206</v>
      </c>
    </row>
    <row r="4" spans="2:7" ht="20.399999999999999" hidden="1" outlineLevel="1">
      <c r="B4" s="110"/>
      <c r="C4" s="110"/>
      <c r="E4" s="117" t="s">
        <v>204</v>
      </c>
      <c r="F4" s="117" t="s">
        <v>204</v>
      </c>
      <c r="G4" s="117" t="s">
        <v>204</v>
      </c>
    </row>
    <row r="5" spans="2:7">
      <c r="B5" s="111" t="s">
        <v>208</v>
      </c>
      <c r="C5" s="111"/>
      <c r="D5" s="109"/>
      <c r="E5" s="109"/>
      <c r="F5" s="109"/>
      <c r="G5" s="109"/>
    </row>
    <row r="6" spans="2:7" outlineLevel="1">
      <c r="B6" s="110"/>
      <c r="C6" s="110" t="s">
        <v>200</v>
      </c>
      <c r="D6">
        <v>50</v>
      </c>
      <c r="E6" s="115">
        <v>40</v>
      </c>
      <c r="F6" s="115">
        <v>45</v>
      </c>
      <c r="G6" s="115">
        <v>50</v>
      </c>
    </row>
    <row r="7" spans="2:7" outlineLevel="1">
      <c r="B7" s="110"/>
      <c r="C7" s="110" t="s">
        <v>201</v>
      </c>
      <c r="D7" s="7">
        <v>22000</v>
      </c>
      <c r="E7" s="116">
        <v>21000</v>
      </c>
      <c r="F7" s="116">
        <v>18000</v>
      </c>
      <c r="G7" s="116">
        <v>22000</v>
      </c>
    </row>
    <row r="8" spans="2:7">
      <c r="B8" s="111" t="s">
        <v>210</v>
      </c>
      <c r="C8" s="111"/>
      <c r="D8" s="109"/>
      <c r="E8" s="109"/>
      <c r="F8" s="109"/>
      <c r="G8" s="109"/>
    </row>
    <row r="9" spans="2:7" ht="15" outlineLevel="1" thickBot="1">
      <c r="B9" s="112"/>
      <c r="C9" s="112" t="s">
        <v>202</v>
      </c>
      <c r="D9" s="106">
        <v>558000</v>
      </c>
      <c r="E9" s="106">
        <v>391200</v>
      </c>
      <c r="F9" s="106">
        <v>333800</v>
      </c>
      <c r="G9" s="106">
        <v>558000</v>
      </c>
    </row>
    <row r="10" spans="2:7">
      <c r="B10" t="s">
        <v>211</v>
      </c>
    </row>
    <row r="11" spans="2:7">
      <c r="B11" t="s">
        <v>212</v>
      </c>
    </row>
    <row r="12" spans="2:7">
      <c r="B12" t="s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3F96-C49A-4655-9C07-D4FE2646D9A0}">
  <dimension ref="A1:I16"/>
  <sheetViews>
    <sheetView zoomScale="120" zoomScaleNormal="120" workbookViewId="0">
      <selection activeCell="H11" sqref="H11"/>
    </sheetView>
  </sheetViews>
  <sheetFormatPr defaultRowHeight="14.4"/>
  <cols>
    <col min="2" max="2" width="11.109375" customWidth="1"/>
    <col min="3" max="6" width="11.6640625" bestFit="1" customWidth="1"/>
    <col min="7" max="7" width="13.44140625" bestFit="1" customWidth="1"/>
    <col min="8" max="8" width="15.33203125" bestFit="1" customWidth="1"/>
    <col min="9" max="9" width="18.5546875" customWidth="1"/>
  </cols>
  <sheetData>
    <row r="1" spans="1:9" ht="15" thickBot="1"/>
    <row r="2" spans="1:9" ht="25.5" customHeight="1">
      <c r="C2" s="125" t="s">
        <v>41</v>
      </c>
      <c r="D2" s="126"/>
      <c r="E2" s="126"/>
      <c r="F2" s="126"/>
      <c r="G2" s="126"/>
      <c r="H2" s="127"/>
    </row>
    <row r="3" spans="1:9" ht="15" customHeight="1" thickBot="1">
      <c r="C3" s="128"/>
      <c r="D3" s="129"/>
      <c r="E3" s="129"/>
      <c r="F3" s="129"/>
      <c r="G3" s="129"/>
      <c r="H3" s="130"/>
    </row>
    <row r="4" spans="1:9" ht="15" thickBot="1"/>
    <row r="5" spans="1:9" ht="15.6">
      <c r="A5" s="11"/>
      <c r="B5" s="11"/>
      <c r="D5" s="12" t="s">
        <v>42</v>
      </c>
      <c r="E5" s="13" t="s">
        <v>43</v>
      </c>
      <c r="F5" s="14" t="s">
        <v>44</v>
      </c>
      <c r="G5" s="11"/>
      <c r="H5" s="11"/>
      <c r="I5" s="11"/>
    </row>
    <row r="6" spans="1:9" ht="15.6">
      <c r="A6" s="11"/>
      <c r="B6" s="11"/>
      <c r="C6" s="11"/>
      <c r="D6" s="15">
        <v>0.02</v>
      </c>
      <c r="E6" s="16">
        <v>0.01</v>
      </c>
      <c r="F6" s="17">
        <v>0.06</v>
      </c>
      <c r="G6" s="11"/>
      <c r="H6" s="11"/>
      <c r="I6" s="11"/>
    </row>
    <row r="7" spans="1:9" ht="15.6">
      <c r="A7" s="11"/>
      <c r="B7" s="11"/>
      <c r="C7" s="11"/>
      <c r="D7" s="15">
        <v>0.03</v>
      </c>
      <c r="E7" s="16">
        <v>0.01</v>
      </c>
      <c r="F7" s="17">
        <v>0.06</v>
      </c>
      <c r="G7" s="11"/>
      <c r="H7" s="11"/>
      <c r="I7" s="11"/>
    </row>
    <row r="8" spans="1:9" ht="16.2" thickBot="1">
      <c r="A8" s="11"/>
      <c r="B8" s="11"/>
      <c r="C8" s="11"/>
      <c r="D8" s="18">
        <v>0.05</v>
      </c>
      <c r="E8" s="19">
        <v>0.06</v>
      </c>
      <c r="F8" s="20">
        <v>0.01</v>
      </c>
      <c r="G8" s="11"/>
      <c r="H8" s="11"/>
      <c r="I8" s="11"/>
    </row>
    <row r="9" spans="1:9" ht="15.6">
      <c r="A9" s="11"/>
      <c r="B9" s="11"/>
      <c r="C9" s="11"/>
      <c r="D9" s="21"/>
      <c r="E9" s="21"/>
      <c r="F9" s="21"/>
      <c r="G9" s="11"/>
      <c r="H9" s="11"/>
      <c r="I9" s="11"/>
    </row>
    <row r="10" spans="1:9" ht="15.6">
      <c r="A10" s="11"/>
      <c r="B10" s="11"/>
      <c r="C10" s="22" t="s">
        <v>45</v>
      </c>
      <c r="D10" s="22" t="s">
        <v>46</v>
      </c>
      <c r="E10" s="22" t="s">
        <v>47</v>
      </c>
      <c r="F10" s="22" t="s">
        <v>48</v>
      </c>
      <c r="G10" s="22" t="s">
        <v>49</v>
      </c>
      <c r="H10" s="22" t="s">
        <v>50</v>
      </c>
      <c r="I10" s="11"/>
    </row>
    <row r="11" spans="1:9" ht="15.6">
      <c r="A11" s="11"/>
      <c r="B11" s="22" t="s">
        <v>51</v>
      </c>
      <c r="C11" s="23">
        <v>2490000</v>
      </c>
      <c r="D11" s="23">
        <f>C11+C11*$H$11</f>
        <v>2514900</v>
      </c>
      <c r="E11" s="23">
        <f>D11+D11*$H$11</f>
        <v>2540049</v>
      </c>
      <c r="F11" s="23">
        <f>E11+E11*$H$11</f>
        <v>2565449.4900000002</v>
      </c>
      <c r="G11" s="23">
        <f>SUM(C11:F11)</f>
        <v>10110398.49</v>
      </c>
      <c r="H11" s="16">
        <v>0.01</v>
      </c>
      <c r="I11" s="11"/>
    </row>
    <row r="12" spans="1:9" ht="15.6">
      <c r="A12" s="11"/>
      <c r="B12" s="22" t="s">
        <v>52</v>
      </c>
      <c r="C12" s="23">
        <v>1700000</v>
      </c>
      <c r="D12" s="23">
        <f>C12+C12*$H$12</f>
        <v>1717000</v>
      </c>
      <c r="E12" s="23">
        <f t="shared" ref="E12:F12" si="0">D12+D12*$H$12</f>
        <v>1734170</v>
      </c>
      <c r="F12" s="23">
        <f t="shared" si="0"/>
        <v>1751511.7</v>
      </c>
      <c r="G12" s="23">
        <f t="shared" ref="G12:G15" si="1">SUM(C12:F12)</f>
        <v>6902681.7000000002</v>
      </c>
      <c r="H12" s="16">
        <v>0.01</v>
      </c>
      <c r="I12" s="11"/>
    </row>
    <row r="13" spans="1:9" ht="15.6">
      <c r="A13" s="11"/>
      <c r="B13" s="22" t="s">
        <v>53</v>
      </c>
      <c r="C13" s="23">
        <f>C11-C12</f>
        <v>790000</v>
      </c>
      <c r="D13" s="23">
        <f t="shared" ref="D13:F13" si="2">D11-D12</f>
        <v>797900</v>
      </c>
      <c r="E13" s="23">
        <f t="shared" si="2"/>
        <v>805879</v>
      </c>
      <c r="F13" s="23">
        <f t="shared" si="2"/>
        <v>813937.79000000027</v>
      </c>
      <c r="G13" s="23">
        <f t="shared" si="1"/>
        <v>3207716.79</v>
      </c>
      <c r="H13" s="16"/>
      <c r="I13" s="11"/>
    </row>
    <row r="14" spans="1:9" ht="15.6">
      <c r="A14" s="11"/>
      <c r="B14" s="22" t="s">
        <v>54</v>
      </c>
      <c r="C14" s="23">
        <v>500000</v>
      </c>
      <c r="D14" s="23">
        <f>C14+C14*$H$14</f>
        <v>530000</v>
      </c>
      <c r="E14" s="23">
        <f t="shared" ref="E14:F14" si="3">D14+D14*$H$14</f>
        <v>561800</v>
      </c>
      <c r="F14" s="23">
        <f t="shared" si="3"/>
        <v>595508</v>
      </c>
      <c r="G14" s="23">
        <f t="shared" si="1"/>
        <v>2187308</v>
      </c>
      <c r="H14" s="16">
        <v>0.06</v>
      </c>
      <c r="I14" s="11"/>
    </row>
    <row r="15" spans="1:9" ht="15.6">
      <c r="A15" s="11"/>
      <c r="B15" s="22" t="s">
        <v>55</v>
      </c>
      <c r="C15" s="23">
        <f>C11-(C12+C14)</f>
        <v>290000</v>
      </c>
      <c r="D15" s="23">
        <f t="shared" ref="D15:F15" si="4">D11-(D12+D14)</f>
        <v>267900</v>
      </c>
      <c r="E15" s="23">
        <f t="shared" si="4"/>
        <v>244079</v>
      </c>
      <c r="F15" s="23">
        <f t="shared" si="4"/>
        <v>218429.79000000004</v>
      </c>
      <c r="G15" s="23">
        <f t="shared" si="1"/>
        <v>1020408.79</v>
      </c>
      <c r="H15" s="16"/>
      <c r="I15" s="11"/>
    </row>
    <row r="16" spans="1:9" ht="15.6">
      <c r="A16" s="11"/>
      <c r="B16" s="11"/>
      <c r="C16" s="11"/>
      <c r="D16" s="11"/>
      <c r="E16" s="11"/>
      <c r="F16" s="11"/>
      <c r="G16" s="11"/>
      <c r="H16" s="11"/>
      <c r="I16" s="11"/>
    </row>
  </sheetData>
  <scenarios current="1" show="1">
    <scenario name="Worst case" locked="1" count="3" user="Muski" comment="Created by Muski on 08-01-2026">
      <inputCells r="H11" val="0.02" numFmtId="9"/>
      <inputCells r="H12" val="0.03" numFmtId="9"/>
      <inputCells r="H14" val="0.05" numFmtId="9"/>
    </scenario>
    <scenario name="Most likely" locked="1" count="3" user="Muski" comment="Created by Muski on 08-01-2026">
      <inputCells r="H11" val="0.01" numFmtId="9"/>
      <inputCells r="H12" val="0.01" numFmtId="9"/>
      <inputCells r="H14" val="0.06" numFmtId="9"/>
    </scenario>
    <scenario name="Best likely" locked="1" count="3" user="Muski" comment="Created by Muski on 08-01-2026">
      <inputCells r="H11" val="0.06" numFmtId="9"/>
      <inputCells r="H12" val="0.06" numFmtId="9"/>
      <inputCells r="H14" val="0.01" numFmtId="9"/>
    </scenario>
  </scenarios>
  <mergeCells count="1">
    <mergeCell ref="C2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58F0-5CF4-4E71-BA06-1CAED639D8D8}">
  <dimension ref="B1:H17"/>
  <sheetViews>
    <sheetView zoomScale="120" zoomScaleNormal="120" workbookViewId="0">
      <selection activeCell="E13" sqref="E13"/>
    </sheetView>
  </sheetViews>
  <sheetFormatPr defaultRowHeight="18"/>
  <cols>
    <col min="1" max="1" width="8.88671875" style="70"/>
    <col min="2" max="2" width="20.109375" style="70" bestFit="1" customWidth="1"/>
    <col min="3" max="3" width="41.88671875" style="70" bestFit="1" customWidth="1"/>
    <col min="4" max="4" width="35.33203125" style="70" customWidth="1"/>
    <col min="5" max="5" width="18" style="70" customWidth="1"/>
    <col min="6" max="6" width="16.6640625" style="70" customWidth="1"/>
    <col min="7" max="257" width="8.88671875" style="70"/>
    <col min="258" max="258" width="20.109375" style="70" bestFit="1" customWidth="1"/>
    <col min="259" max="259" width="41.88671875" style="70" bestFit="1" customWidth="1"/>
    <col min="260" max="260" width="35.33203125" style="70" customWidth="1"/>
    <col min="261" max="261" width="18" style="70" customWidth="1"/>
    <col min="262" max="262" width="16.6640625" style="70" customWidth="1"/>
    <col min="263" max="513" width="8.88671875" style="70"/>
    <col min="514" max="514" width="20.109375" style="70" bestFit="1" customWidth="1"/>
    <col min="515" max="515" width="41.88671875" style="70" bestFit="1" customWidth="1"/>
    <col min="516" max="516" width="35.33203125" style="70" customWidth="1"/>
    <col min="517" max="517" width="18" style="70" customWidth="1"/>
    <col min="518" max="518" width="16.6640625" style="70" customWidth="1"/>
    <col min="519" max="769" width="8.88671875" style="70"/>
    <col min="770" max="770" width="20.109375" style="70" bestFit="1" customWidth="1"/>
    <col min="771" max="771" width="41.88671875" style="70" bestFit="1" customWidth="1"/>
    <col min="772" max="772" width="35.33203125" style="70" customWidth="1"/>
    <col min="773" max="773" width="18" style="70" customWidth="1"/>
    <col min="774" max="774" width="16.6640625" style="70" customWidth="1"/>
    <col min="775" max="1025" width="8.88671875" style="70"/>
    <col min="1026" max="1026" width="20.109375" style="70" bestFit="1" customWidth="1"/>
    <col min="1027" max="1027" width="41.88671875" style="70" bestFit="1" customWidth="1"/>
    <col min="1028" max="1028" width="35.33203125" style="70" customWidth="1"/>
    <col min="1029" max="1029" width="18" style="70" customWidth="1"/>
    <col min="1030" max="1030" width="16.6640625" style="70" customWidth="1"/>
    <col min="1031" max="1281" width="8.88671875" style="70"/>
    <col min="1282" max="1282" width="20.109375" style="70" bestFit="1" customWidth="1"/>
    <col min="1283" max="1283" width="41.88671875" style="70" bestFit="1" customWidth="1"/>
    <col min="1284" max="1284" width="35.33203125" style="70" customWidth="1"/>
    <col min="1285" max="1285" width="18" style="70" customWidth="1"/>
    <col min="1286" max="1286" width="16.6640625" style="70" customWidth="1"/>
    <col min="1287" max="1537" width="8.88671875" style="70"/>
    <col min="1538" max="1538" width="20.109375" style="70" bestFit="1" customWidth="1"/>
    <col min="1539" max="1539" width="41.88671875" style="70" bestFit="1" customWidth="1"/>
    <col min="1540" max="1540" width="35.33203125" style="70" customWidth="1"/>
    <col min="1541" max="1541" width="18" style="70" customWidth="1"/>
    <col min="1542" max="1542" width="16.6640625" style="70" customWidth="1"/>
    <col min="1543" max="1793" width="8.88671875" style="70"/>
    <col min="1794" max="1794" width="20.109375" style="70" bestFit="1" customWidth="1"/>
    <col min="1795" max="1795" width="41.88671875" style="70" bestFit="1" customWidth="1"/>
    <col min="1796" max="1796" width="35.33203125" style="70" customWidth="1"/>
    <col min="1797" max="1797" width="18" style="70" customWidth="1"/>
    <col min="1798" max="1798" width="16.6640625" style="70" customWidth="1"/>
    <col min="1799" max="2049" width="8.88671875" style="70"/>
    <col min="2050" max="2050" width="20.109375" style="70" bestFit="1" customWidth="1"/>
    <col min="2051" max="2051" width="41.88671875" style="70" bestFit="1" customWidth="1"/>
    <col min="2052" max="2052" width="35.33203125" style="70" customWidth="1"/>
    <col min="2053" max="2053" width="18" style="70" customWidth="1"/>
    <col min="2054" max="2054" width="16.6640625" style="70" customWidth="1"/>
    <col min="2055" max="2305" width="8.88671875" style="70"/>
    <col min="2306" max="2306" width="20.109375" style="70" bestFit="1" customWidth="1"/>
    <col min="2307" max="2307" width="41.88671875" style="70" bestFit="1" customWidth="1"/>
    <col min="2308" max="2308" width="35.33203125" style="70" customWidth="1"/>
    <col min="2309" max="2309" width="18" style="70" customWidth="1"/>
    <col min="2310" max="2310" width="16.6640625" style="70" customWidth="1"/>
    <col min="2311" max="2561" width="8.88671875" style="70"/>
    <col min="2562" max="2562" width="20.109375" style="70" bestFit="1" customWidth="1"/>
    <col min="2563" max="2563" width="41.88671875" style="70" bestFit="1" customWidth="1"/>
    <col min="2564" max="2564" width="35.33203125" style="70" customWidth="1"/>
    <col min="2565" max="2565" width="18" style="70" customWidth="1"/>
    <col min="2566" max="2566" width="16.6640625" style="70" customWidth="1"/>
    <col min="2567" max="2817" width="8.88671875" style="70"/>
    <col min="2818" max="2818" width="20.109375" style="70" bestFit="1" customWidth="1"/>
    <col min="2819" max="2819" width="41.88671875" style="70" bestFit="1" customWidth="1"/>
    <col min="2820" max="2820" width="35.33203125" style="70" customWidth="1"/>
    <col min="2821" max="2821" width="18" style="70" customWidth="1"/>
    <col min="2822" max="2822" width="16.6640625" style="70" customWidth="1"/>
    <col min="2823" max="3073" width="8.88671875" style="70"/>
    <col min="3074" max="3074" width="20.109375" style="70" bestFit="1" customWidth="1"/>
    <col min="3075" max="3075" width="41.88671875" style="70" bestFit="1" customWidth="1"/>
    <col min="3076" max="3076" width="35.33203125" style="70" customWidth="1"/>
    <col min="3077" max="3077" width="18" style="70" customWidth="1"/>
    <col min="3078" max="3078" width="16.6640625" style="70" customWidth="1"/>
    <col min="3079" max="3329" width="8.88671875" style="70"/>
    <col min="3330" max="3330" width="20.109375" style="70" bestFit="1" customWidth="1"/>
    <col min="3331" max="3331" width="41.88671875" style="70" bestFit="1" customWidth="1"/>
    <col min="3332" max="3332" width="35.33203125" style="70" customWidth="1"/>
    <col min="3333" max="3333" width="18" style="70" customWidth="1"/>
    <col min="3334" max="3334" width="16.6640625" style="70" customWidth="1"/>
    <col min="3335" max="3585" width="8.88671875" style="70"/>
    <col min="3586" max="3586" width="20.109375" style="70" bestFit="1" customWidth="1"/>
    <col min="3587" max="3587" width="41.88671875" style="70" bestFit="1" customWidth="1"/>
    <col min="3588" max="3588" width="35.33203125" style="70" customWidth="1"/>
    <col min="3589" max="3589" width="18" style="70" customWidth="1"/>
    <col min="3590" max="3590" width="16.6640625" style="70" customWidth="1"/>
    <col min="3591" max="3841" width="8.88671875" style="70"/>
    <col min="3842" max="3842" width="20.109375" style="70" bestFit="1" customWidth="1"/>
    <col min="3843" max="3843" width="41.88671875" style="70" bestFit="1" customWidth="1"/>
    <col min="3844" max="3844" width="35.33203125" style="70" customWidth="1"/>
    <col min="3845" max="3845" width="18" style="70" customWidth="1"/>
    <col min="3846" max="3846" width="16.6640625" style="70" customWidth="1"/>
    <col min="3847" max="4097" width="8.88671875" style="70"/>
    <col min="4098" max="4098" width="20.109375" style="70" bestFit="1" customWidth="1"/>
    <col min="4099" max="4099" width="41.88671875" style="70" bestFit="1" customWidth="1"/>
    <col min="4100" max="4100" width="35.33203125" style="70" customWidth="1"/>
    <col min="4101" max="4101" width="18" style="70" customWidth="1"/>
    <col min="4102" max="4102" width="16.6640625" style="70" customWidth="1"/>
    <col min="4103" max="4353" width="8.88671875" style="70"/>
    <col min="4354" max="4354" width="20.109375" style="70" bestFit="1" customWidth="1"/>
    <col min="4355" max="4355" width="41.88671875" style="70" bestFit="1" customWidth="1"/>
    <col min="4356" max="4356" width="35.33203125" style="70" customWidth="1"/>
    <col min="4357" max="4357" width="18" style="70" customWidth="1"/>
    <col min="4358" max="4358" width="16.6640625" style="70" customWidth="1"/>
    <col min="4359" max="4609" width="8.88671875" style="70"/>
    <col min="4610" max="4610" width="20.109375" style="70" bestFit="1" customWidth="1"/>
    <col min="4611" max="4611" width="41.88671875" style="70" bestFit="1" customWidth="1"/>
    <col min="4612" max="4612" width="35.33203125" style="70" customWidth="1"/>
    <col min="4613" max="4613" width="18" style="70" customWidth="1"/>
    <col min="4614" max="4614" width="16.6640625" style="70" customWidth="1"/>
    <col min="4615" max="4865" width="8.88671875" style="70"/>
    <col min="4866" max="4866" width="20.109375" style="70" bestFit="1" customWidth="1"/>
    <col min="4867" max="4867" width="41.88671875" style="70" bestFit="1" customWidth="1"/>
    <col min="4868" max="4868" width="35.33203125" style="70" customWidth="1"/>
    <col min="4869" max="4869" width="18" style="70" customWidth="1"/>
    <col min="4870" max="4870" width="16.6640625" style="70" customWidth="1"/>
    <col min="4871" max="5121" width="8.88671875" style="70"/>
    <col min="5122" max="5122" width="20.109375" style="70" bestFit="1" customWidth="1"/>
    <col min="5123" max="5123" width="41.88671875" style="70" bestFit="1" customWidth="1"/>
    <col min="5124" max="5124" width="35.33203125" style="70" customWidth="1"/>
    <col min="5125" max="5125" width="18" style="70" customWidth="1"/>
    <col min="5126" max="5126" width="16.6640625" style="70" customWidth="1"/>
    <col min="5127" max="5377" width="8.88671875" style="70"/>
    <col min="5378" max="5378" width="20.109375" style="70" bestFit="1" customWidth="1"/>
    <col min="5379" max="5379" width="41.88671875" style="70" bestFit="1" customWidth="1"/>
    <col min="5380" max="5380" width="35.33203125" style="70" customWidth="1"/>
    <col min="5381" max="5381" width="18" style="70" customWidth="1"/>
    <col min="5382" max="5382" width="16.6640625" style="70" customWidth="1"/>
    <col min="5383" max="5633" width="8.88671875" style="70"/>
    <col min="5634" max="5634" width="20.109375" style="70" bestFit="1" customWidth="1"/>
    <col min="5635" max="5635" width="41.88671875" style="70" bestFit="1" customWidth="1"/>
    <col min="5636" max="5636" width="35.33203125" style="70" customWidth="1"/>
    <col min="5637" max="5637" width="18" style="70" customWidth="1"/>
    <col min="5638" max="5638" width="16.6640625" style="70" customWidth="1"/>
    <col min="5639" max="5889" width="8.88671875" style="70"/>
    <col min="5890" max="5890" width="20.109375" style="70" bestFit="1" customWidth="1"/>
    <col min="5891" max="5891" width="41.88671875" style="70" bestFit="1" customWidth="1"/>
    <col min="5892" max="5892" width="35.33203125" style="70" customWidth="1"/>
    <col min="5893" max="5893" width="18" style="70" customWidth="1"/>
    <col min="5894" max="5894" width="16.6640625" style="70" customWidth="1"/>
    <col min="5895" max="6145" width="8.88671875" style="70"/>
    <col min="6146" max="6146" width="20.109375" style="70" bestFit="1" customWidth="1"/>
    <col min="6147" max="6147" width="41.88671875" style="70" bestFit="1" customWidth="1"/>
    <col min="6148" max="6148" width="35.33203125" style="70" customWidth="1"/>
    <col min="6149" max="6149" width="18" style="70" customWidth="1"/>
    <col min="6150" max="6150" width="16.6640625" style="70" customWidth="1"/>
    <col min="6151" max="6401" width="8.88671875" style="70"/>
    <col min="6402" max="6402" width="20.109375" style="70" bestFit="1" customWidth="1"/>
    <col min="6403" max="6403" width="41.88671875" style="70" bestFit="1" customWidth="1"/>
    <col min="6404" max="6404" width="35.33203125" style="70" customWidth="1"/>
    <col min="6405" max="6405" width="18" style="70" customWidth="1"/>
    <col min="6406" max="6406" width="16.6640625" style="70" customWidth="1"/>
    <col min="6407" max="6657" width="8.88671875" style="70"/>
    <col min="6658" max="6658" width="20.109375" style="70" bestFit="1" customWidth="1"/>
    <col min="6659" max="6659" width="41.88671875" style="70" bestFit="1" customWidth="1"/>
    <col min="6660" max="6660" width="35.33203125" style="70" customWidth="1"/>
    <col min="6661" max="6661" width="18" style="70" customWidth="1"/>
    <col min="6662" max="6662" width="16.6640625" style="70" customWidth="1"/>
    <col min="6663" max="6913" width="8.88671875" style="70"/>
    <col min="6914" max="6914" width="20.109375" style="70" bestFit="1" customWidth="1"/>
    <col min="6915" max="6915" width="41.88671875" style="70" bestFit="1" customWidth="1"/>
    <col min="6916" max="6916" width="35.33203125" style="70" customWidth="1"/>
    <col min="6917" max="6917" width="18" style="70" customWidth="1"/>
    <col min="6918" max="6918" width="16.6640625" style="70" customWidth="1"/>
    <col min="6919" max="7169" width="8.88671875" style="70"/>
    <col min="7170" max="7170" width="20.109375" style="70" bestFit="1" customWidth="1"/>
    <col min="7171" max="7171" width="41.88671875" style="70" bestFit="1" customWidth="1"/>
    <col min="7172" max="7172" width="35.33203125" style="70" customWidth="1"/>
    <col min="7173" max="7173" width="18" style="70" customWidth="1"/>
    <col min="7174" max="7174" width="16.6640625" style="70" customWidth="1"/>
    <col min="7175" max="7425" width="8.88671875" style="70"/>
    <col min="7426" max="7426" width="20.109375" style="70" bestFit="1" customWidth="1"/>
    <col min="7427" max="7427" width="41.88671875" style="70" bestFit="1" customWidth="1"/>
    <col min="7428" max="7428" width="35.33203125" style="70" customWidth="1"/>
    <col min="7429" max="7429" width="18" style="70" customWidth="1"/>
    <col min="7430" max="7430" width="16.6640625" style="70" customWidth="1"/>
    <col min="7431" max="7681" width="8.88671875" style="70"/>
    <col min="7682" max="7682" width="20.109375" style="70" bestFit="1" customWidth="1"/>
    <col min="7683" max="7683" width="41.88671875" style="70" bestFit="1" customWidth="1"/>
    <col min="7684" max="7684" width="35.33203125" style="70" customWidth="1"/>
    <col min="7685" max="7685" width="18" style="70" customWidth="1"/>
    <col min="7686" max="7686" width="16.6640625" style="70" customWidth="1"/>
    <col min="7687" max="7937" width="8.88671875" style="70"/>
    <col min="7938" max="7938" width="20.109375" style="70" bestFit="1" customWidth="1"/>
    <col min="7939" max="7939" width="41.88671875" style="70" bestFit="1" customWidth="1"/>
    <col min="7940" max="7940" width="35.33203125" style="70" customWidth="1"/>
    <col min="7941" max="7941" width="18" style="70" customWidth="1"/>
    <col min="7942" max="7942" width="16.6640625" style="70" customWidth="1"/>
    <col min="7943" max="8193" width="8.88671875" style="70"/>
    <col min="8194" max="8194" width="20.109375" style="70" bestFit="1" customWidth="1"/>
    <col min="8195" max="8195" width="41.88671875" style="70" bestFit="1" customWidth="1"/>
    <col min="8196" max="8196" width="35.33203125" style="70" customWidth="1"/>
    <col min="8197" max="8197" width="18" style="70" customWidth="1"/>
    <col min="8198" max="8198" width="16.6640625" style="70" customWidth="1"/>
    <col min="8199" max="8449" width="8.88671875" style="70"/>
    <col min="8450" max="8450" width="20.109375" style="70" bestFit="1" customWidth="1"/>
    <col min="8451" max="8451" width="41.88671875" style="70" bestFit="1" customWidth="1"/>
    <col min="8452" max="8452" width="35.33203125" style="70" customWidth="1"/>
    <col min="8453" max="8453" width="18" style="70" customWidth="1"/>
    <col min="8454" max="8454" width="16.6640625" style="70" customWidth="1"/>
    <col min="8455" max="8705" width="8.88671875" style="70"/>
    <col min="8706" max="8706" width="20.109375" style="70" bestFit="1" customWidth="1"/>
    <col min="8707" max="8707" width="41.88671875" style="70" bestFit="1" customWidth="1"/>
    <col min="8708" max="8708" width="35.33203125" style="70" customWidth="1"/>
    <col min="8709" max="8709" width="18" style="70" customWidth="1"/>
    <col min="8710" max="8710" width="16.6640625" style="70" customWidth="1"/>
    <col min="8711" max="8961" width="8.88671875" style="70"/>
    <col min="8962" max="8962" width="20.109375" style="70" bestFit="1" customWidth="1"/>
    <col min="8963" max="8963" width="41.88671875" style="70" bestFit="1" customWidth="1"/>
    <col min="8964" max="8964" width="35.33203125" style="70" customWidth="1"/>
    <col min="8965" max="8965" width="18" style="70" customWidth="1"/>
    <col min="8966" max="8966" width="16.6640625" style="70" customWidth="1"/>
    <col min="8967" max="9217" width="8.88671875" style="70"/>
    <col min="9218" max="9218" width="20.109375" style="70" bestFit="1" customWidth="1"/>
    <col min="9219" max="9219" width="41.88671875" style="70" bestFit="1" customWidth="1"/>
    <col min="9220" max="9220" width="35.33203125" style="70" customWidth="1"/>
    <col min="9221" max="9221" width="18" style="70" customWidth="1"/>
    <col min="9222" max="9222" width="16.6640625" style="70" customWidth="1"/>
    <col min="9223" max="9473" width="8.88671875" style="70"/>
    <col min="9474" max="9474" width="20.109375" style="70" bestFit="1" customWidth="1"/>
    <col min="9475" max="9475" width="41.88671875" style="70" bestFit="1" customWidth="1"/>
    <col min="9476" max="9476" width="35.33203125" style="70" customWidth="1"/>
    <col min="9477" max="9477" width="18" style="70" customWidth="1"/>
    <col min="9478" max="9478" width="16.6640625" style="70" customWidth="1"/>
    <col min="9479" max="9729" width="8.88671875" style="70"/>
    <col min="9730" max="9730" width="20.109375" style="70" bestFit="1" customWidth="1"/>
    <col min="9731" max="9731" width="41.88671875" style="70" bestFit="1" customWidth="1"/>
    <col min="9732" max="9732" width="35.33203125" style="70" customWidth="1"/>
    <col min="9733" max="9733" width="18" style="70" customWidth="1"/>
    <col min="9734" max="9734" width="16.6640625" style="70" customWidth="1"/>
    <col min="9735" max="9985" width="8.88671875" style="70"/>
    <col min="9986" max="9986" width="20.109375" style="70" bestFit="1" customWidth="1"/>
    <col min="9987" max="9987" width="41.88671875" style="70" bestFit="1" customWidth="1"/>
    <col min="9988" max="9988" width="35.33203125" style="70" customWidth="1"/>
    <col min="9989" max="9989" width="18" style="70" customWidth="1"/>
    <col min="9990" max="9990" width="16.6640625" style="70" customWidth="1"/>
    <col min="9991" max="10241" width="8.88671875" style="70"/>
    <col min="10242" max="10242" width="20.109375" style="70" bestFit="1" customWidth="1"/>
    <col min="10243" max="10243" width="41.88671875" style="70" bestFit="1" customWidth="1"/>
    <col min="10244" max="10244" width="35.33203125" style="70" customWidth="1"/>
    <col min="10245" max="10245" width="18" style="70" customWidth="1"/>
    <col min="10246" max="10246" width="16.6640625" style="70" customWidth="1"/>
    <col min="10247" max="10497" width="8.88671875" style="70"/>
    <col min="10498" max="10498" width="20.109375" style="70" bestFit="1" customWidth="1"/>
    <col min="10499" max="10499" width="41.88671875" style="70" bestFit="1" customWidth="1"/>
    <col min="10500" max="10500" width="35.33203125" style="70" customWidth="1"/>
    <col min="10501" max="10501" width="18" style="70" customWidth="1"/>
    <col min="10502" max="10502" width="16.6640625" style="70" customWidth="1"/>
    <col min="10503" max="10753" width="8.88671875" style="70"/>
    <col min="10754" max="10754" width="20.109375" style="70" bestFit="1" customWidth="1"/>
    <col min="10755" max="10755" width="41.88671875" style="70" bestFit="1" customWidth="1"/>
    <col min="10756" max="10756" width="35.33203125" style="70" customWidth="1"/>
    <col min="10757" max="10757" width="18" style="70" customWidth="1"/>
    <col min="10758" max="10758" width="16.6640625" style="70" customWidth="1"/>
    <col min="10759" max="11009" width="8.88671875" style="70"/>
    <col min="11010" max="11010" width="20.109375" style="70" bestFit="1" customWidth="1"/>
    <col min="11011" max="11011" width="41.88671875" style="70" bestFit="1" customWidth="1"/>
    <col min="11012" max="11012" width="35.33203125" style="70" customWidth="1"/>
    <col min="11013" max="11013" width="18" style="70" customWidth="1"/>
    <col min="11014" max="11014" width="16.6640625" style="70" customWidth="1"/>
    <col min="11015" max="11265" width="8.88671875" style="70"/>
    <col min="11266" max="11266" width="20.109375" style="70" bestFit="1" customWidth="1"/>
    <col min="11267" max="11267" width="41.88671875" style="70" bestFit="1" customWidth="1"/>
    <col min="11268" max="11268" width="35.33203125" style="70" customWidth="1"/>
    <col min="11269" max="11269" width="18" style="70" customWidth="1"/>
    <col min="11270" max="11270" width="16.6640625" style="70" customWidth="1"/>
    <col min="11271" max="11521" width="8.88671875" style="70"/>
    <col min="11522" max="11522" width="20.109375" style="70" bestFit="1" customWidth="1"/>
    <col min="11523" max="11523" width="41.88671875" style="70" bestFit="1" customWidth="1"/>
    <col min="11524" max="11524" width="35.33203125" style="70" customWidth="1"/>
    <col min="11525" max="11525" width="18" style="70" customWidth="1"/>
    <col min="11526" max="11526" width="16.6640625" style="70" customWidth="1"/>
    <col min="11527" max="11777" width="8.88671875" style="70"/>
    <col min="11778" max="11778" width="20.109375" style="70" bestFit="1" customWidth="1"/>
    <col min="11779" max="11779" width="41.88671875" style="70" bestFit="1" customWidth="1"/>
    <col min="11780" max="11780" width="35.33203125" style="70" customWidth="1"/>
    <col min="11781" max="11781" width="18" style="70" customWidth="1"/>
    <col min="11782" max="11782" width="16.6640625" style="70" customWidth="1"/>
    <col min="11783" max="12033" width="8.88671875" style="70"/>
    <col min="12034" max="12034" width="20.109375" style="70" bestFit="1" customWidth="1"/>
    <col min="12035" max="12035" width="41.88671875" style="70" bestFit="1" customWidth="1"/>
    <col min="12036" max="12036" width="35.33203125" style="70" customWidth="1"/>
    <col min="12037" max="12037" width="18" style="70" customWidth="1"/>
    <col min="12038" max="12038" width="16.6640625" style="70" customWidth="1"/>
    <col min="12039" max="12289" width="8.88671875" style="70"/>
    <col min="12290" max="12290" width="20.109375" style="70" bestFit="1" customWidth="1"/>
    <col min="12291" max="12291" width="41.88671875" style="70" bestFit="1" customWidth="1"/>
    <col min="12292" max="12292" width="35.33203125" style="70" customWidth="1"/>
    <col min="12293" max="12293" width="18" style="70" customWidth="1"/>
    <col min="12294" max="12294" width="16.6640625" style="70" customWidth="1"/>
    <col min="12295" max="12545" width="8.88671875" style="70"/>
    <col min="12546" max="12546" width="20.109375" style="70" bestFit="1" customWidth="1"/>
    <col min="12547" max="12547" width="41.88671875" style="70" bestFit="1" customWidth="1"/>
    <col min="12548" max="12548" width="35.33203125" style="70" customWidth="1"/>
    <col min="12549" max="12549" width="18" style="70" customWidth="1"/>
    <col min="12550" max="12550" width="16.6640625" style="70" customWidth="1"/>
    <col min="12551" max="12801" width="8.88671875" style="70"/>
    <col min="12802" max="12802" width="20.109375" style="70" bestFit="1" customWidth="1"/>
    <col min="12803" max="12803" width="41.88671875" style="70" bestFit="1" customWidth="1"/>
    <col min="12804" max="12804" width="35.33203125" style="70" customWidth="1"/>
    <col min="12805" max="12805" width="18" style="70" customWidth="1"/>
    <col min="12806" max="12806" width="16.6640625" style="70" customWidth="1"/>
    <col min="12807" max="13057" width="8.88671875" style="70"/>
    <col min="13058" max="13058" width="20.109375" style="70" bestFit="1" customWidth="1"/>
    <col min="13059" max="13059" width="41.88671875" style="70" bestFit="1" customWidth="1"/>
    <col min="13060" max="13060" width="35.33203125" style="70" customWidth="1"/>
    <col min="13061" max="13061" width="18" style="70" customWidth="1"/>
    <col min="13062" max="13062" width="16.6640625" style="70" customWidth="1"/>
    <col min="13063" max="13313" width="8.88671875" style="70"/>
    <col min="13314" max="13314" width="20.109375" style="70" bestFit="1" customWidth="1"/>
    <col min="13315" max="13315" width="41.88671875" style="70" bestFit="1" customWidth="1"/>
    <col min="13316" max="13316" width="35.33203125" style="70" customWidth="1"/>
    <col min="13317" max="13317" width="18" style="70" customWidth="1"/>
    <col min="13318" max="13318" width="16.6640625" style="70" customWidth="1"/>
    <col min="13319" max="13569" width="8.88671875" style="70"/>
    <col min="13570" max="13570" width="20.109375" style="70" bestFit="1" customWidth="1"/>
    <col min="13571" max="13571" width="41.88671875" style="70" bestFit="1" customWidth="1"/>
    <col min="13572" max="13572" width="35.33203125" style="70" customWidth="1"/>
    <col min="13573" max="13573" width="18" style="70" customWidth="1"/>
    <col min="13574" max="13574" width="16.6640625" style="70" customWidth="1"/>
    <col min="13575" max="13825" width="8.88671875" style="70"/>
    <col min="13826" max="13826" width="20.109375" style="70" bestFit="1" customWidth="1"/>
    <col min="13827" max="13827" width="41.88671875" style="70" bestFit="1" customWidth="1"/>
    <col min="13828" max="13828" width="35.33203125" style="70" customWidth="1"/>
    <col min="13829" max="13829" width="18" style="70" customWidth="1"/>
    <col min="13830" max="13830" width="16.6640625" style="70" customWidth="1"/>
    <col min="13831" max="14081" width="8.88671875" style="70"/>
    <col min="14082" max="14082" width="20.109375" style="70" bestFit="1" customWidth="1"/>
    <col min="14083" max="14083" width="41.88671875" style="70" bestFit="1" customWidth="1"/>
    <col min="14084" max="14084" width="35.33203125" style="70" customWidth="1"/>
    <col min="14085" max="14085" width="18" style="70" customWidth="1"/>
    <col min="14086" max="14086" width="16.6640625" style="70" customWidth="1"/>
    <col min="14087" max="14337" width="8.88671875" style="70"/>
    <col min="14338" max="14338" width="20.109375" style="70" bestFit="1" customWidth="1"/>
    <col min="14339" max="14339" width="41.88671875" style="70" bestFit="1" customWidth="1"/>
    <col min="14340" max="14340" width="35.33203125" style="70" customWidth="1"/>
    <col min="14341" max="14341" width="18" style="70" customWidth="1"/>
    <col min="14342" max="14342" width="16.6640625" style="70" customWidth="1"/>
    <col min="14343" max="14593" width="8.88671875" style="70"/>
    <col min="14594" max="14594" width="20.109375" style="70" bestFit="1" customWidth="1"/>
    <col min="14595" max="14595" width="41.88671875" style="70" bestFit="1" customWidth="1"/>
    <col min="14596" max="14596" width="35.33203125" style="70" customWidth="1"/>
    <col min="14597" max="14597" width="18" style="70" customWidth="1"/>
    <col min="14598" max="14598" width="16.6640625" style="70" customWidth="1"/>
    <col min="14599" max="14849" width="8.88671875" style="70"/>
    <col min="14850" max="14850" width="20.109375" style="70" bestFit="1" customWidth="1"/>
    <col min="14851" max="14851" width="41.88671875" style="70" bestFit="1" customWidth="1"/>
    <col min="14852" max="14852" width="35.33203125" style="70" customWidth="1"/>
    <col min="14853" max="14853" width="18" style="70" customWidth="1"/>
    <col min="14854" max="14854" width="16.6640625" style="70" customWidth="1"/>
    <col min="14855" max="15105" width="8.88671875" style="70"/>
    <col min="15106" max="15106" width="20.109375" style="70" bestFit="1" customWidth="1"/>
    <col min="15107" max="15107" width="41.88671875" style="70" bestFit="1" customWidth="1"/>
    <col min="15108" max="15108" width="35.33203125" style="70" customWidth="1"/>
    <col min="15109" max="15109" width="18" style="70" customWidth="1"/>
    <col min="15110" max="15110" width="16.6640625" style="70" customWidth="1"/>
    <col min="15111" max="15361" width="8.88671875" style="70"/>
    <col min="15362" max="15362" width="20.109375" style="70" bestFit="1" customWidth="1"/>
    <col min="15363" max="15363" width="41.88671875" style="70" bestFit="1" customWidth="1"/>
    <col min="15364" max="15364" width="35.33203125" style="70" customWidth="1"/>
    <col min="15365" max="15365" width="18" style="70" customWidth="1"/>
    <col min="15366" max="15366" width="16.6640625" style="70" customWidth="1"/>
    <col min="15367" max="15617" width="8.88671875" style="70"/>
    <col min="15618" max="15618" width="20.109375" style="70" bestFit="1" customWidth="1"/>
    <col min="15619" max="15619" width="41.88671875" style="70" bestFit="1" customWidth="1"/>
    <col min="15620" max="15620" width="35.33203125" style="70" customWidth="1"/>
    <col min="15621" max="15621" width="18" style="70" customWidth="1"/>
    <col min="15622" max="15622" width="16.6640625" style="70" customWidth="1"/>
    <col min="15623" max="15873" width="8.88671875" style="70"/>
    <col min="15874" max="15874" width="20.109375" style="70" bestFit="1" customWidth="1"/>
    <col min="15875" max="15875" width="41.88671875" style="70" bestFit="1" customWidth="1"/>
    <col min="15876" max="15876" width="35.33203125" style="70" customWidth="1"/>
    <col min="15877" max="15877" width="18" style="70" customWidth="1"/>
    <col min="15878" max="15878" width="16.6640625" style="70" customWidth="1"/>
    <col min="15879" max="16129" width="8.88671875" style="70"/>
    <col min="16130" max="16130" width="20.109375" style="70" bestFit="1" customWidth="1"/>
    <col min="16131" max="16131" width="41.88671875" style="70" bestFit="1" customWidth="1"/>
    <col min="16132" max="16132" width="35.33203125" style="70" customWidth="1"/>
    <col min="16133" max="16133" width="18" style="70" customWidth="1"/>
    <col min="16134" max="16134" width="16.6640625" style="70" customWidth="1"/>
    <col min="16135" max="16384" width="8.88671875" style="70"/>
  </cols>
  <sheetData>
    <row r="1" spans="2:8">
      <c r="B1" s="77" t="s">
        <v>80</v>
      </c>
      <c r="C1"/>
      <c r="D1"/>
      <c r="E1"/>
      <c r="F1"/>
      <c r="G1"/>
      <c r="H1"/>
    </row>
    <row r="2" spans="2:8">
      <c r="B2" s="71"/>
    </row>
    <row r="3" spans="2:8" ht="18.600000000000001" thickBot="1">
      <c r="C3" s="69" t="s">
        <v>81</v>
      </c>
      <c r="D3" s="69" t="s">
        <v>82</v>
      </c>
    </row>
    <row r="4" spans="2:8">
      <c r="C4" s="72">
        <v>100</v>
      </c>
      <c r="D4" s="73">
        <v>0.8</v>
      </c>
    </row>
    <row r="5" spans="2:8" ht="18.600000000000001" thickBot="1">
      <c r="C5" s="74"/>
    </row>
    <row r="6" spans="2:8" ht="18.600000000000001" thickBot="1">
      <c r="C6" s="72"/>
      <c r="D6" s="72" t="s">
        <v>89</v>
      </c>
      <c r="E6" s="72" t="s">
        <v>84</v>
      </c>
    </row>
    <row r="7" spans="2:8" ht="18.600000000000001" thickBot="1">
      <c r="C7" s="72" t="s">
        <v>85</v>
      </c>
      <c r="D7" s="72">
        <f>D4*C4</f>
        <v>80</v>
      </c>
      <c r="E7" s="72">
        <v>50</v>
      </c>
    </row>
    <row r="8" spans="2:8" ht="18.600000000000001" thickBot="1">
      <c r="C8" s="72" t="s">
        <v>86</v>
      </c>
      <c r="D8" s="72">
        <f>C4-D7</f>
        <v>20</v>
      </c>
      <c r="E8" s="72">
        <v>20</v>
      </c>
    </row>
    <row r="9" spans="2:8" ht="18.600000000000001" thickBot="1">
      <c r="C9" s="72"/>
      <c r="D9" s="72"/>
      <c r="E9" s="72"/>
    </row>
    <row r="10" spans="2:8">
      <c r="C10" s="72"/>
      <c r="D10" s="72" t="s">
        <v>87</v>
      </c>
      <c r="E10" s="72">
        <f>(D7*E7)+(D8*E8)</f>
        <v>4400</v>
      </c>
    </row>
    <row r="11" spans="2:8" ht="18.600000000000001" thickBot="1"/>
    <row r="12" spans="2:8" ht="18.600000000000001" thickBot="1">
      <c r="B12" s="73"/>
      <c r="C12" s="72">
        <f>E10</f>
        <v>4400</v>
      </c>
      <c r="F12" s="75"/>
    </row>
    <row r="13" spans="2:8" ht="18.600000000000001" thickBot="1">
      <c r="B13" s="78">
        <v>0.6</v>
      </c>
      <c r="C13" s="72">
        <f t="dataTable" ref="C13:C17" dt2D="0" dtr="0" r1="D4"/>
        <v>3800</v>
      </c>
      <c r="E13" s="76"/>
    </row>
    <row r="14" spans="2:8" ht="18.600000000000001" thickBot="1">
      <c r="B14" s="78">
        <v>0.7</v>
      </c>
      <c r="C14" s="72">
        <v>4100</v>
      </c>
      <c r="E14" s="76"/>
    </row>
    <row r="15" spans="2:8" ht="18.600000000000001" thickBot="1">
      <c r="B15" s="78">
        <v>0.8</v>
      </c>
      <c r="C15" s="72">
        <v>4400</v>
      </c>
      <c r="E15" s="76"/>
    </row>
    <row r="16" spans="2:8" ht="18.600000000000001" thickBot="1">
      <c r="B16" s="78">
        <v>0.9</v>
      </c>
      <c r="C16" s="72">
        <v>4700</v>
      </c>
      <c r="E16" s="76"/>
    </row>
    <row r="17" spans="2:5">
      <c r="B17" s="78">
        <v>1</v>
      </c>
      <c r="C17" s="72">
        <v>5000</v>
      </c>
      <c r="E17" s="7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9459-E8CB-4E3F-8C85-37F607383399}">
  <dimension ref="B1:E17"/>
  <sheetViews>
    <sheetView zoomScale="120" zoomScaleNormal="120" workbookViewId="0">
      <selection activeCell="B12" sqref="B12:E17"/>
    </sheetView>
  </sheetViews>
  <sheetFormatPr defaultRowHeight="15.6"/>
  <cols>
    <col min="1" max="1" width="8.88671875" style="11"/>
    <col min="2" max="3" width="23.88671875" style="11" customWidth="1"/>
    <col min="4" max="4" width="28" style="11" bestFit="1" customWidth="1"/>
    <col min="5" max="5" width="23.88671875" style="11" customWidth="1"/>
    <col min="6" max="6" width="9" style="11" customWidth="1"/>
    <col min="7" max="257" width="8.88671875" style="11"/>
    <col min="258" max="258" width="20.109375" style="11" bestFit="1" customWidth="1"/>
    <col min="259" max="259" width="41.88671875" style="11" bestFit="1" customWidth="1"/>
    <col min="260" max="260" width="51.5546875" style="11" bestFit="1" customWidth="1"/>
    <col min="261" max="261" width="18" style="11" customWidth="1"/>
    <col min="262" max="262" width="9" style="11" customWidth="1"/>
    <col min="263" max="513" width="8.88671875" style="11"/>
    <col min="514" max="514" width="20.109375" style="11" bestFit="1" customWidth="1"/>
    <col min="515" max="515" width="41.88671875" style="11" bestFit="1" customWidth="1"/>
    <col min="516" max="516" width="51.5546875" style="11" bestFit="1" customWidth="1"/>
    <col min="517" max="517" width="18" style="11" customWidth="1"/>
    <col min="518" max="518" width="9" style="11" customWidth="1"/>
    <col min="519" max="769" width="8.88671875" style="11"/>
    <col min="770" max="770" width="20.109375" style="11" bestFit="1" customWidth="1"/>
    <col min="771" max="771" width="41.88671875" style="11" bestFit="1" customWidth="1"/>
    <col min="772" max="772" width="51.5546875" style="11" bestFit="1" customWidth="1"/>
    <col min="773" max="773" width="18" style="11" customWidth="1"/>
    <col min="774" max="774" width="9" style="11" customWidth="1"/>
    <col min="775" max="1025" width="8.88671875" style="11"/>
    <col min="1026" max="1026" width="20.109375" style="11" bestFit="1" customWidth="1"/>
    <col min="1027" max="1027" width="41.88671875" style="11" bestFit="1" customWidth="1"/>
    <col min="1028" max="1028" width="51.5546875" style="11" bestFit="1" customWidth="1"/>
    <col min="1029" max="1029" width="18" style="11" customWidth="1"/>
    <col min="1030" max="1030" width="9" style="11" customWidth="1"/>
    <col min="1031" max="1281" width="8.88671875" style="11"/>
    <col min="1282" max="1282" width="20.109375" style="11" bestFit="1" customWidth="1"/>
    <col min="1283" max="1283" width="41.88671875" style="11" bestFit="1" customWidth="1"/>
    <col min="1284" max="1284" width="51.5546875" style="11" bestFit="1" customWidth="1"/>
    <col min="1285" max="1285" width="18" style="11" customWidth="1"/>
    <col min="1286" max="1286" width="9" style="11" customWidth="1"/>
    <col min="1287" max="1537" width="8.88671875" style="11"/>
    <col min="1538" max="1538" width="20.109375" style="11" bestFit="1" customWidth="1"/>
    <col min="1539" max="1539" width="41.88671875" style="11" bestFit="1" customWidth="1"/>
    <col min="1540" max="1540" width="51.5546875" style="11" bestFit="1" customWidth="1"/>
    <col min="1541" max="1541" width="18" style="11" customWidth="1"/>
    <col min="1542" max="1542" width="9" style="11" customWidth="1"/>
    <col min="1543" max="1793" width="8.88671875" style="11"/>
    <col min="1794" max="1794" width="20.109375" style="11" bestFit="1" customWidth="1"/>
    <col min="1795" max="1795" width="41.88671875" style="11" bestFit="1" customWidth="1"/>
    <col min="1796" max="1796" width="51.5546875" style="11" bestFit="1" customWidth="1"/>
    <col min="1797" max="1797" width="18" style="11" customWidth="1"/>
    <col min="1798" max="1798" width="9" style="11" customWidth="1"/>
    <col min="1799" max="2049" width="8.88671875" style="11"/>
    <col min="2050" max="2050" width="20.109375" style="11" bestFit="1" customWidth="1"/>
    <col min="2051" max="2051" width="41.88671875" style="11" bestFit="1" customWidth="1"/>
    <col min="2052" max="2052" width="51.5546875" style="11" bestFit="1" customWidth="1"/>
    <col min="2053" max="2053" width="18" style="11" customWidth="1"/>
    <col min="2054" max="2054" width="9" style="11" customWidth="1"/>
    <col min="2055" max="2305" width="8.88671875" style="11"/>
    <col min="2306" max="2306" width="20.109375" style="11" bestFit="1" customWidth="1"/>
    <col min="2307" max="2307" width="41.88671875" style="11" bestFit="1" customWidth="1"/>
    <col min="2308" max="2308" width="51.5546875" style="11" bestFit="1" customWidth="1"/>
    <col min="2309" max="2309" width="18" style="11" customWidth="1"/>
    <col min="2310" max="2310" width="9" style="11" customWidth="1"/>
    <col min="2311" max="2561" width="8.88671875" style="11"/>
    <col min="2562" max="2562" width="20.109375" style="11" bestFit="1" customWidth="1"/>
    <col min="2563" max="2563" width="41.88671875" style="11" bestFit="1" customWidth="1"/>
    <col min="2564" max="2564" width="51.5546875" style="11" bestFit="1" customWidth="1"/>
    <col min="2565" max="2565" width="18" style="11" customWidth="1"/>
    <col min="2566" max="2566" width="9" style="11" customWidth="1"/>
    <col min="2567" max="2817" width="8.88671875" style="11"/>
    <col min="2818" max="2818" width="20.109375" style="11" bestFit="1" customWidth="1"/>
    <col min="2819" max="2819" width="41.88671875" style="11" bestFit="1" customWidth="1"/>
    <col min="2820" max="2820" width="51.5546875" style="11" bestFit="1" customWidth="1"/>
    <col min="2821" max="2821" width="18" style="11" customWidth="1"/>
    <col min="2822" max="2822" width="9" style="11" customWidth="1"/>
    <col min="2823" max="3073" width="8.88671875" style="11"/>
    <col min="3074" max="3074" width="20.109375" style="11" bestFit="1" customWidth="1"/>
    <col min="3075" max="3075" width="41.88671875" style="11" bestFit="1" customWidth="1"/>
    <col min="3076" max="3076" width="51.5546875" style="11" bestFit="1" customWidth="1"/>
    <col min="3077" max="3077" width="18" style="11" customWidth="1"/>
    <col min="3078" max="3078" width="9" style="11" customWidth="1"/>
    <col min="3079" max="3329" width="8.88671875" style="11"/>
    <col min="3330" max="3330" width="20.109375" style="11" bestFit="1" customWidth="1"/>
    <col min="3331" max="3331" width="41.88671875" style="11" bestFit="1" customWidth="1"/>
    <col min="3332" max="3332" width="51.5546875" style="11" bestFit="1" customWidth="1"/>
    <col min="3333" max="3333" width="18" style="11" customWidth="1"/>
    <col min="3334" max="3334" width="9" style="11" customWidth="1"/>
    <col min="3335" max="3585" width="8.88671875" style="11"/>
    <col min="3586" max="3586" width="20.109375" style="11" bestFit="1" customWidth="1"/>
    <col min="3587" max="3587" width="41.88671875" style="11" bestFit="1" customWidth="1"/>
    <col min="3588" max="3588" width="51.5546875" style="11" bestFit="1" customWidth="1"/>
    <col min="3589" max="3589" width="18" style="11" customWidth="1"/>
    <col min="3590" max="3590" width="9" style="11" customWidth="1"/>
    <col min="3591" max="3841" width="8.88671875" style="11"/>
    <col min="3842" max="3842" width="20.109375" style="11" bestFit="1" customWidth="1"/>
    <col min="3843" max="3843" width="41.88671875" style="11" bestFit="1" customWidth="1"/>
    <col min="3844" max="3844" width="51.5546875" style="11" bestFit="1" customWidth="1"/>
    <col min="3845" max="3845" width="18" style="11" customWidth="1"/>
    <col min="3846" max="3846" width="9" style="11" customWidth="1"/>
    <col min="3847" max="4097" width="8.88671875" style="11"/>
    <col min="4098" max="4098" width="20.109375" style="11" bestFit="1" customWidth="1"/>
    <col min="4099" max="4099" width="41.88671875" style="11" bestFit="1" customWidth="1"/>
    <col min="4100" max="4100" width="51.5546875" style="11" bestFit="1" customWidth="1"/>
    <col min="4101" max="4101" width="18" style="11" customWidth="1"/>
    <col min="4102" max="4102" width="9" style="11" customWidth="1"/>
    <col min="4103" max="4353" width="8.88671875" style="11"/>
    <col min="4354" max="4354" width="20.109375" style="11" bestFit="1" customWidth="1"/>
    <col min="4355" max="4355" width="41.88671875" style="11" bestFit="1" customWidth="1"/>
    <col min="4356" max="4356" width="51.5546875" style="11" bestFit="1" customWidth="1"/>
    <col min="4357" max="4357" width="18" style="11" customWidth="1"/>
    <col min="4358" max="4358" width="9" style="11" customWidth="1"/>
    <col min="4359" max="4609" width="8.88671875" style="11"/>
    <col min="4610" max="4610" width="20.109375" style="11" bestFit="1" customWidth="1"/>
    <col min="4611" max="4611" width="41.88671875" style="11" bestFit="1" customWidth="1"/>
    <col min="4612" max="4612" width="51.5546875" style="11" bestFit="1" customWidth="1"/>
    <col min="4613" max="4613" width="18" style="11" customWidth="1"/>
    <col min="4614" max="4614" width="9" style="11" customWidth="1"/>
    <col min="4615" max="4865" width="8.88671875" style="11"/>
    <col min="4866" max="4866" width="20.109375" style="11" bestFit="1" customWidth="1"/>
    <col min="4867" max="4867" width="41.88671875" style="11" bestFit="1" customWidth="1"/>
    <col min="4868" max="4868" width="51.5546875" style="11" bestFit="1" customWidth="1"/>
    <col min="4869" max="4869" width="18" style="11" customWidth="1"/>
    <col min="4870" max="4870" width="9" style="11" customWidth="1"/>
    <col min="4871" max="5121" width="8.88671875" style="11"/>
    <col min="5122" max="5122" width="20.109375" style="11" bestFit="1" customWidth="1"/>
    <col min="5123" max="5123" width="41.88671875" style="11" bestFit="1" customWidth="1"/>
    <col min="5124" max="5124" width="51.5546875" style="11" bestFit="1" customWidth="1"/>
    <col min="5125" max="5125" width="18" style="11" customWidth="1"/>
    <col min="5126" max="5126" width="9" style="11" customWidth="1"/>
    <col min="5127" max="5377" width="8.88671875" style="11"/>
    <col min="5378" max="5378" width="20.109375" style="11" bestFit="1" customWidth="1"/>
    <col min="5379" max="5379" width="41.88671875" style="11" bestFit="1" customWidth="1"/>
    <col min="5380" max="5380" width="51.5546875" style="11" bestFit="1" customWidth="1"/>
    <col min="5381" max="5381" width="18" style="11" customWidth="1"/>
    <col min="5382" max="5382" width="9" style="11" customWidth="1"/>
    <col min="5383" max="5633" width="8.88671875" style="11"/>
    <col min="5634" max="5634" width="20.109375" style="11" bestFit="1" customWidth="1"/>
    <col min="5635" max="5635" width="41.88671875" style="11" bestFit="1" customWidth="1"/>
    <col min="5636" max="5636" width="51.5546875" style="11" bestFit="1" customWidth="1"/>
    <col min="5637" max="5637" width="18" style="11" customWidth="1"/>
    <col min="5638" max="5638" width="9" style="11" customWidth="1"/>
    <col min="5639" max="5889" width="8.88671875" style="11"/>
    <col min="5890" max="5890" width="20.109375" style="11" bestFit="1" customWidth="1"/>
    <col min="5891" max="5891" width="41.88671875" style="11" bestFit="1" customWidth="1"/>
    <col min="5892" max="5892" width="51.5546875" style="11" bestFit="1" customWidth="1"/>
    <col min="5893" max="5893" width="18" style="11" customWidth="1"/>
    <col min="5894" max="5894" width="9" style="11" customWidth="1"/>
    <col min="5895" max="6145" width="8.88671875" style="11"/>
    <col min="6146" max="6146" width="20.109375" style="11" bestFit="1" customWidth="1"/>
    <col min="6147" max="6147" width="41.88671875" style="11" bestFit="1" customWidth="1"/>
    <col min="6148" max="6148" width="51.5546875" style="11" bestFit="1" customWidth="1"/>
    <col min="6149" max="6149" width="18" style="11" customWidth="1"/>
    <col min="6150" max="6150" width="9" style="11" customWidth="1"/>
    <col min="6151" max="6401" width="8.88671875" style="11"/>
    <col min="6402" max="6402" width="20.109375" style="11" bestFit="1" customWidth="1"/>
    <col min="6403" max="6403" width="41.88671875" style="11" bestFit="1" customWidth="1"/>
    <col min="6404" max="6404" width="51.5546875" style="11" bestFit="1" customWidth="1"/>
    <col min="6405" max="6405" width="18" style="11" customWidth="1"/>
    <col min="6406" max="6406" width="9" style="11" customWidth="1"/>
    <col min="6407" max="6657" width="8.88671875" style="11"/>
    <col min="6658" max="6658" width="20.109375" style="11" bestFit="1" customWidth="1"/>
    <col min="6659" max="6659" width="41.88671875" style="11" bestFit="1" customWidth="1"/>
    <col min="6660" max="6660" width="51.5546875" style="11" bestFit="1" customWidth="1"/>
    <col min="6661" max="6661" width="18" style="11" customWidth="1"/>
    <col min="6662" max="6662" width="9" style="11" customWidth="1"/>
    <col min="6663" max="6913" width="8.88671875" style="11"/>
    <col min="6914" max="6914" width="20.109375" style="11" bestFit="1" customWidth="1"/>
    <col min="6915" max="6915" width="41.88671875" style="11" bestFit="1" customWidth="1"/>
    <col min="6916" max="6916" width="51.5546875" style="11" bestFit="1" customWidth="1"/>
    <col min="6917" max="6917" width="18" style="11" customWidth="1"/>
    <col min="6918" max="6918" width="9" style="11" customWidth="1"/>
    <col min="6919" max="7169" width="8.88671875" style="11"/>
    <col min="7170" max="7170" width="20.109375" style="11" bestFit="1" customWidth="1"/>
    <col min="7171" max="7171" width="41.88671875" style="11" bestFit="1" customWidth="1"/>
    <col min="7172" max="7172" width="51.5546875" style="11" bestFit="1" customWidth="1"/>
    <col min="7173" max="7173" width="18" style="11" customWidth="1"/>
    <col min="7174" max="7174" width="9" style="11" customWidth="1"/>
    <col min="7175" max="7425" width="8.88671875" style="11"/>
    <col min="7426" max="7426" width="20.109375" style="11" bestFit="1" customWidth="1"/>
    <col min="7427" max="7427" width="41.88671875" style="11" bestFit="1" customWidth="1"/>
    <col min="7428" max="7428" width="51.5546875" style="11" bestFit="1" customWidth="1"/>
    <col min="7429" max="7429" width="18" style="11" customWidth="1"/>
    <col min="7430" max="7430" width="9" style="11" customWidth="1"/>
    <col min="7431" max="7681" width="8.88671875" style="11"/>
    <col min="7682" max="7682" width="20.109375" style="11" bestFit="1" customWidth="1"/>
    <col min="7683" max="7683" width="41.88671875" style="11" bestFit="1" customWidth="1"/>
    <col min="7684" max="7684" width="51.5546875" style="11" bestFit="1" customWidth="1"/>
    <col min="7685" max="7685" width="18" style="11" customWidth="1"/>
    <col min="7686" max="7686" width="9" style="11" customWidth="1"/>
    <col min="7687" max="7937" width="8.88671875" style="11"/>
    <col min="7938" max="7938" width="20.109375" style="11" bestFit="1" customWidth="1"/>
    <col min="7939" max="7939" width="41.88671875" style="11" bestFit="1" customWidth="1"/>
    <col min="7940" max="7940" width="51.5546875" style="11" bestFit="1" customWidth="1"/>
    <col min="7941" max="7941" width="18" style="11" customWidth="1"/>
    <col min="7942" max="7942" width="9" style="11" customWidth="1"/>
    <col min="7943" max="8193" width="8.88671875" style="11"/>
    <col min="8194" max="8194" width="20.109375" style="11" bestFit="1" customWidth="1"/>
    <col min="8195" max="8195" width="41.88671875" style="11" bestFit="1" customWidth="1"/>
    <col min="8196" max="8196" width="51.5546875" style="11" bestFit="1" customWidth="1"/>
    <col min="8197" max="8197" width="18" style="11" customWidth="1"/>
    <col min="8198" max="8198" width="9" style="11" customWidth="1"/>
    <col min="8199" max="8449" width="8.88671875" style="11"/>
    <col min="8450" max="8450" width="20.109375" style="11" bestFit="1" customWidth="1"/>
    <col min="8451" max="8451" width="41.88671875" style="11" bestFit="1" customWidth="1"/>
    <col min="8452" max="8452" width="51.5546875" style="11" bestFit="1" customWidth="1"/>
    <col min="8453" max="8453" width="18" style="11" customWidth="1"/>
    <col min="8454" max="8454" width="9" style="11" customWidth="1"/>
    <col min="8455" max="8705" width="8.88671875" style="11"/>
    <col min="8706" max="8706" width="20.109375" style="11" bestFit="1" customWidth="1"/>
    <col min="8707" max="8707" width="41.88671875" style="11" bestFit="1" customWidth="1"/>
    <col min="8708" max="8708" width="51.5546875" style="11" bestFit="1" customWidth="1"/>
    <col min="8709" max="8709" width="18" style="11" customWidth="1"/>
    <col min="8710" max="8710" width="9" style="11" customWidth="1"/>
    <col min="8711" max="8961" width="8.88671875" style="11"/>
    <col min="8962" max="8962" width="20.109375" style="11" bestFit="1" customWidth="1"/>
    <col min="8963" max="8963" width="41.88671875" style="11" bestFit="1" customWidth="1"/>
    <col min="8964" max="8964" width="51.5546875" style="11" bestFit="1" customWidth="1"/>
    <col min="8965" max="8965" width="18" style="11" customWidth="1"/>
    <col min="8966" max="8966" width="9" style="11" customWidth="1"/>
    <col min="8967" max="9217" width="8.88671875" style="11"/>
    <col min="9218" max="9218" width="20.109375" style="11" bestFit="1" customWidth="1"/>
    <col min="9219" max="9219" width="41.88671875" style="11" bestFit="1" customWidth="1"/>
    <col min="9220" max="9220" width="51.5546875" style="11" bestFit="1" customWidth="1"/>
    <col min="9221" max="9221" width="18" style="11" customWidth="1"/>
    <col min="9222" max="9222" width="9" style="11" customWidth="1"/>
    <col min="9223" max="9473" width="8.88671875" style="11"/>
    <col min="9474" max="9474" width="20.109375" style="11" bestFit="1" customWidth="1"/>
    <col min="9475" max="9475" width="41.88671875" style="11" bestFit="1" customWidth="1"/>
    <col min="9476" max="9476" width="51.5546875" style="11" bestFit="1" customWidth="1"/>
    <col min="9477" max="9477" width="18" style="11" customWidth="1"/>
    <col min="9478" max="9478" width="9" style="11" customWidth="1"/>
    <col min="9479" max="9729" width="8.88671875" style="11"/>
    <col min="9730" max="9730" width="20.109375" style="11" bestFit="1" customWidth="1"/>
    <col min="9731" max="9731" width="41.88671875" style="11" bestFit="1" customWidth="1"/>
    <col min="9732" max="9732" width="51.5546875" style="11" bestFit="1" customWidth="1"/>
    <col min="9733" max="9733" width="18" style="11" customWidth="1"/>
    <col min="9734" max="9734" width="9" style="11" customWidth="1"/>
    <col min="9735" max="9985" width="8.88671875" style="11"/>
    <col min="9986" max="9986" width="20.109375" style="11" bestFit="1" customWidth="1"/>
    <col min="9987" max="9987" width="41.88671875" style="11" bestFit="1" customWidth="1"/>
    <col min="9988" max="9988" width="51.5546875" style="11" bestFit="1" customWidth="1"/>
    <col min="9989" max="9989" width="18" style="11" customWidth="1"/>
    <col min="9990" max="9990" width="9" style="11" customWidth="1"/>
    <col min="9991" max="10241" width="8.88671875" style="11"/>
    <col min="10242" max="10242" width="20.109375" style="11" bestFit="1" customWidth="1"/>
    <col min="10243" max="10243" width="41.88671875" style="11" bestFit="1" customWidth="1"/>
    <col min="10244" max="10244" width="51.5546875" style="11" bestFit="1" customWidth="1"/>
    <col min="10245" max="10245" width="18" style="11" customWidth="1"/>
    <col min="10246" max="10246" width="9" style="11" customWidth="1"/>
    <col min="10247" max="10497" width="8.88671875" style="11"/>
    <col min="10498" max="10498" width="20.109375" style="11" bestFit="1" customWidth="1"/>
    <col min="10499" max="10499" width="41.88671875" style="11" bestFit="1" customWidth="1"/>
    <col min="10500" max="10500" width="51.5546875" style="11" bestFit="1" customWidth="1"/>
    <col min="10501" max="10501" width="18" style="11" customWidth="1"/>
    <col min="10502" max="10502" width="9" style="11" customWidth="1"/>
    <col min="10503" max="10753" width="8.88671875" style="11"/>
    <col min="10754" max="10754" width="20.109375" style="11" bestFit="1" customWidth="1"/>
    <col min="10755" max="10755" width="41.88671875" style="11" bestFit="1" customWidth="1"/>
    <col min="10756" max="10756" width="51.5546875" style="11" bestFit="1" customWidth="1"/>
    <col min="10757" max="10757" width="18" style="11" customWidth="1"/>
    <col min="10758" max="10758" width="9" style="11" customWidth="1"/>
    <col min="10759" max="11009" width="8.88671875" style="11"/>
    <col min="11010" max="11010" width="20.109375" style="11" bestFit="1" customWidth="1"/>
    <col min="11011" max="11011" width="41.88671875" style="11" bestFit="1" customWidth="1"/>
    <col min="11012" max="11012" width="51.5546875" style="11" bestFit="1" customWidth="1"/>
    <col min="11013" max="11013" width="18" style="11" customWidth="1"/>
    <col min="11014" max="11014" width="9" style="11" customWidth="1"/>
    <col min="11015" max="11265" width="8.88671875" style="11"/>
    <col min="11266" max="11266" width="20.109375" style="11" bestFit="1" customWidth="1"/>
    <col min="11267" max="11267" width="41.88671875" style="11" bestFit="1" customWidth="1"/>
    <col min="11268" max="11268" width="51.5546875" style="11" bestFit="1" customWidth="1"/>
    <col min="11269" max="11269" width="18" style="11" customWidth="1"/>
    <col min="11270" max="11270" width="9" style="11" customWidth="1"/>
    <col min="11271" max="11521" width="8.88671875" style="11"/>
    <col min="11522" max="11522" width="20.109375" style="11" bestFit="1" customWidth="1"/>
    <col min="11523" max="11523" width="41.88671875" style="11" bestFit="1" customWidth="1"/>
    <col min="11524" max="11524" width="51.5546875" style="11" bestFit="1" customWidth="1"/>
    <col min="11525" max="11525" width="18" style="11" customWidth="1"/>
    <col min="11526" max="11526" width="9" style="11" customWidth="1"/>
    <col min="11527" max="11777" width="8.88671875" style="11"/>
    <col min="11778" max="11778" width="20.109375" style="11" bestFit="1" customWidth="1"/>
    <col min="11779" max="11779" width="41.88671875" style="11" bestFit="1" customWidth="1"/>
    <col min="11780" max="11780" width="51.5546875" style="11" bestFit="1" customWidth="1"/>
    <col min="11781" max="11781" width="18" style="11" customWidth="1"/>
    <col min="11782" max="11782" width="9" style="11" customWidth="1"/>
    <col min="11783" max="12033" width="8.88671875" style="11"/>
    <col min="12034" max="12034" width="20.109375" style="11" bestFit="1" customWidth="1"/>
    <col min="12035" max="12035" width="41.88671875" style="11" bestFit="1" customWidth="1"/>
    <col min="12036" max="12036" width="51.5546875" style="11" bestFit="1" customWidth="1"/>
    <col min="12037" max="12037" width="18" style="11" customWidth="1"/>
    <col min="12038" max="12038" width="9" style="11" customWidth="1"/>
    <col min="12039" max="12289" width="8.88671875" style="11"/>
    <col min="12290" max="12290" width="20.109375" style="11" bestFit="1" customWidth="1"/>
    <col min="12291" max="12291" width="41.88671875" style="11" bestFit="1" customWidth="1"/>
    <col min="12292" max="12292" width="51.5546875" style="11" bestFit="1" customWidth="1"/>
    <col min="12293" max="12293" width="18" style="11" customWidth="1"/>
    <col min="12294" max="12294" width="9" style="11" customWidth="1"/>
    <col min="12295" max="12545" width="8.88671875" style="11"/>
    <col min="12546" max="12546" width="20.109375" style="11" bestFit="1" customWidth="1"/>
    <col min="12547" max="12547" width="41.88671875" style="11" bestFit="1" customWidth="1"/>
    <col min="12548" max="12548" width="51.5546875" style="11" bestFit="1" customWidth="1"/>
    <col min="12549" max="12549" width="18" style="11" customWidth="1"/>
    <col min="12550" max="12550" width="9" style="11" customWidth="1"/>
    <col min="12551" max="12801" width="8.88671875" style="11"/>
    <col min="12802" max="12802" width="20.109375" style="11" bestFit="1" customWidth="1"/>
    <col min="12803" max="12803" width="41.88671875" style="11" bestFit="1" customWidth="1"/>
    <col min="12804" max="12804" width="51.5546875" style="11" bestFit="1" customWidth="1"/>
    <col min="12805" max="12805" width="18" style="11" customWidth="1"/>
    <col min="12806" max="12806" width="9" style="11" customWidth="1"/>
    <col min="12807" max="13057" width="8.88671875" style="11"/>
    <col min="13058" max="13058" width="20.109375" style="11" bestFit="1" customWidth="1"/>
    <col min="13059" max="13059" width="41.88671875" style="11" bestFit="1" customWidth="1"/>
    <col min="13060" max="13060" width="51.5546875" style="11" bestFit="1" customWidth="1"/>
    <col min="13061" max="13061" width="18" style="11" customWidth="1"/>
    <col min="13062" max="13062" width="9" style="11" customWidth="1"/>
    <col min="13063" max="13313" width="8.88671875" style="11"/>
    <col min="13314" max="13314" width="20.109375" style="11" bestFit="1" customWidth="1"/>
    <col min="13315" max="13315" width="41.88671875" style="11" bestFit="1" customWidth="1"/>
    <col min="13316" max="13316" width="51.5546875" style="11" bestFit="1" customWidth="1"/>
    <col min="13317" max="13317" width="18" style="11" customWidth="1"/>
    <col min="13318" max="13318" width="9" style="11" customWidth="1"/>
    <col min="13319" max="13569" width="8.88671875" style="11"/>
    <col min="13570" max="13570" width="20.109375" style="11" bestFit="1" customWidth="1"/>
    <col min="13571" max="13571" width="41.88671875" style="11" bestFit="1" customWidth="1"/>
    <col min="13572" max="13572" width="51.5546875" style="11" bestFit="1" customWidth="1"/>
    <col min="13573" max="13573" width="18" style="11" customWidth="1"/>
    <col min="13574" max="13574" width="9" style="11" customWidth="1"/>
    <col min="13575" max="13825" width="8.88671875" style="11"/>
    <col min="13826" max="13826" width="20.109375" style="11" bestFit="1" customWidth="1"/>
    <col min="13827" max="13827" width="41.88671875" style="11" bestFit="1" customWidth="1"/>
    <col min="13828" max="13828" width="51.5546875" style="11" bestFit="1" customWidth="1"/>
    <col min="13829" max="13829" width="18" style="11" customWidth="1"/>
    <col min="13830" max="13830" width="9" style="11" customWidth="1"/>
    <col min="13831" max="14081" width="8.88671875" style="11"/>
    <col min="14082" max="14082" width="20.109375" style="11" bestFit="1" customWidth="1"/>
    <col min="14083" max="14083" width="41.88671875" style="11" bestFit="1" customWidth="1"/>
    <col min="14084" max="14084" width="51.5546875" style="11" bestFit="1" customWidth="1"/>
    <col min="14085" max="14085" width="18" style="11" customWidth="1"/>
    <col min="14086" max="14086" width="9" style="11" customWidth="1"/>
    <col min="14087" max="14337" width="8.88671875" style="11"/>
    <col min="14338" max="14338" width="20.109375" style="11" bestFit="1" customWidth="1"/>
    <col min="14339" max="14339" width="41.88671875" style="11" bestFit="1" customWidth="1"/>
    <col min="14340" max="14340" width="51.5546875" style="11" bestFit="1" customWidth="1"/>
    <col min="14341" max="14341" width="18" style="11" customWidth="1"/>
    <col min="14342" max="14342" width="9" style="11" customWidth="1"/>
    <col min="14343" max="14593" width="8.88671875" style="11"/>
    <col min="14594" max="14594" width="20.109375" style="11" bestFit="1" customWidth="1"/>
    <col min="14595" max="14595" width="41.88671875" style="11" bestFit="1" customWidth="1"/>
    <col min="14596" max="14596" width="51.5546875" style="11" bestFit="1" customWidth="1"/>
    <col min="14597" max="14597" width="18" style="11" customWidth="1"/>
    <col min="14598" max="14598" width="9" style="11" customWidth="1"/>
    <col min="14599" max="14849" width="8.88671875" style="11"/>
    <col min="14850" max="14850" width="20.109375" style="11" bestFit="1" customWidth="1"/>
    <col min="14851" max="14851" width="41.88671875" style="11" bestFit="1" customWidth="1"/>
    <col min="14852" max="14852" width="51.5546875" style="11" bestFit="1" customWidth="1"/>
    <col min="14853" max="14853" width="18" style="11" customWidth="1"/>
    <col min="14854" max="14854" width="9" style="11" customWidth="1"/>
    <col min="14855" max="15105" width="8.88671875" style="11"/>
    <col min="15106" max="15106" width="20.109375" style="11" bestFit="1" customWidth="1"/>
    <col min="15107" max="15107" width="41.88671875" style="11" bestFit="1" customWidth="1"/>
    <col min="15108" max="15108" width="51.5546875" style="11" bestFit="1" customWidth="1"/>
    <col min="15109" max="15109" width="18" style="11" customWidth="1"/>
    <col min="15110" max="15110" width="9" style="11" customWidth="1"/>
    <col min="15111" max="15361" width="8.88671875" style="11"/>
    <col min="15362" max="15362" width="20.109375" style="11" bestFit="1" customWidth="1"/>
    <col min="15363" max="15363" width="41.88671875" style="11" bestFit="1" customWidth="1"/>
    <col min="15364" max="15364" width="51.5546875" style="11" bestFit="1" customWidth="1"/>
    <col min="15365" max="15365" width="18" style="11" customWidth="1"/>
    <col min="15366" max="15366" width="9" style="11" customWidth="1"/>
    <col min="15367" max="15617" width="8.88671875" style="11"/>
    <col min="15618" max="15618" width="20.109375" style="11" bestFit="1" customWidth="1"/>
    <col min="15619" max="15619" width="41.88671875" style="11" bestFit="1" customWidth="1"/>
    <col min="15620" max="15620" width="51.5546875" style="11" bestFit="1" customWidth="1"/>
    <col min="15621" max="15621" width="18" style="11" customWidth="1"/>
    <col min="15622" max="15622" width="9" style="11" customWidth="1"/>
    <col min="15623" max="15873" width="8.88671875" style="11"/>
    <col min="15874" max="15874" width="20.109375" style="11" bestFit="1" customWidth="1"/>
    <col min="15875" max="15875" width="41.88671875" style="11" bestFit="1" customWidth="1"/>
    <col min="15876" max="15876" width="51.5546875" style="11" bestFit="1" customWidth="1"/>
    <col min="15877" max="15877" width="18" style="11" customWidth="1"/>
    <col min="15878" max="15878" width="9" style="11" customWidth="1"/>
    <col min="15879" max="16129" width="8.88671875" style="11"/>
    <col min="16130" max="16130" width="20.109375" style="11" bestFit="1" customWidth="1"/>
    <col min="16131" max="16131" width="41.88671875" style="11" bestFit="1" customWidth="1"/>
    <col min="16132" max="16132" width="51.5546875" style="11" bestFit="1" customWidth="1"/>
    <col min="16133" max="16133" width="18" style="11" customWidth="1"/>
    <col min="16134" max="16134" width="9" style="11" customWidth="1"/>
    <col min="16135" max="16384" width="8.88671875" style="11"/>
  </cols>
  <sheetData>
    <row r="1" spans="2:5">
      <c r="B1" s="66" t="s">
        <v>80</v>
      </c>
    </row>
    <row r="2" spans="2:5">
      <c r="B2" s="63"/>
    </row>
    <row r="3" spans="2:5" ht="16.2" thickBot="1">
      <c r="C3" s="62" t="s">
        <v>81</v>
      </c>
      <c r="D3" s="62" t="s">
        <v>82</v>
      </c>
    </row>
    <row r="4" spans="2:5">
      <c r="C4" s="64">
        <v>100</v>
      </c>
      <c r="D4" s="65">
        <v>0.7</v>
      </c>
    </row>
    <row r="5" spans="2:5" ht="13.8" customHeight="1" thickBot="1"/>
    <row r="6" spans="2:5" ht="16.2" thickBot="1">
      <c r="C6" s="64"/>
      <c r="D6" s="64" t="s">
        <v>83</v>
      </c>
      <c r="E6" s="64" t="s">
        <v>84</v>
      </c>
    </row>
    <row r="7" spans="2:5" ht="16.2" thickBot="1">
      <c r="C7" s="64" t="s">
        <v>88</v>
      </c>
      <c r="D7" s="64">
        <f>C4*D4</f>
        <v>70</v>
      </c>
      <c r="E7" s="64">
        <v>50</v>
      </c>
    </row>
    <row r="8" spans="2:5" ht="16.2" thickBot="1">
      <c r="C8" s="64" t="s">
        <v>86</v>
      </c>
      <c r="D8" s="64">
        <f>C4-D7</f>
        <v>30</v>
      </c>
      <c r="E8" s="64">
        <v>20</v>
      </c>
    </row>
    <row r="9" spans="2:5" ht="16.2" thickBot="1">
      <c r="C9" s="64"/>
      <c r="D9" s="64"/>
      <c r="E9" s="64"/>
    </row>
    <row r="10" spans="2:5">
      <c r="C10" s="64"/>
      <c r="D10" s="64" t="s">
        <v>87</v>
      </c>
      <c r="E10" s="64">
        <f>(D7*E7)+(D8*E8)</f>
        <v>4100</v>
      </c>
    </row>
    <row r="11" spans="2:5" ht="16.2" thickBot="1"/>
    <row r="12" spans="2:5" ht="16.2" thickBot="1">
      <c r="B12" s="64">
        <f>E10</f>
        <v>4100</v>
      </c>
      <c r="C12" s="68">
        <v>50</v>
      </c>
      <c r="D12" s="68">
        <v>60</v>
      </c>
      <c r="E12" s="68">
        <v>70</v>
      </c>
    </row>
    <row r="13" spans="2:5" ht="16.2" thickBot="1">
      <c r="B13" s="67">
        <v>0.6</v>
      </c>
      <c r="C13" s="64">
        <f t="dataTable" ref="C13:E17" dt2D="1" dtr="1" r1="E7" r2="D4"/>
        <v>3800</v>
      </c>
      <c r="D13" s="64">
        <v>4400</v>
      </c>
      <c r="E13" s="64">
        <v>5000</v>
      </c>
    </row>
    <row r="14" spans="2:5" ht="16.2" thickBot="1">
      <c r="B14" s="67">
        <v>0.7</v>
      </c>
      <c r="C14" s="64">
        <v>4100</v>
      </c>
      <c r="D14" s="64">
        <v>4800</v>
      </c>
      <c r="E14" s="64">
        <v>5500</v>
      </c>
    </row>
    <row r="15" spans="2:5" ht="16.2" thickBot="1">
      <c r="B15" s="67">
        <v>0.8</v>
      </c>
      <c r="C15" s="64">
        <v>4400</v>
      </c>
      <c r="D15" s="64">
        <v>5200</v>
      </c>
      <c r="E15" s="64">
        <v>6000</v>
      </c>
    </row>
    <row r="16" spans="2:5" ht="16.2" thickBot="1">
      <c r="B16" s="67">
        <v>0.9</v>
      </c>
      <c r="C16" s="64">
        <v>4700</v>
      </c>
      <c r="D16" s="64">
        <v>5600</v>
      </c>
      <c r="E16" s="64">
        <v>6500</v>
      </c>
    </row>
    <row r="17" spans="2:5">
      <c r="B17" s="67">
        <v>1</v>
      </c>
      <c r="C17" s="64">
        <v>5000</v>
      </c>
      <c r="D17" s="64">
        <v>6000</v>
      </c>
      <c r="E17" s="64">
        <v>7000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0951-572F-44C5-B961-220ADBB18542}">
  <dimension ref="B1:N14"/>
  <sheetViews>
    <sheetView zoomScale="120" zoomScaleNormal="120" workbookViewId="0">
      <selection activeCell="G18" sqref="G18"/>
    </sheetView>
  </sheetViews>
  <sheetFormatPr defaultRowHeight="14.4"/>
  <cols>
    <col min="1" max="1" width="5.88671875" customWidth="1"/>
    <col min="2" max="2" width="20.109375" bestFit="1" customWidth="1"/>
    <col min="3" max="3" width="15.5546875" bestFit="1" customWidth="1"/>
    <col min="4" max="4" width="4.5546875" customWidth="1"/>
    <col min="5" max="5" width="3.6640625" bestFit="1" customWidth="1"/>
    <col min="6" max="6" width="12" bestFit="1" customWidth="1"/>
    <col min="7" max="15" width="11.6640625" customWidth="1"/>
    <col min="259" max="259" width="33.33203125" bestFit="1" customWidth="1"/>
    <col min="260" max="260" width="24" bestFit="1" customWidth="1"/>
    <col min="262" max="262" width="18.6640625" customWidth="1"/>
    <col min="263" max="269" width="17.109375" bestFit="1" customWidth="1"/>
    <col min="270" max="270" width="15.6640625" bestFit="1" customWidth="1"/>
    <col min="515" max="515" width="33.33203125" bestFit="1" customWidth="1"/>
    <col min="516" max="516" width="24" bestFit="1" customWidth="1"/>
    <col min="518" max="518" width="18.6640625" customWidth="1"/>
    <col min="519" max="525" width="17.109375" bestFit="1" customWidth="1"/>
    <col min="526" max="526" width="15.6640625" bestFit="1" customWidth="1"/>
    <col min="771" max="771" width="33.33203125" bestFit="1" customWidth="1"/>
    <col min="772" max="772" width="24" bestFit="1" customWidth="1"/>
    <col min="774" max="774" width="18.6640625" customWidth="1"/>
    <col min="775" max="781" width="17.109375" bestFit="1" customWidth="1"/>
    <col min="782" max="782" width="15.6640625" bestFit="1" customWidth="1"/>
    <col min="1027" max="1027" width="33.33203125" bestFit="1" customWidth="1"/>
    <col min="1028" max="1028" width="24" bestFit="1" customWidth="1"/>
    <col min="1030" max="1030" width="18.6640625" customWidth="1"/>
    <col min="1031" max="1037" width="17.109375" bestFit="1" customWidth="1"/>
    <col min="1038" max="1038" width="15.6640625" bestFit="1" customWidth="1"/>
    <col min="1283" max="1283" width="33.33203125" bestFit="1" customWidth="1"/>
    <col min="1284" max="1284" width="24" bestFit="1" customWidth="1"/>
    <col min="1286" max="1286" width="18.6640625" customWidth="1"/>
    <col min="1287" max="1293" width="17.109375" bestFit="1" customWidth="1"/>
    <col min="1294" max="1294" width="15.6640625" bestFit="1" customWidth="1"/>
    <col min="1539" max="1539" width="33.33203125" bestFit="1" customWidth="1"/>
    <col min="1540" max="1540" width="24" bestFit="1" customWidth="1"/>
    <col min="1542" max="1542" width="18.6640625" customWidth="1"/>
    <col min="1543" max="1549" width="17.109375" bestFit="1" customWidth="1"/>
    <col min="1550" max="1550" width="15.6640625" bestFit="1" customWidth="1"/>
    <col min="1795" max="1795" width="33.33203125" bestFit="1" customWidth="1"/>
    <col min="1796" max="1796" width="24" bestFit="1" customWidth="1"/>
    <col min="1798" max="1798" width="18.6640625" customWidth="1"/>
    <col min="1799" max="1805" width="17.109375" bestFit="1" customWidth="1"/>
    <col min="1806" max="1806" width="15.6640625" bestFit="1" customWidth="1"/>
    <col min="2051" max="2051" width="33.33203125" bestFit="1" customWidth="1"/>
    <col min="2052" max="2052" width="24" bestFit="1" customWidth="1"/>
    <col min="2054" max="2054" width="18.6640625" customWidth="1"/>
    <col min="2055" max="2061" width="17.109375" bestFit="1" customWidth="1"/>
    <col min="2062" max="2062" width="15.6640625" bestFit="1" customWidth="1"/>
    <col min="2307" max="2307" width="33.33203125" bestFit="1" customWidth="1"/>
    <col min="2308" max="2308" width="24" bestFit="1" customWidth="1"/>
    <col min="2310" max="2310" width="18.6640625" customWidth="1"/>
    <col min="2311" max="2317" width="17.109375" bestFit="1" customWidth="1"/>
    <col min="2318" max="2318" width="15.6640625" bestFit="1" customWidth="1"/>
    <col min="2563" max="2563" width="33.33203125" bestFit="1" customWidth="1"/>
    <col min="2564" max="2564" width="24" bestFit="1" customWidth="1"/>
    <col min="2566" max="2566" width="18.6640625" customWidth="1"/>
    <col min="2567" max="2573" width="17.109375" bestFit="1" customWidth="1"/>
    <col min="2574" max="2574" width="15.6640625" bestFit="1" customWidth="1"/>
    <col min="2819" max="2819" width="33.33203125" bestFit="1" customWidth="1"/>
    <col min="2820" max="2820" width="24" bestFit="1" customWidth="1"/>
    <col min="2822" max="2822" width="18.6640625" customWidth="1"/>
    <col min="2823" max="2829" width="17.109375" bestFit="1" customWidth="1"/>
    <col min="2830" max="2830" width="15.6640625" bestFit="1" customWidth="1"/>
    <col min="3075" max="3075" width="33.33203125" bestFit="1" customWidth="1"/>
    <col min="3076" max="3076" width="24" bestFit="1" customWidth="1"/>
    <col min="3078" max="3078" width="18.6640625" customWidth="1"/>
    <col min="3079" max="3085" width="17.109375" bestFit="1" customWidth="1"/>
    <col min="3086" max="3086" width="15.6640625" bestFit="1" customWidth="1"/>
    <col min="3331" max="3331" width="33.33203125" bestFit="1" customWidth="1"/>
    <col min="3332" max="3332" width="24" bestFit="1" customWidth="1"/>
    <col min="3334" max="3334" width="18.6640625" customWidth="1"/>
    <col min="3335" max="3341" width="17.109375" bestFit="1" customWidth="1"/>
    <col min="3342" max="3342" width="15.6640625" bestFit="1" customWidth="1"/>
    <col min="3587" max="3587" width="33.33203125" bestFit="1" customWidth="1"/>
    <col min="3588" max="3588" width="24" bestFit="1" customWidth="1"/>
    <col min="3590" max="3590" width="18.6640625" customWidth="1"/>
    <col min="3591" max="3597" width="17.109375" bestFit="1" customWidth="1"/>
    <col min="3598" max="3598" width="15.6640625" bestFit="1" customWidth="1"/>
    <col min="3843" max="3843" width="33.33203125" bestFit="1" customWidth="1"/>
    <col min="3844" max="3844" width="24" bestFit="1" customWidth="1"/>
    <col min="3846" max="3846" width="18.6640625" customWidth="1"/>
    <col min="3847" max="3853" width="17.109375" bestFit="1" customWidth="1"/>
    <col min="3854" max="3854" width="15.6640625" bestFit="1" customWidth="1"/>
    <col min="4099" max="4099" width="33.33203125" bestFit="1" customWidth="1"/>
    <col min="4100" max="4100" width="24" bestFit="1" customWidth="1"/>
    <col min="4102" max="4102" width="18.6640625" customWidth="1"/>
    <col min="4103" max="4109" width="17.109375" bestFit="1" customWidth="1"/>
    <col min="4110" max="4110" width="15.6640625" bestFit="1" customWidth="1"/>
    <col min="4355" max="4355" width="33.33203125" bestFit="1" customWidth="1"/>
    <col min="4356" max="4356" width="24" bestFit="1" customWidth="1"/>
    <col min="4358" max="4358" width="18.6640625" customWidth="1"/>
    <col min="4359" max="4365" width="17.109375" bestFit="1" customWidth="1"/>
    <col min="4366" max="4366" width="15.6640625" bestFit="1" customWidth="1"/>
    <col min="4611" max="4611" width="33.33203125" bestFit="1" customWidth="1"/>
    <col min="4612" max="4612" width="24" bestFit="1" customWidth="1"/>
    <col min="4614" max="4614" width="18.6640625" customWidth="1"/>
    <col min="4615" max="4621" width="17.109375" bestFit="1" customWidth="1"/>
    <col min="4622" max="4622" width="15.6640625" bestFit="1" customWidth="1"/>
    <col min="4867" max="4867" width="33.33203125" bestFit="1" customWidth="1"/>
    <col min="4868" max="4868" width="24" bestFit="1" customWidth="1"/>
    <col min="4870" max="4870" width="18.6640625" customWidth="1"/>
    <col min="4871" max="4877" width="17.109375" bestFit="1" customWidth="1"/>
    <col min="4878" max="4878" width="15.6640625" bestFit="1" customWidth="1"/>
    <col min="5123" max="5123" width="33.33203125" bestFit="1" customWidth="1"/>
    <col min="5124" max="5124" width="24" bestFit="1" customWidth="1"/>
    <col min="5126" max="5126" width="18.6640625" customWidth="1"/>
    <col min="5127" max="5133" width="17.109375" bestFit="1" customWidth="1"/>
    <col min="5134" max="5134" width="15.6640625" bestFit="1" customWidth="1"/>
    <col min="5379" max="5379" width="33.33203125" bestFit="1" customWidth="1"/>
    <col min="5380" max="5380" width="24" bestFit="1" customWidth="1"/>
    <col min="5382" max="5382" width="18.6640625" customWidth="1"/>
    <col min="5383" max="5389" width="17.109375" bestFit="1" customWidth="1"/>
    <col min="5390" max="5390" width="15.6640625" bestFit="1" customWidth="1"/>
    <col min="5635" max="5635" width="33.33203125" bestFit="1" customWidth="1"/>
    <col min="5636" max="5636" width="24" bestFit="1" customWidth="1"/>
    <col min="5638" max="5638" width="18.6640625" customWidth="1"/>
    <col min="5639" max="5645" width="17.109375" bestFit="1" customWidth="1"/>
    <col min="5646" max="5646" width="15.6640625" bestFit="1" customWidth="1"/>
    <col min="5891" max="5891" width="33.33203125" bestFit="1" customWidth="1"/>
    <col min="5892" max="5892" width="24" bestFit="1" customWidth="1"/>
    <col min="5894" max="5894" width="18.6640625" customWidth="1"/>
    <col min="5895" max="5901" width="17.109375" bestFit="1" customWidth="1"/>
    <col min="5902" max="5902" width="15.6640625" bestFit="1" customWidth="1"/>
    <col min="6147" max="6147" width="33.33203125" bestFit="1" customWidth="1"/>
    <col min="6148" max="6148" width="24" bestFit="1" customWidth="1"/>
    <col min="6150" max="6150" width="18.6640625" customWidth="1"/>
    <col min="6151" max="6157" width="17.109375" bestFit="1" customWidth="1"/>
    <col min="6158" max="6158" width="15.6640625" bestFit="1" customWidth="1"/>
    <col min="6403" max="6403" width="33.33203125" bestFit="1" customWidth="1"/>
    <col min="6404" max="6404" width="24" bestFit="1" customWidth="1"/>
    <col min="6406" max="6406" width="18.6640625" customWidth="1"/>
    <col min="6407" max="6413" width="17.109375" bestFit="1" customWidth="1"/>
    <col min="6414" max="6414" width="15.6640625" bestFit="1" customWidth="1"/>
    <col min="6659" max="6659" width="33.33203125" bestFit="1" customWidth="1"/>
    <col min="6660" max="6660" width="24" bestFit="1" customWidth="1"/>
    <col min="6662" max="6662" width="18.6640625" customWidth="1"/>
    <col min="6663" max="6669" width="17.109375" bestFit="1" customWidth="1"/>
    <col min="6670" max="6670" width="15.6640625" bestFit="1" customWidth="1"/>
    <col min="6915" max="6915" width="33.33203125" bestFit="1" customWidth="1"/>
    <col min="6916" max="6916" width="24" bestFit="1" customWidth="1"/>
    <col min="6918" max="6918" width="18.6640625" customWidth="1"/>
    <col min="6919" max="6925" width="17.109375" bestFit="1" customWidth="1"/>
    <col min="6926" max="6926" width="15.6640625" bestFit="1" customWidth="1"/>
    <col min="7171" max="7171" width="33.33203125" bestFit="1" customWidth="1"/>
    <col min="7172" max="7172" width="24" bestFit="1" customWidth="1"/>
    <col min="7174" max="7174" width="18.6640625" customWidth="1"/>
    <col min="7175" max="7181" width="17.109375" bestFit="1" customWidth="1"/>
    <col min="7182" max="7182" width="15.6640625" bestFit="1" customWidth="1"/>
    <col min="7427" max="7427" width="33.33203125" bestFit="1" customWidth="1"/>
    <col min="7428" max="7428" width="24" bestFit="1" customWidth="1"/>
    <col min="7430" max="7430" width="18.6640625" customWidth="1"/>
    <col min="7431" max="7437" width="17.109375" bestFit="1" customWidth="1"/>
    <col min="7438" max="7438" width="15.6640625" bestFit="1" customWidth="1"/>
    <col min="7683" max="7683" width="33.33203125" bestFit="1" customWidth="1"/>
    <col min="7684" max="7684" width="24" bestFit="1" customWidth="1"/>
    <col min="7686" max="7686" width="18.6640625" customWidth="1"/>
    <col min="7687" max="7693" width="17.109375" bestFit="1" customWidth="1"/>
    <col min="7694" max="7694" width="15.6640625" bestFit="1" customWidth="1"/>
    <col min="7939" max="7939" width="33.33203125" bestFit="1" customWidth="1"/>
    <col min="7940" max="7940" width="24" bestFit="1" customWidth="1"/>
    <col min="7942" max="7942" width="18.6640625" customWidth="1"/>
    <col min="7943" max="7949" width="17.109375" bestFit="1" customWidth="1"/>
    <col min="7950" max="7950" width="15.6640625" bestFit="1" customWidth="1"/>
    <col min="8195" max="8195" width="33.33203125" bestFit="1" customWidth="1"/>
    <col min="8196" max="8196" width="24" bestFit="1" customWidth="1"/>
    <col min="8198" max="8198" width="18.6640625" customWidth="1"/>
    <col min="8199" max="8205" width="17.109375" bestFit="1" customWidth="1"/>
    <col min="8206" max="8206" width="15.6640625" bestFit="1" customWidth="1"/>
    <col min="8451" max="8451" width="33.33203125" bestFit="1" customWidth="1"/>
    <col min="8452" max="8452" width="24" bestFit="1" customWidth="1"/>
    <col min="8454" max="8454" width="18.6640625" customWidth="1"/>
    <col min="8455" max="8461" width="17.109375" bestFit="1" customWidth="1"/>
    <col min="8462" max="8462" width="15.6640625" bestFit="1" customWidth="1"/>
    <col min="8707" max="8707" width="33.33203125" bestFit="1" customWidth="1"/>
    <col min="8708" max="8708" width="24" bestFit="1" customWidth="1"/>
    <col min="8710" max="8710" width="18.6640625" customWidth="1"/>
    <col min="8711" max="8717" width="17.109375" bestFit="1" customWidth="1"/>
    <col min="8718" max="8718" width="15.6640625" bestFit="1" customWidth="1"/>
    <col min="8963" max="8963" width="33.33203125" bestFit="1" customWidth="1"/>
    <col min="8964" max="8964" width="24" bestFit="1" customWidth="1"/>
    <col min="8966" max="8966" width="18.6640625" customWidth="1"/>
    <col min="8967" max="8973" width="17.109375" bestFit="1" customWidth="1"/>
    <col min="8974" max="8974" width="15.6640625" bestFit="1" customWidth="1"/>
    <col min="9219" max="9219" width="33.33203125" bestFit="1" customWidth="1"/>
    <col min="9220" max="9220" width="24" bestFit="1" customWidth="1"/>
    <col min="9222" max="9222" width="18.6640625" customWidth="1"/>
    <col min="9223" max="9229" width="17.109375" bestFit="1" customWidth="1"/>
    <col min="9230" max="9230" width="15.6640625" bestFit="1" customWidth="1"/>
    <col min="9475" max="9475" width="33.33203125" bestFit="1" customWidth="1"/>
    <col min="9476" max="9476" width="24" bestFit="1" customWidth="1"/>
    <col min="9478" max="9478" width="18.6640625" customWidth="1"/>
    <col min="9479" max="9485" width="17.109375" bestFit="1" customWidth="1"/>
    <col min="9486" max="9486" width="15.6640625" bestFit="1" customWidth="1"/>
    <col min="9731" max="9731" width="33.33203125" bestFit="1" customWidth="1"/>
    <col min="9732" max="9732" width="24" bestFit="1" customWidth="1"/>
    <col min="9734" max="9734" width="18.6640625" customWidth="1"/>
    <col min="9735" max="9741" width="17.109375" bestFit="1" customWidth="1"/>
    <col min="9742" max="9742" width="15.6640625" bestFit="1" customWidth="1"/>
    <col min="9987" max="9987" width="33.33203125" bestFit="1" customWidth="1"/>
    <col min="9988" max="9988" width="24" bestFit="1" customWidth="1"/>
    <col min="9990" max="9990" width="18.6640625" customWidth="1"/>
    <col min="9991" max="9997" width="17.109375" bestFit="1" customWidth="1"/>
    <col min="9998" max="9998" width="15.6640625" bestFit="1" customWidth="1"/>
    <col min="10243" max="10243" width="33.33203125" bestFit="1" customWidth="1"/>
    <col min="10244" max="10244" width="24" bestFit="1" customWidth="1"/>
    <col min="10246" max="10246" width="18.6640625" customWidth="1"/>
    <col min="10247" max="10253" width="17.109375" bestFit="1" customWidth="1"/>
    <col min="10254" max="10254" width="15.6640625" bestFit="1" customWidth="1"/>
    <col min="10499" max="10499" width="33.33203125" bestFit="1" customWidth="1"/>
    <col min="10500" max="10500" width="24" bestFit="1" customWidth="1"/>
    <col min="10502" max="10502" width="18.6640625" customWidth="1"/>
    <col min="10503" max="10509" width="17.109375" bestFit="1" customWidth="1"/>
    <col min="10510" max="10510" width="15.6640625" bestFit="1" customWidth="1"/>
    <col min="10755" max="10755" width="33.33203125" bestFit="1" customWidth="1"/>
    <col min="10756" max="10756" width="24" bestFit="1" customWidth="1"/>
    <col min="10758" max="10758" width="18.6640625" customWidth="1"/>
    <col min="10759" max="10765" width="17.109375" bestFit="1" customWidth="1"/>
    <col min="10766" max="10766" width="15.6640625" bestFit="1" customWidth="1"/>
    <col min="11011" max="11011" width="33.33203125" bestFit="1" customWidth="1"/>
    <col min="11012" max="11012" width="24" bestFit="1" customWidth="1"/>
    <col min="11014" max="11014" width="18.6640625" customWidth="1"/>
    <col min="11015" max="11021" width="17.109375" bestFit="1" customWidth="1"/>
    <col min="11022" max="11022" width="15.6640625" bestFit="1" customWidth="1"/>
    <col min="11267" max="11267" width="33.33203125" bestFit="1" customWidth="1"/>
    <col min="11268" max="11268" width="24" bestFit="1" customWidth="1"/>
    <col min="11270" max="11270" width="18.6640625" customWidth="1"/>
    <col min="11271" max="11277" width="17.109375" bestFit="1" customWidth="1"/>
    <col min="11278" max="11278" width="15.6640625" bestFit="1" customWidth="1"/>
    <col min="11523" max="11523" width="33.33203125" bestFit="1" customWidth="1"/>
    <col min="11524" max="11524" width="24" bestFit="1" customWidth="1"/>
    <col min="11526" max="11526" width="18.6640625" customWidth="1"/>
    <col min="11527" max="11533" width="17.109375" bestFit="1" customWidth="1"/>
    <col min="11534" max="11534" width="15.6640625" bestFit="1" customWidth="1"/>
    <col min="11779" max="11779" width="33.33203125" bestFit="1" customWidth="1"/>
    <col min="11780" max="11780" width="24" bestFit="1" customWidth="1"/>
    <col min="11782" max="11782" width="18.6640625" customWidth="1"/>
    <col min="11783" max="11789" width="17.109375" bestFit="1" customWidth="1"/>
    <col min="11790" max="11790" width="15.6640625" bestFit="1" customWidth="1"/>
    <col min="12035" max="12035" width="33.33203125" bestFit="1" customWidth="1"/>
    <col min="12036" max="12036" width="24" bestFit="1" customWidth="1"/>
    <col min="12038" max="12038" width="18.6640625" customWidth="1"/>
    <col min="12039" max="12045" width="17.109375" bestFit="1" customWidth="1"/>
    <col min="12046" max="12046" width="15.6640625" bestFit="1" customWidth="1"/>
    <col min="12291" max="12291" width="33.33203125" bestFit="1" customWidth="1"/>
    <col min="12292" max="12292" width="24" bestFit="1" customWidth="1"/>
    <col min="12294" max="12294" width="18.6640625" customWidth="1"/>
    <col min="12295" max="12301" width="17.109375" bestFit="1" customWidth="1"/>
    <col min="12302" max="12302" width="15.6640625" bestFit="1" customWidth="1"/>
    <col min="12547" max="12547" width="33.33203125" bestFit="1" customWidth="1"/>
    <col min="12548" max="12548" width="24" bestFit="1" customWidth="1"/>
    <col min="12550" max="12550" width="18.6640625" customWidth="1"/>
    <col min="12551" max="12557" width="17.109375" bestFit="1" customWidth="1"/>
    <col min="12558" max="12558" width="15.6640625" bestFit="1" customWidth="1"/>
    <col min="12803" max="12803" width="33.33203125" bestFit="1" customWidth="1"/>
    <col min="12804" max="12804" width="24" bestFit="1" customWidth="1"/>
    <col min="12806" max="12806" width="18.6640625" customWidth="1"/>
    <col min="12807" max="12813" width="17.109375" bestFit="1" customWidth="1"/>
    <col min="12814" max="12814" width="15.6640625" bestFit="1" customWidth="1"/>
    <col min="13059" max="13059" width="33.33203125" bestFit="1" customWidth="1"/>
    <col min="13060" max="13060" width="24" bestFit="1" customWidth="1"/>
    <col min="13062" max="13062" width="18.6640625" customWidth="1"/>
    <col min="13063" max="13069" width="17.109375" bestFit="1" customWidth="1"/>
    <col min="13070" max="13070" width="15.6640625" bestFit="1" customWidth="1"/>
    <col min="13315" max="13315" width="33.33203125" bestFit="1" customWidth="1"/>
    <col min="13316" max="13316" width="24" bestFit="1" customWidth="1"/>
    <col min="13318" max="13318" width="18.6640625" customWidth="1"/>
    <col min="13319" max="13325" width="17.109375" bestFit="1" customWidth="1"/>
    <col min="13326" max="13326" width="15.6640625" bestFit="1" customWidth="1"/>
    <col min="13571" max="13571" width="33.33203125" bestFit="1" customWidth="1"/>
    <col min="13572" max="13572" width="24" bestFit="1" customWidth="1"/>
    <col min="13574" max="13574" width="18.6640625" customWidth="1"/>
    <col min="13575" max="13581" width="17.109375" bestFit="1" customWidth="1"/>
    <col min="13582" max="13582" width="15.6640625" bestFit="1" customWidth="1"/>
    <col min="13827" max="13827" width="33.33203125" bestFit="1" customWidth="1"/>
    <col min="13828" max="13828" width="24" bestFit="1" customWidth="1"/>
    <col min="13830" max="13830" width="18.6640625" customWidth="1"/>
    <col min="13831" max="13837" width="17.109375" bestFit="1" customWidth="1"/>
    <col min="13838" max="13838" width="15.6640625" bestFit="1" customWidth="1"/>
    <col min="14083" max="14083" width="33.33203125" bestFit="1" customWidth="1"/>
    <col min="14084" max="14084" width="24" bestFit="1" customWidth="1"/>
    <col min="14086" max="14086" width="18.6640625" customWidth="1"/>
    <col min="14087" max="14093" width="17.109375" bestFit="1" customWidth="1"/>
    <col min="14094" max="14094" width="15.6640625" bestFit="1" customWidth="1"/>
    <col min="14339" max="14339" width="33.33203125" bestFit="1" customWidth="1"/>
    <col min="14340" max="14340" width="24" bestFit="1" customWidth="1"/>
    <col min="14342" max="14342" width="18.6640625" customWidth="1"/>
    <col min="14343" max="14349" width="17.109375" bestFit="1" customWidth="1"/>
    <col min="14350" max="14350" width="15.6640625" bestFit="1" customWidth="1"/>
    <col min="14595" max="14595" width="33.33203125" bestFit="1" customWidth="1"/>
    <col min="14596" max="14596" width="24" bestFit="1" customWidth="1"/>
    <col min="14598" max="14598" width="18.6640625" customWidth="1"/>
    <col min="14599" max="14605" width="17.109375" bestFit="1" customWidth="1"/>
    <col min="14606" max="14606" width="15.6640625" bestFit="1" customWidth="1"/>
    <col min="14851" max="14851" width="33.33203125" bestFit="1" customWidth="1"/>
    <col min="14852" max="14852" width="24" bestFit="1" customWidth="1"/>
    <col min="14854" max="14854" width="18.6640625" customWidth="1"/>
    <col min="14855" max="14861" width="17.109375" bestFit="1" customWidth="1"/>
    <col min="14862" max="14862" width="15.6640625" bestFit="1" customWidth="1"/>
    <col min="15107" max="15107" width="33.33203125" bestFit="1" customWidth="1"/>
    <col min="15108" max="15108" width="24" bestFit="1" customWidth="1"/>
    <col min="15110" max="15110" width="18.6640625" customWidth="1"/>
    <col min="15111" max="15117" width="17.109375" bestFit="1" customWidth="1"/>
    <col min="15118" max="15118" width="15.6640625" bestFit="1" customWidth="1"/>
    <col min="15363" max="15363" width="33.33203125" bestFit="1" customWidth="1"/>
    <col min="15364" max="15364" width="24" bestFit="1" customWidth="1"/>
    <col min="15366" max="15366" width="18.6640625" customWidth="1"/>
    <col min="15367" max="15373" width="17.109375" bestFit="1" customWidth="1"/>
    <col min="15374" max="15374" width="15.6640625" bestFit="1" customWidth="1"/>
    <col min="15619" max="15619" width="33.33203125" bestFit="1" customWidth="1"/>
    <col min="15620" max="15620" width="24" bestFit="1" customWidth="1"/>
    <col min="15622" max="15622" width="18.6640625" customWidth="1"/>
    <col min="15623" max="15629" width="17.109375" bestFit="1" customWidth="1"/>
    <col min="15630" max="15630" width="15.6640625" bestFit="1" customWidth="1"/>
    <col min="15875" max="15875" width="33.33203125" bestFit="1" customWidth="1"/>
    <col min="15876" max="15876" width="24" bestFit="1" customWidth="1"/>
    <col min="15878" max="15878" width="18.6640625" customWidth="1"/>
    <col min="15879" max="15885" width="17.109375" bestFit="1" customWidth="1"/>
    <col min="15886" max="15886" width="15.6640625" bestFit="1" customWidth="1"/>
    <col min="16131" max="16131" width="33.33203125" bestFit="1" customWidth="1"/>
    <col min="16132" max="16132" width="24" bestFit="1" customWidth="1"/>
    <col min="16134" max="16134" width="18.6640625" customWidth="1"/>
    <col min="16135" max="16141" width="17.109375" bestFit="1" customWidth="1"/>
    <col min="16142" max="16142" width="15.6640625" bestFit="1" customWidth="1"/>
  </cols>
  <sheetData>
    <row r="1" spans="2:14" ht="15" thickBot="1"/>
    <row r="2" spans="2:14" ht="11.25" customHeight="1">
      <c r="B2" s="131" t="s">
        <v>56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3"/>
    </row>
    <row r="3" spans="2:14" ht="11.25" customHeight="1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6"/>
    </row>
    <row r="4" spans="2:14" ht="15" thickBot="1">
      <c r="B4" s="137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9"/>
    </row>
    <row r="6" spans="2:14" ht="18">
      <c r="B6" s="140" t="s">
        <v>57</v>
      </c>
      <c r="C6" s="141"/>
      <c r="E6" s="24"/>
      <c r="F6" s="25"/>
      <c r="G6" s="142" t="s">
        <v>22</v>
      </c>
      <c r="H6" s="142"/>
      <c r="I6" s="142"/>
      <c r="J6" s="142"/>
      <c r="K6" s="142"/>
      <c r="L6" s="142"/>
      <c r="M6" s="142"/>
      <c r="N6" s="143"/>
    </row>
    <row r="7" spans="2:14">
      <c r="E7" s="26"/>
      <c r="G7" s="28">
        <v>1500000</v>
      </c>
      <c r="H7" s="28">
        <v>2000000</v>
      </c>
      <c r="I7" s="28">
        <v>2500000</v>
      </c>
      <c r="J7" s="28">
        <v>3000000</v>
      </c>
      <c r="K7" s="28">
        <v>3500000</v>
      </c>
      <c r="L7" s="28">
        <v>4000000</v>
      </c>
      <c r="M7" s="28">
        <v>4500000</v>
      </c>
      <c r="N7" s="28">
        <v>5000000</v>
      </c>
    </row>
    <row r="8" spans="2:14" ht="15.6">
      <c r="B8" s="29" t="s">
        <v>58</v>
      </c>
      <c r="C8" s="30">
        <v>0.08</v>
      </c>
      <c r="F8" s="27">
        <f>C12</f>
        <v>28669.562529910545</v>
      </c>
      <c r="G8">
        <f t="dataTable" ref="G8:N8" dt2D="0" dtr="1" r1="C10"/>
        <v>14334.781264955272</v>
      </c>
      <c r="H8">
        <v>19113.04168660703</v>
      </c>
      <c r="I8">
        <v>23891.302108258787</v>
      </c>
      <c r="J8">
        <v>28669.562529910545</v>
      </c>
      <c r="K8">
        <v>33447.822951562302</v>
      </c>
      <c r="L8">
        <v>38226.08337321406</v>
      </c>
      <c r="M8">
        <v>43004.343794865817</v>
      </c>
      <c r="N8">
        <v>47782.604216517575</v>
      </c>
    </row>
    <row r="9" spans="2:14" ht="15.6">
      <c r="B9" s="29" t="s">
        <v>60</v>
      </c>
      <c r="C9" s="33">
        <v>180</v>
      </c>
    </row>
    <row r="10" spans="2:14" ht="15.6">
      <c r="B10" s="29" t="s">
        <v>61</v>
      </c>
      <c r="C10" s="34">
        <v>3000000</v>
      </c>
    </row>
    <row r="11" spans="2:14" ht="15.6">
      <c r="B11" s="29" t="s">
        <v>62</v>
      </c>
      <c r="C11" s="33">
        <v>0</v>
      </c>
    </row>
    <row r="12" spans="2:14" ht="15.6">
      <c r="B12" s="29" t="s">
        <v>63</v>
      </c>
      <c r="C12" s="35">
        <f>-PMT(C8/12,C9,C10,C11,0)</f>
        <v>28669.562529910545</v>
      </c>
    </row>
    <row r="13" spans="2:14" ht="15.6">
      <c r="B13" s="29" t="s">
        <v>64</v>
      </c>
      <c r="C13" s="35">
        <f>C12*C9</f>
        <v>5160521.2553838985</v>
      </c>
    </row>
    <row r="14" spans="2:14" ht="16.2" thickBot="1">
      <c r="B14" s="37" t="s">
        <v>65</v>
      </c>
      <c r="C14" s="38">
        <f>C13-C10</f>
        <v>2160521.2553838985</v>
      </c>
    </row>
  </sheetData>
  <mergeCells count="3">
    <mergeCell ref="B2:N4"/>
    <mergeCell ref="B6:C6"/>
    <mergeCell ref="G6:N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D272-4AF0-4B06-B335-7435A89C0F5A}">
  <dimension ref="B1:N23"/>
  <sheetViews>
    <sheetView topLeftCell="A3" zoomScale="120" zoomScaleNormal="120" workbookViewId="0">
      <selection activeCell="I14" sqref="I14"/>
    </sheetView>
  </sheetViews>
  <sheetFormatPr defaultRowHeight="14.4"/>
  <cols>
    <col min="1" max="1" width="5.88671875" customWidth="1"/>
    <col min="2" max="2" width="20.109375" bestFit="1" customWidth="1"/>
    <col min="3" max="3" width="15.5546875" bestFit="1" customWidth="1"/>
    <col min="4" max="4" width="4.5546875" customWidth="1"/>
    <col min="5" max="5" width="3.6640625" bestFit="1" customWidth="1"/>
    <col min="6" max="6" width="12" bestFit="1" customWidth="1"/>
    <col min="7" max="15" width="11.6640625" customWidth="1"/>
    <col min="259" max="259" width="33.33203125" bestFit="1" customWidth="1"/>
    <col min="260" max="260" width="24" bestFit="1" customWidth="1"/>
    <col min="262" max="262" width="18.6640625" customWidth="1"/>
    <col min="263" max="269" width="17.109375" bestFit="1" customWidth="1"/>
    <col min="270" max="270" width="15.6640625" bestFit="1" customWidth="1"/>
    <col min="515" max="515" width="33.33203125" bestFit="1" customWidth="1"/>
    <col min="516" max="516" width="24" bestFit="1" customWidth="1"/>
    <col min="518" max="518" width="18.6640625" customWidth="1"/>
    <col min="519" max="525" width="17.109375" bestFit="1" customWidth="1"/>
    <col min="526" max="526" width="15.6640625" bestFit="1" customWidth="1"/>
    <col min="771" max="771" width="33.33203125" bestFit="1" customWidth="1"/>
    <col min="772" max="772" width="24" bestFit="1" customWidth="1"/>
    <col min="774" max="774" width="18.6640625" customWidth="1"/>
    <col min="775" max="781" width="17.109375" bestFit="1" customWidth="1"/>
    <col min="782" max="782" width="15.6640625" bestFit="1" customWidth="1"/>
    <col min="1027" max="1027" width="33.33203125" bestFit="1" customWidth="1"/>
    <col min="1028" max="1028" width="24" bestFit="1" customWidth="1"/>
    <col min="1030" max="1030" width="18.6640625" customWidth="1"/>
    <col min="1031" max="1037" width="17.109375" bestFit="1" customWidth="1"/>
    <col min="1038" max="1038" width="15.6640625" bestFit="1" customWidth="1"/>
    <col min="1283" max="1283" width="33.33203125" bestFit="1" customWidth="1"/>
    <col min="1284" max="1284" width="24" bestFit="1" customWidth="1"/>
    <col min="1286" max="1286" width="18.6640625" customWidth="1"/>
    <col min="1287" max="1293" width="17.109375" bestFit="1" customWidth="1"/>
    <col min="1294" max="1294" width="15.6640625" bestFit="1" customWidth="1"/>
    <col min="1539" max="1539" width="33.33203125" bestFit="1" customWidth="1"/>
    <col min="1540" max="1540" width="24" bestFit="1" customWidth="1"/>
    <col min="1542" max="1542" width="18.6640625" customWidth="1"/>
    <col min="1543" max="1549" width="17.109375" bestFit="1" customWidth="1"/>
    <col min="1550" max="1550" width="15.6640625" bestFit="1" customWidth="1"/>
    <col min="1795" max="1795" width="33.33203125" bestFit="1" customWidth="1"/>
    <col min="1796" max="1796" width="24" bestFit="1" customWidth="1"/>
    <col min="1798" max="1798" width="18.6640625" customWidth="1"/>
    <col min="1799" max="1805" width="17.109375" bestFit="1" customWidth="1"/>
    <col min="1806" max="1806" width="15.6640625" bestFit="1" customWidth="1"/>
    <col min="2051" max="2051" width="33.33203125" bestFit="1" customWidth="1"/>
    <col min="2052" max="2052" width="24" bestFit="1" customWidth="1"/>
    <col min="2054" max="2054" width="18.6640625" customWidth="1"/>
    <col min="2055" max="2061" width="17.109375" bestFit="1" customWidth="1"/>
    <col min="2062" max="2062" width="15.6640625" bestFit="1" customWidth="1"/>
    <col min="2307" max="2307" width="33.33203125" bestFit="1" customWidth="1"/>
    <col min="2308" max="2308" width="24" bestFit="1" customWidth="1"/>
    <col min="2310" max="2310" width="18.6640625" customWidth="1"/>
    <col min="2311" max="2317" width="17.109375" bestFit="1" customWidth="1"/>
    <col min="2318" max="2318" width="15.6640625" bestFit="1" customWidth="1"/>
    <col min="2563" max="2563" width="33.33203125" bestFit="1" customWidth="1"/>
    <col min="2564" max="2564" width="24" bestFit="1" customWidth="1"/>
    <col min="2566" max="2566" width="18.6640625" customWidth="1"/>
    <col min="2567" max="2573" width="17.109375" bestFit="1" customWidth="1"/>
    <col min="2574" max="2574" width="15.6640625" bestFit="1" customWidth="1"/>
    <col min="2819" max="2819" width="33.33203125" bestFit="1" customWidth="1"/>
    <col min="2820" max="2820" width="24" bestFit="1" customWidth="1"/>
    <col min="2822" max="2822" width="18.6640625" customWidth="1"/>
    <col min="2823" max="2829" width="17.109375" bestFit="1" customWidth="1"/>
    <col min="2830" max="2830" width="15.6640625" bestFit="1" customWidth="1"/>
    <col min="3075" max="3075" width="33.33203125" bestFit="1" customWidth="1"/>
    <col min="3076" max="3076" width="24" bestFit="1" customWidth="1"/>
    <col min="3078" max="3078" width="18.6640625" customWidth="1"/>
    <col min="3079" max="3085" width="17.109375" bestFit="1" customWidth="1"/>
    <col min="3086" max="3086" width="15.6640625" bestFit="1" customWidth="1"/>
    <col min="3331" max="3331" width="33.33203125" bestFit="1" customWidth="1"/>
    <col min="3332" max="3332" width="24" bestFit="1" customWidth="1"/>
    <col min="3334" max="3334" width="18.6640625" customWidth="1"/>
    <col min="3335" max="3341" width="17.109375" bestFit="1" customWidth="1"/>
    <col min="3342" max="3342" width="15.6640625" bestFit="1" customWidth="1"/>
    <col min="3587" max="3587" width="33.33203125" bestFit="1" customWidth="1"/>
    <col min="3588" max="3588" width="24" bestFit="1" customWidth="1"/>
    <col min="3590" max="3590" width="18.6640625" customWidth="1"/>
    <col min="3591" max="3597" width="17.109375" bestFit="1" customWidth="1"/>
    <col min="3598" max="3598" width="15.6640625" bestFit="1" customWidth="1"/>
    <col min="3843" max="3843" width="33.33203125" bestFit="1" customWidth="1"/>
    <col min="3844" max="3844" width="24" bestFit="1" customWidth="1"/>
    <col min="3846" max="3846" width="18.6640625" customWidth="1"/>
    <col min="3847" max="3853" width="17.109375" bestFit="1" customWidth="1"/>
    <col min="3854" max="3854" width="15.6640625" bestFit="1" customWidth="1"/>
    <col min="4099" max="4099" width="33.33203125" bestFit="1" customWidth="1"/>
    <col min="4100" max="4100" width="24" bestFit="1" customWidth="1"/>
    <col min="4102" max="4102" width="18.6640625" customWidth="1"/>
    <col min="4103" max="4109" width="17.109375" bestFit="1" customWidth="1"/>
    <col min="4110" max="4110" width="15.6640625" bestFit="1" customWidth="1"/>
    <col min="4355" max="4355" width="33.33203125" bestFit="1" customWidth="1"/>
    <col min="4356" max="4356" width="24" bestFit="1" customWidth="1"/>
    <col min="4358" max="4358" width="18.6640625" customWidth="1"/>
    <col min="4359" max="4365" width="17.109375" bestFit="1" customWidth="1"/>
    <col min="4366" max="4366" width="15.6640625" bestFit="1" customWidth="1"/>
    <col min="4611" max="4611" width="33.33203125" bestFit="1" customWidth="1"/>
    <col min="4612" max="4612" width="24" bestFit="1" customWidth="1"/>
    <col min="4614" max="4614" width="18.6640625" customWidth="1"/>
    <col min="4615" max="4621" width="17.109375" bestFit="1" customWidth="1"/>
    <col min="4622" max="4622" width="15.6640625" bestFit="1" customWidth="1"/>
    <col min="4867" max="4867" width="33.33203125" bestFit="1" customWidth="1"/>
    <col min="4868" max="4868" width="24" bestFit="1" customWidth="1"/>
    <col min="4870" max="4870" width="18.6640625" customWidth="1"/>
    <col min="4871" max="4877" width="17.109375" bestFit="1" customWidth="1"/>
    <col min="4878" max="4878" width="15.6640625" bestFit="1" customWidth="1"/>
    <col min="5123" max="5123" width="33.33203125" bestFit="1" customWidth="1"/>
    <col min="5124" max="5124" width="24" bestFit="1" customWidth="1"/>
    <col min="5126" max="5126" width="18.6640625" customWidth="1"/>
    <col min="5127" max="5133" width="17.109375" bestFit="1" customWidth="1"/>
    <col min="5134" max="5134" width="15.6640625" bestFit="1" customWidth="1"/>
    <col min="5379" max="5379" width="33.33203125" bestFit="1" customWidth="1"/>
    <col min="5380" max="5380" width="24" bestFit="1" customWidth="1"/>
    <col min="5382" max="5382" width="18.6640625" customWidth="1"/>
    <col min="5383" max="5389" width="17.109375" bestFit="1" customWidth="1"/>
    <col min="5390" max="5390" width="15.6640625" bestFit="1" customWidth="1"/>
    <col min="5635" max="5635" width="33.33203125" bestFit="1" customWidth="1"/>
    <col min="5636" max="5636" width="24" bestFit="1" customWidth="1"/>
    <col min="5638" max="5638" width="18.6640625" customWidth="1"/>
    <col min="5639" max="5645" width="17.109375" bestFit="1" customWidth="1"/>
    <col min="5646" max="5646" width="15.6640625" bestFit="1" customWidth="1"/>
    <col min="5891" max="5891" width="33.33203125" bestFit="1" customWidth="1"/>
    <col min="5892" max="5892" width="24" bestFit="1" customWidth="1"/>
    <col min="5894" max="5894" width="18.6640625" customWidth="1"/>
    <col min="5895" max="5901" width="17.109375" bestFit="1" customWidth="1"/>
    <col min="5902" max="5902" width="15.6640625" bestFit="1" customWidth="1"/>
    <col min="6147" max="6147" width="33.33203125" bestFit="1" customWidth="1"/>
    <col min="6148" max="6148" width="24" bestFit="1" customWidth="1"/>
    <col min="6150" max="6150" width="18.6640625" customWidth="1"/>
    <col min="6151" max="6157" width="17.109375" bestFit="1" customWidth="1"/>
    <col min="6158" max="6158" width="15.6640625" bestFit="1" customWidth="1"/>
    <col min="6403" max="6403" width="33.33203125" bestFit="1" customWidth="1"/>
    <col min="6404" max="6404" width="24" bestFit="1" customWidth="1"/>
    <col min="6406" max="6406" width="18.6640625" customWidth="1"/>
    <col min="6407" max="6413" width="17.109375" bestFit="1" customWidth="1"/>
    <col min="6414" max="6414" width="15.6640625" bestFit="1" customWidth="1"/>
    <col min="6659" max="6659" width="33.33203125" bestFit="1" customWidth="1"/>
    <col min="6660" max="6660" width="24" bestFit="1" customWidth="1"/>
    <col min="6662" max="6662" width="18.6640625" customWidth="1"/>
    <col min="6663" max="6669" width="17.109375" bestFit="1" customWidth="1"/>
    <col min="6670" max="6670" width="15.6640625" bestFit="1" customWidth="1"/>
    <col min="6915" max="6915" width="33.33203125" bestFit="1" customWidth="1"/>
    <col min="6916" max="6916" width="24" bestFit="1" customWidth="1"/>
    <col min="6918" max="6918" width="18.6640625" customWidth="1"/>
    <col min="6919" max="6925" width="17.109375" bestFit="1" customWidth="1"/>
    <col min="6926" max="6926" width="15.6640625" bestFit="1" customWidth="1"/>
    <col min="7171" max="7171" width="33.33203125" bestFit="1" customWidth="1"/>
    <col min="7172" max="7172" width="24" bestFit="1" customWidth="1"/>
    <col min="7174" max="7174" width="18.6640625" customWidth="1"/>
    <col min="7175" max="7181" width="17.109375" bestFit="1" customWidth="1"/>
    <col min="7182" max="7182" width="15.6640625" bestFit="1" customWidth="1"/>
    <col min="7427" max="7427" width="33.33203125" bestFit="1" customWidth="1"/>
    <col min="7428" max="7428" width="24" bestFit="1" customWidth="1"/>
    <col min="7430" max="7430" width="18.6640625" customWidth="1"/>
    <col min="7431" max="7437" width="17.109375" bestFit="1" customWidth="1"/>
    <col min="7438" max="7438" width="15.6640625" bestFit="1" customWidth="1"/>
    <col min="7683" max="7683" width="33.33203125" bestFit="1" customWidth="1"/>
    <col min="7684" max="7684" width="24" bestFit="1" customWidth="1"/>
    <col min="7686" max="7686" width="18.6640625" customWidth="1"/>
    <col min="7687" max="7693" width="17.109375" bestFit="1" customWidth="1"/>
    <col min="7694" max="7694" width="15.6640625" bestFit="1" customWidth="1"/>
    <col min="7939" max="7939" width="33.33203125" bestFit="1" customWidth="1"/>
    <col min="7940" max="7940" width="24" bestFit="1" customWidth="1"/>
    <col min="7942" max="7942" width="18.6640625" customWidth="1"/>
    <col min="7943" max="7949" width="17.109375" bestFit="1" customWidth="1"/>
    <col min="7950" max="7950" width="15.6640625" bestFit="1" customWidth="1"/>
    <col min="8195" max="8195" width="33.33203125" bestFit="1" customWidth="1"/>
    <col min="8196" max="8196" width="24" bestFit="1" customWidth="1"/>
    <col min="8198" max="8198" width="18.6640625" customWidth="1"/>
    <col min="8199" max="8205" width="17.109375" bestFit="1" customWidth="1"/>
    <col min="8206" max="8206" width="15.6640625" bestFit="1" customWidth="1"/>
    <col min="8451" max="8451" width="33.33203125" bestFit="1" customWidth="1"/>
    <col min="8452" max="8452" width="24" bestFit="1" customWidth="1"/>
    <col min="8454" max="8454" width="18.6640625" customWidth="1"/>
    <col min="8455" max="8461" width="17.109375" bestFit="1" customWidth="1"/>
    <col min="8462" max="8462" width="15.6640625" bestFit="1" customWidth="1"/>
    <col min="8707" max="8707" width="33.33203125" bestFit="1" customWidth="1"/>
    <col min="8708" max="8708" width="24" bestFit="1" customWidth="1"/>
    <col min="8710" max="8710" width="18.6640625" customWidth="1"/>
    <col min="8711" max="8717" width="17.109375" bestFit="1" customWidth="1"/>
    <col min="8718" max="8718" width="15.6640625" bestFit="1" customWidth="1"/>
    <col min="8963" max="8963" width="33.33203125" bestFit="1" customWidth="1"/>
    <col min="8964" max="8964" width="24" bestFit="1" customWidth="1"/>
    <col min="8966" max="8966" width="18.6640625" customWidth="1"/>
    <col min="8967" max="8973" width="17.109375" bestFit="1" customWidth="1"/>
    <col min="8974" max="8974" width="15.6640625" bestFit="1" customWidth="1"/>
    <col min="9219" max="9219" width="33.33203125" bestFit="1" customWidth="1"/>
    <col min="9220" max="9220" width="24" bestFit="1" customWidth="1"/>
    <col min="9222" max="9222" width="18.6640625" customWidth="1"/>
    <col min="9223" max="9229" width="17.109375" bestFit="1" customWidth="1"/>
    <col min="9230" max="9230" width="15.6640625" bestFit="1" customWidth="1"/>
    <col min="9475" max="9475" width="33.33203125" bestFit="1" customWidth="1"/>
    <col min="9476" max="9476" width="24" bestFit="1" customWidth="1"/>
    <col min="9478" max="9478" width="18.6640625" customWidth="1"/>
    <col min="9479" max="9485" width="17.109375" bestFit="1" customWidth="1"/>
    <col min="9486" max="9486" width="15.6640625" bestFit="1" customWidth="1"/>
    <col min="9731" max="9731" width="33.33203125" bestFit="1" customWidth="1"/>
    <col min="9732" max="9732" width="24" bestFit="1" customWidth="1"/>
    <col min="9734" max="9734" width="18.6640625" customWidth="1"/>
    <col min="9735" max="9741" width="17.109375" bestFit="1" customWidth="1"/>
    <col min="9742" max="9742" width="15.6640625" bestFit="1" customWidth="1"/>
    <col min="9987" max="9987" width="33.33203125" bestFit="1" customWidth="1"/>
    <col min="9988" max="9988" width="24" bestFit="1" customWidth="1"/>
    <col min="9990" max="9990" width="18.6640625" customWidth="1"/>
    <col min="9991" max="9997" width="17.109375" bestFit="1" customWidth="1"/>
    <col min="9998" max="9998" width="15.6640625" bestFit="1" customWidth="1"/>
    <col min="10243" max="10243" width="33.33203125" bestFit="1" customWidth="1"/>
    <col min="10244" max="10244" width="24" bestFit="1" customWidth="1"/>
    <col min="10246" max="10246" width="18.6640625" customWidth="1"/>
    <col min="10247" max="10253" width="17.109375" bestFit="1" customWidth="1"/>
    <col min="10254" max="10254" width="15.6640625" bestFit="1" customWidth="1"/>
    <col min="10499" max="10499" width="33.33203125" bestFit="1" customWidth="1"/>
    <col min="10500" max="10500" width="24" bestFit="1" customWidth="1"/>
    <col min="10502" max="10502" width="18.6640625" customWidth="1"/>
    <col min="10503" max="10509" width="17.109375" bestFit="1" customWidth="1"/>
    <col min="10510" max="10510" width="15.6640625" bestFit="1" customWidth="1"/>
    <col min="10755" max="10755" width="33.33203125" bestFit="1" customWidth="1"/>
    <col min="10756" max="10756" width="24" bestFit="1" customWidth="1"/>
    <col min="10758" max="10758" width="18.6640625" customWidth="1"/>
    <col min="10759" max="10765" width="17.109375" bestFit="1" customWidth="1"/>
    <col min="10766" max="10766" width="15.6640625" bestFit="1" customWidth="1"/>
    <col min="11011" max="11011" width="33.33203125" bestFit="1" customWidth="1"/>
    <col min="11012" max="11012" width="24" bestFit="1" customWidth="1"/>
    <col min="11014" max="11014" width="18.6640625" customWidth="1"/>
    <col min="11015" max="11021" width="17.109375" bestFit="1" customWidth="1"/>
    <col min="11022" max="11022" width="15.6640625" bestFit="1" customWidth="1"/>
    <col min="11267" max="11267" width="33.33203125" bestFit="1" customWidth="1"/>
    <col min="11268" max="11268" width="24" bestFit="1" customWidth="1"/>
    <col min="11270" max="11270" width="18.6640625" customWidth="1"/>
    <col min="11271" max="11277" width="17.109375" bestFit="1" customWidth="1"/>
    <col min="11278" max="11278" width="15.6640625" bestFit="1" customWidth="1"/>
    <col min="11523" max="11523" width="33.33203125" bestFit="1" customWidth="1"/>
    <col min="11524" max="11524" width="24" bestFit="1" customWidth="1"/>
    <col min="11526" max="11526" width="18.6640625" customWidth="1"/>
    <col min="11527" max="11533" width="17.109375" bestFit="1" customWidth="1"/>
    <col min="11534" max="11534" width="15.6640625" bestFit="1" customWidth="1"/>
    <col min="11779" max="11779" width="33.33203125" bestFit="1" customWidth="1"/>
    <col min="11780" max="11780" width="24" bestFit="1" customWidth="1"/>
    <col min="11782" max="11782" width="18.6640625" customWidth="1"/>
    <col min="11783" max="11789" width="17.109375" bestFit="1" customWidth="1"/>
    <col min="11790" max="11790" width="15.6640625" bestFit="1" customWidth="1"/>
    <col min="12035" max="12035" width="33.33203125" bestFit="1" customWidth="1"/>
    <col min="12036" max="12036" width="24" bestFit="1" customWidth="1"/>
    <col min="12038" max="12038" width="18.6640625" customWidth="1"/>
    <col min="12039" max="12045" width="17.109375" bestFit="1" customWidth="1"/>
    <col min="12046" max="12046" width="15.6640625" bestFit="1" customWidth="1"/>
    <col min="12291" max="12291" width="33.33203125" bestFit="1" customWidth="1"/>
    <col min="12292" max="12292" width="24" bestFit="1" customWidth="1"/>
    <col min="12294" max="12294" width="18.6640625" customWidth="1"/>
    <col min="12295" max="12301" width="17.109375" bestFit="1" customWidth="1"/>
    <col min="12302" max="12302" width="15.6640625" bestFit="1" customWidth="1"/>
    <col min="12547" max="12547" width="33.33203125" bestFit="1" customWidth="1"/>
    <col min="12548" max="12548" width="24" bestFit="1" customWidth="1"/>
    <col min="12550" max="12550" width="18.6640625" customWidth="1"/>
    <col min="12551" max="12557" width="17.109375" bestFit="1" customWidth="1"/>
    <col min="12558" max="12558" width="15.6640625" bestFit="1" customWidth="1"/>
    <col min="12803" max="12803" width="33.33203125" bestFit="1" customWidth="1"/>
    <col min="12804" max="12804" width="24" bestFit="1" customWidth="1"/>
    <col min="12806" max="12806" width="18.6640625" customWidth="1"/>
    <col min="12807" max="12813" width="17.109375" bestFit="1" customWidth="1"/>
    <col min="12814" max="12814" width="15.6640625" bestFit="1" customWidth="1"/>
    <col min="13059" max="13059" width="33.33203125" bestFit="1" customWidth="1"/>
    <col min="13060" max="13060" width="24" bestFit="1" customWidth="1"/>
    <col min="13062" max="13062" width="18.6640625" customWidth="1"/>
    <col min="13063" max="13069" width="17.109375" bestFit="1" customWidth="1"/>
    <col min="13070" max="13070" width="15.6640625" bestFit="1" customWidth="1"/>
    <col min="13315" max="13315" width="33.33203125" bestFit="1" customWidth="1"/>
    <col min="13316" max="13316" width="24" bestFit="1" customWidth="1"/>
    <col min="13318" max="13318" width="18.6640625" customWidth="1"/>
    <col min="13319" max="13325" width="17.109375" bestFit="1" customWidth="1"/>
    <col min="13326" max="13326" width="15.6640625" bestFit="1" customWidth="1"/>
    <col min="13571" max="13571" width="33.33203125" bestFit="1" customWidth="1"/>
    <col min="13572" max="13572" width="24" bestFit="1" customWidth="1"/>
    <col min="13574" max="13574" width="18.6640625" customWidth="1"/>
    <col min="13575" max="13581" width="17.109375" bestFit="1" customWidth="1"/>
    <col min="13582" max="13582" width="15.6640625" bestFit="1" customWidth="1"/>
    <col min="13827" max="13827" width="33.33203125" bestFit="1" customWidth="1"/>
    <col min="13828" max="13828" width="24" bestFit="1" customWidth="1"/>
    <col min="13830" max="13830" width="18.6640625" customWidth="1"/>
    <col min="13831" max="13837" width="17.109375" bestFit="1" customWidth="1"/>
    <col min="13838" max="13838" width="15.6640625" bestFit="1" customWidth="1"/>
    <col min="14083" max="14083" width="33.33203125" bestFit="1" customWidth="1"/>
    <col min="14084" max="14084" width="24" bestFit="1" customWidth="1"/>
    <col min="14086" max="14086" width="18.6640625" customWidth="1"/>
    <col min="14087" max="14093" width="17.109375" bestFit="1" customWidth="1"/>
    <col min="14094" max="14094" width="15.6640625" bestFit="1" customWidth="1"/>
    <col min="14339" max="14339" width="33.33203125" bestFit="1" customWidth="1"/>
    <col min="14340" max="14340" width="24" bestFit="1" customWidth="1"/>
    <col min="14342" max="14342" width="18.6640625" customWidth="1"/>
    <col min="14343" max="14349" width="17.109375" bestFit="1" customWidth="1"/>
    <col min="14350" max="14350" width="15.6640625" bestFit="1" customWidth="1"/>
    <col min="14595" max="14595" width="33.33203125" bestFit="1" customWidth="1"/>
    <col min="14596" max="14596" width="24" bestFit="1" customWidth="1"/>
    <col min="14598" max="14598" width="18.6640625" customWidth="1"/>
    <col min="14599" max="14605" width="17.109375" bestFit="1" customWidth="1"/>
    <col min="14606" max="14606" width="15.6640625" bestFit="1" customWidth="1"/>
    <col min="14851" max="14851" width="33.33203125" bestFit="1" customWidth="1"/>
    <col min="14852" max="14852" width="24" bestFit="1" customWidth="1"/>
    <col min="14854" max="14854" width="18.6640625" customWidth="1"/>
    <col min="14855" max="14861" width="17.109375" bestFit="1" customWidth="1"/>
    <col min="14862" max="14862" width="15.6640625" bestFit="1" customWidth="1"/>
    <col min="15107" max="15107" width="33.33203125" bestFit="1" customWidth="1"/>
    <col min="15108" max="15108" width="24" bestFit="1" customWidth="1"/>
    <col min="15110" max="15110" width="18.6640625" customWidth="1"/>
    <col min="15111" max="15117" width="17.109375" bestFit="1" customWidth="1"/>
    <col min="15118" max="15118" width="15.6640625" bestFit="1" customWidth="1"/>
    <col min="15363" max="15363" width="33.33203125" bestFit="1" customWidth="1"/>
    <col min="15364" max="15364" width="24" bestFit="1" customWidth="1"/>
    <col min="15366" max="15366" width="18.6640625" customWidth="1"/>
    <col min="15367" max="15373" width="17.109375" bestFit="1" customWidth="1"/>
    <col min="15374" max="15374" width="15.6640625" bestFit="1" customWidth="1"/>
    <col min="15619" max="15619" width="33.33203125" bestFit="1" customWidth="1"/>
    <col min="15620" max="15620" width="24" bestFit="1" customWidth="1"/>
    <col min="15622" max="15622" width="18.6640625" customWidth="1"/>
    <col min="15623" max="15629" width="17.109375" bestFit="1" customWidth="1"/>
    <col min="15630" max="15630" width="15.6640625" bestFit="1" customWidth="1"/>
    <col min="15875" max="15875" width="33.33203125" bestFit="1" customWidth="1"/>
    <col min="15876" max="15876" width="24" bestFit="1" customWidth="1"/>
    <col min="15878" max="15878" width="18.6640625" customWidth="1"/>
    <col min="15879" max="15885" width="17.109375" bestFit="1" customWidth="1"/>
    <col min="15886" max="15886" width="15.6640625" bestFit="1" customWidth="1"/>
    <col min="16131" max="16131" width="33.33203125" bestFit="1" customWidth="1"/>
    <col min="16132" max="16132" width="24" bestFit="1" customWidth="1"/>
    <col min="16134" max="16134" width="18.6640625" customWidth="1"/>
    <col min="16135" max="16141" width="17.109375" bestFit="1" customWidth="1"/>
    <col min="16142" max="16142" width="15.6640625" bestFit="1" customWidth="1"/>
  </cols>
  <sheetData>
    <row r="1" spans="2:14" ht="15" thickBot="1"/>
    <row r="2" spans="2:14" ht="11.25" customHeight="1">
      <c r="B2" s="131" t="s">
        <v>56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3"/>
    </row>
    <row r="3" spans="2:14" ht="11.25" customHeight="1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6"/>
    </row>
    <row r="4" spans="2:14" ht="15" thickBot="1">
      <c r="B4" s="137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9"/>
    </row>
    <row r="6" spans="2:14" ht="18">
      <c r="B6" s="140" t="s">
        <v>57</v>
      </c>
      <c r="C6" s="141"/>
      <c r="E6" s="24"/>
      <c r="F6" s="25"/>
      <c r="G6" s="142" t="s">
        <v>22</v>
      </c>
      <c r="H6" s="142"/>
      <c r="I6" s="142"/>
      <c r="J6" s="142"/>
      <c r="K6" s="142"/>
      <c r="L6" s="142"/>
      <c r="M6" s="142"/>
      <c r="N6" s="143"/>
    </row>
    <row r="7" spans="2:14">
      <c r="E7" s="26"/>
      <c r="F7" s="27">
        <f>C12</f>
        <v>28669.562529910545</v>
      </c>
      <c r="G7" s="28">
        <v>1500000</v>
      </c>
      <c r="H7" s="28">
        <v>2000000</v>
      </c>
      <c r="I7" s="28">
        <v>2500000</v>
      </c>
      <c r="J7" s="28">
        <v>3000000</v>
      </c>
      <c r="K7" s="28">
        <v>3500000</v>
      </c>
      <c r="L7" s="28">
        <v>4000000</v>
      </c>
      <c r="M7" s="28">
        <v>4500000</v>
      </c>
      <c r="N7" s="28">
        <v>5000000</v>
      </c>
    </row>
    <row r="8" spans="2:14" ht="15.6">
      <c r="B8" s="29" t="s">
        <v>58</v>
      </c>
      <c r="C8" s="30">
        <v>0.08</v>
      </c>
      <c r="E8" s="144" t="s">
        <v>59</v>
      </c>
      <c r="F8" s="31">
        <v>7.4999999999999997E-2</v>
      </c>
      <c r="G8">
        <f t="dataTable" ref="G8:N23" dt2D="1" dtr="1" r1="C10" r2="C8"/>
        <v>13905.185400041073</v>
      </c>
      <c r="H8">
        <v>18540.247200054764</v>
      </c>
      <c r="I8">
        <v>23175.309000068457</v>
      </c>
      <c r="J8">
        <v>27810.370800082146</v>
      </c>
      <c r="K8">
        <v>32445.432600095835</v>
      </c>
      <c r="L8">
        <v>37080.494400109528</v>
      </c>
      <c r="M8">
        <v>41715.556200123217</v>
      </c>
      <c r="N8">
        <v>46350.618000136914</v>
      </c>
    </row>
    <row r="9" spans="2:14" ht="15.6">
      <c r="B9" s="29" t="s">
        <v>60</v>
      </c>
      <c r="C9" s="33">
        <v>180</v>
      </c>
      <c r="E9" s="144"/>
      <c r="F9" s="31">
        <v>7.5999999999999998E-2</v>
      </c>
      <c r="G9">
        <v>13990.561525672822</v>
      </c>
      <c r="H9">
        <v>18654.082034230429</v>
      </c>
      <c r="I9">
        <v>23317.602542788034</v>
      </c>
      <c r="J9">
        <v>27981.123051345643</v>
      </c>
      <c r="K9">
        <v>32644.643559903248</v>
      </c>
      <c r="L9">
        <v>37308.164068460857</v>
      </c>
      <c r="M9">
        <v>41971.684577018466</v>
      </c>
      <c r="N9">
        <v>46635.205085576068</v>
      </c>
    </row>
    <row r="10" spans="2:14" ht="15.6">
      <c r="B10" s="29" t="s">
        <v>61</v>
      </c>
      <c r="C10" s="34">
        <v>3000000</v>
      </c>
      <c r="E10" s="144"/>
      <c r="F10" s="31">
        <v>7.6999999999999999E-2</v>
      </c>
      <c r="G10">
        <v>14076.210117739305</v>
      </c>
      <c r="H10">
        <v>18768.28015698574</v>
      </c>
      <c r="I10">
        <v>23460.350196232175</v>
      </c>
      <c r="J10">
        <v>28152.42023547861</v>
      </c>
      <c r="K10">
        <v>32844.490274725045</v>
      </c>
      <c r="L10">
        <v>37536.56031397148</v>
      </c>
      <c r="M10">
        <v>42228.630353217915</v>
      </c>
      <c r="N10">
        <v>46920.70039246435</v>
      </c>
    </row>
    <row r="11" spans="2:14" ht="15.6">
      <c r="B11" s="29" t="s">
        <v>62</v>
      </c>
      <c r="C11" s="33">
        <v>0</v>
      </c>
      <c r="E11" s="144"/>
      <c r="F11" s="31">
        <v>7.8E-2</v>
      </c>
      <c r="G11">
        <v>14162.130237391491</v>
      </c>
      <c r="H11">
        <v>18882.840316521986</v>
      </c>
      <c r="I11">
        <v>23603.550395652484</v>
      </c>
      <c r="J11">
        <v>28324.260474782983</v>
      </c>
      <c r="K11">
        <v>33044.970553913474</v>
      </c>
      <c r="L11">
        <v>37765.680633043972</v>
      </c>
      <c r="M11">
        <v>42486.390712174471</v>
      </c>
      <c r="N11">
        <v>47207.100791304969</v>
      </c>
    </row>
    <row r="12" spans="2:14" ht="15.6">
      <c r="B12" s="29" t="s">
        <v>63</v>
      </c>
      <c r="C12" s="35">
        <f>-PMT(C8/12,C9,C10,C11,0)</f>
        <v>28669.562529910545</v>
      </c>
      <c r="E12" s="144"/>
      <c r="F12" s="31">
        <v>7.9000000000000001E-2</v>
      </c>
      <c r="G12">
        <v>14248.320937934292</v>
      </c>
      <c r="H12">
        <v>18997.761250579057</v>
      </c>
      <c r="I12">
        <v>23747.201563223818</v>
      </c>
      <c r="J12">
        <v>28496.641875868583</v>
      </c>
      <c r="K12">
        <v>33246.082188513348</v>
      </c>
      <c r="L12">
        <v>37995.522501158113</v>
      </c>
      <c r="M12">
        <v>42744.962813802878</v>
      </c>
      <c r="N12">
        <v>47494.403126447636</v>
      </c>
    </row>
    <row r="13" spans="2:14" ht="15.6">
      <c r="B13" s="29" t="s">
        <v>64</v>
      </c>
      <c r="C13" s="118">
        <f>C12*C9</f>
        <v>5160521.2553838985</v>
      </c>
      <c r="E13" s="144"/>
      <c r="F13" s="31">
        <v>0.08</v>
      </c>
      <c r="G13">
        <v>14334.781264955272</v>
      </c>
      <c r="H13">
        <v>19113.04168660703</v>
      </c>
      <c r="I13">
        <v>23891.302108258787</v>
      </c>
      <c r="J13" s="120">
        <v>28669.562529910545</v>
      </c>
      <c r="K13">
        <v>33447.822951562302</v>
      </c>
      <c r="L13">
        <v>38226.08337321406</v>
      </c>
      <c r="M13">
        <v>43004.343794865817</v>
      </c>
      <c r="N13">
        <v>47782.604216517575</v>
      </c>
    </row>
    <row r="14" spans="2:14" ht="16.2" thickBot="1">
      <c r="B14" s="37" t="s">
        <v>65</v>
      </c>
      <c r="C14" s="119">
        <f>C13-C10</f>
        <v>2160521.2553838985</v>
      </c>
      <c r="E14" s="144"/>
      <c r="F14" s="31">
        <v>8.1000000000000003E-2</v>
      </c>
      <c r="G14">
        <v>14421.510256453734</v>
      </c>
      <c r="H14">
        <v>19228.680341938307</v>
      </c>
      <c r="I14">
        <v>24035.850427422887</v>
      </c>
      <c r="J14">
        <v>28843.020512907467</v>
      </c>
      <c r="K14">
        <v>33650.190598392037</v>
      </c>
      <c r="L14">
        <v>38457.360683876614</v>
      </c>
      <c r="M14">
        <v>43264.530769361198</v>
      </c>
      <c r="N14">
        <v>48071.700854845774</v>
      </c>
    </row>
    <row r="15" spans="2:14">
      <c r="E15" s="144"/>
      <c r="F15" s="31">
        <v>8.2000000000000003E-2</v>
      </c>
      <c r="G15">
        <v>14508.506942970273</v>
      </c>
      <c r="H15">
        <v>19344.675923960363</v>
      </c>
      <c r="I15">
        <v>24180.844904950456</v>
      </c>
      <c r="J15">
        <v>29017.013885940545</v>
      </c>
      <c r="K15">
        <v>33853.182866930634</v>
      </c>
      <c r="L15">
        <v>38689.351847920727</v>
      </c>
      <c r="M15">
        <v>43525.52082891082</v>
      </c>
      <c r="N15">
        <v>48361.689809900912</v>
      </c>
    </row>
    <row r="16" spans="2:14">
      <c r="E16" s="144"/>
      <c r="F16" s="31">
        <v>8.3000000000000004E-2</v>
      </c>
      <c r="G16">
        <v>14595.770347716672</v>
      </c>
      <c r="H16">
        <v>19461.027130288898</v>
      </c>
      <c r="I16">
        <v>24326.283912861123</v>
      </c>
      <c r="J16">
        <v>29191.540695433345</v>
      </c>
      <c r="K16">
        <v>34056.797478005567</v>
      </c>
      <c r="L16">
        <v>38922.054260577796</v>
      </c>
      <c r="M16">
        <v>43787.311043150017</v>
      </c>
      <c r="N16">
        <v>48652.567825722246</v>
      </c>
    </row>
    <row r="17" spans="5:14">
      <c r="E17" s="144"/>
      <c r="F17" s="31">
        <v>8.4000000000000005E-2</v>
      </c>
      <c r="G17">
        <v>14683.299486706141</v>
      </c>
      <c r="H17">
        <v>19577.732648941521</v>
      </c>
      <c r="I17">
        <v>24472.165811176899</v>
      </c>
      <c r="J17">
        <v>29366.598973412281</v>
      </c>
      <c r="K17">
        <v>34261.032135647663</v>
      </c>
      <c r="L17">
        <v>39155.465297883042</v>
      </c>
      <c r="M17">
        <v>44049.89846011842</v>
      </c>
      <c r="N17">
        <v>48944.331622353799</v>
      </c>
    </row>
    <row r="18" spans="5:14">
      <c r="E18" s="144"/>
      <c r="F18" s="31">
        <v>8.5000000000000006E-2</v>
      </c>
      <c r="G18">
        <v>14771.0933688839</v>
      </c>
      <c r="H18">
        <v>19694.791158511864</v>
      </c>
      <c r="I18">
        <v>24618.488948139831</v>
      </c>
      <c r="J18">
        <v>29542.186737767799</v>
      </c>
      <c r="K18">
        <v>34465.884527395763</v>
      </c>
      <c r="L18">
        <v>39389.582317023727</v>
      </c>
      <c r="M18">
        <v>44313.280106651699</v>
      </c>
      <c r="N18">
        <v>49236.977896279663</v>
      </c>
    </row>
    <row r="19" spans="5:14">
      <c r="E19" s="144"/>
      <c r="F19" s="31">
        <v>8.5999999999999993E-2</v>
      </c>
      <c r="G19">
        <v>14859.150996258015</v>
      </c>
      <c r="H19">
        <v>19812.201328344021</v>
      </c>
      <c r="I19">
        <v>24765.251660430025</v>
      </c>
      <c r="J19">
        <v>29718.30199251603</v>
      </c>
      <c r="K19">
        <v>34671.352324602034</v>
      </c>
      <c r="L19">
        <v>39624.402656688042</v>
      </c>
      <c r="M19">
        <v>44577.452988774043</v>
      </c>
      <c r="N19">
        <v>49530.503320860051</v>
      </c>
    </row>
    <row r="20" spans="5:14">
      <c r="E20" s="144"/>
      <c r="F20" s="31">
        <v>8.6999999999999994E-2</v>
      </c>
      <c r="G20">
        <v>14947.471364030509</v>
      </c>
      <c r="H20">
        <v>19929.961818707347</v>
      </c>
      <c r="I20">
        <v>24912.45227338418</v>
      </c>
      <c r="J20">
        <v>29894.942728061018</v>
      </c>
      <c r="K20">
        <v>34877.433182737856</v>
      </c>
      <c r="L20">
        <v>39859.923637414693</v>
      </c>
      <c r="M20">
        <v>44842.414092091523</v>
      </c>
      <c r="N20">
        <v>49824.904546768361</v>
      </c>
    </row>
    <row r="21" spans="5:14">
      <c r="E21" s="144"/>
      <c r="F21" s="31">
        <v>8.7999999999999995E-2</v>
      </c>
      <c r="G21">
        <v>15036.053460728675</v>
      </c>
      <c r="H21">
        <v>20048.071280971566</v>
      </c>
      <c r="I21">
        <v>25060.089101214457</v>
      </c>
      <c r="J21">
        <v>30072.106921457351</v>
      </c>
      <c r="K21">
        <v>35084.124741700238</v>
      </c>
      <c r="L21">
        <v>40096.142561943132</v>
      </c>
      <c r="M21">
        <v>45108.160382186026</v>
      </c>
      <c r="N21">
        <v>50120.178202428913</v>
      </c>
    </row>
    <row r="22" spans="5:14">
      <c r="E22" s="144"/>
      <c r="F22" s="31">
        <v>8.8999999999999996E-2</v>
      </c>
      <c r="G22">
        <v>15124.896268336583</v>
      </c>
      <c r="H22">
        <v>20166.52835778211</v>
      </c>
      <c r="I22">
        <v>25208.160447227638</v>
      </c>
      <c r="J22">
        <v>30249.792536673165</v>
      </c>
      <c r="K22">
        <v>35291.424626118693</v>
      </c>
      <c r="L22">
        <v>40333.05671556422</v>
      </c>
      <c r="M22">
        <v>45374.688805009755</v>
      </c>
      <c r="N22">
        <v>50416.320894455275</v>
      </c>
    </row>
    <row r="23" spans="5:14">
      <c r="E23" s="145"/>
      <c r="F23" s="31">
        <v>0.09</v>
      </c>
      <c r="G23">
        <v>15213.998762426774</v>
      </c>
      <c r="H23">
        <v>20285.331683235698</v>
      </c>
      <c r="I23">
        <v>25356.664604044625</v>
      </c>
      <c r="J23">
        <v>30427.997524853548</v>
      </c>
      <c r="K23">
        <v>35499.330445662476</v>
      </c>
      <c r="L23">
        <v>40570.663366471395</v>
      </c>
      <c r="M23">
        <v>45641.996287280323</v>
      </c>
      <c r="N23">
        <v>50713.32920808925</v>
      </c>
    </row>
  </sheetData>
  <mergeCells count="4">
    <mergeCell ref="B2:N4"/>
    <mergeCell ref="B6:C6"/>
    <mergeCell ref="E8:E23"/>
    <mergeCell ref="G6:N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FF17D-6BAE-4857-83ED-7E217706CFB9}">
  <dimension ref="B1:N23"/>
  <sheetViews>
    <sheetView topLeftCell="A2" zoomScale="120" zoomScaleNormal="120" workbookViewId="0">
      <selection activeCell="C19" sqref="C19"/>
    </sheetView>
  </sheetViews>
  <sheetFormatPr defaultRowHeight="14.4"/>
  <cols>
    <col min="1" max="1" width="5.88671875" customWidth="1"/>
    <col min="2" max="2" width="20.109375" bestFit="1" customWidth="1"/>
    <col min="3" max="3" width="15.5546875" bestFit="1" customWidth="1"/>
    <col min="4" max="4" width="4.5546875" customWidth="1"/>
    <col min="5" max="5" width="3.6640625" bestFit="1" customWidth="1"/>
    <col min="6" max="6" width="12" bestFit="1" customWidth="1"/>
    <col min="7" max="15" width="11.6640625" customWidth="1"/>
    <col min="259" max="259" width="33.33203125" bestFit="1" customWidth="1"/>
    <col min="260" max="260" width="24" bestFit="1" customWidth="1"/>
    <col min="262" max="262" width="18.6640625" customWidth="1"/>
    <col min="263" max="269" width="17.109375" bestFit="1" customWidth="1"/>
    <col min="270" max="270" width="15.6640625" bestFit="1" customWidth="1"/>
    <col min="515" max="515" width="33.33203125" bestFit="1" customWidth="1"/>
    <col min="516" max="516" width="24" bestFit="1" customWidth="1"/>
    <col min="518" max="518" width="18.6640625" customWidth="1"/>
    <col min="519" max="525" width="17.109375" bestFit="1" customWidth="1"/>
    <col min="526" max="526" width="15.6640625" bestFit="1" customWidth="1"/>
    <col min="771" max="771" width="33.33203125" bestFit="1" customWidth="1"/>
    <col min="772" max="772" width="24" bestFit="1" customWidth="1"/>
    <col min="774" max="774" width="18.6640625" customWidth="1"/>
    <col min="775" max="781" width="17.109375" bestFit="1" customWidth="1"/>
    <col min="782" max="782" width="15.6640625" bestFit="1" customWidth="1"/>
    <col min="1027" max="1027" width="33.33203125" bestFit="1" customWidth="1"/>
    <col min="1028" max="1028" width="24" bestFit="1" customWidth="1"/>
    <col min="1030" max="1030" width="18.6640625" customWidth="1"/>
    <col min="1031" max="1037" width="17.109375" bestFit="1" customWidth="1"/>
    <col min="1038" max="1038" width="15.6640625" bestFit="1" customWidth="1"/>
    <col min="1283" max="1283" width="33.33203125" bestFit="1" customWidth="1"/>
    <col min="1284" max="1284" width="24" bestFit="1" customWidth="1"/>
    <col min="1286" max="1286" width="18.6640625" customWidth="1"/>
    <col min="1287" max="1293" width="17.109375" bestFit="1" customWidth="1"/>
    <col min="1294" max="1294" width="15.6640625" bestFit="1" customWidth="1"/>
    <col min="1539" max="1539" width="33.33203125" bestFit="1" customWidth="1"/>
    <col min="1540" max="1540" width="24" bestFit="1" customWidth="1"/>
    <col min="1542" max="1542" width="18.6640625" customWidth="1"/>
    <col min="1543" max="1549" width="17.109375" bestFit="1" customWidth="1"/>
    <col min="1550" max="1550" width="15.6640625" bestFit="1" customWidth="1"/>
    <col min="1795" max="1795" width="33.33203125" bestFit="1" customWidth="1"/>
    <col min="1796" max="1796" width="24" bestFit="1" customWidth="1"/>
    <col min="1798" max="1798" width="18.6640625" customWidth="1"/>
    <col min="1799" max="1805" width="17.109375" bestFit="1" customWidth="1"/>
    <col min="1806" max="1806" width="15.6640625" bestFit="1" customWidth="1"/>
    <col min="2051" max="2051" width="33.33203125" bestFit="1" customWidth="1"/>
    <col min="2052" max="2052" width="24" bestFit="1" customWidth="1"/>
    <col min="2054" max="2054" width="18.6640625" customWidth="1"/>
    <col min="2055" max="2061" width="17.109375" bestFit="1" customWidth="1"/>
    <col min="2062" max="2062" width="15.6640625" bestFit="1" customWidth="1"/>
    <col min="2307" max="2307" width="33.33203125" bestFit="1" customWidth="1"/>
    <col min="2308" max="2308" width="24" bestFit="1" customWidth="1"/>
    <col min="2310" max="2310" width="18.6640625" customWidth="1"/>
    <col min="2311" max="2317" width="17.109375" bestFit="1" customWidth="1"/>
    <col min="2318" max="2318" width="15.6640625" bestFit="1" customWidth="1"/>
    <col min="2563" max="2563" width="33.33203125" bestFit="1" customWidth="1"/>
    <col min="2564" max="2564" width="24" bestFit="1" customWidth="1"/>
    <col min="2566" max="2566" width="18.6640625" customWidth="1"/>
    <col min="2567" max="2573" width="17.109375" bestFit="1" customWidth="1"/>
    <col min="2574" max="2574" width="15.6640625" bestFit="1" customWidth="1"/>
    <col min="2819" max="2819" width="33.33203125" bestFit="1" customWidth="1"/>
    <col min="2820" max="2820" width="24" bestFit="1" customWidth="1"/>
    <col min="2822" max="2822" width="18.6640625" customWidth="1"/>
    <col min="2823" max="2829" width="17.109375" bestFit="1" customWidth="1"/>
    <col min="2830" max="2830" width="15.6640625" bestFit="1" customWidth="1"/>
    <col min="3075" max="3075" width="33.33203125" bestFit="1" customWidth="1"/>
    <col min="3076" max="3076" width="24" bestFit="1" customWidth="1"/>
    <col min="3078" max="3078" width="18.6640625" customWidth="1"/>
    <col min="3079" max="3085" width="17.109375" bestFit="1" customWidth="1"/>
    <col min="3086" max="3086" width="15.6640625" bestFit="1" customWidth="1"/>
    <col min="3331" max="3331" width="33.33203125" bestFit="1" customWidth="1"/>
    <col min="3332" max="3332" width="24" bestFit="1" customWidth="1"/>
    <col min="3334" max="3334" width="18.6640625" customWidth="1"/>
    <col min="3335" max="3341" width="17.109375" bestFit="1" customWidth="1"/>
    <col min="3342" max="3342" width="15.6640625" bestFit="1" customWidth="1"/>
    <col min="3587" max="3587" width="33.33203125" bestFit="1" customWidth="1"/>
    <col min="3588" max="3588" width="24" bestFit="1" customWidth="1"/>
    <col min="3590" max="3590" width="18.6640625" customWidth="1"/>
    <col min="3591" max="3597" width="17.109375" bestFit="1" customWidth="1"/>
    <col min="3598" max="3598" width="15.6640625" bestFit="1" customWidth="1"/>
    <col min="3843" max="3843" width="33.33203125" bestFit="1" customWidth="1"/>
    <col min="3844" max="3844" width="24" bestFit="1" customWidth="1"/>
    <col min="3846" max="3846" width="18.6640625" customWidth="1"/>
    <col min="3847" max="3853" width="17.109375" bestFit="1" customWidth="1"/>
    <col min="3854" max="3854" width="15.6640625" bestFit="1" customWidth="1"/>
    <col min="4099" max="4099" width="33.33203125" bestFit="1" customWidth="1"/>
    <col min="4100" max="4100" width="24" bestFit="1" customWidth="1"/>
    <col min="4102" max="4102" width="18.6640625" customWidth="1"/>
    <col min="4103" max="4109" width="17.109375" bestFit="1" customWidth="1"/>
    <col min="4110" max="4110" width="15.6640625" bestFit="1" customWidth="1"/>
    <col min="4355" max="4355" width="33.33203125" bestFit="1" customWidth="1"/>
    <col min="4356" max="4356" width="24" bestFit="1" customWidth="1"/>
    <col min="4358" max="4358" width="18.6640625" customWidth="1"/>
    <col min="4359" max="4365" width="17.109375" bestFit="1" customWidth="1"/>
    <col min="4366" max="4366" width="15.6640625" bestFit="1" customWidth="1"/>
    <col min="4611" max="4611" width="33.33203125" bestFit="1" customWidth="1"/>
    <col min="4612" max="4612" width="24" bestFit="1" customWidth="1"/>
    <col min="4614" max="4614" width="18.6640625" customWidth="1"/>
    <col min="4615" max="4621" width="17.109375" bestFit="1" customWidth="1"/>
    <col min="4622" max="4622" width="15.6640625" bestFit="1" customWidth="1"/>
    <col min="4867" max="4867" width="33.33203125" bestFit="1" customWidth="1"/>
    <col min="4868" max="4868" width="24" bestFit="1" customWidth="1"/>
    <col min="4870" max="4870" width="18.6640625" customWidth="1"/>
    <col min="4871" max="4877" width="17.109375" bestFit="1" customWidth="1"/>
    <col min="4878" max="4878" width="15.6640625" bestFit="1" customWidth="1"/>
    <col min="5123" max="5123" width="33.33203125" bestFit="1" customWidth="1"/>
    <col min="5124" max="5124" width="24" bestFit="1" customWidth="1"/>
    <col min="5126" max="5126" width="18.6640625" customWidth="1"/>
    <col min="5127" max="5133" width="17.109375" bestFit="1" customWidth="1"/>
    <col min="5134" max="5134" width="15.6640625" bestFit="1" customWidth="1"/>
    <col min="5379" max="5379" width="33.33203125" bestFit="1" customWidth="1"/>
    <col min="5380" max="5380" width="24" bestFit="1" customWidth="1"/>
    <col min="5382" max="5382" width="18.6640625" customWidth="1"/>
    <col min="5383" max="5389" width="17.109375" bestFit="1" customWidth="1"/>
    <col min="5390" max="5390" width="15.6640625" bestFit="1" customWidth="1"/>
    <col min="5635" max="5635" width="33.33203125" bestFit="1" customWidth="1"/>
    <col min="5636" max="5636" width="24" bestFit="1" customWidth="1"/>
    <col min="5638" max="5638" width="18.6640625" customWidth="1"/>
    <col min="5639" max="5645" width="17.109375" bestFit="1" customWidth="1"/>
    <col min="5646" max="5646" width="15.6640625" bestFit="1" customWidth="1"/>
    <col min="5891" max="5891" width="33.33203125" bestFit="1" customWidth="1"/>
    <col min="5892" max="5892" width="24" bestFit="1" customWidth="1"/>
    <col min="5894" max="5894" width="18.6640625" customWidth="1"/>
    <col min="5895" max="5901" width="17.109375" bestFit="1" customWidth="1"/>
    <col min="5902" max="5902" width="15.6640625" bestFit="1" customWidth="1"/>
    <col min="6147" max="6147" width="33.33203125" bestFit="1" customWidth="1"/>
    <col min="6148" max="6148" width="24" bestFit="1" customWidth="1"/>
    <col min="6150" max="6150" width="18.6640625" customWidth="1"/>
    <col min="6151" max="6157" width="17.109375" bestFit="1" customWidth="1"/>
    <col min="6158" max="6158" width="15.6640625" bestFit="1" customWidth="1"/>
    <col min="6403" max="6403" width="33.33203125" bestFit="1" customWidth="1"/>
    <col min="6404" max="6404" width="24" bestFit="1" customWidth="1"/>
    <col min="6406" max="6406" width="18.6640625" customWidth="1"/>
    <col min="6407" max="6413" width="17.109375" bestFit="1" customWidth="1"/>
    <col min="6414" max="6414" width="15.6640625" bestFit="1" customWidth="1"/>
    <col min="6659" max="6659" width="33.33203125" bestFit="1" customWidth="1"/>
    <col min="6660" max="6660" width="24" bestFit="1" customWidth="1"/>
    <col min="6662" max="6662" width="18.6640625" customWidth="1"/>
    <col min="6663" max="6669" width="17.109375" bestFit="1" customWidth="1"/>
    <col min="6670" max="6670" width="15.6640625" bestFit="1" customWidth="1"/>
    <col min="6915" max="6915" width="33.33203125" bestFit="1" customWidth="1"/>
    <col min="6916" max="6916" width="24" bestFit="1" customWidth="1"/>
    <col min="6918" max="6918" width="18.6640625" customWidth="1"/>
    <col min="6919" max="6925" width="17.109375" bestFit="1" customWidth="1"/>
    <col min="6926" max="6926" width="15.6640625" bestFit="1" customWidth="1"/>
    <col min="7171" max="7171" width="33.33203125" bestFit="1" customWidth="1"/>
    <col min="7172" max="7172" width="24" bestFit="1" customWidth="1"/>
    <col min="7174" max="7174" width="18.6640625" customWidth="1"/>
    <col min="7175" max="7181" width="17.109375" bestFit="1" customWidth="1"/>
    <col min="7182" max="7182" width="15.6640625" bestFit="1" customWidth="1"/>
    <col min="7427" max="7427" width="33.33203125" bestFit="1" customWidth="1"/>
    <col min="7428" max="7428" width="24" bestFit="1" customWidth="1"/>
    <col min="7430" max="7430" width="18.6640625" customWidth="1"/>
    <col min="7431" max="7437" width="17.109375" bestFit="1" customWidth="1"/>
    <col min="7438" max="7438" width="15.6640625" bestFit="1" customWidth="1"/>
    <col min="7683" max="7683" width="33.33203125" bestFit="1" customWidth="1"/>
    <col min="7684" max="7684" width="24" bestFit="1" customWidth="1"/>
    <col min="7686" max="7686" width="18.6640625" customWidth="1"/>
    <col min="7687" max="7693" width="17.109375" bestFit="1" customWidth="1"/>
    <col min="7694" max="7694" width="15.6640625" bestFit="1" customWidth="1"/>
    <col min="7939" max="7939" width="33.33203125" bestFit="1" customWidth="1"/>
    <col min="7940" max="7940" width="24" bestFit="1" customWidth="1"/>
    <col min="7942" max="7942" width="18.6640625" customWidth="1"/>
    <col min="7943" max="7949" width="17.109375" bestFit="1" customWidth="1"/>
    <col min="7950" max="7950" width="15.6640625" bestFit="1" customWidth="1"/>
    <col min="8195" max="8195" width="33.33203125" bestFit="1" customWidth="1"/>
    <col min="8196" max="8196" width="24" bestFit="1" customWidth="1"/>
    <col min="8198" max="8198" width="18.6640625" customWidth="1"/>
    <col min="8199" max="8205" width="17.109375" bestFit="1" customWidth="1"/>
    <col min="8206" max="8206" width="15.6640625" bestFit="1" customWidth="1"/>
    <col min="8451" max="8451" width="33.33203125" bestFit="1" customWidth="1"/>
    <col min="8452" max="8452" width="24" bestFit="1" customWidth="1"/>
    <col min="8454" max="8454" width="18.6640625" customWidth="1"/>
    <col min="8455" max="8461" width="17.109375" bestFit="1" customWidth="1"/>
    <col min="8462" max="8462" width="15.6640625" bestFit="1" customWidth="1"/>
    <col min="8707" max="8707" width="33.33203125" bestFit="1" customWidth="1"/>
    <col min="8708" max="8708" width="24" bestFit="1" customWidth="1"/>
    <col min="8710" max="8710" width="18.6640625" customWidth="1"/>
    <col min="8711" max="8717" width="17.109375" bestFit="1" customWidth="1"/>
    <col min="8718" max="8718" width="15.6640625" bestFit="1" customWidth="1"/>
    <col min="8963" max="8963" width="33.33203125" bestFit="1" customWidth="1"/>
    <col min="8964" max="8964" width="24" bestFit="1" customWidth="1"/>
    <col min="8966" max="8966" width="18.6640625" customWidth="1"/>
    <col min="8967" max="8973" width="17.109375" bestFit="1" customWidth="1"/>
    <col min="8974" max="8974" width="15.6640625" bestFit="1" customWidth="1"/>
    <col min="9219" max="9219" width="33.33203125" bestFit="1" customWidth="1"/>
    <col min="9220" max="9220" width="24" bestFit="1" customWidth="1"/>
    <col min="9222" max="9222" width="18.6640625" customWidth="1"/>
    <col min="9223" max="9229" width="17.109375" bestFit="1" customWidth="1"/>
    <col min="9230" max="9230" width="15.6640625" bestFit="1" customWidth="1"/>
    <col min="9475" max="9475" width="33.33203125" bestFit="1" customWidth="1"/>
    <col min="9476" max="9476" width="24" bestFit="1" customWidth="1"/>
    <col min="9478" max="9478" width="18.6640625" customWidth="1"/>
    <col min="9479" max="9485" width="17.109375" bestFit="1" customWidth="1"/>
    <col min="9486" max="9486" width="15.6640625" bestFit="1" customWidth="1"/>
    <col min="9731" max="9731" width="33.33203125" bestFit="1" customWidth="1"/>
    <col min="9732" max="9732" width="24" bestFit="1" customWidth="1"/>
    <col min="9734" max="9734" width="18.6640625" customWidth="1"/>
    <col min="9735" max="9741" width="17.109375" bestFit="1" customWidth="1"/>
    <col min="9742" max="9742" width="15.6640625" bestFit="1" customWidth="1"/>
    <col min="9987" max="9987" width="33.33203125" bestFit="1" customWidth="1"/>
    <col min="9988" max="9988" width="24" bestFit="1" customWidth="1"/>
    <col min="9990" max="9990" width="18.6640625" customWidth="1"/>
    <col min="9991" max="9997" width="17.109375" bestFit="1" customWidth="1"/>
    <col min="9998" max="9998" width="15.6640625" bestFit="1" customWidth="1"/>
    <col min="10243" max="10243" width="33.33203125" bestFit="1" customWidth="1"/>
    <col min="10244" max="10244" width="24" bestFit="1" customWidth="1"/>
    <col min="10246" max="10246" width="18.6640625" customWidth="1"/>
    <col min="10247" max="10253" width="17.109375" bestFit="1" customWidth="1"/>
    <col min="10254" max="10254" width="15.6640625" bestFit="1" customWidth="1"/>
    <col min="10499" max="10499" width="33.33203125" bestFit="1" customWidth="1"/>
    <col min="10500" max="10500" width="24" bestFit="1" customWidth="1"/>
    <col min="10502" max="10502" width="18.6640625" customWidth="1"/>
    <col min="10503" max="10509" width="17.109375" bestFit="1" customWidth="1"/>
    <col min="10510" max="10510" width="15.6640625" bestFit="1" customWidth="1"/>
    <col min="10755" max="10755" width="33.33203125" bestFit="1" customWidth="1"/>
    <col min="10756" max="10756" width="24" bestFit="1" customWidth="1"/>
    <col min="10758" max="10758" width="18.6640625" customWidth="1"/>
    <col min="10759" max="10765" width="17.109375" bestFit="1" customWidth="1"/>
    <col min="10766" max="10766" width="15.6640625" bestFit="1" customWidth="1"/>
    <col min="11011" max="11011" width="33.33203125" bestFit="1" customWidth="1"/>
    <col min="11012" max="11012" width="24" bestFit="1" customWidth="1"/>
    <col min="11014" max="11014" width="18.6640625" customWidth="1"/>
    <col min="11015" max="11021" width="17.109375" bestFit="1" customWidth="1"/>
    <col min="11022" max="11022" width="15.6640625" bestFit="1" customWidth="1"/>
    <col min="11267" max="11267" width="33.33203125" bestFit="1" customWidth="1"/>
    <col min="11268" max="11268" width="24" bestFit="1" customWidth="1"/>
    <col min="11270" max="11270" width="18.6640625" customWidth="1"/>
    <col min="11271" max="11277" width="17.109375" bestFit="1" customWidth="1"/>
    <col min="11278" max="11278" width="15.6640625" bestFit="1" customWidth="1"/>
    <col min="11523" max="11523" width="33.33203125" bestFit="1" customWidth="1"/>
    <col min="11524" max="11524" width="24" bestFit="1" customWidth="1"/>
    <col min="11526" max="11526" width="18.6640625" customWidth="1"/>
    <col min="11527" max="11533" width="17.109375" bestFit="1" customWidth="1"/>
    <col min="11534" max="11534" width="15.6640625" bestFit="1" customWidth="1"/>
    <col min="11779" max="11779" width="33.33203125" bestFit="1" customWidth="1"/>
    <col min="11780" max="11780" width="24" bestFit="1" customWidth="1"/>
    <col min="11782" max="11782" width="18.6640625" customWidth="1"/>
    <col min="11783" max="11789" width="17.109375" bestFit="1" customWidth="1"/>
    <col min="11790" max="11790" width="15.6640625" bestFit="1" customWidth="1"/>
    <col min="12035" max="12035" width="33.33203125" bestFit="1" customWidth="1"/>
    <col min="12036" max="12036" width="24" bestFit="1" customWidth="1"/>
    <col min="12038" max="12038" width="18.6640625" customWidth="1"/>
    <col min="12039" max="12045" width="17.109375" bestFit="1" customWidth="1"/>
    <col min="12046" max="12046" width="15.6640625" bestFit="1" customWidth="1"/>
    <col min="12291" max="12291" width="33.33203125" bestFit="1" customWidth="1"/>
    <col min="12292" max="12292" width="24" bestFit="1" customWidth="1"/>
    <col min="12294" max="12294" width="18.6640625" customWidth="1"/>
    <col min="12295" max="12301" width="17.109375" bestFit="1" customWidth="1"/>
    <col min="12302" max="12302" width="15.6640625" bestFit="1" customWidth="1"/>
    <col min="12547" max="12547" width="33.33203125" bestFit="1" customWidth="1"/>
    <col min="12548" max="12548" width="24" bestFit="1" customWidth="1"/>
    <col min="12550" max="12550" width="18.6640625" customWidth="1"/>
    <col min="12551" max="12557" width="17.109375" bestFit="1" customWidth="1"/>
    <col min="12558" max="12558" width="15.6640625" bestFit="1" customWidth="1"/>
    <col min="12803" max="12803" width="33.33203125" bestFit="1" customWidth="1"/>
    <col min="12804" max="12804" width="24" bestFit="1" customWidth="1"/>
    <col min="12806" max="12806" width="18.6640625" customWidth="1"/>
    <col min="12807" max="12813" width="17.109375" bestFit="1" customWidth="1"/>
    <col min="12814" max="12814" width="15.6640625" bestFit="1" customWidth="1"/>
    <col min="13059" max="13059" width="33.33203125" bestFit="1" customWidth="1"/>
    <col min="13060" max="13060" width="24" bestFit="1" customWidth="1"/>
    <col min="13062" max="13062" width="18.6640625" customWidth="1"/>
    <col min="13063" max="13069" width="17.109375" bestFit="1" customWidth="1"/>
    <col min="13070" max="13070" width="15.6640625" bestFit="1" customWidth="1"/>
    <col min="13315" max="13315" width="33.33203125" bestFit="1" customWidth="1"/>
    <col min="13316" max="13316" width="24" bestFit="1" customWidth="1"/>
    <col min="13318" max="13318" width="18.6640625" customWidth="1"/>
    <col min="13319" max="13325" width="17.109375" bestFit="1" customWidth="1"/>
    <col min="13326" max="13326" width="15.6640625" bestFit="1" customWidth="1"/>
    <col min="13571" max="13571" width="33.33203125" bestFit="1" customWidth="1"/>
    <col min="13572" max="13572" width="24" bestFit="1" customWidth="1"/>
    <col min="13574" max="13574" width="18.6640625" customWidth="1"/>
    <col min="13575" max="13581" width="17.109375" bestFit="1" customWidth="1"/>
    <col min="13582" max="13582" width="15.6640625" bestFit="1" customWidth="1"/>
    <col min="13827" max="13827" width="33.33203125" bestFit="1" customWidth="1"/>
    <col min="13828" max="13828" width="24" bestFit="1" customWidth="1"/>
    <col min="13830" max="13830" width="18.6640625" customWidth="1"/>
    <col min="13831" max="13837" width="17.109375" bestFit="1" customWidth="1"/>
    <col min="13838" max="13838" width="15.6640625" bestFit="1" customWidth="1"/>
    <col min="14083" max="14083" width="33.33203125" bestFit="1" customWidth="1"/>
    <col min="14084" max="14084" width="24" bestFit="1" customWidth="1"/>
    <col min="14086" max="14086" width="18.6640625" customWidth="1"/>
    <col min="14087" max="14093" width="17.109375" bestFit="1" customWidth="1"/>
    <col min="14094" max="14094" width="15.6640625" bestFit="1" customWidth="1"/>
    <col min="14339" max="14339" width="33.33203125" bestFit="1" customWidth="1"/>
    <col min="14340" max="14340" width="24" bestFit="1" customWidth="1"/>
    <col min="14342" max="14342" width="18.6640625" customWidth="1"/>
    <col min="14343" max="14349" width="17.109375" bestFit="1" customWidth="1"/>
    <col min="14350" max="14350" width="15.6640625" bestFit="1" customWidth="1"/>
    <col min="14595" max="14595" width="33.33203125" bestFit="1" customWidth="1"/>
    <col min="14596" max="14596" width="24" bestFit="1" customWidth="1"/>
    <col min="14598" max="14598" width="18.6640625" customWidth="1"/>
    <col min="14599" max="14605" width="17.109375" bestFit="1" customWidth="1"/>
    <col min="14606" max="14606" width="15.6640625" bestFit="1" customWidth="1"/>
    <col min="14851" max="14851" width="33.33203125" bestFit="1" customWidth="1"/>
    <col min="14852" max="14852" width="24" bestFit="1" customWidth="1"/>
    <col min="14854" max="14854" width="18.6640625" customWidth="1"/>
    <col min="14855" max="14861" width="17.109375" bestFit="1" customWidth="1"/>
    <col min="14862" max="14862" width="15.6640625" bestFit="1" customWidth="1"/>
    <col min="15107" max="15107" width="33.33203125" bestFit="1" customWidth="1"/>
    <col min="15108" max="15108" width="24" bestFit="1" customWidth="1"/>
    <col min="15110" max="15110" width="18.6640625" customWidth="1"/>
    <col min="15111" max="15117" width="17.109375" bestFit="1" customWidth="1"/>
    <col min="15118" max="15118" width="15.6640625" bestFit="1" customWidth="1"/>
    <col min="15363" max="15363" width="33.33203125" bestFit="1" customWidth="1"/>
    <col min="15364" max="15364" width="24" bestFit="1" customWidth="1"/>
    <col min="15366" max="15366" width="18.6640625" customWidth="1"/>
    <col min="15367" max="15373" width="17.109375" bestFit="1" customWidth="1"/>
    <col min="15374" max="15374" width="15.6640625" bestFit="1" customWidth="1"/>
    <col min="15619" max="15619" width="33.33203125" bestFit="1" customWidth="1"/>
    <col min="15620" max="15620" width="24" bestFit="1" customWidth="1"/>
    <col min="15622" max="15622" width="18.6640625" customWidth="1"/>
    <col min="15623" max="15629" width="17.109375" bestFit="1" customWidth="1"/>
    <col min="15630" max="15630" width="15.6640625" bestFit="1" customWidth="1"/>
    <col min="15875" max="15875" width="33.33203125" bestFit="1" customWidth="1"/>
    <col min="15876" max="15876" width="24" bestFit="1" customWidth="1"/>
    <col min="15878" max="15878" width="18.6640625" customWidth="1"/>
    <col min="15879" max="15885" width="17.109375" bestFit="1" customWidth="1"/>
    <col min="15886" max="15886" width="15.6640625" bestFit="1" customWidth="1"/>
    <col min="16131" max="16131" width="33.33203125" bestFit="1" customWidth="1"/>
    <col min="16132" max="16132" width="24" bestFit="1" customWidth="1"/>
    <col min="16134" max="16134" width="18.6640625" customWidth="1"/>
    <col min="16135" max="16141" width="17.109375" bestFit="1" customWidth="1"/>
    <col min="16142" max="16142" width="15.6640625" bestFit="1" customWidth="1"/>
  </cols>
  <sheetData>
    <row r="1" spans="2:14" ht="15" thickBot="1"/>
    <row r="2" spans="2:14" ht="11.25" customHeight="1">
      <c r="B2" s="131" t="s">
        <v>56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3"/>
    </row>
    <row r="3" spans="2:14" ht="11.25" customHeight="1">
      <c r="B3" s="134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6"/>
    </row>
    <row r="4" spans="2:14" ht="15" thickBot="1">
      <c r="B4" s="137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9"/>
    </row>
    <row r="6" spans="2:14" ht="18">
      <c r="B6" s="140" t="s">
        <v>57</v>
      </c>
      <c r="C6" s="141"/>
      <c r="E6" s="24"/>
      <c r="F6" s="25"/>
      <c r="G6" s="142" t="s">
        <v>22</v>
      </c>
      <c r="H6" s="142"/>
      <c r="I6" s="142"/>
      <c r="J6" s="142"/>
      <c r="K6" s="142"/>
      <c r="L6" s="142"/>
      <c r="M6" s="142"/>
      <c r="N6" s="143"/>
    </row>
    <row r="7" spans="2:14">
      <c r="E7" s="26"/>
      <c r="F7" s="79">
        <f>C12</f>
        <v>0</v>
      </c>
      <c r="G7" s="28">
        <v>1500000</v>
      </c>
      <c r="H7" s="28">
        <v>2000000</v>
      </c>
      <c r="I7" s="28">
        <v>2500000</v>
      </c>
      <c r="J7" s="28">
        <v>3000000</v>
      </c>
      <c r="K7" s="28">
        <v>3500000</v>
      </c>
      <c r="L7" s="28">
        <v>4000000</v>
      </c>
      <c r="M7" s="28">
        <v>4500000</v>
      </c>
      <c r="N7" s="28">
        <v>5000000</v>
      </c>
    </row>
    <row r="8" spans="2:14" ht="15.6">
      <c r="B8" s="29" t="s">
        <v>58</v>
      </c>
      <c r="C8" s="30">
        <v>0.08</v>
      </c>
      <c r="E8" s="144" t="s">
        <v>59</v>
      </c>
      <c r="F8" s="31">
        <v>7.4999999999999997E-2</v>
      </c>
      <c r="G8" s="32"/>
      <c r="H8" s="32"/>
      <c r="I8" s="32"/>
      <c r="J8" s="32"/>
      <c r="K8" s="32"/>
      <c r="L8" s="32"/>
      <c r="M8" s="32"/>
      <c r="N8" s="32"/>
    </row>
    <row r="9" spans="2:14" ht="15.6">
      <c r="B9" s="29" t="s">
        <v>60</v>
      </c>
      <c r="C9" s="33">
        <v>180</v>
      </c>
      <c r="E9" s="144"/>
      <c r="F9" s="31">
        <v>7.5999999999999998E-2</v>
      </c>
      <c r="G9" s="32"/>
      <c r="H9" s="32"/>
      <c r="I9" s="32"/>
      <c r="J9" s="32"/>
      <c r="K9" s="32"/>
      <c r="L9" s="32"/>
      <c r="M9" s="32"/>
      <c r="N9" s="32"/>
    </row>
    <row r="10" spans="2:14" ht="15.6">
      <c r="B10" s="29" t="s">
        <v>61</v>
      </c>
      <c r="C10" s="34">
        <v>3000000</v>
      </c>
      <c r="E10" s="144"/>
      <c r="F10" s="31">
        <v>7.6999999999999999E-2</v>
      </c>
      <c r="G10" s="32"/>
      <c r="H10" s="32"/>
      <c r="I10" s="32"/>
      <c r="J10" s="32"/>
      <c r="K10" s="32"/>
      <c r="L10" s="32"/>
      <c r="M10" s="32"/>
      <c r="N10" s="32"/>
    </row>
    <row r="11" spans="2:14" ht="15.6">
      <c r="B11" s="29" t="s">
        <v>62</v>
      </c>
      <c r="C11" s="33">
        <v>0</v>
      </c>
      <c r="E11" s="144"/>
      <c r="F11" s="31">
        <v>7.8E-2</v>
      </c>
      <c r="G11" s="32"/>
      <c r="H11" s="32"/>
      <c r="I11" s="32"/>
      <c r="J11" s="32"/>
      <c r="K11" s="32"/>
      <c r="L11" s="32"/>
      <c r="M11" s="32"/>
      <c r="N11" s="32"/>
    </row>
    <row r="12" spans="2:14" ht="15.6">
      <c r="B12" s="29" t="s">
        <v>63</v>
      </c>
      <c r="C12" s="35"/>
      <c r="E12" s="144"/>
      <c r="F12" s="31">
        <v>7.9000000000000001E-2</v>
      </c>
      <c r="G12" s="32"/>
      <c r="H12" s="32"/>
      <c r="I12" s="32"/>
      <c r="J12" s="32"/>
      <c r="K12" s="32"/>
      <c r="L12" s="32"/>
      <c r="M12" s="32"/>
      <c r="N12" s="32"/>
    </row>
    <row r="13" spans="2:14" ht="15.6">
      <c r="B13" s="29" t="s">
        <v>64</v>
      </c>
      <c r="C13" s="35"/>
      <c r="E13" s="144"/>
      <c r="F13" s="31">
        <v>0.08</v>
      </c>
      <c r="G13" s="32"/>
      <c r="H13" s="32"/>
      <c r="I13" s="32"/>
      <c r="J13" s="36"/>
      <c r="K13" s="32"/>
      <c r="L13" s="32"/>
      <c r="M13" s="32"/>
      <c r="N13" s="32"/>
    </row>
    <row r="14" spans="2:14" ht="16.2" thickBot="1">
      <c r="B14" s="37" t="s">
        <v>65</v>
      </c>
      <c r="C14" s="38"/>
      <c r="E14" s="144"/>
      <c r="F14" s="31">
        <v>8.1000000000000003E-2</v>
      </c>
      <c r="G14" s="32"/>
      <c r="H14" s="32"/>
      <c r="I14" s="32"/>
      <c r="J14" s="32"/>
      <c r="K14" s="32"/>
      <c r="L14" s="32"/>
      <c r="M14" s="32"/>
      <c r="N14" s="32"/>
    </row>
    <row r="15" spans="2:14">
      <c r="E15" s="144"/>
      <c r="F15" s="31">
        <v>8.2000000000000003E-2</v>
      </c>
      <c r="G15" s="32"/>
      <c r="H15" s="32"/>
      <c r="I15" s="32"/>
      <c r="J15" s="32"/>
      <c r="K15" s="32"/>
      <c r="L15" s="32"/>
      <c r="M15" s="32"/>
      <c r="N15" s="32"/>
    </row>
    <row r="16" spans="2:14">
      <c r="E16" s="144"/>
      <c r="F16" s="31">
        <v>8.3000000000000004E-2</v>
      </c>
      <c r="G16" s="32"/>
      <c r="H16" s="32"/>
      <c r="I16" s="32"/>
      <c r="J16" s="32"/>
      <c r="K16" s="32"/>
      <c r="L16" s="32"/>
      <c r="M16" s="32"/>
      <c r="N16" s="32"/>
    </row>
    <row r="17" spans="5:14">
      <c r="E17" s="144"/>
      <c r="F17" s="31">
        <v>8.4000000000000005E-2</v>
      </c>
      <c r="G17" s="32"/>
      <c r="H17" s="32"/>
      <c r="I17" s="32"/>
      <c r="J17" s="32"/>
      <c r="K17" s="32"/>
      <c r="L17" s="32"/>
      <c r="M17" s="32"/>
      <c r="N17" s="32"/>
    </row>
    <row r="18" spans="5:14">
      <c r="E18" s="144"/>
      <c r="F18" s="31">
        <v>8.5000000000000006E-2</v>
      </c>
      <c r="G18" s="32"/>
      <c r="H18" s="32"/>
      <c r="I18" s="32"/>
      <c r="J18" s="32"/>
      <c r="K18" s="32"/>
      <c r="L18" s="32"/>
      <c r="M18" s="32"/>
      <c r="N18" s="32"/>
    </row>
    <row r="19" spans="5:14">
      <c r="E19" s="144"/>
      <c r="F19" s="31">
        <v>8.5999999999999993E-2</v>
      </c>
      <c r="G19" s="32"/>
      <c r="H19" s="32"/>
      <c r="I19" s="32"/>
      <c r="J19" s="32"/>
      <c r="K19" s="32"/>
      <c r="L19" s="32"/>
      <c r="M19" s="32"/>
      <c r="N19" s="32"/>
    </row>
    <row r="20" spans="5:14">
      <c r="E20" s="144"/>
      <c r="F20" s="31">
        <v>8.6999999999999994E-2</v>
      </c>
      <c r="G20" s="32"/>
      <c r="H20" s="32"/>
      <c r="I20" s="32"/>
      <c r="J20" s="32"/>
      <c r="K20" s="32"/>
      <c r="L20" s="32"/>
      <c r="M20" s="32"/>
      <c r="N20" s="32"/>
    </row>
    <row r="21" spans="5:14">
      <c r="E21" s="144"/>
      <c r="F21" s="31">
        <v>8.7999999999999995E-2</v>
      </c>
      <c r="G21" s="32"/>
      <c r="H21" s="32"/>
      <c r="I21" s="32"/>
      <c r="J21" s="32"/>
      <c r="K21" s="32"/>
      <c r="L21" s="32"/>
      <c r="M21" s="32"/>
      <c r="N21" s="32"/>
    </row>
    <row r="22" spans="5:14">
      <c r="E22" s="144"/>
      <c r="F22" s="31">
        <v>8.8999999999999996E-2</v>
      </c>
      <c r="G22" s="32"/>
      <c r="H22" s="32"/>
      <c r="I22" s="32"/>
      <c r="J22" s="32"/>
      <c r="K22" s="32"/>
      <c r="L22" s="32"/>
      <c r="M22" s="32"/>
      <c r="N22" s="32"/>
    </row>
    <row r="23" spans="5:14">
      <c r="E23" s="145"/>
      <c r="F23" s="31">
        <v>0.09</v>
      </c>
      <c r="G23" s="32"/>
      <c r="H23" s="32"/>
      <c r="I23" s="32"/>
      <c r="J23" s="32"/>
      <c r="K23" s="32"/>
      <c r="L23" s="32"/>
      <c r="M23" s="32"/>
      <c r="N23" s="32"/>
    </row>
  </sheetData>
  <mergeCells count="4">
    <mergeCell ref="B2:N4"/>
    <mergeCell ref="B6:C6"/>
    <mergeCell ref="G6:N6"/>
    <mergeCell ref="E8:E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8F24-C480-433B-AB46-7B643617A10C}">
  <dimension ref="B1:J25"/>
  <sheetViews>
    <sheetView topLeftCell="A5" zoomScale="120" zoomScaleNormal="120" workbookViewId="0">
      <selection activeCell="G26" sqref="G26"/>
    </sheetView>
  </sheetViews>
  <sheetFormatPr defaultRowHeight="14.4"/>
  <cols>
    <col min="2" max="2" width="27.6640625" bestFit="1" customWidth="1"/>
    <col min="3" max="3" width="17.6640625" bestFit="1" customWidth="1"/>
    <col min="4" max="6" width="11.5546875" bestFit="1" customWidth="1"/>
    <col min="8" max="8" width="13.6640625" bestFit="1" customWidth="1"/>
    <col min="10" max="10" width="22.88671875" bestFit="1" customWidth="1"/>
  </cols>
  <sheetData>
    <row r="1" spans="2:8" ht="15" thickBot="1"/>
    <row r="2" spans="2:8" ht="10.5" customHeight="1">
      <c r="B2" s="146" t="s">
        <v>66</v>
      </c>
      <c r="C2" s="147"/>
      <c r="D2" s="147"/>
      <c r="E2" s="147"/>
      <c r="F2" s="147"/>
      <c r="G2" s="147"/>
      <c r="H2" s="148"/>
    </row>
    <row r="3" spans="2:8" ht="10.5" customHeight="1">
      <c r="B3" s="149"/>
      <c r="C3" s="150"/>
      <c r="D3" s="150"/>
      <c r="E3" s="150"/>
      <c r="F3" s="150"/>
      <c r="G3" s="150"/>
      <c r="H3" s="151"/>
    </row>
    <row r="4" spans="2:8" ht="15" thickBot="1">
      <c r="B4" s="152"/>
      <c r="C4" s="153"/>
      <c r="D4" s="153"/>
      <c r="E4" s="153"/>
      <c r="F4" s="153"/>
      <c r="G4" s="153"/>
      <c r="H4" s="154"/>
    </row>
    <row r="11" spans="2:8" ht="15" thickBot="1"/>
    <row r="12" spans="2:8" ht="15" thickBot="1">
      <c r="B12" s="39" t="s">
        <v>67</v>
      </c>
    </row>
    <row r="13" spans="2:8">
      <c r="C13" s="40" t="s">
        <v>68</v>
      </c>
      <c r="D13" s="40" t="s">
        <v>69</v>
      </c>
      <c r="E13" s="40" t="s">
        <v>70</v>
      </c>
      <c r="F13" s="41" t="s">
        <v>71</v>
      </c>
    </row>
    <row r="14" spans="2:8" ht="15.6">
      <c r="B14" s="42" t="s">
        <v>72</v>
      </c>
      <c r="C14" s="3">
        <v>50</v>
      </c>
      <c r="D14" s="3">
        <v>65</v>
      </c>
      <c r="E14" s="3">
        <v>50</v>
      </c>
      <c r="F14" s="43">
        <v>90</v>
      </c>
    </row>
    <row r="15" spans="2:8" ht="16.2" thickBot="1">
      <c r="B15" s="44" t="s">
        <v>73</v>
      </c>
      <c r="C15" s="45">
        <v>55</v>
      </c>
      <c r="D15" s="45">
        <v>70</v>
      </c>
      <c r="E15" s="45">
        <v>80</v>
      </c>
      <c r="F15" s="46">
        <v>75</v>
      </c>
      <c r="H15" s="10"/>
    </row>
    <row r="16" spans="2:8" ht="15" thickBot="1">
      <c r="H16" s="10"/>
    </row>
    <row r="17" spans="2:10" ht="15" thickBot="1">
      <c r="B17" s="39" t="s">
        <v>74</v>
      </c>
    </row>
    <row r="18" spans="2:10">
      <c r="C18" s="40" t="s">
        <v>68</v>
      </c>
      <c r="D18" s="40" t="s">
        <v>69</v>
      </c>
      <c r="E18" s="40" t="s">
        <v>70</v>
      </c>
      <c r="F18" s="41" t="s">
        <v>71</v>
      </c>
      <c r="H18" s="47" t="s">
        <v>75</v>
      </c>
      <c r="J18" s="47" t="s">
        <v>76</v>
      </c>
    </row>
    <row r="19" spans="2:10" ht="15.6">
      <c r="B19" s="42" t="s">
        <v>72</v>
      </c>
      <c r="C19" s="105">
        <v>32000</v>
      </c>
      <c r="D19" s="105">
        <v>0</v>
      </c>
      <c r="E19" s="105">
        <v>18000</v>
      </c>
      <c r="F19" s="105">
        <v>0</v>
      </c>
      <c r="H19" s="1">
        <f>SUM(C19:F19)</f>
        <v>50000</v>
      </c>
      <c r="J19" s="1">
        <v>50000</v>
      </c>
    </row>
    <row r="20" spans="2:10" ht="16.2" thickBot="1">
      <c r="B20" s="44" t="s">
        <v>73</v>
      </c>
      <c r="C20" s="105">
        <v>3000</v>
      </c>
      <c r="D20" s="105">
        <v>21000</v>
      </c>
      <c r="E20" s="105">
        <v>0</v>
      </c>
      <c r="F20" s="105">
        <v>33000</v>
      </c>
      <c r="H20" s="1">
        <f>SUM(C20:F20)</f>
        <v>57000</v>
      </c>
      <c r="J20" s="1">
        <v>60000</v>
      </c>
    </row>
    <row r="21" spans="2:10" ht="15" thickBot="1"/>
    <row r="22" spans="2:10">
      <c r="B22" s="39" t="s">
        <v>77</v>
      </c>
      <c r="C22" s="48">
        <f>SUM(C19:C20)</f>
        <v>35000</v>
      </c>
      <c r="D22" s="48">
        <f>SUM(D19:D20)</f>
        <v>21000</v>
      </c>
      <c r="E22" s="48">
        <f t="shared" ref="E22:F22" si="0">SUM(E19:E20)</f>
        <v>18000</v>
      </c>
      <c r="F22" s="49">
        <f t="shared" si="0"/>
        <v>33000</v>
      </c>
    </row>
    <row r="23" spans="2:10" ht="15" thickBot="1">
      <c r="B23" s="50" t="s">
        <v>78</v>
      </c>
      <c r="C23" s="51">
        <v>35000</v>
      </c>
      <c r="D23" s="51">
        <v>21000</v>
      </c>
      <c r="E23" s="51">
        <v>18000</v>
      </c>
      <c r="F23" s="52">
        <v>33000</v>
      </c>
    </row>
    <row r="24" spans="2:10" ht="15" thickBot="1"/>
    <row r="25" spans="2:10" ht="16.2" thickBot="1">
      <c r="B25" s="47" t="s">
        <v>79</v>
      </c>
      <c r="C25" s="53">
        <f>SUMPRODUCT(C14:F15,C19:F20)</f>
        <v>6610000</v>
      </c>
    </row>
  </sheetData>
  <mergeCells count="1">
    <mergeCell ref="B2:H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7390-C3AF-4C7D-8869-D19CE653ADAD}">
  <dimension ref="A1:H16"/>
  <sheetViews>
    <sheetView workbookViewId="0">
      <selection activeCell="A3" sqref="A3"/>
    </sheetView>
  </sheetViews>
  <sheetFormatPr defaultColWidth="9.109375" defaultRowHeight="33.6"/>
  <cols>
    <col min="1" max="1" width="39.5546875" style="80" customWidth="1"/>
    <col min="2" max="2" width="14.77734375" style="80" bestFit="1" customWidth="1"/>
    <col min="3" max="4" width="12.77734375" style="80" bestFit="1" customWidth="1"/>
    <col min="5" max="5" width="14.77734375" style="80" bestFit="1" customWidth="1"/>
    <col min="6" max="7" width="12.77734375" style="80" bestFit="1" customWidth="1"/>
    <col min="8" max="8" width="18" style="80" bestFit="1" customWidth="1"/>
    <col min="9" max="16384" width="9.109375" style="81"/>
  </cols>
  <sheetData>
    <row r="1" spans="1:8" ht="29.25" customHeight="1" thickBot="1">
      <c r="A1" s="155" t="s">
        <v>90</v>
      </c>
      <c r="B1" s="156"/>
      <c r="C1" s="84"/>
      <c r="D1" s="84"/>
      <c r="E1" s="84"/>
      <c r="F1" s="84"/>
      <c r="G1" s="84"/>
    </row>
    <row r="2" spans="1:8" ht="10.5" customHeight="1" thickBot="1">
      <c r="A2" s="84"/>
      <c r="B2" s="84"/>
      <c r="C2" s="84"/>
      <c r="D2" s="84"/>
      <c r="E2" s="84"/>
      <c r="F2" s="84"/>
      <c r="G2" s="84"/>
    </row>
    <row r="3" spans="1:8" ht="22.5" customHeight="1" thickBot="1">
      <c r="A3" s="103" t="s">
        <v>91</v>
      </c>
      <c r="B3" s="103" t="s">
        <v>92</v>
      </c>
      <c r="C3" s="103" t="s">
        <v>93</v>
      </c>
      <c r="D3" s="103" t="s">
        <v>94</v>
      </c>
      <c r="E3" s="103" t="s">
        <v>95</v>
      </c>
      <c r="F3" s="103" t="s">
        <v>96</v>
      </c>
      <c r="G3" s="103" t="s">
        <v>97</v>
      </c>
    </row>
    <row r="4" spans="1:8" ht="20.25" customHeight="1">
      <c r="A4" s="85" t="s">
        <v>98</v>
      </c>
      <c r="B4" s="86">
        <v>44000</v>
      </c>
      <c r="C4" s="86">
        <v>63014.666666666664</v>
      </c>
      <c r="D4" s="86">
        <v>96110</v>
      </c>
      <c r="E4" s="86">
        <v>55828.666666666664</v>
      </c>
      <c r="F4" s="86">
        <v>53278</v>
      </c>
      <c r="G4" s="86">
        <v>53274.333333333336</v>
      </c>
      <c r="H4" s="82"/>
    </row>
    <row r="5" spans="1:8" ht="20.25" customHeight="1">
      <c r="A5" s="85" t="s">
        <v>99</v>
      </c>
      <c r="B5" s="86">
        <v>71580.833333333328</v>
      </c>
      <c r="C5" s="86">
        <v>53301.666666666664</v>
      </c>
      <c r="D5" s="86">
        <v>76768.5</v>
      </c>
      <c r="E5" s="86">
        <v>68316.5</v>
      </c>
      <c r="F5" s="86">
        <v>64912.333333333336</v>
      </c>
      <c r="G5" s="86">
        <v>101738.5</v>
      </c>
      <c r="H5" s="82"/>
    </row>
    <row r="6" spans="1:8" ht="20.25" customHeight="1">
      <c r="A6" s="85" t="s">
        <v>100</v>
      </c>
      <c r="B6" s="86">
        <v>68228.800000000003</v>
      </c>
      <c r="C6" s="86">
        <v>71992.25</v>
      </c>
      <c r="D6" s="86">
        <v>46774.666666666664</v>
      </c>
      <c r="E6" s="86">
        <v>57441.666666666664</v>
      </c>
      <c r="F6" s="86">
        <v>89982.166666666672</v>
      </c>
      <c r="G6" s="86">
        <v>111181</v>
      </c>
      <c r="H6" s="82"/>
    </row>
    <row r="7" spans="1:8" ht="20.25" customHeight="1">
      <c r="A7" s="85" t="s">
        <v>101</v>
      </c>
      <c r="B7" s="86">
        <v>99555</v>
      </c>
      <c r="C7" s="86">
        <v>38930</v>
      </c>
      <c r="D7" s="86">
        <v>125835.28571428571</v>
      </c>
      <c r="E7" s="86">
        <v>68348.71428571429</v>
      </c>
      <c r="F7" s="86">
        <v>68549.71428571429</v>
      </c>
      <c r="G7" s="86">
        <v>65911.333333333328</v>
      </c>
      <c r="H7" s="82"/>
    </row>
    <row r="8" spans="1:8" ht="20.25" customHeight="1">
      <c r="A8" s="85" t="s">
        <v>102</v>
      </c>
      <c r="B8" s="86">
        <v>61826.8</v>
      </c>
      <c r="C8" s="86">
        <v>46426.25</v>
      </c>
      <c r="D8" s="86">
        <v>64245.25</v>
      </c>
      <c r="E8" s="86">
        <v>75779.5</v>
      </c>
      <c r="F8" s="86">
        <v>51527.75</v>
      </c>
      <c r="G8" s="86">
        <v>40834</v>
      </c>
      <c r="H8" s="82"/>
    </row>
    <row r="9" spans="1:8" ht="20.25" customHeight="1">
      <c r="A9" s="85" t="s">
        <v>103</v>
      </c>
      <c r="B9" s="86">
        <v>123014.33333333333</v>
      </c>
      <c r="C9" s="86">
        <v>43640.5</v>
      </c>
      <c r="D9" s="86">
        <v>48339.333333333336</v>
      </c>
      <c r="E9" s="86">
        <v>53284.4</v>
      </c>
      <c r="F9" s="86">
        <v>69791.333333333328</v>
      </c>
      <c r="G9" s="86">
        <v>152670.66666666666</v>
      </c>
      <c r="H9" s="82"/>
    </row>
    <row r="10" spans="1:8" ht="20.25" customHeight="1">
      <c r="A10" s="85" t="s">
        <v>104</v>
      </c>
      <c r="B10" s="86">
        <v>75382</v>
      </c>
      <c r="C10" s="86">
        <v>105891.14285714286</v>
      </c>
      <c r="D10" s="86">
        <v>70183.75</v>
      </c>
      <c r="E10" s="86">
        <v>78184.333333333328</v>
      </c>
      <c r="F10" s="86">
        <v>76775.8</v>
      </c>
      <c r="G10" s="86">
        <v>81244</v>
      </c>
      <c r="H10" s="82"/>
    </row>
    <row r="11" spans="1:8" ht="20.25" customHeight="1">
      <c r="A11" s="85" t="s">
        <v>105</v>
      </c>
      <c r="B11" s="86">
        <v>90331.6</v>
      </c>
      <c r="C11" s="86">
        <v>76744.333333333328</v>
      </c>
      <c r="D11" s="86">
        <v>53212</v>
      </c>
      <c r="E11" s="86">
        <v>91280.333333333328</v>
      </c>
      <c r="F11" s="86">
        <v>53268.5</v>
      </c>
      <c r="G11" s="86">
        <v>45260.25</v>
      </c>
      <c r="H11" s="82"/>
    </row>
    <row r="12" spans="1:8" ht="20.25" customHeight="1">
      <c r="A12" s="85" t="s">
        <v>51</v>
      </c>
      <c r="B12" s="86">
        <v>0</v>
      </c>
      <c r="C12" s="86">
        <v>72077.600000000006</v>
      </c>
      <c r="D12" s="86">
        <v>53234.333333333336</v>
      </c>
      <c r="E12" s="86">
        <v>116768.83333333333</v>
      </c>
      <c r="F12" s="86">
        <v>38789.75</v>
      </c>
      <c r="G12" s="86">
        <v>71033.375</v>
      </c>
      <c r="H12" s="82"/>
    </row>
    <row r="13" spans="1:8" ht="20.25" customHeight="1">
      <c r="A13" s="85" t="s">
        <v>106</v>
      </c>
      <c r="B13" s="86">
        <v>90042.2</v>
      </c>
      <c r="C13" s="86">
        <v>87655.2</v>
      </c>
      <c r="D13" s="86">
        <v>48094.166666666664</v>
      </c>
      <c r="E13" s="86">
        <v>128191</v>
      </c>
      <c r="F13" s="86">
        <v>61102</v>
      </c>
      <c r="G13" s="86">
        <v>53291.5</v>
      </c>
      <c r="H13" s="82"/>
    </row>
    <row r="14" spans="1:8" ht="20.25" customHeight="1">
      <c r="A14" s="85" t="s">
        <v>107</v>
      </c>
      <c r="B14" s="86">
        <v>142241.33333333334</v>
      </c>
      <c r="C14" s="86">
        <v>67467</v>
      </c>
      <c r="D14" s="86">
        <v>53213.5</v>
      </c>
      <c r="E14" s="86">
        <v>118827.8</v>
      </c>
      <c r="F14" s="86">
        <v>121036</v>
      </c>
      <c r="G14" s="86">
        <v>54330.6</v>
      </c>
      <c r="H14" s="82"/>
    </row>
    <row r="15" spans="1:8" ht="20.25" customHeight="1" thickBot="1">
      <c r="A15" s="85" t="s">
        <v>108</v>
      </c>
      <c r="B15" s="86">
        <v>157682</v>
      </c>
      <c r="C15" s="86">
        <v>44431.8</v>
      </c>
      <c r="D15" s="86">
        <v>97265.5</v>
      </c>
      <c r="E15" s="86">
        <v>88315.428571428565</v>
      </c>
      <c r="F15" s="86">
        <v>42113.333333333336</v>
      </c>
      <c r="G15" s="86">
        <v>56045.8</v>
      </c>
      <c r="H15" s="82"/>
    </row>
    <row r="16" spans="1:8" ht="22.5" customHeight="1" thickBot="1">
      <c r="A16" s="103" t="s">
        <v>109</v>
      </c>
      <c r="B16" s="104">
        <f>SUM(B4:B15)</f>
        <v>1023884.8999999999</v>
      </c>
      <c r="C16" s="104">
        <f t="shared" ref="C16:G16" si="0">SUM(C4:C15)</f>
        <v>771572.40952380945</v>
      </c>
      <c r="D16" s="104">
        <f t="shared" si="0"/>
        <v>833276.28571428568</v>
      </c>
      <c r="E16" s="104">
        <f t="shared" si="0"/>
        <v>1000567.1761904762</v>
      </c>
      <c r="F16" s="104">
        <f t="shared" si="0"/>
        <v>791126.68095238099</v>
      </c>
      <c r="G16" s="104">
        <f t="shared" si="0"/>
        <v>886815.3583333334</v>
      </c>
      <c r="H16" s="82"/>
    </row>
  </sheetData>
  <dataConsolidate/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679A-5744-46AE-9577-7497288F937F}">
  <dimension ref="A1:H16"/>
  <sheetViews>
    <sheetView workbookViewId="0">
      <selection activeCell="B8" sqref="B8"/>
    </sheetView>
  </sheetViews>
  <sheetFormatPr defaultColWidth="9.109375" defaultRowHeight="33.6"/>
  <cols>
    <col min="1" max="1" width="39.5546875" style="81" customWidth="1"/>
    <col min="2" max="2" width="14.77734375" style="81" bestFit="1" customWidth="1"/>
    <col min="3" max="4" width="12.77734375" style="81" bestFit="1" customWidth="1"/>
    <col min="5" max="5" width="14.77734375" style="81" bestFit="1" customWidth="1"/>
    <col min="6" max="7" width="12.77734375" style="81" bestFit="1" customWidth="1"/>
    <col min="8" max="16384" width="9.109375" style="81"/>
  </cols>
  <sheetData>
    <row r="1" spans="1:8" ht="34.200000000000003" thickBot="1">
      <c r="A1" s="155" t="s">
        <v>110</v>
      </c>
      <c r="B1" s="156"/>
      <c r="C1" s="84"/>
      <c r="D1" s="84"/>
      <c r="E1" s="84"/>
      <c r="F1" s="84"/>
      <c r="G1" s="84"/>
      <c r="H1" s="80"/>
    </row>
    <row r="2" spans="1:8" ht="12.75" customHeight="1" thickBot="1">
      <c r="A2" s="84"/>
      <c r="B2" s="84"/>
      <c r="C2" s="84"/>
      <c r="D2" s="84"/>
      <c r="E2" s="84"/>
      <c r="F2" s="84"/>
      <c r="G2" s="84"/>
      <c r="H2" s="80"/>
    </row>
    <row r="3" spans="1:8" ht="26.4" customHeight="1" thickBot="1">
      <c r="A3" s="103" t="s">
        <v>91</v>
      </c>
      <c r="B3" s="103" t="s">
        <v>92</v>
      </c>
      <c r="C3" s="103" t="s">
        <v>93</v>
      </c>
      <c r="D3" s="103" t="s">
        <v>94</v>
      </c>
      <c r="E3" s="103" t="s">
        <v>95</v>
      </c>
      <c r="F3" s="103" t="s">
        <v>96</v>
      </c>
      <c r="G3" s="103" t="s">
        <v>111</v>
      </c>
      <c r="H3" s="80"/>
    </row>
    <row r="4" spans="1:8" ht="20.25" customHeight="1">
      <c r="A4" s="85" t="s">
        <v>51</v>
      </c>
      <c r="B4" s="86">
        <v>48968</v>
      </c>
      <c r="C4" s="86">
        <v>72077.600000000006</v>
      </c>
      <c r="D4" s="86">
        <v>53234.333333333336</v>
      </c>
      <c r="E4" s="86">
        <v>116768.83333333333</v>
      </c>
      <c r="F4" s="86">
        <v>38789.75</v>
      </c>
      <c r="G4" s="86">
        <v>71033.375</v>
      </c>
      <c r="H4" s="82"/>
    </row>
    <row r="5" spans="1:8" ht="20.25" customHeight="1">
      <c r="A5" s="85" t="s">
        <v>98</v>
      </c>
      <c r="B5" s="86">
        <v>53247</v>
      </c>
      <c r="C5" s="86">
        <v>63014.666666666664</v>
      </c>
      <c r="D5" s="86">
        <v>96110</v>
      </c>
      <c r="E5" s="86">
        <v>55828.666666666664</v>
      </c>
      <c r="F5" s="86">
        <v>53278</v>
      </c>
      <c r="G5" s="86">
        <v>53274.333333333336</v>
      </c>
      <c r="H5" s="82"/>
    </row>
    <row r="6" spans="1:8" ht="20.25" customHeight="1">
      <c r="A6" s="85" t="s">
        <v>102</v>
      </c>
      <c r="B6" s="86">
        <v>61826.8</v>
      </c>
      <c r="C6" s="86">
        <v>46426.25</v>
      </c>
      <c r="D6" s="86">
        <v>64245.25</v>
      </c>
      <c r="E6" s="86">
        <v>75779.5</v>
      </c>
      <c r="F6" s="86">
        <v>51527.75</v>
      </c>
      <c r="G6" s="86">
        <v>40834</v>
      </c>
      <c r="H6" s="82"/>
    </row>
    <row r="7" spans="1:8" ht="20.25" customHeight="1">
      <c r="A7" s="85" t="s">
        <v>100</v>
      </c>
      <c r="B7" s="86">
        <v>68228.800000000003</v>
      </c>
      <c r="C7" s="86">
        <v>71992.25</v>
      </c>
      <c r="D7" s="86">
        <v>46774.666666666664</v>
      </c>
      <c r="E7" s="86">
        <v>57441.666666666664</v>
      </c>
      <c r="F7" s="86">
        <v>89982.166666666672</v>
      </c>
      <c r="G7" s="86">
        <v>111181</v>
      </c>
      <c r="H7" s="82"/>
    </row>
    <row r="8" spans="1:8" ht="20.25" customHeight="1">
      <c r="A8" s="85" t="s">
        <v>99</v>
      </c>
      <c r="B8" s="86">
        <v>71580.833333333328</v>
      </c>
      <c r="C8" s="86">
        <v>53301.666666666664</v>
      </c>
      <c r="D8" s="86">
        <v>76768.5</v>
      </c>
      <c r="E8" s="86">
        <v>68316.5</v>
      </c>
      <c r="F8" s="86">
        <v>64912.333333333336</v>
      </c>
      <c r="G8" s="86">
        <v>101738.5</v>
      </c>
      <c r="H8" s="82"/>
    </row>
    <row r="9" spans="1:8" ht="20.25" customHeight="1">
      <c r="A9" s="85" t="s">
        <v>104</v>
      </c>
      <c r="B9" s="86">
        <v>75382</v>
      </c>
      <c r="C9" s="86">
        <v>105891.14285714286</v>
      </c>
      <c r="D9" s="86">
        <v>70183.75</v>
      </c>
      <c r="E9" s="86">
        <v>78184.333333333328</v>
      </c>
      <c r="F9" s="86">
        <v>76775.8</v>
      </c>
      <c r="G9" s="86">
        <v>81244</v>
      </c>
      <c r="H9" s="82"/>
    </row>
    <row r="10" spans="1:8" ht="20.25" customHeight="1">
      <c r="A10" s="85" t="s">
        <v>106</v>
      </c>
      <c r="B10" s="86">
        <v>90042.2</v>
      </c>
      <c r="C10" s="86">
        <v>87655.2</v>
      </c>
      <c r="D10" s="86">
        <v>48094.166666666664</v>
      </c>
      <c r="E10" s="86">
        <v>128191</v>
      </c>
      <c r="F10" s="86">
        <v>61102</v>
      </c>
      <c r="G10" s="86">
        <v>53291.5</v>
      </c>
      <c r="H10" s="82"/>
    </row>
    <row r="11" spans="1:8" ht="20.25" customHeight="1">
      <c r="A11" s="85" t="s">
        <v>105</v>
      </c>
      <c r="B11" s="86">
        <v>90331.6</v>
      </c>
      <c r="C11" s="86">
        <v>76744.333333333328</v>
      </c>
      <c r="D11" s="86">
        <v>53212</v>
      </c>
      <c r="E11" s="86">
        <v>91280.333333333328</v>
      </c>
      <c r="F11" s="86">
        <v>53268.5</v>
      </c>
      <c r="G11" s="86">
        <v>45260.25</v>
      </c>
      <c r="H11" s="82"/>
    </row>
    <row r="12" spans="1:8" ht="20.25" customHeight="1">
      <c r="A12" s="85" t="s">
        <v>101</v>
      </c>
      <c r="B12" s="86">
        <v>99555</v>
      </c>
      <c r="C12" s="86">
        <v>38930</v>
      </c>
      <c r="D12" s="86">
        <v>125835.28571428571</v>
      </c>
      <c r="E12" s="86">
        <v>68348.71428571429</v>
      </c>
      <c r="F12" s="86">
        <v>68549.71428571429</v>
      </c>
      <c r="G12" s="86">
        <v>65911.333333333328</v>
      </c>
      <c r="H12" s="82"/>
    </row>
    <row r="13" spans="1:8" ht="20.25" customHeight="1">
      <c r="A13" s="85" t="s">
        <v>103</v>
      </c>
      <c r="B13" s="86">
        <v>123014.33333333333</v>
      </c>
      <c r="C13" s="86">
        <v>43640.5</v>
      </c>
      <c r="D13" s="86">
        <v>48339.333333333336</v>
      </c>
      <c r="E13" s="86">
        <v>53284.4</v>
      </c>
      <c r="F13" s="86">
        <v>69791.333333333328</v>
      </c>
      <c r="G13" s="86">
        <v>152670.66666666666</v>
      </c>
      <c r="H13" s="82"/>
    </row>
    <row r="14" spans="1:8" ht="20.25" customHeight="1">
      <c r="A14" s="85" t="s">
        <v>107</v>
      </c>
      <c r="B14" s="86">
        <v>142241.33333333334</v>
      </c>
      <c r="C14" s="86">
        <v>67467</v>
      </c>
      <c r="D14" s="86">
        <v>53213.5</v>
      </c>
      <c r="E14" s="86">
        <v>118827.8</v>
      </c>
      <c r="F14" s="86">
        <v>121036</v>
      </c>
      <c r="G14" s="86">
        <v>54330.6</v>
      </c>
      <c r="H14" s="82"/>
    </row>
    <row r="15" spans="1:8" ht="20.25" customHeight="1" thickBot="1">
      <c r="A15" s="85" t="s">
        <v>108</v>
      </c>
      <c r="B15" s="86">
        <v>157682</v>
      </c>
      <c r="C15" s="86">
        <v>44431.8</v>
      </c>
      <c r="D15" s="86">
        <v>97265.5</v>
      </c>
      <c r="E15" s="86">
        <v>88315.428571428565</v>
      </c>
      <c r="F15" s="86">
        <v>42113.333333333336</v>
      </c>
      <c r="G15" s="86">
        <v>56045.8</v>
      </c>
      <c r="H15" s="82"/>
    </row>
    <row r="16" spans="1:8" ht="20.25" customHeight="1" thickBot="1">
      <c r="A16" s="103" t="s">
        <v>109</v>
      </c>
      <c r="B16" s="104">
        <f>SUM(B4:B15)</f>
        <v>1082099.8999999999</v>
      </c>
      <c r="C16" s="104">
        <f t="shared" ref="C16:G16" si="0">SUM(C4:C15)</f>
        <v>771572.40952380956</v>
      </c>
      <c r="D16" s="104">
        <f t="shared" si="0"/>
        <v>833276.2857142858</v>
      </c>
      <c r="E16" s="104">
        <f t="shared" si="0"/>
        <v>1000567.1761904763</v>
      </c>
      <c r="F16" s="104">
        <f t="shared" si="0"/>
        <v>791126.68095238099</v>
      </c>
      <c r="G16" s="104">
        <f t="shared" si="0"/>
        <v>886815.3583333334</v>
      </c>
      <c r="H16" s="83"/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D302-11F5-43FC-ADA7-2415C64AD3D5}">
  <dimension ref="A1:H16"/>
  <sheetViews>
    <sheetView workbookViewId="0">
      <selection activeCell="L15" sqref="L15"/>
    </sheetView>
  </sheetViews>
  <sheetFormatPr defaultColWidth="9.109375" defaultRowHeight="33.6"/>
  <cols>
    <col min="1" max="1" width="37.88671875" style="81" customWidth="1"/>
    <col min="2" max="8" width="12.44140625" style="81" customWidth="1"/>
    <col min="9" max="16384" width="9.109375" style="81"/>
  </cols>
  <sheetData>
    <row r="1" spans="1:8" ht="34.200000000000003" thickBot="1">
      <c r="A1" s="155" t="s">
        <v>112</v>
      </c>
      <c r="B1" s="156"/>
      <c r="C1" s="84"/>
      <c r="D1" s="84"/>
      <c r="E1" s="84"/>
      <c r="F1" s="84"/>
      <c r="G1" s="84"/>
      <c r="H1" s="80"/>
    </row>
    <row r="2" spans="1:8" ht="12" customHeight="1" thickBot="1">
      <c r="A2" s="84"/>
      <c r="B2" s="84"/>
      <c r="C2" s="84"/>
      <c r="D2" s="84"/>
      <c r="E2" s="84"/>
      <c r="F2" s="84"/>
      <c r="G2" s="84"/>
      <c r="H2" s="80"/>
    </row>
    <row r="3" spans="1:8" ht="20.25" customHeight="1" thickBot="1">
      <c r="A3" s="103" t="s">
        <v>91</v>
      </c>
      <c r="B3" s="103" t="s">
        <v>113</v>
      </c>
      <c r="C3" s="103" t="s">
        <v>93</v>
      </c>
      <c r="D3" s="103" t="s">
        <v>94</v>
      </c>
      <c r="E3" s="103" t="s">
        <v>95</v>
      </c>
      <c r="F3" s="103" t="s">
        <v>96</v>
      </c>
      <c r="G3" s="103" t="s">
        <v>97</v>
      </c>
      <c r="H3" s="80"/>
    </row>
    <row r="4" spans="1:8" ht="20.25" customHeight="1">
      <c r="A4" s="85" t="s">
        <v>103</v>
      </c>
      <c r="B4" s="86">
        <v>123014.33333333333</v>
      </c>
      <c r="C4" s="86">
        <v>43640.5</v>
      </c>
      <c r="D4" s="86">
        <v>48339.333333333336</v>
      </c>
      <c r="E4" s="86">
        <v>53284.4</v>
      </c>
      <c r="F4" s="86">
        <v>69791.333333333328</v>
      </c>
      <c r="G4" s="86">
        <v>152670.66666666666</v>
      </c>
      <c r="H4" s="82"/>
    </row>
    <row r="5" spans="1:8" ht="20.25" customHeight="1">
      <c r="A5" s="85" t="s">
        <v>98</v>
      </c>
      <c r="B5" s="86">
        <v>53247</v>
      </c>
      <c r="C5" s="86">
        <v>63014.666666666664</v>
      </c>
      <c r="D5" s="86">
        <v>96110</v>
      </c>
      <c r="E5" s="86">
        <v>55828.666666666664</v>
      </c>
      <c r="F5" s="86">
        <v>53278</v>
      </c>
      <c r="G5" s="86">
        <v>53274.333333333336</v>
      </c>
      <c r="H5" s="82"/>
    </row>
    <row r="6" spans="1:8" ht="20.25" customHeight="1">
      <c r="A6" s="85" t="s">
        <v>100</v>
      </c>
      <c r="B6" s="86">
        <v>68228.800000000003</v>
      </c>
      <c r="C6" s="86">
        <v>71992.25</v>
      </c>
      <c r="D6" s="86">
        <v>46774.666666666664</v>
      </c>
      <c r="E6" s="86">
        <v>57441.666666666664</v>
      </c>
      <c r="F6" s="86">
        <v>89982.166666666672</v>
      </c>
      <c r="G6" s="86">
        <v>111181</v>
      </c>
      <c r="H6" s="82"/>
    </row>
    <row r="7" spans="1:8" ht="20.25" customHeight="1">
      <c r="A7" s="85" t="s">
        <v>99</v>
      </c>
      <c r="B7" s="86">
        <v>71580.833333333328</v>
      </c>
      <c r="C7" s="86">
        <v>53301.666666666664</v>
      </c>
      <c r="D7" s="86">
        <v>76768.5</v>
      </c>
      <c r="E7" s="86">
        <v>68316.5</v>
      </c>
      <c r="F7" s="86">
        <v>64912.333333333336</v>
      </c>
      <c r="G7" s="86">
        <v>101738.5</v>
      </c>
      <c r="H7" s="82"/>
    </row>
    <row r="8" spans="1:8" ht="20.25" customHeight="1">
      <c r="A8" s="85" t="s">
        <v>101</v>
      </c>
      <c r="B8" s="86">
        <v>99555</v>
      </c>
      <c r="C8" s="86">
        <v>38930</v>
      </c>
      <c r="D8" s="86">
        <v>125835.28571428571</v>
      </c>
      <c r="E8" s="86">
        <v>68348.71428571429</v>
      </c>
      <c r="F8" s="86">
        <v>68549.71428571429</v>
      </c>
      <c r="G8" s="86">
        <v>65911.333333333328</v>
      </c>
      <c r="H8" s="82"/>
    </row>
    <row r="9" spans="1:8" ht="20.25" customHeight="1">
      <c r="A9" s="85" t="s">
        <v>102</v>
      </c>
      <c r="B9" s="86">
        <v>61826.8</v>
      </c>
      <c r="C9" s="86">
        <v>46426.25</v>
      </c>
      <c r="D9" s="86">
        <v>64245.25</v>
      </c>
      <c r="E9" s="86">
        <v>75779.5</v>
      </c>
      <c r="F9" s="86">
        <v>51527.75</v>
      </c>
      <c r="G9" s="86">
        <v>40834</v>
      </c>
      <c r="H9" s="82"/>
    </row>
    <row r="10" spans="1:8" ht="20.25" customHeight="1">
      <c r="A10" s="85" t="s">
        <v>104</v>
      </c>
      <c r="B10" s="86">
        <v>75382</v>
      </c>
      <c r="C10" s="86">
        <v>105891.14285714286</v>
      </c>
      <c r="D10" s="86">
        <v>70183.75</v>
      </c>
      <c r="E10" s="86">
        <v>78184.333333333328</v>
      </c>
      <c r="F10" s="86">
        <v>76775.8</v>
      </c>
      <c r="G10" s="86">
        <v>81244</v>
      </c>
      <c r="H10" s="82"/>
    </row>
    <row r="11" spans="1:8" ht="20.25" customHeight="1">
      <c r="A11" s="85" t="s">
        <v>108</v>
      </c>
      <c r="B11" s="86">
        <v>157682</v>
      </c>
      <c r="C11" s="86">
        <v>44431.8</v>
      </c>
      <c r="D11" s="86">
        <v>97265.5</v>
      </c>
      <c r="E11" s="86">
        <v>88315.428571428565</v>
      </c>
      <c r="F11" s="86">
        <v>42113.333333333336</v>
      </c>
      <c r="G11" s="86">
        <v>56045.8</v>
      </c>
      <c r="H11" s="82"/>
    </row>
    <row r="12" spans="1:8" ht="20.25" customHeight="1">
      <c r="A12" s="85" t="s">
        <v>105</v>
      </c>
      <c r="B12" s="86">
        <v>90331.6</v>
      </c>
      <c r="C12" s="86">
        <v>76744.333333333328</v>
      </c>
      <c r="D12" s="86">
        <v>53212</v>
      </c>
      <c r="E12" s="86">
        <v>91280.333333333328</v>
      </c>
      <c r="F12" s="86">
        <v>53268.5</v>
      </c>
      <c r="G12" s="86">
        <v>45260.25</v>
      </c>
      <c r="H12" s="82"/>
    </row>
    <row r="13" spans="1:8" ht="20.25" customHeight="1">
      <c r="A13" s="85" t="s">
        <v>51</v>
      </c>
      <c r="B13" s="86">
        <v>48968</v>
      </c>
      <c r="C13" s="86">
        <v>72077.600000000006</v>
      </c>
      <c r="D13" s="86">
        <v>53234.333333333336</v>
      </c>
      <c r="E13" s="86">
        <v>116768.83333333333</v>
      </c>
      <c r="F13" s="86">
        <v>38789.75</v>
      </c>
      <c r="G13" s="86">
        <v>71033.375</v>
      </c>
      <c r="H13" s="82"/>
    </row>
    <row r="14" spans="1:8" ht="20.25" customHeight="1" thickBot="1">
      <c r="A14" s="85" t="s">
        <v>106</v>
      </c>
      <c r="B14" s="86">
        <v>90042.2</v>
      </c>
      <c r="C14" s="86">
        <v>87655.2</v>
      </c>
      <c r="D14" s="86">
        <v>48094.166666666664</v>
      </c>
      <c r="E14" s="86">
        <v>128191</v>
      </c>
      <c r="F14" s="86">
        <v>61102</v>
      </c>
      <c r="G14" s="86">
        <v>53291.5</v>
      </c>
      <c r="H14" s="82"/>
    </row>
    <row r="15" spans="1:8" ht="20.25" customHeight="1" thickBot="1">
      <c r="A15" s="103" t="s">
        <v>109</v>
      </c>
      <c r="B15" s="104">
        <f>SUM(B4:B14)</f>
        <v>939858.56666666653</v>
      </c>
      <c r="C15" s="104">
        <f t="shared" ref="C15:G15" si="0">SUM(C4:C14)</f>
        <v>704105.40952380945</v>
      </c>
      <c r="D15" s="104">
        <f t="shared" si="0"/>
        <v>780062.78571428568</v>
      </c>
      <c r="E15" s="104">
        <f t="shared" si="0"/>
        <v>881739.37619047624</v>
      </c>
      <c r="F15" s="104">
        <f t="shared" si="0"/>
        <v>670090.68095238088</v>
      </c>
      <c r="G15" s="104">
        <f t="shared" si="0"/>
        <v>832484.7583333333</v>
      </c>
      <c r="H15" s="83"/>
    </row>
    <row r="16" spans="1:8" ht="20.25" customHeight="1">
      <c r="A16"/>
      <c r="B16"/>
      <c r="C16"/>
      <c r="D16"/>
      <c r="E16"/>
      <c r="F16"/>
      <c r="G16"/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BACA-3918-4703-87D2-2717CC206532}">
  <dimension ref="A1:K181"/>
  <sheetViews>
    <sheetView topLeftCell="A23" workbookViewId="0">
      <selection activeCell="F66" sqref="F66"/>
    </sheetView>
  </sheetViews>
  <sheetFormatPr defaultColWidth="9.109375" defaultRowHeight="14.4" outlineLevelRow="3"/>
  <cols>
    <col min="1" max="1" width="2.21875" customWidth="1"/>
    <col min="2" max="2" width="33.88671875" customWidth="1"/>
    <col min="3" max="3" width="21.33203125" customWidth="1"/>
    <col min="4" max="4" width="13.77734375" bestFit="1" customWidth="1"/>
    <col min="5" max="8" width="15.109375" bestFit="1" customWidth="1"/>
    <col min="9" max="9" width="13.77734375" bestFit="1" customWidth="1"/>
    <col min="10" max="10" width="15.109375" bestFit="1" customWidth="1"/>
    <col min="11" max="11" width="10.44140625" bestFit="1" customWidth="1"/>
  </cols>
  <sheetData>
    <row r="1" spans="1:11" s="81" customFormat="1" ht="33.6">
      <c r="A1" s="157" t="s">
        <v>114</v>
      </c>
      <c r="B1" s="158"/>
      <c r="C1" s="158"/>
      <c r="D1" s="158"/>
      <c r="E1" s="158"/>
    </row>
    <row r="2" spans="1:11" ht="15" thickBot="1"/>
    <row r="3" spans="1:11" s="81" customFormat="1" ht="21" customHeight="1" thickBot="1">
      <c r="A3" s="103" t="s">
        <v>91</v>
      </c>
      <c r="B3" s="103"/>
      <c r="C3" s="103"/>
      <c r="D3" s="103" t="s">
        <v>92</v>
      </c>
      <c r="E3" s="103" t="s">
        <v>113</v>
      </c>
      <c r="F3" s="103" t="s">
        <v>93</v>
      </c>
      <c r="G3" s="103" t="s">
        <v>94</v>
      </c>
      <c r="H3" s="103" t="s">
        <v>95</v>
      </c>
      <c r="I3" s="103" t="s">
        <v>96</v>
      </c>
      <c r="J3" s="103" t="s">
        <v>111</v>
      </c>
      <c r="K3" s="103" t="s">
        <v>97</v>
      </c>
    </row>
    <row r="4" spans="1:11" s="81" customFormat="1" ht="21" customHeight="1">
      <c r="A4" s="85" t="s">
        <v>51</v>
      </c>
      <c r="B4" s="85"/>
      <c r="C4" s="85"/>
      <c r="D4" s="86">
        <v>97936</v>
      </c>
      <c r="E4" s="86">
        <v>48968</v>
      </c>
      <c r="F4" s="86">
        <v>216232.80000000002</v>
      </c>
      <c r="G4" s="86">
        <v>159703</v>
      </c>
      <c r="H4" s="86">
        <v>350306.5</v>
      </c>
      <c r="I4" s="86">
        <v>116369.25</v>
      </c>
      <c r="J4" s="86">
        <v>71033.375</v>
      </c>
      <c r="K4" s="86">
        <v>142066.75</v>
      </c>
    </row>
    <row r="5" spans="1:11" s="81" customFormat="1" ht="21" customHeight="1">
      <c r="A5" s="85" t="s">
        <v>98</v>
      </c>
      <c r="B5" s="85"/>
      <c r="C5" s="85"/>
      <c r="D5" s="86">
        <v>106494</v>
      </c>
      <c r="E5" s="86">
        <v>53247</v>
      </c>
      <c r="F5" s="86">
        <v>189044</v>
      </c>
      <c r="G5" s="86">
        <v>288330</v>
      </c>
      <c r="H5" s="86">
        <v>167486</v>
      </c>
      <c r="I5" s="86">
        <v>159834</v>
      </c>
      <c r="J5" s="86">
        <v>53274.333333333336</v>
      </c>
      <c r="K5" s="86">
        <v>106548.66666666667</v>
      </c>
    </row>
    <row r="6" spans="1:11" s="81" customFormat="1" ht="21" customHeight="1">
      <c r="A6" s="85" t="s">
        <v>102</v>
      </c>
      <c r="B6" s="85"/>
      <c r="C6" s="85"/>
      <c r="D6" s="86">
        <v>123653.6</v>
      </c>
      <c r="E6" s="86">
        <v>61826.8</v>
      </c>
      <c r="F6" s="86">
        <v>139278.75</v>
      </c>
      <c r="G6" s="86">
        <v>192735.75</v>
      </c>
      <c r="H6" s="86">
        <v>227338.5</v>
      </c>
      <c r="I6" s="86">
        <v>154583.25</v>
      </c>
      <c r="J6" s="86">
        <v>40834</v>
      </c>
      <c r="K6" s="86">
        <v>81668</v>
      </c>
    </row>
    <row r="7" spans="1:11" s="81" customFormat="1" ht="21" customHeight="1">
      <c r="A7" s="85" t="s">
        <v>100</v>
      </c>
      <c r="B7" s="85"/>
      <c r="C7" s="85"/>
      <c r="D7" s="86">
        <v>136457.60000000001</v>
      </c>
      <c r="E7" s="86">
        <v>68228.800000000003</v>
      </c>
      <c r="F7" s="86">
        <v>215976.75</v>
      </c>
      <c r="G7" s="86">
        <v>140324</v>
      </c>
      <c r="H7" s="86">
        <v>172325</v>
      </c>
      <c r="I7" s="86">
        <v>269946.5</v>
      </c>
      <c r="J7" s="86">
        <v>111181</v>
      </c>
      <c r="K7" s="86">
        <v>222362</v>
      </c>
    </row>
    <row r="8" spans="1:11" s="81" customFormat="1" ht="21" customHeight="1">
      <c r="A8" s="85" t="s">
        <v>99</v>
      </c>
      <c r="B8" s="85"/>
      <c r="C8" s="85"/>
      <c r="D8" s="86">
        <v>143161.66666666666</v>
      </c>
      <c r="E8" s="86">
        <v>71580.833333333328</v>
      </c>
      <c r="F8" s="86">
        <v>159905</v>
      </c>
      <c r="G8" s="86">
        <v>230305.5</v>
      </c>
      <c r="H8" s="86">
        <v>204949.5</v>
      </c>
      <c r="I8" s="86">
        <v>194737</v>
      </c>
      <c r="J8" s="86">
        <v>101738.5</v>
      </c>
      <c r="K8" s="86">
        <v>203477</v>
      </c>
    </row>
    <row r="9" spans="1:11" s="81" customFormat="1" ht="21" customHeight="1">
      <c r="A9" s="85" t="s">
        <v>104</v>
      </c>
      <c r="B9" s="85"/>
      <c r="C9" s="85"/>
      <c r="D9" s="86">
        <v>150764</v>
      </c>
      <c r="E9" s="86">
        <v>75382</v>
      </c>
      <c r="F9" s="86">
        <v>317673.42857142858</v>
      </c>
      <c r="G9" s="86">
        <v>210551.25</v>
      </c>
      <c r="H9" s="86">
        <v>234553</v>
      </c>
      <c r="I9" s="86">
        <v>230327.40000000002</v>
      </c>
      <c r="J9" s="86">
        <v>81244</v>
      </c>
      <c r="K9" s="86">
        <v>162488</v>
      </c>
    </row>
    <row r="10" spans="1:11" s="81" customFormat="1" ht="21" customHeight="1">
      <c r="A10" s="85" t="s">
        <v>106</v>
      </c>
      <c r="B10" s="85"/>
      <c r="C10" s="85"/>
      <c r="D10" s="86">
        <v>180084.4</v>
      </c>
      <c r="E10" s="86">
        <v>90042.2</v>
      </c>
      <c r="F10" s="86">
        <v>262965.59999999998</v>
      </c>
      <c r="G10" s="86">
        <v>144282.5</v>
      </c>
      <c r="H10" s="86">
        <v>384573</v>
      </c>
      <c r="I10" s="86">
        <v>183306</v>
      </c>
      <c r="J10" s="86">
        <v>53291.5</v>
      </c>
      <c r="K10" s="86">
        <v>106583</v>
      </c>
    </row>
    <row r="11" spans="1:11" s="81" customFormat="1" ht="21" customHeight="1">
      <c r="A11" s="85" t="s">
        <v>105</v>
      </c>
      <c r="B11" s="85"/>
      <c r="C11" s="85"/>
      <c r="D11" s="86">
        <v>180663.2</v>
      </c>
      <c r="E11" s="86">
        <v>90331.6</v>
      </c>
      <c r="F11" s="86">
        <v>230233</v>
      </c>
      <c r="G11" s="86">
        <v>159636</v>
      </c>
      <c r="H11" s="86">
        <v>273841</v>
      </c>
      <c r="I11" s="86">
        <v>159805.5</v>
      </c>
      <c r="J11" s="86">
        <v>45260.25</v>
      </c>
      <c r="K11" s="86">
        <v>90520.5</v>
      </c>
    </row>
    <row r="12" spans="1:11" s="81" customFormat="1" ht="21" customHeight="1">
      <c r="A12" s="85" t="s">
        <v>101</v>
      </c>
      <c r="B12" s="85"/>
      <c r="C12" s="85"/>
      <c r="D12" s="86">
        <v>199110</v>
      </c>
      <c r="E12" s="86">
        <v>99555</v>
      </c>
      <c r="F12" s="86">
        <v>116790</v>
      </c>
      <c r="G12" s="86">
        <v>377505.85714285716</v>
      </c>
      <c r="H12" s="86">
        <v>205046.14285714287</v>
      </c>
      <c r="I12" s="86">
        <v>205649.14285714287</v>
      </c>
      <c r="J12" s="86">
        <v>65911.333333333328</v>
      </c>
      <c r="K12" s="86">
        <v>131822.66666666666</v>
      </c>
    </row>
    <row r="13" spans="1:11" s="81" customFormat="1" ht="21" customHeight="1">
      <c r="A13" s="85" t="s">
        <v>103</v>
      </c>
      <c r="B13" s="85"/>
      <c r="C13" s="85"/>
      <c r="D13" s="86">
        <v>246028.66666666666</v>
      </c>
      <c r="E13" s="86">
        <v>123014.33333333333</v>
      </c>
      <c r="F13" s="86">
        <v>130921.5</v>
      </c>
      <c r="G13" s="86">
        <v>145018</v>
      </c>
      <c r="H13" s="86">
        <v>159853.20000000001</v>
      </c>
      <c r="I13" s="86">
        <v>209374</v>
      </c>
      <c r="J13" s="86">
        <v>152670.66666666666</v>
      </c>
      <c r="K13" s="86">
        <v>305341.33333333331</v>
      </c>
    </row>
    <row r="14" spans="1:11" s="81" customFormat="1" ht="21" customHeight="1">
      <c r="A14" s="85" t="s">
        <v>107</v>
      </c>
      <c r="B14" s="85"/>
      <c r="C14" s="85"/>
      <c r="D14" s="86">
        <v>284482.66666666669</v>
      </c>
      <c r="E14" s="86"/>
      <c r="F14" s="86">
        <v>134934</v>
      </c>
      <c r="G14" s="86">
        <v>106427</v>
      </c>
      <c r="H14" s="86">
        <v>237655.6</v>
      </c>
      <c r="I14" s="86">
        <v>242072</v>
      </c>
      <c r="J14" s="86">
        <v>54330.6</v>
      </c>
      <c r="K14" s="86">
        <v>54330.6</v>
      </c>
    </row>
    <row r="15" spans="1:11" s="81" customFormat="1" ht="21" customHeight="1" thickBot="1">
      <c r="A15" s="85" t="s">
        <v>108</v>
      </c>
      <c r="B15" s="85"/>
      <c r="C15" s="85"/>
      <c r="D15" s="86">
        <v>315364</v>
      </c>
      <c r="E15" s="86">
        <v>157682</v>
      </c>
      <c r="F15" s="86">
        <v>133295.40000000002</v>
      </c>
      <c r="G15" s="86">
        <v>291796.5</v>
      </c>
      <c r="H15" s="86">
        <v>264946.28571428568</v>
      </c>
      <c r="I15" s="86">
        <v>126340</v>
      </c>
      <c r="J15" s="86">
        <v>56045.8</v>
      </c>
      <c r="K15" s="86">
        <v>112091.6</v>
      </c>
    </row>
    <row r="16" spans="1:11" s="81" customFormat="1" ht="21" customHeight="1" thickBot="1">
      <c r="A16" s="103" t="s">
        <v>109</v>
      </c>
      <c r="B16" s="103"/>
      <c r="C16" s="103"/>
      <c r="D16" s="104">
        <v>2164199.7999999998</v>
      </c>
      <c r="E16" s="104">
        <v>939858.56666666653</v>
      </c>
      <c r="F16" s="104">
        <v>2247250.2285714285</v>
      </c>
      <c r="G16" s="104">
        <v>2446615.3571428573</v>
      </c>
      <c r="H16" s="104">
        <v>2882873.7285714285</v>
      </c>
      <c r="I16" s="104">
        <v>2252344.0428571431</v>
      </c>
      <c r="J16" s="104">
        <v>886815.3583333334</v>
      </c>
      <c r="K16" s="104">
        <v>1719300.1166666667</v>
      </c>
    </row>
    <row r="18" spans="1:11" ht="15" thickBot="1"/>
    <row r="19" spans="1:11" ht="18.600000000000001" thickBot="1">
      <c r="A19" s="103" t="s">
        <v>91</v>
      </c>
      <c r="B19" s="103"/>
      <c r="C19" s="103" t="s">
        <v>92</v>
      </c>
      <c r="D19" s="103" t="s">
        <v>113</v>
      </c>
      <c r="E19" s="103" t="s">
        <v>93</v>
      </c>
      <c r="F19" s="103" t="s">
        <v>94</v>
      </c>
      <c r="G19" s="103" t="s">
        <v>95</v>
      </c>
      <c r="H19" s="103" t="s">
        <v>96</v>
      </c>
      <c r="I19" s="103" t="s">
        <v>111</v>
      </c>
      <c r="J19" s="103" t="s">
        <v>97</v>
      </c>
    </row>
    <row r="20" spans="1:11" ht="18" hidden="1" outlineLevel="3">
      <c r="A20" s="122"/>
      <c r="B20" s="122"/>
      <c r="C20" s="123">
        <f>Feb!$B$4</f>
        <v>48968</v>
      </c>
      <c r="D20" s="122"/>
      <c r="E20" s="123">
        <f>Feb!$C$4</f>
        <v>72077.600000000006</v>
      </c>
      <c r="F20" s="123">
        <f>Feb!$D$4</f>
        <v>53234.333333333336</v>
      </c>
      <c r="G20" s="123">
        <f>Feb!$E$4</f>
        <v>116768.83333333333</v>
      </c>
      <c r="H20" s="123">
        <f>Feb!$F$4</f>
        <v>38789.75</v>
      </c>
      <c r="I20" s="123">
        <f>Feb!$G$4</f>
        <v>71033.375</v>
      </c>
      <c r="J20" s="122"/>
    </row>
    <row r="21" spans="1:11" ht="18" hidden="1" outlineLevel="3" collapsed="1">
      <c r="A21" s="122"/>
      <c r="B21" s="122"/>
      <c r="C21" s="123">
        <f>Jan!$B$12</f>
        <v>0</v>
      </c>
      <c r="D21" s="122"/>
      <c r="E21" s="123">
        <f>Jan!$C$12</f>
        <v>72077.600000000006</v>
      </c>
      <c r="F21" s="123">
        <f>Jan!$D$12</f>
        <v>53234.333333333336</v>
      </c>
      <c r="G21" s="123">
        <f>Jan!$E$12</f>
        <v>116768.83333333333</v>
      </c>
      <c r="H21" s="123">
        <f>Jan!$F$12</f>
        <v>38789.75</v>
      </c>
      <c r="I21" s="122"/>
      <c r="J21" s="123">
        <f>Jan!$G$12</f>
        <v>71033.375</v>
      </c>
    </row>
    <row r="22" spans="1:11" ht="18" hidden="1" outlineLevel="3" collapsed="1">
      <c r="A22" s="122"/>
      <c r="B22" s="122"/>
      <c r="C22" s="122"/>
      <c r="D22" s="123">
        <f>Mar!$B$13</f>
        <v>48968</v>
      </c>
      <c r="E22" s="123">
        <f>Mar!$C$13</f>
        <v>72077.600000000006</v>
      </c>
      <c r="F22" s="123">
        <f>Mar!$D$13</f>
        <v>53234.333333333336</v>
      </c>
      <c r="G22" s="123">
        <f>Mar!$E$13</f>
        <v>116768.83333333333</v>
      </c>
      <c r="H22" s="123">
        <f>Mar!$F$13</f>
        <v>38789.75</v>
      </c>
      <c r="I22" s="122"/>
      <c r="J22" s="123">
        <f>Mar!$G$13</f>
        <v>71033.375</v>
      </c>
    </row>
    <row r="23" spans="1:11" ht="18" outlineLevel="2" collapsed="1">
      <c r="A23" s="85" t="s">
        <v>51</v>
      </c>
      <c r="B23" s="85"/>
      <c r="C23" s="86">
        <f t="shared" ref="C23:J23" si="0">SUM(C20:C22)</f>
        <v>48968</v>
      </c>
      <c r="D23" s="86">
        <f t="shared" si="0"/>
        <v>48968</v>
      </c>
      <c r="E23" s="86">
        <f t="shared" si="0"/>
        <v>216232.80000000002</v>
      </c>
      <c r="F23" s="86">
        <f t="shared" si="0"/>
        <v>159703</v>
      </c>
      <c r="G23" s="86">
        <f t="shared" si="0"/>
        <v>350306.5</v>
      </c>
      <c r="H23" s="86">
        <f t="shared" si="0"/>
        <v>116369.25</v>
      </c>
      <c r="I23" s="86">
        <f t="shared" si="0"/>
        <v>71033.375</v>
      </c>
      <c r="J23" s="86">
        <f t="shared" si="0"/>
        <v>142066.75</v>
      </c>
    </row>
    <row r="24" spans="1:11" ht="18" hidden="1" outlineLevel="3">
      <c r="A24" s="85"/>
      <c r="B24" s="85"/>
      <c r="C24" s="86">
        <f>Feb!$B$5</f>
        <v>53247</v>
      </c>
      <c r="D24" s="86"/>
      <c r="E24" s="86">
        <f>Feb!$C$5</f>
        <v>63014.666666666664</v>
      </c>
      <c r="F24" s="86">
        <f>Feb!$D$5</f>
        <v>96110</v>
      </c>
      <c r="G24" s="86">
        <f>Feb!$E$5</f>
        <v>55828.666666666664</v>
      </c>
      <c r="H24" s="86">
        <f>Feb!$F$5</f>
        <v>53278</v>
      </c>
      <c r="I24" s="86">
        <f>Feb!$G$5</f>
        <v>53274.333333333336</v>
      </c>
      <c r="J24" s="86"/>
    </row>
    <row r="25" spans="1:11" ht="18" hidden="1" outlineLevel="3" collapsed="1">
      <c r="A25" s="85"/>
      <c r="B25" s="85"/>
      <c r="C25" s="86">
        <f>Jan!$B$4</f>
        <v>44000</v>
      </c>
      <c r="D25" s="86"/>
      <c r="E25" s="86">
        <f>Jan!$C$4</f>
        <v>63014.666666666664</v>
      </c>
      <c r="F25" s="86">
        <f>Jan!$D$4</f>
        <v>96110</v>
      </c>
      <c r="G25" s="86">
        <f>Jan!$E$4</f>
        <v>55828.666666666664</v>
      </c>
      <c r="H25" s="86">
        <f>Jan!$F$4</f>
        <v>53278</v>
      </c>
      <c r="I25" s="86"/>
      <c r="J25" s="86">
        <f>Jan!$G$4</f>
        <v>53274.333333333336</v>
      </c>
    </row>
    <row r="26" spans="1:11" ht="18" hidden="1" outlineLevel="3" collapsed="1">
      <c r="A26" s="85"/>
      <c r="B26" s="85"/>
      <c r="C26" s="85"/>
      <c r="D26" s="86">
        <f>Mar!$B$5</f>
        <v>53247</v>
      </c>
      <c r="E26" s="86">
        <f>Mar!$C$5</f>
        <v>63014.666666666664</v>
      </c>
      <c r="F26" s="86">
        <f>Mar!$D$5</f>
        <v>96110</v>
      </c>
      <c r="G26" s="86">
        <f>Mar!$E$5</f>
        <v>55828.666666666664</v>
      </c>
      <c r="H26" s="86">
        <f>Mar!$F$5</f>
        <v>53278</v>
      </c>
      <c r="I26" s="86"/>
      <c r="J26" s="86">
        <f>Mar!$G$5</f>
        <v>53274.333333333336</v>
      </c>
    </row>
    <row r="27" spans="1:11" ht="18" outlineLevel="2" collapsed="1">
      <c r="A27" s="85" t="s">
        <v>98</v>
      </c>
      <c r="B27" s="85"/>
      <c r="C27" s="86">
        <f t="shared" ref="C27:J27" si="1">SUM(C24:C26)</f>
        <v>97247</v>
      </c>
      <c r="D27" s="86">
        <f t="shared" si="1"/>
        <v>53247</v>
      </c>
      <c r="E27" s="86">
        <f t="shared" si="1"/>
        <v>189044</v>
      </c>
      <c r="F27" s="86">
        <f t="shared" si="1"/>
        <v>288330</v>
      </c>
      <c r="G27" s="86">
        <f t="shared" si="1"/>
        <v>167486</v>
      </c>
      <c r="H27" s="86">
        <f t="shared" si="1"/>
        <v>159834</v>
      </c>
      <c r="I27" s="86">
        <f t="shared" si="1"/>
        <v>53274.333333333336</v>
      </c>
      <c r="J27" s="86">
        <f t="shared" si="1"/>
        <v>106548.66666666667</v>
      </c>
      <c r="K27" s="121"/>
    </row>
    <row r="28" spans="1:11" ht="18" hidden="1" outlineLevel="3">
      <c r="A28" s="85"/>
      <c r="B28" s="85"/>
      <c r="C28" s="86">
        <f>Feb!$B$6</f>
        <v>61826.8</v>
      </c>
      <c r="D28" s="86"/>
      <c r="E28" s="86">
        <f>Feb!$C$6</f>
        <v>46426.25</v>
      </c>
      <c r="F28" s="86">
        <f>Feb!$D$6</f>
        <v>64245.25</v>
      </c>
      <c r="G28" s="86">
        <f>Feb!$E$6</f>
        <v>75779.5</v>
      </c>
      <c r="H28" s="86">
        <f>Feb!$F$6</f>
        <v>51527.75</v>
      </c>
      <c r="I28" s="86">
        <f>Feb!$G$6</f>
        <v>40834</v>
      </c>
      <c r="J28" s="86"/>
      <c r="K28" s="121"/>
    </row>
    <row r="29" spans="1:11" ht="18" hidden="1" outlineLevel="3" collapsed="1">
      <c r="A29" s="85"/>
      <c r="B29" s="85"/>
      <c r="C29" s="86">
        <f>Jan!$B$8</f>
        <v>61826.8</v>
      </c>
      <c r="D29" s="86"/>
      <c r="E29" s="86">
        <f>Jan!$C$8</f>
        <v>46426.25</v>
      </c>
      <c r="F29" s="86">
        <f>Jan!$D$8</f>
        <v>64245.25</v>
      </c>
      <c r="G29" s="86">
        <f>Jan!$E$8</f>
        <v>75779.5</v>
      </c>
      <c r="H29" s="86">
        <f>Jan!$F$8</f>
        <v>51527.75</v>
      </c>
      <c r="I29" s="86"/>
      <c r="J29" s="86">
        <f>Jan!$G$8</f>
        <v>40834</v>
      </c>
      <c r="K29" s="121"/>
    </row>
    <row r="30" spans="1:11" ht="18" hidden="1" outlineLevel="3" collapsed="1">
      <c r="A30" s="85"/>
      <c r="B30" s="85"/>
      <c r="C30" s="85"/>
      <c r="D30" s="86">
        <f>Mar!$B$9</f>
        <v>61826.8</v>
      </c>
      <c r="E30" s="86">
        <f>Mar!$C$9</f>
        <v>46426.25</v>
      </c>
      <c r="F30" s="86">
        <f>Mar!$D$9</f>
        <v>64245.25</v>
      </c>
      <c r="G30" s="86">
        <f>Mar!$E$9</f>
        <v>75779.5</v>
      </c>
      <c r="H30" s="86">
        <f>Mar!$F$9</f>
        <v>51527.75</v>
      </c>
      <c r="I30" s="86"/>
      <c r="J30" s="86">
        <f>Mar!$G$9</f>
        <v>40834</v>
      </c>
      <c r="K30" s="121"/>
    </row>
    <row r="31" spans="1:11" ht="18" outlineLevel="2" collapsed="1">
      <c r="A31" s="85" t="s">
        <v>102</v>
      </c>
      <c r="B31" s="85"/>
      <c r="C31" s="86">
        <f t="shared" ref="C31:J31" si="2">SUM(C28:C30)</f>
        <v>123653.6</v>
      </c>
      <c r="D31" s="86">
        <f t="shared" si="2"/>
        <v>61826.8</v>
      </c>
      <c r="E31" s="86">
        <f t="shared" si="2"/>
        <v>139278.75</v>
      </c>
      <c r="F31" s="86">
        <f t="shared" si="2"/>
        <v>192735.75</v>
      </c>
      <c r="G31" s="86">
        <f t="shared" si="2"/>
        <v>227338.5</v>
      </c>
      <c r="H31" s="86">
        <f t="shared" si="2"/>
        <v>154583.25</v>
      </c>
      <c r="I31" s="86">
        <f t="shared" si="2"/>
        <v>40834</v>
      </c>
      <c r="J31" s="86">
        <f t="shared" si="2"/>
        <v>81668</v>
      </c>
      <c r="K31" s="121"/>
    </row>
    <row r="32" spans="1:11" ht="18" hidden="1" outlineLevel="3">
      <c r="A32" s="85"/>
      <c r="B32" s="85"/>
      <c r="C32" s="86">
        <f>Feb!$B$7</f>
        <v>68228.800000000003</v>
      </c>
      <c r="D32" s="86"/>
      <c r="E32" s="86">
        <f>Feb!$C$7</f>
        <v>71992.25</v>
      </c>
      <c r="F32" s="86">
        <f>Feb!$D$7</f>
        <v>46774.666666666664</v>
      </c>
      <c r="G32" s="86">
        <f>Feb!$E$7</f>
        <v>57441.666666666664</v>
      </c>
      <c r="H32" s="86">
        <f>Feb!$F$7</f>
        <v>89982.166666666672</v>
      </c>
      <c r="I32" s="86">
        <f>Feb!$G$7</f>
        <v>111181</v>
      </c>
      <c r="J32" s="86"/>
      <c r="K32" s="121"/>
    </row>
    <row r="33" spans="1:11" ht="18" hidden="1" outlineLevel="3" collapsed="1">
      <c r="A33" s="85"/>
      <c r="B33" s="85"/>
      <c r="C33" s="86">
        <f>Jan!$B$6</f>
        <v>68228.800000000003</v>
      </c>
      <c r="D33" s="86"/>
      <c r="E33" s="86">
        <f>Jan!$C$6</f>
        <v>71992.25</v>
      </c>
      <c r="F33" s="86">
        <f>Jan!$D$6</f>
        <v>46774.666666666664</v>
      </c>
      <c r="G33" s="86">
        <f>Jan!$E$6</f>
        <v>57441.666666666664</v>
      </c>
      <c r="H33" s="86">
        <f>Jan!$F$6</f>
        <v>89982.166666666672</v>
      </c>
      <c r="I33" s="86"/>
      <c r="J33" s="86">
        <f>Jan!$G$6</f>
        <v>111181</v>
      </c>
      <c r="K33" s="121"/>
    </row>
    <row r="34" spans="1:11" ht="18" hidden="1" outlineLevel="3" collapsed="1">
      <c r="A34" s="85"/>
      <c r="B34" s="85"/>
      <c r="C34" s="85"/>
      <c r="D34" s="86">
        <f>Mar!$B$6</f>
        <v>68228.800000000003</v>
      </c>
      <c r="E34" s="86">
        <f>Mar!$C$6</f>
        <v>71992.25</v>
      </c>
      <c r="F34" s="86">
        <f>Mar!$D$6</f>
        <v>46774.666666666664</v>
      </c>
      <c r="G34" s="86">
        <f>Mar!$E$6</f>
        <v>57441.666666666664</v>
      </c>
      <c r="H34" s="86">
        <f>Mar!$F$6</f>
        <v>89982.166666666672</v>
      </c>
      <c r="I34" s="86"/>
      <c r="J34" s="86">
        <f>Mar!$G$6</f>
        <v>111181</v>
      </c>
      <c r="K34" s="121"/>
    </row>
    <row r="35" spans="1:11" ht="18" outlineLevel="1">
      <c r="A35" s="85" t="s">
        <v>100</v>
      </c>
      <c r="B35" s="85"/>
      <c r="C35" s="86">
        <f t="shared" ref="C35:J35" si="3">SUM(C32:C34)</f>
        <v>136457.60000000001</v>
      </c>
      <c r="D35" s="86">
        <f t="shared" si="3"/>
        <v>68228.800000000003</v>
      </c>
      <c r="E35" s="86">
        <f t="shared" si="3"/>
        <v>215976.75</v>
      </c>
      <c r="F35" s="86">
        <f t="shared" si="3"/>
        <v>140324</v>
      </c>
      <c r="G35" s="86">
        <f t="shared" si="3"/>
        <v>172325</v>
      </c>
      <c r="H35" s="86">
        <f t="shared" si="3"/>
        <v>269946.5</v>
      </c>
      <c r="I35" s="86">
        <f t="shared" si="3"/>
        <v>111181</v>
      </c>
      <c r="J35" s="86">
        <f t="shared" si="3"/>
        <v>222362</v>
      </c>
      <c r="K35" s="121"/>
    </row>
    <row r="36" spans="1:11" ht="18" hidden="1" outlineLevel="3">
      <c r="A36" s="85"/>
      <c r="B36" s="85"/>
      <c r="C36" s="86">
        <f>Feb!$B$8</f>
        <v>71580.833333333328</v>
      </c>
      <c r="D36" s="86"/>
      <c r="E36" s="86">
        <f>Feb!$C$8</f>
        <v>53301.666666666664</v>
      </c>
      <c r="F36" s="86">
        <f>Feb!$D$8</f>
        <v>76768.5</v>
      </c>
      <c r="G36" s="86">
        <f>Feb!$E$8</f>
        <v>68316.5</v>
      </c>
      <c r="H36" s="86">
        <f>Feb!$F$8</f>
        <v>64912.333333333336</v>
      </c>
      <c r="I36" s="86">
        <f>Feb!$G$8</f>
        <v>101738.5</v>
      </c>
      <c r="J36" s="86"/>
      <c r="K36" s="121"/>
    </row>
    <row r="37" spans="1:11" ht="18" hidden="1" outlineLevel="3" collapsed="1">
      <c r="A37" s="85"/>
      <c r="B37" s="85"/>
      <c r="C37" s="86">
        <f>Jan!$B$5</f>
        <v>71580.833333333328</v>
      </c>
      <c r="D37" s="86"/>
      <c r="E37" s="86">
        <f>Jan!$C$5</f>
        <v>53301.666666666664</v>
      </c>
      <c r="F37" s="86">
        <f>Jan!$D$5</f>
        <v>76768.5</v>
      </c>
      <c r="G37" s="86">
        <f>Jan!$E$5</f>
        <v>68316.5</v>
      </c>
      <c r="H37" s="86">
        <f>Jan!$F$5</f>
        <v>64912.333333333336</v>
      </c>
      <c r="I37" s="86"/>
      <c r="J37" s="86">
        <f>Jan!$G$5</f>
        <v>101738.5</v>
      </c>
      <c r="K37" s="121"/>
    </row>
    <row r="38" spans="1:11" ht="18" hidden="1" outlineLevel="3" collapsed="1">
      <c r="A38" s="85"/>
      <c r="B38" s="85"/>
      <c r="C38" s="85"/>
      <c r="D38" s="86">
        <f>Mar!$B$7</f>
        <v>71580.833333333328</v>
      </c>
      <c r="E38" s="86">
        <f>Mar!$C$7</f>
        <v>53301.666666666664</v>
      </c>
      <c r="F38" s="86">
        <f>Mar!$D$7</f>
        <v>76768.5</v>
      </c>
      <c r="G38" s="86">
        <f>Mar!$E$7</f>
        <v>68316.5</v>
      </c>
      <c r="H38" s="86">
        <f>Mar!$F$7</f>
        <v>64912.333333333336</v>
      </c>
      <c r="I38" s="86"/>
      <c r="J38" s="86">
        <f>Mar!$G$7</f>
        <v>101738.5</v>
      </c>
      <c r="K38" s="121"/>
    </row>
    <row r="39" spans="1:11" ht="18" outlineLevel="2" collapsed="1">
      <c r="A39" s="85" t="s">
        <v>99</v>
      </c>
      <c r="B39" s="85"/>
      <c r="C39" s="86">
        <f t="shared" ref="C39:J39" si="4">SUM(C36:C38)</f>
        <v>143161.66666666666</v>
      </c>
      <c r="D39" s="86">
        <f t="shared" si="4"/>
        <v>71580.833333333328</v>
      </c>
      <c r="E39" s="86">
        <f t="shared" si="4"/>
        <v>159905</v>
      </c>
      <c r="F39" s="86">
        <f t="shared" si="4"/>
        <v>230305.5</v>
      </c>
      <c r="G39" s="86">
        <f t="shared" si="4"/>
        <v>204949.5</v>
      </c>
      <c r="H39" s="86">
        <f t="shared" si="4"/>
        <v>194737</v>
      </c>
      <c r="I39" s="86">
        <f t="shared" si="4"/>
        <v>101738.5</v>
      </c>
      <c r="J39" s="86">
        <f t="shared" si="4"/>
        <v>203477</v>
      </c>
    </row>
    <row r="40" spans="1:11" ht="18" hidden="1" outlineLevel="3">
      <c r="A40" s="85"/>
      <c r="B40" s="85"/>
      <c r="C40" s="86">
        <f>Feb!$B$9</f>
        <v>75382</v>
      </c>
      <c r="D40" s="86"/>
      <c r="E40" s="86">
        <f>Feb!$C$9</f>
        <v>105891.14285714286</v>
      </c>
      <c r="F40" s="86">
        <f>Feb!$D$9</f>
        <v>70183.75</v>
      </c>
      <c r="G40" s="86">
        <f>Feb!$E$9</f>
        <v>78184.333333333328</v>
      </c>
      <c r="H40" s="86">
        <f>Feb!$F$9</f>
        <v>76775.8</v>
      </c>
      <c r="I40" s="86">
        <f>Feb!$G$9</f>
        <v>81244</v>
      </c>
      <c r="J40" s="86"/>
    </row>
    <row r="41" spans="1:11" ht="18" hidden="1" outlineLevel="3" collapsed="1">
      <c r="A41" s="85"/>
      <c r="B41" s="85"/>
      <c r="C41" s="86">
        <f>Jan!$B$10</f>
        <v>75382</v>
      </c>
      <c r="D41" s="86"/>
      <c r="E41" s="86">
        <f>Jan!$C$10</f>
        <v>105891.14285714286</v>
      </c>
      <c r="F41" s="86">
        <f>Jan!$D$10</f>
        <v>70183.75</v>
      </c>
      <c r="G41" s="86">
        <f>Jan!$E$10</f>
        <v>78184.333333333328</v>
      </c>
      <c r="H41" s="86">
        <f>Jan!$F$10</f>
        <v>76775.8</v>
      </c>
      <c r="I41" s="86"/>
      <c r="J41" s="86">
        <f>Jan!$G$10</f>
        <v>81244</v>
      </c>
    </row>
    <row r="42" spans="1:11" ht="18" hidden="1" outlineLevel="3" collapsed="1">
      <c r="A42" s="85"/>
      <c r="B42" s="85"/>
      <c r="C42" s="85"/>
      <c r="D42" s="86">
        <f>Mar!$B$10</f>
        <v>75382</v>
      </c>
      <c r="E42" s="86">
        <f>Mar!$C$10</f>
        <v>105891.14285714286</v>
      </c>
      <c r="F42" s="86">
        <f>Mar!$D$10</f>
        <v>70183.75</v>
      </c>
      <c r="G42" s="86">
        <f>Mar!$E$10</f>
        <v>78184.333333333328</v>
      </c>
      <c r="H42" s="86">
        <f>Mar!$F$10</f>
        <v>76775.8</v>
      </c>
      <c r="I42" s="86"/>
      <c r="J42" s="86">
        <f>Mar!$G$10</f>
        <v>81244</v>
      </c>
    </row>
    <row r="43" spans="1:11" ht="18" outlineLevel="2" collapsed="1">
      <c r="A43" s="85" t="s">
        <v>104</v>
      </c>
      <c r="B43" s="85"/>
      <c r="C43" s="86">
        <f t="shared" ref="C43:J43" si="5">SUM(C40:C42)</f>
        <v>150764</v>
      </c>
      <c r="D43" s="86">
        <f t="shared" si="5"/>
        <v>75382</v>
      </c>
      <c r="E43" s="86">
        <f t="shared" si="5"/>
        <v>317673.42857142858</v>
      </c>
      <c r="F43" s="86">
        <f t="shared" si="5"/>
        <v>210551.25</v>
      </c>
      <c r="G43" s="86">
        <f t="shared" si="5"/>
        <v>234553</v>
      </c>
      <c r="H43" s="86">
        <f t="shared" si="5"/>
        <v>230327.40000000002</v>
      </c>
      <c r="I43" s="86">
        <f t="shared" si="5"/>
        <v>81244</v>
      </c>
      <c r="J43" s="86">
        <f t="shared" si="5"/>
        <v>162488</v>
      </c>
      <c r="K43" s="121"/>
    </row>
    <row r="44" spans="1:11" ht="18" hidden="1" outlineLevel="3">
      <c r="A44" s="85"/>
      <c r="B44" s="85"/>
      <c r="C44" s="86">
        <f>Feb!$B$10</f>
        <v>90042.2</v>
      </c>
      <c r="D44" s="86"/>
      <c r="E44" s="86">
        <f>Feb!$C$10</f>
        <v>87655.2</v>
      </c>
      <c r="F44" s="86">
        <f>Feb!$D$10</f>
        <v>48094.166666666664</v>
      </c>
      <c r="G44" s="86">
        <f>Feb!$E$10</f>
        <v>128191</v>
      </c>
      <c r="H44" s="86">
        <f>Feb!$F$10</f>
        <v>61102</v>
      </c>
      <c r="I44" s="86">
        <f>Feb!$G$10</f>
        <v>53291.5</v>
      </c>
      <c r="J44" s="86"/>
      <c r="K44" s="121"/>
    </row>
    <row r="45" spans="1:11" ht="18" hidden="1" outlineLevel="3" collapsed="1">
      <c r="A45" s="85"/>
      <c r="B45" s="85"/>
      <c r="C45" s="86">
        <f>Jan!$B$13</f>
        <v>90042.2</v>
      </c>
      <c r="D45" s="86"/>
      <c r="E45" s="86">
        <f>Jan!$C$13</f>
        <v>87655.2</v>
      </c>
      <c r="F45" s="86">
        <f>Jan!$D$13</f>
        <v>48094.166666666664</v>
      </c>
      <c r="G45" s="86">
        <f>Jan!$E$13</f>
        <v>128191</v>
      </c>
      <c r="H45" s="86">
        <f>Jan!$F$13</f>
        <v>61102</v>
      </c>
      <c r="I45" s="86"/>
      <c r="J45" s="86">
        <f>Jan!$G$13</f>
        <v>53291.5</v>
      </c>
      <c r="K45" s="121"/>
    </row>
    <row r="46" spans="1:11" ht="18" hidden="1" outlineLevel="3" collapsed="1">
      <c r="A46" s="85"/>
      <c r="B46" s="85"/>
      <c r="C46" s="85"/>
      <c r="D46" s="86">
        <f>Mar!$B$14</f>
        <v>90042.2</v>
      </c>
      <c r="E46" s="86">
        <f>Mar!$C$14</f>
        <v>87655.2</v>
      </c>
      <c r="F46" s="86">
        <f>Mar!$D$14</f>
        <v>48094.166666666664</v>
      </c>
      <c r="G46" s="86">
        <f>Mar!$E$14</f>
        <v>128191</v>
      </c>
      <c r="H46" s="86">
        <f>Mar!$F$14</f>
        <v>61102</v>
      </c>
      <c r="I46" s="86"/>
      <c r="J46" s="86">
        <f>Mar!$G$14</f>
        <v>53291.5</v>
      </c>
      <c r="K46" s="121"/>
    </row>
    <row r="47" spans="1:11" ht="18" outlineLevel="2" collapsed="1">
      <c r="A47" s="85" t="s">
        <v>106</v>
      </c>
      <c r="B47" s="85"/>
      <c r="C47" s="86">
        <f t="shared" ref="C47:J47" si="6">SUM(C44:C46)</f>
        <v>180084.4</v>
      </c>
      <c r="D47" s="86">
        <f t="shared" si="6"/>
        <v>90042.2</v>
      </c>
      <c r="E47" s="86">
        <f t="shared" si="6"/>
        <v>262965.59999999998</v>
      </c>
      <c r="F47" s="86">
        <f t="shared" si="6"/>
        <v>144282.5</v>
      </c>
      <c r="G47" s="86">
        <f t="shared" si="6"/>
        <v>384573</v>
      </c>
      <c r="H47" s="86">
        <f t="shared" si="6"/>
        <v>183306</v>
      </c>
      <c r="I47" s="86">
        <f t="shared" si="6"/>
        <v>53291.5</v>
      </c>
      <c r="J47" s="86">
        <f t="shared" si="6"/>
        <v>106583</v>
      </c>
      <c r="K47" s="121"/>
    </row>
    <row r="48" spans="1:11" ht="18" hidden="1" outlineLevel="3">
      <c r="A48" s="85"/>
      <c r="B48" s="85"/>
      <c r="C48" s="86">
        <f>Feb!$B$11</f>
        <v>90331.6</v>
      </c>
      <c r="D48" s="86"/>
      <c r="E48" s="86">
        <f>Feb!$C$11</f>
        <v>76744.333333333328</v>
      </c>
      <c r="F48" s="86">
        <f>Feb!$D$11</f>
        <v>53212</v>
      </c>
      <c r="G48" s="86">
        <f>Feb!$E$11</f>
        <v>91280.333333333328</v>
      </c>
      <c r="H48" s="86">
        <f>Feb!$F$11</f>
        <v>53268.5</v>
      </c>
      <c r="I48" s="86">
        <f>Feb!$G$11</f>
        <v>45260.25</v>
      </c>
      <c r="J48" s="86"/>
      <c r="K48" s="121"/>
    </row>
    <row r="49" spans="1:11" ht="18" hidden="1" outlineLevel="3" collapsed="1">
      <c r="A49" s="85"/>
      <c r="B49" s="85"/>
      <c r="C49" s="86">
        <f>Jan!$B$11</f>
        <v>90331.6</v>
      </c>
      <c r="D49" s="86"/>
      <c r="E49" s="86">
        <f>Jan!$C$11</f>
        <v>76744.333333333328</v>
      </c>
      <c r="F49" s="86">
        <f>Jan!$D$11</f>
        <v>53212</v>
      </c>
      <c r="G49" s="86">
        <f>Jan!$E$11</f>
        <v>91280.333333333328</v>
      </c>
      <c r="H49" s="86">
        <f>Jan!$F$11</f>
        <v>53268.5</v>
      </c>
      <c r="I49" s="86"/>
      <c r="J49" s="86">
        <f>Jan!$G$11</f>
        <v>45260.25</v>
      </c>
      <c r="K49" s="121"/>
    </row>
    <row r="50" spans="1:11" ht="18" hidden="1" outlineLevel="3" collapsed="1">
      <c r="A50" s="85"/>
      <c r="B50" s="85"/>
      <c r="C50" s="85"/>
      <c r="D50" s="86">
        <f>Mar!$B$12</f>
        <v>90331.6</v>
      </c>
      <c r="E50" s="86">
        <f>Mar!$C$12</f>
        <v>76744.333333333328</v>
      </c>
      <c r="F50" s="86">
        <f>Mar!$D$12</f>
        <v>53212</v>
      </c>
      <c r="G50" s="86">
        <f>Mar!$E$12</f>
        <v>91280.333333333328</v>
      </c>
      <c r="H50" s="86">
        <f>Mar!$F$12</f>
        <v>53268.5</v>
      </c>
      <c r="I50" s="86"/>
      <c r="J50" s="86">
        <f>Mar!$G$12</f>
        <v>45260.25</v>
      </c>
      <c r="K50" s="121"/>
    </row>
    <row r="51" spans="1:11" ht="18" outlineLevel="1">
      <c r="A51" s="85" t="s">
        <v>105</v>
      </c>
      <c r="B51" s="85"/>
      <c r="C51" s="86">
        <f t="shared" ref="C51:J51" si="7">SUM(C48:C50)</f>
        <v>180663.2</v>
      </c>
      <c r="D51" s="86">
        <f t="shared" si="7"/>
        <v>90331.6</v>
      </c>
      <c r="E51" s="86">
        <f t="shared" si="7"/>
        <v>230233</v>
      </c>
      <c r="F51" s="86">
        <f t="shared" si="7"/>
        <v>159636</v>
      </c>
      <c r="G51" s="86">
        <f t="shared" si="7"/>
        <v>273841</v>
      </c>
      <c r="H51" s="86">
        <f t="shared" si="7"/>
        <v>159805.5</v>
      </c>
      <c r="I51" s="86">
        <f t="shared" si="7"/>
        <v>45260.25</v>
      </c>
      <c r="J51" s="86">
        <f t="shared" si="7"/>
        <v>90520.5</v>
      </c>
      <c r="K51" s="121"/>
    </row>
    <row r="52" spans="1:11" ht="18" hidden="1" outlineLevel="3">
      <c r="A52" s="85"/>
      <c r="B52" s="85"/>
      <c r="C52" s="86">
        <f>Feb!$B$12</f>
        <v>99555</v>
      </c>
      <c r="D52" s="86"/>
      <c r="E52" s="86">
        <f>Feb!$C$12</f>
        <v>38930</v>
      </c>
      <c r="F52" s="86">
        <f>Feb!$D$12</f>
        <v>125835.28571428571</v>
      </c>
      <c r="G52" s="86">
        <f>Feb!$E$12</f>
        <v>68348.71428571429</v>
      </c>
      <c r="H52" s="86">
        <f>Feb!$F$12</f>
        <v>68549.71428571429</v>
      </c>
      <c r="I52" s="86">
        <f>Feb!$G$12</f>
        <v>65911.333333333328</v>
      </c>
      <c r="J52" s="86"/>
      <c r="K52" s="121"/>
    </row>
    <row r="53" spans="1:11" ht="18" hidden="1" outlineLevel="3" collapsed="1">
      <c r="A53" s="85"/>
      <c r="B53" s="85"/>
      <c r="C53" s="86">
        <f>Jan!$B$7</f>
        <v>99555</v>
      </c>
      <c r="D53" s="86"/>
      <c r="E53" s="86">
        <f>Jan!$C$7</f>
        <v>38930</v>
      </c>
      <c r="F53" s="86">
        <f>Jan!$D$7</f>
        <v>125835.28571428571</v>
      </c>
      <c r="G53" s="86">
        <f>Jan!$E$7</f>
        <v>68348.71428571429</v>
      </c>
      <c r="H53" s="86">
        <f>Jan!$F$7</f>
        <v>68549.71428571429</v>
      </c>
      <c r="I53" s="86"/>
      <c r="J53" s="86">
        <f>Jan!$G$7</f>
        <v>65911.333333333328</v>
      </c>
      <c r="K53" s="121"/>
    </row>
    <row r="54" spans="1:11" ht="18" hidden="1" outlineLevel="3" collapsed="1">
      <c r="A54" s="85"/>
      <c r="B54" s="85"/>
      <c r="C54" s="85"/>
      <c r="D54" s="86">
        <f>Mar!$B$8</f>
        <v>99555</v>
      </c>
      <c r="E54" s="86">
        <f>Mar!$C$8</f>
        <v>38930</v>
      </c>
      <c r="F54" s="86">
        <f>Mar!$D$8</f>
        <v>125835.28571428571</v>
      </c>
      <c r="G54" s="86">
        <f>Mar!$E$8</f>
        <v>68348.71428571429</v>
      </c>
      <c r="H54" s="86">
        <f>Mar!$F$8</f>
        <v>68549.71428571429</v>
      </c>
      <c r="I54" s="86"/>
      <c r="J54" s="86">
        <f>Mar!$G$8</f>
        <v>65911.333333333328</v>
      </c>
      <c r="K54" s="121"/>
    </row>
    <row r="55" spans="1:11" ht="18" outlineLevel="2" collapsed="1">
      <c r="A55" s="85" t="s">
        <v>101</v>
      </c>
      <c r="B55" s="85"/>
      <c r="C55" s="86">
        <f t="shared" ref="C55:J55" si="8">SUM(C52:C54)</f>
        <v>199110</v>
      </c>
      <c r="D55" s="86">
        <f t="shared" si="8"/>
        <v>99555</v>
      </c>
      <c r="E55" s="86">
        <f t="shared" si="8"/>
        <v>116790</v>
      </c>
      <c r="F55" s="86">
        <f t="shared" si="8"/>
        <v>377505.85714285716</v>
      </c>
      <c r="G55" s="86">
        <f t="shared" si="8"/>
        <v>205046.14285714287</v>
      </c>
      <c r="H55" s="86">
        <f t="shared" si="8"/>
        <v>205649.14285714287</v>
      </c>
      <c r="I55" s="86">
        <f t="shared" si="8"/>
        <v>65911.333333333328</v>
      </c>
      <c r="J55" s="86">
        <f t="shared" si="8"/>
        <v>131822.66666666666</v>
      </c>
      <c r="K55" s="121"/>
    </row>
    <row r="56" spans="1:11" ht="18" hidden="1" outlineLevel="3">
      <c r="A56" s="85"/>
      <c r="B56" s="85"/>
      <c r="C56" s="86">
        <f>Feb!$B$13</f>
        <v>123014.33333333333</v>
      </c>
      <c r="D56" s="86"/>
      <c r="E56" s="86">
        <f>Feb!$C$13</f>
        <v>43640.5</v>
      </c>
      <c r="F56" s="86">
        <f>Feb!$D$13</f>
        <v>48339.333333333336</v>
      </c>
      <c r="G56" s="86">
        <f>Feb!$E$13</f>
        <v>53284.4</v>
      </c>
      <c r="H56" s="86">
        <f>Feb!$F$13</f>
        <v>69791.333333333328</v>
      </c>
      <c r="I56" s="86">
        <f>Feb!$G$13</f>
        <v>152670.66666666666</v>
      </c>
      <c r="J56" s="86"/>
      <c r="K56" s="121"/>
    </row>
    <row r="57" spans="1:11" ht="18" hidden="1" outlineLevel="3" collapsed="1">
      <c r="A57" s="85"/>
      <c r="B57" s="85"/>
      <c r="C57" s="86">
        <f>Jan!$B$9</f>
        <v>123014.33333333333</v>
      </c>
      <c r="D57" s="86"/>
      <c r="E57" s="86">
        <f>Jan!$C$9</f>
        <v>43640.5</v>
      </c>
      <c r="F57" s="86">
        <f>Jan!$D$9</f>
        <v>48339.333333333336</v>
      </c>
      <c r="G57" s="86">
        <f>Jan!$E$9</f>
        <v>53284.4</v>
      </c>
      <c r="H57" s="86">
        <f>Jan!$F$9</f>
        <v>69791.333333333328</v>
      </c>
      <c r="I57" s="86"/>
      <c r="J57" s="86">
        <f>Jan!$G$9</f>
        <v>152670.66666666666</v>
      </c>
      <c r="K57" s="121"/>
    </row>
    <row r="58" spans="1:11" ht="18" hidden="1" outlineLevel="3" collapsed="1">
      <c r="A58" s="85"/>
      <c r="B58" s="85"/>
      <c r="C58" s="85"/>
      <c r="D58" s="86">
        <f>Mar!$B$4</f>
        <v>123014.33333333333</v>
      </c>
      <c r="E58" s="86">
        <f>Mar!$C$4</f>
        <v>43640.5</v>
      </c>
      <c r="F58" s="86">
        <f>Mar!$D$4</f>
        <v>48339.333333333336</v>
      </c>
      <c r="G58" s="86">
        <f>Mar!$E$4</f>
        <v>53284.4</v>
      </c>
      <c r="H58" s="86">
        <f>Mar!$F$4</f>
        <v>69791.333333333328</v>
      </c>
      <c r="I58" s="86"/>
      <c r="J58" s="86">
        <f>Mar!$G$4</f>
        <v>152670.66666666666</v>
      </c>
      <c r="K58" s="121"/>
    </row>
    <row r="59" spans="1:11" ht="18" outlineLevel="2" collapsed="1">
      <c r="A59" s="85" t="s">
        <v>103</v>
      </c>
      <c r="B59" s="85"/>
      <c r="C59" s="86">
        <f t="shared" ref="C59:J59" si="9">SUM(C56:C58)</f>
        <v>246028.66666666666</v>
      </c>
      <c r="D59" s="86">
        <f t="shared" si="9"/>
        <v>123014.33333333333</v>
      </c>
      <c r="E59" s="86">
        <f t="shared" si="9"/>
        <v>130921.5</v>
      </c>
      <c r="F59" s="86">
        <f t="shared" si="9"/>
        <v>145018</v>
      </c>
      <c r="G59" s="86">
        <f t="shared" si="9"/>
        <v>159853.20000000001</v>
      </c>
      <c r="H59" s="86">
        <f t="shared" si="9"/>
        <v>209374</v>
      </c>
      <c r="I59" s="86">
        <f t="shared" si="9"/>
        <v>152670.66666666666</v>
      </c>
      <c r="J59" s="86">
        <f t="shared" si="9"/>
        <v>305341.33333333331</v>
      </c>
      <c r="K59" s="121"/>
    </row>
    <row r="60" spans="1:11" ht="18" hidden="1" outlineLevel="3">
      <c r="A60" s="85"/>
      <c r="B60" s="85"/>
      <c r="C60" s="86">
        <f>Feb!$B$14</f>
        <v>142241.33333333334</v>
      </c>
      <c r="D60" s="86"/>
      <c r="E60" s="86">
        <f>Feb!$C$14</f>
        <v>67467</v>
      </c>
      <c r="F60" s="86">
        <f>Feb!$D$14</f>
        <v>53213.5</v>
      </c>
      <c r="G60" s="86">
        <f>Feb!$E$14</f>
        <v>118827.8</v>
      </c>
      <c r="H60" s="86">
        <f>Feb!$F$14</f>
        <v>121036</v>
      </c>
      <c r="I60" s="86">
        <f>Feb!$G$14</f>
        <v>54330.6</v>
      </c>
      <c r="J60" s="86"/>
      <c r="K60" s="121"/>
    </row>
    <row r="61" spans="1:11" ht="18" hidden="1" outlineLevel="3" collapsed="1">
      <c r="A61" s="85"/>
      <c r="B61" s="85"/>
      <c r="C61" s="86">
        <f>Jan!$B$14</f>
        <v>142241.33333333334</v>
      </c>
      <c r="D61" s="86"/>
      <c r="E61" s="86">
        <f>Jan!$C$14</f>
        <v>67467</v>
      </c>
      <c r="F61" s="86">
        <f>Jan!$D$14</f>
        <v>53213.5</v>
      </c>
      <c r="G61" s="86">
        <f>Jan!$E$14</f>
        <v>118827.8</v>
      </c>
      <c r="H61" s="86">
        <f>Jan!$F$14</f>
        <v>121036</v>
      </c>
      <c r="I61" s="86"/>
      <c r="J61" s="86">
        <f>Jan!$G$14</f>
        <v>54330.6</v>
      </c>
      <c r="K61" s="121"/>
    </row>
    <row r="62" spans="1:11" ht="18" outlineLevel="2" collapsed="1">
      <c r="A62" s="85" t="s">
        <v>107</v>
      </c>
      <c r="B62" s="85"/>
      <c r="C62" s="86">
        <f>SUM(C60:C61)</f>
        <v>284482.66666666669</v>
      </c>
      <c r="D62" s="86"/>
      <c r="E62" s="86">
        <f t="shared" ref="E62:J62" si="10">SUM(E60:E61)</f>
        <v>134934</v>
      </c>
      <c r="F62" s="86">
        <f t="shared" si="10"/>
        <v>106427</v>
      </c>
      <c r="G62" s="86">
        <f t="shared" si="10"/>
        <v>237655.6</v>
      </c>
      <c r="H62" s="86">
        <f t="shared" si="10"/>
        <v>242072</v>
      </c>
      <c r="I62" s="86">
        <f t="shared" si="10"/>
        <v>54330.6</v>
      </c>
      <c r="J62" s="86">
        <f t="shared" si="10"/>
        <v>54330.6</v>
      </c>
      <c r="K62" s="121"/>
    </row>
    <row r="63" spans="1:11" ht="18" hidden="1" outlineLevel="3">
      <c r="A63" s="85"/>
      <c r="B63" s="85"/>
      <c r="C63" s="86">
        <f>Feb!$B$15</f>
        <v>157682</v>
      </c>
      <c r="D63" s="86"/>
      <c r="E63" s="86">
        <f>Feb!$C$15</f>
        <v>44431.8</v>
      </c>
      <c r="F63" s="86">
        <f>Feb!$D$15</f>
        <v>97265.5</v>
      </c>
      <c r="G63" s="86">
        <f>Feb!$E$15</f>
        <v>88315.428571428565</v>
      </c>
      <c r="H63" s="86">
        <f>Feb!$F$15</f>
        <v>42113.333333333336</v>
      </c>
      <c r="I63" s="86">
        <f>Feb!$G$15</f>
        <v>56045.8</v>
      </c>
      <c r="J63" s="86"/>
      <c r="K63" s="121"/>
    </row>
    <row r="64" spans="1:11" ht="18" hidden="1" outlineLevel="3" collapsed="1">
      <c r="A64" s="85"/>
      <c r="B64" s="85"/>
      <c r="C64" s="86">
        <f>Jan!$B$15</f>
        <v>157682</v>
      </c>
      <c r="D64" s="86"/>
      <c r="E64" s="86">
        <f>Jan!$C$15</f>
        <v>44431.8</v>
      </c>
      <c r="F64" s="86">
        <f>Jan!$D$15</f>
        <v>97265.5</v>
      </c>
      <c r="G64" s="86">
        <f>Jan!$E$15</f>
        <v>88315.428571428565</v>
      </c>
      <c r="H64" s="86">
        <f>Jan!$F$15</f>
        <v>42113.333333333336</v>
      </c>
      <c r="I64" s="86"/>
      <c r="J64" s="86">
        <f>Jan!$G$15</f>
        <v>56045.8</v>
      </c>
      <c r="K64" s="121"/>
    </row>
    <row r="65" spans="1:11" ht="18" hidden="1" outlineLevel="3" collapsed="1">
      <c r="A65" s="85"/>
      <c r="B65" s="85"/>
      <c r="C65" s="85"/>
      <c r="D65" s="86">
        <f>Mar!$B$11</f>
        <v>157682</v>
      </c>
      <c r="E65" s="86">
        <f>Mar!$C$11</f>
        <v>44431.8</v>
      </c>
      <c r="F65" s="86">
        <f>Mar!$D$11</f>
        <v>97265.5</v>
      </c>
      <c r="G65" s="86">
        <f>Mar!$E$11</f>
        <v>88315.428571428565</v>
      </c>
      <c r="H65" s="86">
        <f>Mar!$F$11</f>
        <v>42113.333333333336</v>
      </c>
      <c r="I65" s="86"/>
      <c r="J65" s="86">
        <f>Mar!$G$11</f>
        <v>56045.8</v>
      </c>
      <c r="K65" s="121"/>
    </row>
    <row r="66" spans="1:11" ht="18.600000000000001" outlineLevel="1" thickBot="1">
      <c r="A66" s="85" t="s">
        <v>108</v>
      </c>
      <c r="B66" s="85"/>
      <c r="C66" s="86">
        <f t="shared" ref="C66:J66" si="11">SUM(C63:C65)</f>
        <v>315364</v>
      </c>
      <c r="D66" s="86">
        <f t="shared" si="11"/>
        <v>157682</v>
      </c>
      <c r="E66" s="86">
        <f t="shared" si="11"/>
        <v>133295.40000000002</v>
      </c>
      <c r="F66" s="86">
        <f t="shared" si="11"/>
        <v>291796.5</v>
      </c>
      <c r="G66" s="86">
        <f t="shared" si="11"/>
        <v>264946.28571428568</v>
      </c>
      <c r="H66" s="86">
        <f t="shared" si="11"/>
        <v>126340</v>
      </c>
      <c r="I66" s="86">
        <f t="shared" si="11"/>
        <v>56045.8</v>
      </c>
      <c r="J66" s="86">
        <f t="shared" si="11"/>
        <v>112091.6</v>
      </c>
      <c r="K66" s="121"/>
    </row>
    <row r="67" spans="1:11" ht="18.600000000000001" outlineLevel="2" thickBot="1">
      <c r="A67" s="103" t="s">
        <v>109</v>
      </c>
      <c r="B67" s="103"/>
      <c r="C67" s="104">
        <v>2105984.7999999998</v>
      </c>
      <c r="D67" s="104">
        <v>939858.56666666653</v>
      </c>
      <c r="E67" s="104">
        <v>2247250.2285714285</v>
      </c>
      <c r="F67" s="104">
        <v>2446615.3571428573</v>
      </c>
      <c r="G67" s="104">
        <v>2882873.7285714285</v>
      </c>
      <c r="H67" s="104">
        <v>2252344.0428571431</v>
      </c>
      <c r="I67" s="104">
        <v>886815.3583333334</v>
      </c>
      <c r="J67" s="104">
        <v>1719300</v>
      </c>
      <c r="K67" s="121"/>
    </row>
    <row r="68" spans="1:11" outlineLevel="2">
      <c r="D68" s="121"/>
      <c r="E68" s="121"/>
      <c r="F68" s="121"/>
      <c r="G68" s="121"/>
      <c r="H68" s="121"/>
      <c r="I68" s="121"/>
      <c r="K68" s="121"/>
    </row>
    <row r="69" spans="1:11" ht="15" outlineLevel="2" thickBot="1">
      <c r="E69" s="121"/>
      <c r="F69" s="121"/>
      <c r="G69" s="121"/>
      <c r="H69" s="121"/>
      <c r="I69" s="121"/>
      <c r="K69" s="121"/>
    </row>
    <row r="70" spans="1:11" ht="18.600000000000001" thickBot="1">
      <c r="A70" s="103"/>
      <c r="B70" s="103"/>
      <c r="C70" s="103" t="s">
        <v>92</v>
      </c>
      <c r="D70" s="103" t="s">
        <v>113</v>
      </c>
      <c r="E70" s="103" t="s">
        <v>93</v>
      </c>
      <c r="F70" s="103" t="s">
        <v>94</v>
      </c>
      <c r="G70" s="103" t="s">
        <v>95</v>
      </c>
      <c r="H70" s="103" t="s">
        <v>96</v>
      </c>
      <c r="I70" s="103" t="s">
        <v>111</v>
      </c>
      <c r="J70" s="103" t="s">
        <v>97</v>
      </c>
      <c r="K70" s="121"/>
    </row>
    <row r="71" spans="1:11" ht="18" hidden="1" outlineLevel="3">
      <c r="A71" s="122"/>
      <c r="B71" s="122" t="s">
        <v>214</v>
      </c>
      <c r="C71" s="123">
        <f>Feb!$B$4</f>
        <v>48968</v>
      </c>
      <c r="D71" s="122"/>
      <c r="E71" s="123">
        <f>Feb!$C$4</f>
        <v>72077.600000000006</v>
      </c>
      <c r="F71" s="123">
        <f>Feb!$D$4</f>
        <v>53234.333333333336</v>
      </c>
      <c r="G71" s="123">
        <f>Feb!$E$4</f>
        <v>116768.83333333333</v>
      </c>
      <c r="H71" s="123">
        <f>Feb!$F$4</f>
        <v>38789.75</v>
      </c>
      <c r="I71" s="123">
        <f>Feb!$G$4</f>
        <v>71033.375</v>
      </c>
      <c r="J71" s="122"/>
      <c r="K71" s="121"/>
    </row>
    <row r="72" spans="1:11" ht="18" hidden="1" outlineLevel="3" collapsed="1">
      <c r="A72" s="122"/>
      <c r="B72" s="122" t="s">
        <v>214</v>
      </c>
      <c r="C72" s="123">
        <f>Jan!$B$12</f>
        <v>0</v>
      </c>
      <c r="D72" s="122"/>
      <c r="E72" s="123">
        <f>Jan!$C$12</f>
        <v>72077.600000000006</v>
      </c>
      <c r="F72" s="123">
        <f>Jan!$D$12</f>
        <v>53234.333333333336</v>
      </c>
      <c r="G72" s="123">
        <f>Jan!$E$12</f>
        <v>116768.83333333333</v>
      </c>
      <c r="H72" s="123">
        <f>Jan!$F$12</f>
        <v>38789.75</v>
      </c>
      <c r="I72" s="122"/>
      <c r="J72" s="123">
        <f>Jan!$G$12</f>
        <v>71033.375</v>
      </c>
      <c r="K72" s="121"/>
    </row>
    <row r="73" spans="1:11" ht="18" hidden="1" outlineLevel="3" collapsed="1">
      <c r="A73" s="122"/>
      <c r="B73" s="122" t="s">
        <v>214</v>
      </c>
      <c r="C73" s="122"/>
      <c r="D73" s="123">
        <f>Mar!$B$13</f>
        <v>48968</v>
      </c>
      <c r="E73" s="123">
        <f>Mar!$C$13</f>
        <v>72077.600000000006</v>
      </c>
      <c r="F73" s="123">
        <f>Mar!$D$13</f>
        <v>53234.333333333336</v>
      </c>
      <c r="G73" s="123">
        <f>Mar!$E$13</f>
        <v>116768.83333333333</v>
      </c>
      <c r="H73" s="123">
        <f>Mar!$F$13</f>
        <v>38789.75</v>
      </c>
      <c r="I73" s="122"/>
      <c r="J73" s="123">
        <f>Mar!$G$13</f>
        <v>71033.375</v>
      </c>
      <c r="K73" s="121"/>
    </row>
    <row r="74" spans="1:11" ht="18" outlineLevel="2" collapsed="1">
      <c r="A74" s="85" t="s">
        <v>51</v>
      </c>
      <c r="B74" s="85"/>
      <c r="C74" s="86">
        <f t="shared" ref="C74:J74" si="12">SUM(C71:C73)</f>
        <v>48968</v>
      </c>
      <c r="D74" s="86">
        <f t="shared" si="12"/>
        <v>48968</v>
      </c>
      <c r="E74" s="86">
        <f t="shared" si="12"/>
        <v>216232.80000000002</v>
      </c>
      <c r="F74" s="86">
        <f t="shared" si="12"/>
        <v>159703</v>
      </c>
      <c r="G74" s="86">
        <f t="shared" si="12"/>
        <v>350306.5</v>
      </c>
      <c r="H74" s="86">
        <f t="shared" si="12"/>
        <v>116369.25</v>
      </c>
      <c r="I74" s="86">
        <f t="shared" si="12"/>
        <v>71033.375</v>
      </c>
      <c r="J74" s="86">
        <f t="shared" si="12"/>
        <v>142066.75</v>
      </c>
      <c r="K74" s="121"/>
    </row>
    <row r="75" spans="1:11" ht="18" hidden="1" outlineLevel="3">
      <c r="A75" s="85"/>
      <c r="B75" s="85" t="s">
        <v>214</v>
      </c>
      <c r="C75" s="86">
        <f>Feb!$B$5</f>
        <v>53247</v>
      </c>
      <c r="D75" s="86"/>
      <c r="E75" s="86">
        <f>Feb!$C$5</f>
        <v>63014.666666666664</v>
      </c>
      <c r="F75" s="86">
        <f>Feb!$D$5</f>
        <v>96110</v>
      </c>
      <c r="G75" s="86">
        <f>Feb!$E$5</f>
        <v>55828.666666666664</v>
      </c>
      <c r="H75" s="86">
        <f>Feb!$F$5</f>
        <v>53278</v>
      </c>
      <c r="I75" s="86">
        <f>Feb!$G$5</f>
        <v>53274.333333333336</v>
      </c>
      <c r="J75" s="86"/>
      <c r="K75" s="121"/>
    </row>
    <row r="76" spans="1:11" ht="18" hidden="1" outlineLevel="3" collapsed="1">
      <c r="A76" s="85"/>
      <c r="B76" s="85" t="s">
        <v>214</v>
      </c>
      <c r="C76" s="86">
        <f>Jan!$B$4</f>
        <v>44000</v>
      </c>
      <c r="D76" s="86"/>
      <c r="E76" s="86">
        <f>Jan!$C$4</f>
        <v>63014.666666666664</v>
      </c>
      <c r="F76" s="86">
        <f>Jan!$D$4</f>
        <v>96110</v>
      </c>
      <c r="G76" s="86">
        <f>Jan!$E$4</f>
        <v>55828.666666666664</v>
      </c>
      <c r="H76" s="86">
        <f>Jan!$F$4</f>
        <v>53278</v>
      </c>
      <c r="I76" s="86"/>
      <c r="J76" s="86">
        <f>Jan!$G$4</f>
        <v>53274.333333333336</v>
      </c>
      <c r="K76" s="121"/>
    </row>
    <row r="77" spans="1:11" ht="18" hidden="1" outlineLevel="3" collapsed="1">
      <c r="A77" s="85"/>
      <c r="B77" s="85" t="s">
        <v>214</v>
      </c>
      <c r="C77" s="85"/>
      <c r="D77" s="86">
        <f>Mar!$B$5</f>
        <v>53247</v>
      </c>
      <c r="E77" s="86">
        <f>Mar!$C$5</f>
        <v>63014.666666666664</v>
      </c>
      <c r="F77" s="86">
        <f>Mar!$D$5</f>
        <v>96110</v>
      </c>
      <c r="G77" s="86">
        <f>Mar!$E$5</f>
        <v>55828.666666666664</v>
      </c>
      <c r="H77" s="86">
        <f>Mar!$F$5</f>
        <v>53278</v>
      </c>
      <c r="I77" s="86"/>
      <c r="J77" s="86">
        <f>Mar!$G$5</f>
        <v>53274.333333333336</v>
      </c>
      <c r="K77" s="121"/>
    </row>
    <row r="78" spans="1:11" ht="18" outlineLevel="2" collapsed="1">
      <c r="A78" s="85" t="s">
        <v>98</v>
      </c>
      <c r="B78" s="85"/>
      <c r="C78" s="86">
        <f t="shared" ref="C78:J78" si="13">SUM(C75:C77)</f>
        <v>97247</v>
      </c>
      <c r="D78" s="86">
        <f t="shared" si="13"/>
        <v>53247</v>
      </c>
      <c r="E78" s="86">
        <f t="shared" si="13"/>
        <v>189044</v>
      </c>
      <c r="F78" s="86">
        <f t="shared" si="13"/>
        <v>288330</v>
      </c>
      <c r="G78" s="86">
        <f t="shared" si="13"/>
        <v>167486</v>
      </c>
      <c r="H78" s="86">
        <f t="shared" si="13"/>
        <v>159834</v>
      </c>
      <c r="I78" s="86">
        <f t="shared" si="13"/>
        <v>53274.333333333336</v>
      </c>
      <c r="J78" s="86">
        <f t="shared" si="13"/>
        <v>106548.66666666667</v>
      </c>
      <c r="K78" s="121"/>
    </row>
    <row r="79" spans="1:11" ht="18" hidden="1" outlineLevel="3">
      <c r="A79" s="85"/>
      <c r="B79" s="85" t="s">
        <v>214</v>
      </c>
      <c r="C79" s="86">
        <f>Feb!$B$6</f>
        <v>61826.8</v>
      </c>
      <c r="D79" s="86"/>
      <c r="E79" s="86">
        <f>Feb!$C$6</f>
        <v>46426.25</v>
      </c>
      <c r="F79" s="86">
        <f>Feb!$D$6</f>
        <v>64245.25</v>
      </c>
      <c r="G79" s="86">
        <f>Feb!$E$6</f>
        <v>75779.5</v>
      </c>
      <c r="H79" s="86">
        <f>Feb!$F$6</f>
        <v>51527.75</v>
      </c>
      <c r="I79" s="86">
        <f>Feb!$G$6</f>
        <v>40834</v>
      </c>
      <c r="J79" s="86"/>
      <c r="K79" s="121"/>
    </row>
    <row r="80" spans="1:11" ht="18" hidden="1" outlineLevel="3" collapsed="1">
      <c r="A80" s="85"/>
      <c r="B80" s="85" t="s">
        <v>214</v>
      </c>
      <c r="C80" s="86">
        <f>Jan!$B$8</f>
        <v>61826.8</v>
      </c>
      <c r="D80" s="86"/>
      <c r="E80" s="86">
        <f>Jan!$C$8</f>
        <v>46426.25</v>
      </c>
      <c r="F80" s="86">
        <f>Jan!$D$8</f>
        <v>64245.25</v>
      </c>
      <c r="G80" s="86">
        <f>Jan!$E$8</f>
        <v>75779.5</v>
      </c>
      <c r="H80" s="86">
        <f>Jan!$F$8</f>
        <v>51527.75</v>
      </c>
      <c r="I80" s="86"/>
      <c r="J80" s="86">
        <f>Jan!$G$8</f>
        <v>40834</v>
      </c>
      <c r="K80" s="121"/>
    </row>
    <row r="81" spans="1:11" ht="18" hidden="1" outlineLevel="3" collapsed="1">
      <c r="A81" s="85"/>
      <c r="B81" s="85" t="s">
        <v>214</v>
      </c>
      <c r="C81" s="85"/>
      <c r="D81" s="86">
        <f>Mar!$B$9</f>
        <v>61826.8</v>
      </c>
      <c r="E81" s="86">
        <f>Mar!$C$9</f>
        <v>46426.25</v>
      </c>
      <c r="F81" s="86">
        <f>Mar!$D$9</f>
        <v>64245.25</v>
      </c>
      <c r="G81" s="86">
        <f>Mar!$E$9</f>
        <v>75779.5</v>
      </c>
      <c r="H81" s="86">
        <f>Mar!$F$9</f>
        <v>51527.75</v>
      </c>
      <c r="I81" s="86"/>
      <c r="J81" s="86">
        <f>Mar!$G$9</f>
        <v>40834</v>
      </c>
      <c r="K81" s="121"/>
    </row>
    <row r="82" spans="1:11" ht="18" outlineLevel="2" collapsed="1">
      <c r="A82" s="85" t="s">
        <v>102</v>
      </c>
      <c r="B82" s="85"/>
      <c r="C82" s="86">
        <f t="shared" ref="C82:J82" si="14">SUM(C79:C81)</f>
        <v>123653.6</v>
      </c>
      <c r="D82" s="86">
        <f t="shared" si="14"/>
        <v>61826.8</v>
      </c>
      <c r="E82" s="86">
        <f t="shared" si="14"/>
        <v>139278.75</v>
      </c>
      <c r="F82" s="86">
        <f t="shared" si="14"/>
        <v>192735.75</v>
      </c>
      <c r="G82" s="86">
        <f t="shared" si="14"/>
        <v>227338.5</v>
      </c>
      <c r="H82" s="86">
        <f t="shared" si="14"/>
        <v>154583.25</v>
      </c>
      <c r="I82" s="86">
        <f t="shared" si="14"/>
        <v>40834</v>
      </c>
      <c r="J82" s="86">
        <f t="shared" si="14"/>
        <v>81668</v>
      </c>
      <c r="K82" s="121"/>
    </row>
    <row r="83" spans="1:11" ht="18" hidden="1" outlineLevel="3">
      <c r="A83" s="85"/>
      <c r="B83" s="85" t="s">
        <v>214</v>
      </c>
      <c r="C83" s="86">
        <f>Feb!$B$7</f>
        <v>68228.800000000003</v>
      </c>
      <c r="D83" s="86"/>
      <c r="E83" s="86">
        <f>Feb!$C$7</f>
        <v>71992.25</v>
      </c>
      <c r="F83" s="86">
        <f>Feb!$D$7</f>
        <v>46774.666666666664</v>
      </c>
      <c r="G83" s="86">
        <f>Feb!$E$7</f>
        <v>57441.666666666664</v>
      </c>
      <c r="H83" s="86">
        <f>Feb!$F$7</f>
        <v>89982.166666666672</v>
      </c>
      <c r="I83" s="86">
        <f>Feb!$G$7</f>
        <v>111181</v>
      </c>
      <c r="J83" s="86"/>
      <c r="K83" s="121"/>
    </row>
    <row r="84" spans="1:11" ht="18" hidden="1" outlineLevel="3" collapsed="1">
      <c r="A84" s="85"/>
      <c r="B84" s="85" t="s">
        <v>214</v>
      </c>
      <c r="C84" s="86">
        <f>Jan!$B$6</f>
        <v>68228.800000000003</v>
      </c>
      <c r="D84" s="86"/>
      <c r="E84" s="86">
        <f>Jan!$C$6</f>
        <v>71992.25</v>
      </c>
      <c r="F84" s="86">
        <f>Jan!$D$6</f>
        <v>46774.666666666664</v>
      </c>
      <c r="G84" s="86">
        <f>Jan!$E$6</f>
        <v>57441.666666666664</v>
      </c>
      <c r="H84" s="86">
        <f>Jan!$F$6</f>
        <v>89982.166666666672</v>
      </c>
      <c r="I84" s="86"/>
      <c r="J84" s="86">
        <f>Jan!$G$6</f>
        <v>111181</v>
      </c>
      <c r="K84" s="121"/>
    </row>
    <row r="85" spans="1:11" ht="18" hidden="1" outlineLevel="3" collapsed="1">
      <c r="A85" s="85"/>
      <c r="B85" s="85" t="s">
        <v>214</v>
      </c>
      <c r="C85" s="85"/>
      <c r="D85" s="86">
        <f>Mar!$B$6</f>
        <v>68228.800000000003</v>
      </c>
      <c r="E85" s="86">
        <f>Mar!$C$6</f>
        <v>71992.25</v>
      </c>
      <c r="F85" s="86">
        <f>Mar!$D$6</f>
        <v>46774.666666666664</v>
      </c>
      <c r="G85" s="86">
        <f>Mar!$E$6</f>
        <v>57441.666666666664</v>
      </c>
      <c r="H85" s="86">
        <f>Mar!$F$6</f>
        <v>89982.166666666672</v>
      </c>
      <c r="I85" s="86"/>
      <c r="J85" s="86">
        <f>Mar!$G$6</f>
        <v>111181</v>
      </c>
      <c r="K85" s="121"/>
    </row>
    <row r="86" spans="1:11" ht="18" outlineLevel="1">
      <c r="A86" s="85" t="s">
        <v>100</v>
      </c>
      <c r="B86" s="85"/>
      <c r="C86" s="86">
        <f t="shared" ref="C86:J86" si="15">SUM(C83:C85)</f>
        <v>136457.60000000001</v>
      </c>
      <c r="D86" s="86">
        <f t="shared" si="15"/>
        <v>68228.800000000003</v>
      </c>
      <c r="E86" s="86">
        <f t="shared" si="15"/>
        <v>215976.75</v>
      </c>
      <c r="F86" s="86">
        <f t="shared" si="15"/>
        <v>140324</v>
      </c>
      <c r="G86" s="86">
        <f t="shared" si="15"/>
        <v>172325</v>
      </c>
      <c r="H86" s="86">
        <f t="shared" si="15"/>
        <v>269946.5</v>
      </c>
      <c r="I86" s="86">
        <f t="shared" si="15"/>
        <v>111181</v>
      </c>
      <c r="J86" s="86">
        <f t="shared" si="15"/>
        <v>222362</v>
      </c>
      <c r="K86" s="121"/>
    </row>
    <row r="87" spans="1:11" ht="18" hidden="1" outlineLevel="3">
      <c r="A87" s="85"/>
      <c r="B87" s="85" t="s">
        <v>214</v>
      </c>
      <c r="C87" s="86">
        <f>Feb!$B$8</f>
        <v>71580.833333333328</v>
      </c>
      <c r="D87" s="86"/>
      <c r="E87" s="86">
        <f>Feb!$C$8</f>
        <v>53301.666666666664</v>
      </c>
      <c r="F87" s="86">
        <f>Feb!$D$8</f>
        <v>76768.5</v>
      </c>
      <c r="G87" s="86">
        <f>Feb!$E$8</f>
        <v>68316.5</v>
      </c>
      <c r="H87" s="86">
        <f>Feb!$F$8</f>
        <v>64912.333333333336</v>
      </c>
      <c r="I87" s="86">
        <f>Feb!$G$8</f>
        <v>101738.5</v>
      </c>
      <c r="J87" s="86"/>
      <c r="K87" s="121"/>
    </row>
    <row r="88" spans="1:11" ht="18" hidden="1" outlineLevel="3" collapsed="1">
      <c r="A88" s="85"/>
      <c r="B88" s="85" t="s">
        <v>214</v>
      </c>
      <c r="C88" s="86">
        <f>Jan!$B$5</f>
        <v>71580.833333333328</v>
      </c>
      <c r="D88" s="86"/>
      <c r="E88" s="86">
        <f>Jan!$C$5</f>
        <v>53301.666666666664</v>
      </c>
      <c r="F88" s="86">
        <f>Jan!$D$5</f>
        <v>76768.5</v>
      </c>
      <c r="G88" s="86">
        <f>Jan!$E$5</f>
        <v>68316.5</v>
      </c>
      <c r="H88" s="86">
        <f>Jan!$F$5</f>
        <v>64912.333333333336</v>
      </c>
      <c r="I88" s="86"/>
      <c r="J88" s="86">
        <f>Jan!$G$5</f>
        <v>101738.5</v>
      </c>
      <c r="K88" s="121"/>
    </row>
    <row r="89" spans="1:11" ht="18" hidden="1" outlineLevel="3" collapsed="1">
      <c r="A89" s="85"/>
      <c r="B89" s="85" t="s">
        <v>214</v>
      </c>
      <c r="C89" s="85"/>
      <c r="D89" s="86">
        <f>Mar!$B$7</f>
        <v>71580.833333333328</v>
      </c>
      <c r="E89" s="86">
        <f>Mar!$C$7</f>
        <v>53301.666666666664</v>
      </c>
      <c r="F89" s="86">
        <f>Mar!$D$7</f>
        <v>76768.5</v>
      </c>
      <c r="G89" s="86">
        <f>Mar!$E$7</f>
        <v>68316.5</v>
      </c>
      <c r="H89" s="86">
        <f>Mar!$F$7</f>
        <v>64912.333333333336</v>
      </c>
      <c r="I89" s="86"/>
      <c r="J89" s="86">
        <f>Mar!$G$7</f>
        <v>101738.5</v>
      </c>
      <c r="K89" s="121"/>
    </row>
    <row r="90" spans="1:11" ht="18" outlineLevel="2" collapsed="1">
      <c r="A90" s="85" t="s">
        <v>99</v>
      </c>
      <c r="B90" s="85"/>
      <c r="C90" s="86">
        <f t="shared" ref="C90:J90" si="16">SUM(C87:C89)</f>
        <v>143161.66666666666</v>
      </c>
      <c r="D90" s="86">
        <f t="shared" si="16"/>
        <v>71580.833333333328</v>
      </c>
      <c r="E90" s="86">
        <f t="shared" si="16"/>
        <v>159905</v>
      </c>
      <c r="F90" s="86">
        <f t="shared" si="16"/>
        <v>230305.5</v>
      </c>
      <c r="G90" s="86">
        <f t="shared" si="16"/>
        <v>204949.5</v>
      </c>
      <c r="H90" s="86">
        <f t="shared" si="16"/>
        <v>194737</v>
      </c>
      <c r="I90" s="86">
        <f t="shared" si="16"/>
        <v>101738.5</v>
      </c>
      <c r="J90" s="86">
        <f t="shared" si="16"/>
        <v>203477</v>
      </c>
    </row>
    <row r="91" spans="1:11" ht="18" hidden="1" outlineLevel="3">
      <c r="A91" s="85"/>
      <c r="B91" s="85" t="s">
        <v>214</v>
      </c>
      <c r="C91" s="86">
        <f>Feb!$B$9</f>
        <v>75382</v>
      </c>
      <c r="D91" s="86"/>
      <c r="E91" s="86">
        <f>Feb!$C$9</f>
        <v>105891.14285714286</v>
      </c>
      <c r="F91" s="86">
        <f>Feb!$D$9</f>
        <v>70183.75</v>
      </c>
      <c r="G91" s="86">
        <f>Feb!$E$9</f>
        <v>78184.333333333328</v>
      </c>
      <c r="H91" s="86">
        <f>Feb!$F$9</f>
        <v>76775.8</v>
      </c>
      <c r="I91" s="86">
        <f>Feb!$G$9</f>
        <v>81244</v>
      </c>
      <c r="J91" s="86"/>
    </row>
    <row r="92" spans="1:11" ht="18" hidden="1" outlineLevel="3" collapsed="1">
      <c r="A92" s="85"/>
      <c r="B92" s="85" t="s">
        <v>214</v>
      </c>
      <c r="C92" s="86">
        <f>Jan!$B$10</f>
        <v>75382</v>
      </c>
      <c r="D92" s="86"/>
      <c r="E92" s="86">
        <f>Jan!$C$10</f>
        <v>105891.14285714286</v>
      </c>
      <c r="F92" s="86">
        <f>Jan!$D$10</f>
        <v>70183.75</v>
      </c>
      <c r="G92" s="86">
        <f>Jan!$E$10</f>
        <v>78184.333333333328</v>
      </c>
      <c r="H92" s="86">
        <f>Jan!$F$10</f>
        <v>76775.8</v>
      </c>
      <c r="I92" s="86"/>
      <c r="J92" s="86">
        <f>Jan!$G$10</f>
        <v>81244</v>
      </c>
    </row>
    <row r="93" spans="1:11" ht="18" hidden="1" outlineLevel="3" collapsed="1">
      <c r="A93" s="85"/>
      <c r="B93" s="85" t="s">
        <v>214</v>
      </c>
      <c r="C93" s="85"/>
      <c r="D93" s="86">
        <f>Mar!$B$10</f>
        <v>75382</v>
      </c>
      <c r="E93" s="86">
        <f>Mar!$C$10</f>
        <v>105891.14285714286</v>
      </c>
      <c r="F93" s="86">
        <f>Mar!$D$10</f>
        <v>70183.75</v>
      </c>
      <c r="G93" s="86">
        <f>Mar!$E$10</f>
        <v>78184.333333333328</v>
      </c>
      <c r="H93" s="86">
        <f>Mar!$F$10</f>
        <v>76775.8</v>
      </c>
      <c r="I93" s="86"/>
      <c r="J93" s="86">
        <f>Mar!$G$10</f>
        <v>81244</v>
      </c>
    </row>
    <row r="94" spans="1:11" ht="18" outlineLevel="2" collapsed="1">
      <c r="A94" s="85" t="s">
        <v>104</v>
      </c>
      <c r="B94" s="85"/>
      <c r="C94" s="86">
        <f t="shared" ref="C94:J94" si="17">SUM(C91:C93)</f>
        <v>150764</v>
      </c>
      <c r="D94" s="86">
        <f t="shared" si="17"/>
        <v>75382</v>
      </c>
      <c r="E94" s="86">
        <f t="shared" si="17"/>
        <v>317673.42857142858</v>
      </c>
      <c r="F94" s="86">
        <f t="shared" si="17"/>
        <v>210551.25</v>
      </c>
      <c r="G94" s="86">
        <f t="shared" si="17"/>
        <v>234553</v>
      </c>
      <c r="H94" s="86">
        <f t="shared" si="17"/>
        <v>230327.40000000002</v>
      </c>
      <c r="I94" s="86">
        <f t="shared" si="17"/>
        <v>81244</v>
      </c>
      <c r="J94" s="86">
        <f t="shared" si="17"/>
        <v>162488</v>
      </c>
      <c r="K94" s="121"/>
    </row>
    <row r="95" spans="1:11" ht="18" hidden="1" outlineLevel="3">
      <c r="A95" s="85"/>
      <c r="B95" s="85" t="s">
        <v>214</v>
      </c>
      <c r="C95" s="86">
        <f>Feb!$B$10</f>
        <v>90042.2</v>
      </c>
      <c r="D95" s="86"/>
      <c r="E95" s="86">
        <f>Feb!$C$10</f>
        <v>87655.2</v>
      </c>
      <c r="F95" s="86">
        <f>Feb!$D$10</f>
        <v>48094.166666666664</v>
      </c>
      <c r="G95" s="86">
        <f>Feb!$E$10</f>
        <v>128191</v>
      </c>
      <c r="H95" s="86">
        <f>Feb!$F$10</f>
        <v>61102</v>
      </c>
      <c r="I95" s="86">
        <f>Feb!$G$10</f>
        <v>53291.5</v>
      </c>
      <c r="J95" s="86"/>
      <c r="K95" s="121"/>
    </row>
    <row r="96" spans="1:11" ht="18" hidden="1" outlineLevel="3" collapsed="1">
      <c r="A96" s="85"/>
      <c r="B96" s="85" t="s">
        <v>214</v>
      </c>
      <c r="C96" s="86">
        <f>Jan!$B$13</f>
        <v>90042.2</v>
      </c>
      <c r="D96" s="86"/>
      <c r="E96" s="86">
        <f>Jan!$C$13</f>
        <v>87655.2</v>
      </c>
      <c r="F96" s="86">
        <f>Jan!$D$13</f>
        <v>48094.166666666664</v>
      </c>
      <c r="G96" s="86">
        <f>Jan!$E$13</f>
        <v>128191</v>
      </c>
      <c r="H96" s="86">
        <f>Jan!$F$13</f>
        <v>61102</v>
      </c>
      <c r="I96" s="86"/>
      <c r="J96" s="86">
        <f>Jan!$G$13</f>
        <v>53291.5</v>
      </c>
      <c r="K96" s="121"/>
    </row>
    <row r="97" spans="1:11" ht="18" hidden="1" outlineLevel="3" collapsed="1">
      <c r="A97" s="85"/>
      <c r="B97" s="85" t="s">
        <v>214</v>
      </c>
      <c r="C97" s="85"/>
      <c r="D97" s="86">
        <f>Mar!$B$14</f>
        <v>90042.2</v>
      </c>
      <c r="E97" s="86">
        <f>Mar!$C$14</f>
        <v>87655.2</v>
      </c>
      <c r="F97" s="86">
        <f>Mar!$D$14</f>
        <v>48094.166666666664</v>
      </c>
      <c r="G97" s="86">
        <f>Mar!$E$14</f>
        <v>128191</v>
      </c>
      <c r="H97" s="86">
        <f>Mar!$F$14</f>
        <v>61102</v>
      </c>
      <c r="I97" s="86"/>
      <c r="J97" s="86">
        <f>Mar!$G$14</f>
        <v>53291.5</v>
      </c>
      <c r="K97" s="121"/>
    </row>
    <row r="98" spans="1:11" ht="18" outlineLevel="2" collapsed="1">
      <c r="A98" s="85" t="s">
        <v>106</v>
      </c>
      <c r="B98" s="85"/>
      <c r="C98" s="86">
        <f t="shared" ref="C98:J98" si="18">SUM(C95:C97)</f>
        <v>180084.4</v>
      </c>
      <c r="D98" s="86">
        <f t="shared" si="18"/>
        <v>90042.2</v>
      </c>
      <c r="E98" s="86">
        <f t="shared" si="18"/>
        <v>262965.59999999998</v>
      </c>
      <c r="F98" s="86">
        <f t="shared" si="18"/>
        <v>144282.5</v>
      </c>
      <c r="G98" s="86">
        <f t="shared" si="18"/>
        <v>384573</v>
      </c>
      <c r="H98" s="86">
        <f t="shared" si="18"/>
        <v>183306</v>
      </c>
      <c r="I98" s="86">
        <f t="shared" si="18"/>
        <v>53291.5</v>
      </c>
      <c r="J98" s="86">
        <f t="shared" si="18"/>
        <v>106583</v>
      </c>
      <c r="K98" s="121"/>
    </row>
    <row r="99" spans="1:11" ht="18" hidden="1" outlineLevel="3">
      <c r="A99" s="85"/>
      <c r="B99" s="85" t="s">
        <v>214</v>
      </c>
      <c r="C99" s="86">
        <f>Feb!$B$11</f>
        <v>90331.6</v>
      </c>
      <c r="D99" s="86"/>
      <c r="E99" s="86">
        <f>Feb!$C$11</f>
        <v>76744.333333333328</v>
      </c>
      <c r="F99" s="86">
        <f>Feb!$D$11</f>
        <v>53212</v>
      </c>
      <c r="G99" s="86">
        <f>Feb!$E$11</f>
        <v>91280.333333333328</v>
      </c>
      <c r="H99" s="86">
        <f>Feb!$F$11</f>
        <v>53268.5</v>
      </c>
      <c r="I99" s="86">
        <f>Feb!$G$11</f>
        <v>45260.25</v>
      </c>
      <c r="J99" s="86"/>
      <c r="K99" s="121"/>
    </row>
    <row r="100" spans="1:11" ht="18" hidden="1" outlineLevel="3" collapsed="1">
      <c r="A100" s="85"/>
      <c r="B100" s="85" t="s">
        <v>214</v>
      </c>
      <c r="C100" s="86">
        <f>Jan!$B$11</f>
        <v>90331.6</v>
      </c>
      <c r="D100" s="86"/>
      <c r="E100" s="86">
        <f>Jan!$C$11</f>
        <v>76744.333333333328</v>
      </c>
      <c r="F100" s="86">
        <f>Jan!$D$11</f>
        <v>53212</v>
      </c>
      <c r="G100" s="86">
        <f>Jan!$E$11</f>
        <v>91280.333333333328</v>
      </c>
      <c r="H100" s="86">
        <f>Jan!$F$11</f>
        <v>53268.5</v>
      </c>
      <c r="I100" s="86"/>
      <c r="J100" s="86">
        <f>Jan!$G$11</f>
        <v>45260.25</v>
      </c>
      <c r="K100" s="121"/>
    </row>
    <row r="101" spans="1:11" ht="18" hidden="1" outlineLevel="3" collapsed="1">
      <c r="A101" s="85"/>
      <c r="B101" s="85" t="s">
        <v>214</v>
      </c>
      <c r="C101" s="85"/>
      <c r="D101" s="86">
        <f>Mar!$B$12</f>
        <v>90331.6</v>
      </c>
      <c r="E101" s="86">
        <f>Mar!$C$12</f>
        <v>76744.333333333328</v>
      </c>
      <c r="F101" s="86">
        <f>Mar!$D$12</f>
        <v>53212</v>
      </c>
      <c r="G101" s="86">
        <f>Mar!$E$12</f>
        <v>91280.333333333328</v>
      </c>
      <c r="H101" s="86">
        <f>Mar!$F$12</f>
        <v>53268.5</v>
      </c>
      <c r="I101" s="86"/>
      <c r="J101" s="86">
        <f>Mar!$G$12</f>
        <v>45260.25</v>
      </c>
      <c r="K101" s="121"/>
    </row>
    <row r="102" spans="1:11" ht="18" outlineLevel="1">
      <c r="A102" s="85" t="s">
        <v>105</v>
      </c>
      <c r="B102" s="85"/>
      <c r="C102" s="86">
        <f t="shared" ref="C102:J102" si="19">SUM(C99:C101)</f>
        <v>180663.2</v>
      </c>
      <c r="D102" s="86">
        <f t="shared" si="19"/>
        <v>90331.6</v>
      </c>
      <c r="E102" s="86">
        <f t="shared" si="19"/>
        <v>230233</v>
      </c>
      <c r="F102" s="86">
        <f t="shared" si="19"/>
        <v>159636</v>
      </c>
      <c r="G102" s="86">
        <f t="shared" si="19"/>
        <v>273841</v>
      </c>
      <c r="H102" s="86">
        <f t="shared" si="19"/>
        <v>159805.5</v>
      </c>
      <c r="I102" s="86">
        <f t="shared" si="19"/>
        <v>45260.25</v>
      </c>
      <c r="J102" s="86">
        <f t="shared" si="19"/>
        <v>90520.5</v>
      </c>
      <c r="K102" s="121"/>
    </row>
    <row r="103" spans="1:11" ht="18" hidden="1" outlineLevel="3">
      <c r="A103" s="85"/>
      <c r="B103" s="85" t="s">
        <v>214</v>
      </c>
      <c r="C103" s="86">
        <f>Feb!$B$12</f>
        <v>99555</v>
      </c>
      <c r="D103" s="86"/>
      <c r="E103" s="86">
        <f>Feb!$C$12</f>
        <v>38930</v>
      </c>
      <c r="F103" s="86">
        <f>Feb!$D$12</f>
        <v>125835.28571428571</v>
      </c>
      <c r="G103" s="86">
        <f>Feb!$E$12</f>
        <v>68348.71428571429</v>
      </c>
      <c r="H103" s="86">
        <f>Feb!$F$12</f>
        <v>68549.71428571429</v>
      </c>
      <c r="I103" s="86">
        <f>Feb!$G$12</f>
        <v>65911.333333333328</v>
      </c>
      <c r="J103" s="86"/>
      <c r="K103" s="121"/>
    </row>
    <row r="104" spans="1:11" ht="18" hidden="1" outlineLevel="3" collapsed="1">
      <c r="A104" s="85"/>
      <c r="B104" s="85" t="s">
        <v>214</v>
      </c>
      <c r="C104" s="86">
        <f>Jan!$B$7</f>
        <v>99555</v>
      </c>
      <c r="D104" s="86"/>
      <c r="E104" s="86">
        <f>Jan!$C$7</f>
        <v>38930</v>
      </c>
      <c r="F104" s="86">
        <f>Jan!$D$7</f>
        <v>125835.28571428571</v>
      </c>
      <c r="G104" s="86">
        <f>Jan!$E$7</f>
        <v>68348.71428571429</v>
      </c>
      <c r="H104" s="86">
        <f>Jan!$F$7</f>
        <v>68549.71428571429</v>
      </c>
      <c r="I104" s="86"/>
      <c r="J104" s="86">
        <f>Jan!$G$7</f>
        <v>65911.333333333328</v>
      </c>
      <c r="K104" s="121"/>
    </row>
    <row r="105" spans="1:11" ht="18" hidden="1" outlineLevel="3" collapsed="1">
      <c r="A105" s="85"/>
      <c r="B105" s="85" t="s">
        <v>214</v>
      </c>
      <c r="C105" s="85"/>
      <c r="D105" s="86">
        <f>Mar!$B$8</f>
        <v>99555</v>
      </c>
      <c r="E105" s="86">
        <f>Mar!$C$8</f>
        <v>38930</v>
      </c>
      <c r="F105" s="86">
        <f>Mar!$D$8</f>
        <v>125835.28571428571</v>
      </c>
      <c r="G105" s="86">
        <f>Mar!$E$8</f>
        <v>68348.71428571429</v>
      </c>
      <c r="H105" s="86">
        <f>Mar!$F$8</f>
        <v>68549.71428571429</v>
      </c>
      <c r="I105" s="86"/>
      <c r="J105" s="86">
        <f>Mar!$G$8</f>
        <v>65911.333333333328</v>
      </c>
      <c r="K105" s="121"/>
    </row>
    <row r="106" spans="1:11" ht="18" outlineLevel="2" collapsed="1">
      <c r="A106" s="85" t="s">
        <v>101</v>
      </c>
      <c r="B106" s="85"/>
      <c r="C106" s="86">
        <f t="shared" ref="C106:J106" si="20">SUM(C103:C105)</f>
        <v>199110</v>
      </c>
      <c r="D106" s="86">
        <f t="shared" si="20"/>
        <v>99555</v>
      </c>
      <c r="E106" s="86">
        <f t="shared" si="20"/>
        <v>116790</v>
      </c>
      <c r="F106" s="86">
        <f t="shared" si="20"/>
        <v>377505.85714285716</v>
      </c>
      <c r="G106" s="86">
        <f t="shared" si="20"/>
        <v>205046.14285714287</v>
      </c>
      <c r="H106" s="86">
        <f t="shared" si="20"/>
        <v>205649.14285714287</v>
      </c>
      <c r="I106" s="86">
        <f t="shared" si="20"/>
        <v>65911.333333333328</v>
      </c>
      <c r="J106" s="86">
        <f t="shared" si="20"/>
        <v>131822.66666666666</v>
      </c>
      <c r="K106" s="121"/>
    </row>
    <row r="107" spans="1:11" ht="18" hidden="1" outlineLevel="3">
      <c r="A107" s="85"/>
      <c r="B107" s="85" t="s">
        <v>214</v>
      </c>
      <c r="C107" s="86">
        <f>Feb!$B$13</f>
        <v>123014.33333333333</v>
      </c>
      <c r="D107" s="86"/>
      <c r="E107" s="86">
        <f>Feb!$C$13</f>
        <v>43640.5</v>
      </c>
      <c r="F107" s="86">
        <f>Feb!$D$13</f>
        <v>48339.333333333336</v>
      </c>
      <c r="G107" s="86">
        <f>Feb!$E$13</f>
        <v>53284.4</v>
      </c>
      <c r="H107" s="86">
        <f>Feb!$F$13</f>
        <v>69791.333333333328</v>
      </c>
      <c r="I107" s="86">
        <f>Feb!$G$13</f>
        <v>152670.66666666666</v>
      </c>
      <c r="J107" s="86"/>
      <c r="K107" s="121"/>
    </row>
    <row r="108" spans="1:11" ht="18" hidden="1" outlineLevel="3" collapsed="1">
      <c r="A108" s="85"/>
      <c r="B108" s="85" t="s">
        <v>214</v>
      </c>
      <c r="C108" s="86">
        <f>Jan!$B$9</f>
        <v>123014.33333333333</v>
      </c>
      <c r="D108" s="86"/>
      <c r="E108" s="86">
        <f>Jan!$C$9</f>
        <v>43640.5</v>
      </c>
      <c r="F108" s="86">
        <f>Jan!$D$9</f>
        <v>48339.333333333336</v>
      </c>
      <c r="G108" s="86">
        <f>Jan!$E$9</f>
        <v>53284.4</v>
      </c>
      <c r="H108" s="86">
        <f>Jan!$F$9</f>
        <v>69791.333333333328</v>
      </c>
      <c r="I108" s="86"/>
      <c r="J108" s="86">
        <f>Jan!$G$9</f>
        <v>152670.66666666666</v>
      </c>
      <c r="K108" s="121"/>
    </row>
    <row r="109" spans="1:11" ht="18" hidden="1" outlineLevel="3" collapsed="1">
      <c r="A109" s="85"/>
      <c r="B109" s="85" t="s">
        <v>214</v>
      </c>
      <c r="C109" s="85"/>
      <c r="D109" s="86">
        <f>Mar!$B$4</f>
        <v>123014.33333333333</v>
      </c>
      <c r="E109" s="86">
        <f>Mar!$C$4</f>
        <v>43640.5</v>
      </c>
      <c r="F109" s="86">
        <f>Mar!$D$4</f>
        <v>48339.333333333336</v>
      </c>
      <c r="G109" s="86">
        <f>Mar!$E$4</f>
        <v>53284.4</v>
      </c>
      <c r="H109" s="86">
        <f>Mar!$F$4</f>
        <v>69791.333333333328</v>
      </c>
      <c r="I109" s="86"/>
      <c r="J109" s="86">
        <f>Mar!$G$4</f>
        <v>152670.66666666666</v>
      </c>
      <c r="K109" s="121"/>
    </row>
    <row r="110" spans="1:11" ht="18" outlineLevel="2" collapsed="1">
      <c r="A110" s="85" t="s">
        <v>103</v>
      </c>
      <c r="B110" s="85"/>
      <c r="C110" s="86">
        <f t="shared" ref="C110:J110" si="21">SUM(C107:C109)</f>
        <v>246028.66666666666</v>
      </c>
      <c r="D110" s="86">
        <f t="shared" si="21"/>
        <v>123014.33333333333</v>
      </c>
      <c r="E110" s="86">
        <f t="shared" si="21"/>
        <v>130921.5</v>
      </c>
      <c r="F110" s="86">
        <f t="shared" si="21"/>
        <v>145018</v>
      </c>
      <c r="G110" s="86">
        <f t="shared" si="21"/>
        <v>159853.20000000001</v>
      </c>
      <c r="H110" s="86">
        <f t="shared" si="21"/>
        <v>209374</v>
      </c>
      <c r="I110" s="86">
        <f t="shared" si="21"/>
        <v>152670.66666666666</v>
      </c>
      <c r="J110" s="86">
        <f t="shared" si="21"/>
        <v>305341.33333333331</v>
      </c>
      <c r="K110" s="121"/>
    </row>
    <row r="111" spans="1:11" ht="18" hidden="1" outlineLevel="3">
      <c r="A111" s="85"/>
      <c r="B111" s="85" t="s">
        <v>214</v>
      </c>
      <c r="C111" s="86">
        <f>Feb!$B$14</f>
        <v>142241.33333333334</v>
      </c>
      <c r="D111" s="86"/>
      <c r="E111" s="86">
        <f>Feb!$C$14</f>
        <v>67467</v>
      </c>
      <c r="F111" s="86">
        <f>Feb!$D$14</f>
        <v>53213.5</v>
      </c>
      <c r="G111" s="86">
        <f>Feb!$E$14</f>
        <v>118827.8</v>
      </c>
      <c r="H111" s="86">
        <f>Feb!$F$14</f>
        <v>121036</v>
      </c>
      <c r="I111" s="86">
        <f>Feb!$G$14</f>
        <v>54330.6</v>
      </c>
      <c r="J111" s="86"/>
      <c r="K111" s="121"/>
    </row>
    <row r="112" spans="1:11" ht="18" hidden="1" outlineLevel="3" collapsed="1">
      <c r="A112" s="85"/>
      <c r="B112" s="85" t="s">
        <v>214</v>
      </c>
      <c r="C112" s="86">
        <f>Jan!$B$14</f>
        <v>142241.33333333334</v>
      </c>
      <c r="D112" s="86"/>
      <c r="E112" s="86">
        <f>Jan!$C$14</f>
        <v>67467</v>
      </c>
      <c r="F112" s="86">
        <f>Jan!$D$14</f>
        <v>53213.5</v>
      </c>
      <c r="G112" s="86">
        <f>Jan!$E$14</f>
        <v>118827.8</v>
      </c>
      <c r="H112" s="86">
        <f>Jan!$F$14</f>
        <v>121036</v>
      </c>
      <c r="I112" s="86"/>
      <c r="J112" s="86">
        <f>Jan!$G$14</f>
        <v>54330.6</v>
      </c>
      <c r="K112" s="121"/>
    </row>
    <row r="113" spans="1:11" ht="18" outlineLevel="2" collapsed="1">
      <c r="A113" s="85" t="s">
        <v>107</v>
      </c>
      <c r="B113" s="85"/>
      <c r="C113" s="86">
        <f>SUM(C111:C112)</f>
        <v>284482.66666666669</v>
      </c>
      <c r="D113" s="86"/>
      <c r="E113" s="86">
        <f t="shared" ref="E113:J113" si="22">SUM(E111:E112)</f>
        <v>134934</v>
      </c>
      <c r="F113" s="86">
        <f t="shared" si="22"/>
        <v>106427</v>
      </c>
      <c r="G113" s="86">
        <f t="shared" si="22"/>
        <v>237655.6</v>
      </c>
      <c r="H113" s="86">
        <f t="shared" si="22"/>
        <v>242072</v>
      </c>
      <c r="I113" s="86">
        <f t="shared" si="22"/>
        <v>54330.6</v>
      </c>
      <c r="J113" s="86">
        <f t="shared" si="22"/>
        <v>54330.6</v>
      </c>
      <c r="K113" s="121"/>
    </row>
    <row r="114" spans="1:11" ht="18" hidden="1" outlineLevel="3">
      <c r="A114" s="85"/>
      <c r="B114" s="85" t="s">
        <v>214</v>
      </c>
      <c r="C114" s="86">
        <f>Feb!$B$15</f>
        <v>157682</v>
      </c>
      <c r="D114" s="86"/>
      <c r="E114" s="86">
        <f>Feb!$C$15</f>
        <v>44431.8</v>
      </c>
      <c r="F114" s="86">
        <f>Feb!$D$15</f>
        <v>97265.5</v>
      </c>
      <c r="G114" s="86">
        <f>Feb!$E$15</f>
        <v>88315.428571428565</v>
      </c>
      <c r="H114" s="86">
        <f>Feb!$F$15</f>
        <v>42113.333333333336</v>
      </c>
      <c r="I114" s="86">
        <f>Feb!$G$15</f>
        <v>56045.8</v>
      </c>
      <c r="J114" s="86"/>
      <c r="K114" s="121"/>
    </row>
    <row r="115" spans="1:11" ht="18" hidden="1" outlineLevel="3" collapsed="1">
      <c r="A115" s="85"/>
      <c r="B115" s="85" t="s">
        <v>214</v>
      </c>
      <c r="C115" s="86">
        <f>Jan!$B$15</f>
        <v>157682</v>
      </c>
      <c r="D115" s="86"/>
      <c r="E115" s="86">
        <f>Jan!$C$15</f>
        <v>44431.8</v>
      </c>
      <c r="F115" s="86">
        <f>Jan!$D$15</f>
        <v>97265.5</v>
      </c>
      <c r="G115" s="86">
        <f>Jan!$E$15</f>
        <v>88315.428571428565</v>
      </c>
      <c r="H115" s="86">
        <f>Jan!$F$15</f>
        <v>42113.333333333336</v>
      </c>
      <c r="I115" s="86"/>
      <c r="J115" s="86">
        <f>Jan!$G$15</f>
        <v>56045.8</v>
      </c>
      <c r="K115" s="121"/>
    </row>
    <row r="116" spans="1:11" ht="18" hidden="1" outlineLevel="3" collapsed="1">
      <c r="A116" s="85"/>
      <c r="B116" s="85" t="s">
        <v>214</v>
      </c>
      <c r="C116" s="85"/>
      <c r="D116" s="86">
        <f>Mar!$B$11</f>
        <v>157682</v>
      </c>
      <c r="E116" s="86">
        <f>Mar!$C$11</f>
        <v>44431.8</v>
      </c>
      <c r="F116" s="86">
        <f>Mar!$D$11</f>
        <v>97265.5</v>
      </c>
      <c r="G116" s="86">
        <f>Mar!$E$11</f>
        <v>88315.428571428565</v>
      </c>
      <c r="H116" s="86">
        <f>Mar!$F$11</f>
        <v>42113.333333333336</v>
      </c>
      <c r="I116" s="86"/>
      <c r="J116" s="86">
        <f>Mar!$G$11</f>
        <v>56045.8</v>
      </c>
      <c r="K116" s="121"/>
    </row>
    <row r="117" spans="1:11" ht="18" outlineLevel="1">
      <c r="A117" s="85" t="s">
        <v>108</v>
      </c>
      <c r="B117" s="85"/>
      <c r="C117" s="86">
        <f t="shared" ref="C117:J117" si="23">SUM(C114:C116)</f>
        <v>315364</v>
      </c>
      <c r="D117" s="86">
        <f t="shared" si="23"/>
        <v>157682</v>
      </c>
      <c r="E117" s="86">
        <f t="shared" si="23"/>
        <v>133295.40000000002</v>
      </c>
      <c r="F117" s="86">
        <f t="shared" si="23"/>
        <v>291796.5</v>
      </c>
      <c r="G117" s="86">
        <f t="shared" si="23"/>
        <v>264946.28571428568</v>
      </c>
      <c r="H117" s="86">
        <f t="shared" si="23"/>
        <v>126340</v>
      </c>
      <c r="I117" s="86">
        <f t="shared" si="23"/>
        <v>56045.8</v>
      </c>
      <c r="J117" s="86">
        <f t="shared" si="23"/>
        <v>112091.6</v>
      </c>
      <c r="K117" s="121"/>
    </row>
    <row r="118" spans="1:11" ht="18.600000000000001" hidden="1" outlineLevel="3" thickBot="1">
      <c r="A118" s="103"/>
      <c r="B118" s="103" t="s">
        <v>214</v>
      </c>
      <c r="C118" s="103">
        <f>Feb!$B$16</f>
        <v>1082099.8999999999</v>
      </c>
      <c r="D118" s="103"/>
      <c r="E118" s="103">
        <f>Feb!$C$16</f>
        <v>771572.40952380956</v>
      </c>
      <c r="F118" s="103">
        <f>Feb!$D$16</f>
        <v>833276.2857142858</v>
      </c>
      <c r="G118" s="103">
        <f>Feb!$E$16</f>
        <v>1000567.1761904763</v>
      </c>
      <c r="H118" s="103">
        <f>Feb!$F$16</f>
        <v>791126.68095238099</v>
      </c>
      <c r="I118" s="103">
        <f>Feb!$G$16</f>
        <v>886815.3583333334</v>
      </c>
      <c r="J118" s="103"/>
      <c r="K118" s="121"/>
    </row>
    <row r="119" spans="1:11" ht="18" hidden="1" outlineLevel="3" collapsed="1">
      <c r="A119" s="122"/>
      <c r="B119" s="122" t="s">
        <v>214</v>
      </c>
      <c r="C119" s="123">
        <f>Jan!$B$16</f>
        <v>1023884.8999999999</v>
      </c>
      <c r="D119" s="122"/>
      <c r="E119" s="123">
        <f>Jan!$C$16</f>
        <v>771572.40952380945</v>
      </c>
      <c r="F119" s="123">
        <f>Jan!$D$16</f>
        <v>833276.28571428568</v>
      </c>
      <c r="G119" s="123">
        <f>Jan!$E$16</f>
        <v>1000567.1761904762</v>
      </c>
      <c r="H119" s="123">
        <f>Jan!$F$16</f>
        <v>791126.68095238099</v>
      </c>
      <c r="I119" s="123"/>
      <c r="J119" s="122">
        <f>Jan!$G$16</f>
        <v>886815.3583333334</v>
      </c>
      <c r="K119" s="121"/>
    </row>
    <row r="120" spans="1:11" ht="18" hidden="1" outlineLevel="3" collapsed="1">
      <c r="A120" s="122"/>
      <c r="B120" s="122" t="s">
        <v>214</v>
      </c>
      <c r="C120" s="123"/>
      <c r="D120" s="122">
        <f>Mar!$B$15</f>
        <v>939858.56666666653</v>
      </c>
      <c r="E120" s="123">
        <f>Mar!$C$15</f>
        <v>704105.40952380945</v>
      </c>
      <c r="F120" s="123">
        <f>Mar!$D$15</f>
        <v>780062.78571428568</v>
      </c>
      <c r="G120" s="123">
        <f>Mar!$E$15</f>
        <v>881739.37619047624</v>
      </c>
      <c r="H120" s="123">
        <f>Mar!$F$15</f>
        <v>670090.68095238088</v>
      </c>
      <c r="I120" s="122"/>
      <c r="J120" s="123">
        <f>Mar!$G$15</f>
        <v>832484.7583333333</v>
      </c>
      <c r="K120" s="121"/>
    </row>
    <row r="121" spans="1:11" ht="18" outlineLevel="2" collapsed="1">
      <c r="A121" s="122" t="s">
        <v>109</v>
      </c>
      <c r="B121" s="122"/>
      <c r="C121" s="122">
        <f t="shared" ref="C121:J121" si="24">SUM(C118:C120)</f>
        <v>2105984.7999999998</v>
      </c>
      <c r="D121" s="123">
        <f t="shared" si="24"/>
        <v>939858.56666666653</v>
      </c>
      <c r="E121" s="123">
        <f t="shared" si="24"/>
        <v>2247250.2285714285</v>
      </c>
      <c r="F121" s="123">
        <f t="shared" si="24"/>
        <v>2446615.3571428573</v>
      </c>
      <c r="G121" s="123">
        <f t="shared" si="24"/>
        <v>2882873.7285714285</v>
      </c>
      <c r="H121" s="123">
        <f t="shared" si="24"/>
        <v>2252344.0428571431</v>
      </c>
      <c r="I121" s="122">
        <f t="shared" si="24"/>
        <v>886815.3583333334</v>
      </c>
      <c r="J121" s="123">
        <f t="shared" si="24"/>
        <v>1719300.1166666667</v>
      </c>
      <c r="K121" s="121"/>
    </row>
    <row r="122" spans="1:11" outlineLevel="2">
      <c r="D122" s="121"/>
      <c r="E122" s="121"/>
      <c r="F122" s="121"/>
      <c r="G122" s="121"/>
      <c r="H122" s="121"/>
      <c r="I122" s="121"/>
      <c r="K122" s="121"/>
    </row>
    <row r="123" spans="1:11" outlineLevel="2">
      <c r="E123" s="121"/>
      <c r="F123" s="121"/>
      <c r="G123" s="121"/>
      <c r="H123" s="121"/>
      <c r="I123" s="121"/>
      <c r="K123" s="121"/>
    </row>
    <row r="124" spans="1:11">
      <c r="D124" s="121"/>
      <c r="E124" s="121"/>
      <c r="F124" s="121"/>
      <c r="G124" s="121"/>
      <c r="H124" s="121"/>
      <c r="I124" s="121"/>
      <c r="J124" s="121"/>
      <c r="K124" s="121"/>
    </row>
    <row r="125" spans="1:11" outlineLevel="2">
      <c r="D125" s="121"/>
      <c r="E125" s="121"/>
      <c r="F125" s="121"/>
      <c r="G125" s="121"/>
      <c r="H125" s="121"/>
      <c r="I125" s="121"/>
      <c r="J125" s="121"/>
      <c r="K125" s="121"/>
    </row>
    <row r="126" spans="1:11" outlineLevel="2" collapsed="1">
      <c r="D126" s="121"/>
      <c r="E126" s="121"/>
      <c r="F126" s="121"/>
      <c r="G126" s="121"/>
      <c r="H126" s="121"/>
      <c r="I126" s="121"/>
      <c r="J126" s="121"/>
      <c r="K126" s="121"/>
    </row>
    <row r="127" spans="1:11" outlineLevel="2" collapsed="1">
      <c r="D127" s="121"/>
      <c r="E127" s="121"/>
      <c r="F127" s="121"/>
      <c r="G127" s="121"/>
      <c r="H127" s="121"/>
      <c r="I127" s="121"/>
      <c r="J127" s="121"/>
      <c r="K127" s="121"/>
    </row>
    <row r="128" spans="1:11" outlineLevel="1">
      <c r="D128" s="121"/>
      <c r="E128" s="121"/>
      <c r="F128" s="121"/>
      <c r="G128" s="121"/>
      <c r="H128" s="121"/>
      <c r="I128" s="121"/>
      <c r="J128" s="121"/>
      <c r="K128" s="121"/>
    </row>
    <row r="129" spans="4:11" outlineLevel="2">
      <c r="D129" s="121"/>
      <c r="F129" s="121"/>
      <c r="G129" s="121"/>
      <c r="H129" s="121"/>
      <c r="I129" s="121"/>
      <c r="J129" s="121"/>
    </row>
    <row r="130" spans="4:11" outlineLevel="2" collapsed="1">
      <c r="D130" s="121"/>
      <c r="F130" s="121"/>
      <c r="G130" s="121"/>
      <c r="H130" s="121"/>
      <c r="I130" s="121"/>
      <c r="J130" s="121"/>
      <c r="K130" s="121"/>
    </row>
    <row r="131" spans="4:11" outlineLevel="2" collapsed="1">
      <c r="D131" s="121"/>
      <c r="E131" s="121"/>
      <c r="F131" s="121"/>
      <c r="G131" s="121"/>
      <c r="H131" s="121"/>
      <c r="I131" s="121"/>
      <c r="J131" s="121"/>
      <c r="K131" s="121"/>
    </row>
    <row r="132" spans="4:11" outlineLevel="1">
      <c r="D132" s="121"/>
      <c r="E132" s="121"/>
      <c r="F132" s="121"/>
      <c r="G132" s="121"/>
      <c r="H132" s="121"/>
      <c r="I132" s="121"/>
      <c r="J132" s="121"/>
      <c r="K132" s="121"/>
    </row>
    <row r="133" spans="4:11" outlineLevel="2">
      <c r="D133" s="121"/>
      <c r="F133" s="121"/>
      <c r="G133" s="121"/>
      <c r="H133" s="121"/>
      <c r="I133" s="121"/>
      <c r="J133" s="121"/>
      <c r="K133" s="121"/>
    </row>
    <row r="134" spans="4:11" outlineLevel="2" collapsed="1">
      <c r="D134" s="121"/>
      <c r="F134" s="121"/>
      <c r="G134" s="121"/>
      <c r="H134" s="121"/>
      <c r="I134" s="121"/>
      <c r="K134" s="121"/>
    </row>
    <row r="135" spans="4:11" outlineLevel="1">
      <c r="D135" s="121"/>
      <c r="E135" s="121"/>
      <c r="F135" s="121"/>
      <c r="G135" s="121"/>
      <c r="H135" s="121"/>
      <c r="I135" s="121"/>
      <c r="J135" s="121"/>
      <c r="K135" s="121"/>
    </row>
    <row r="136" spans="4:11" outlineLevel="2">
      <c r="D136" s="121"/>
      <c r="E136" s="121"/>
      <c r="F136" s="121"/>
      <c r="G136" s="121"/>
      <c r="H136" s="121"/>
      <c r="I136" s="121"/>
      <c r="J136" s="121"/>
      <c r="K136" s="121"/>
    </row>
    <row r="137" spans="4:11" outlineLevel="2">
      <c r="D137" s="121"/>
      <c r="E137" s="121"/>
      <c r="F137" s="121"/>
      <c r="G137" s="121"/>
      <c r="H137" s="121"/>
      <c r="I137" s="121"/>
      <c r="K137" s="121"/>
    </row>
    <row r="138" spans="4:11" outlineLevel="2">
      <c r="E138" s="121"/>
      <c r="F138" s="121"/>
      <c r="G138" s="121"/>
      <c r="H138" s="121"/>
      <c r="I138" s="121"/>
      <c r="K138" s="121"/>
    </row>
    <row r="139" spans="4:11">
      <c r="D139" s="121"/>
      <c r="E139" s="121"/>
      <c r="F139" s="121"/>
      <c r="G139" s="121"/>
      <c r="H139" s="121"/>
      <c r="I139" s="121"/>
      <c r="J139" s="121"/>
      <c r="K139" s="121"/>
    </row>
    <row r="140" spans="4:11" outlineLevel="2">
      <c r="D140" s="121"/>
      <c r="E140" s="121"/>
      <c r="F140" s="121"/>
      <c r="G140" s="121"/>
      <c r="H140" s="121"/>
      <c r="I140" s="121"/>
      <c r="J140" s="121"/>
      <c r="K140" s="121"/>
    </row>
    <row r="141" spans="4:11" outlineLevel="2" collapsed="1">
      <c r="D141" s="121"/>
      <c r="E141" s="121"/>
      <c r="F141" s="121"/>
      <c r="G141" s="121"/>
      <c r="H141" s="121"/>
      <c r="I141" s="121"/>
      <c r="J141" s="121"/>
      <c r="K141" s="121"/>
    </row>
    <row r="142" spans="4:11" outlineLevel="2" collapsed="1">
      <c r="D142" s="121"/>
      <c r="E142" s="121"/>
      <c r="F142" s="121"/>
      <c r="G142" s="121"/>
      <c r="H142" s="121"/>
      <c r="I142" s="121"/>
      <c r="J142" s="121"/>
      <c r="K142" s="121"/>
    </row>
    <row r="143" spans="4:11" outlineLevel="1">
      <c r="D143" s="121"/>
      <c r="E143" s="121"/>
      <c r="F143" s="121"/>
      <c r="G143" s="121"/>
      <c r="H143" s="121"/>
      <c r="I143" s="121"/>
      <c r="J143" s="121"/>
      <c r="K143" s="121"/>
    </row>
    <row r="144" spans="4:11" outlineLevel="1" collapsed="1">
      <c r="D144" s="121"/>
      <c r="F144" s="121"/>
      <c r="G144" s="121"/>
      <c r="H144" s="121"/>
      <c r="I144" s="121"/>
      <c r="K144" s="121"/>
    </row>
    <row r="145" spans="4:11" outlineLevel="1" collapsed="1">
      <c r="E145" s="121"/>
      <c r="F145" s="121"/>
      <c r="G145" s="121"/>
      <c r="H145" s="121"/>
      <c r="I145" s="121"/>
      <c r="K145" s="121"/>
    </row>
    <row r="146" spans="4:11">
      <c r="D146" s="121"/>
      <c r="E146" s="121"/>
      <c r="F146" s="121"/>
      <c r="G146" s="121"/>
      <c r="H146" s="121"/>
      <c r="I146" s="121"/>
      <c r="J146" s="121"/>
      <c r="K146" s="121"/>
    </row>
    <row r="147" spans="4:11" outlineLevel="1">
      <c r="D147" s="121"/>
      <c r="F147" s="121"/>
      <c r="G147" s="121"/>
      <c r="H147" s="121"/>
      <c r="I147" s="121"/>
      <c r="J147" s="121"/>
    </row>
    <row r="148" spans="4:11" outlineLevel="1" collapsed="1">
      <c r="D148" s="121"/>
      <c r="F148" s="121"/>
      <c r="G148" s="121"/>
      <c r="H148" s="121"/>
      <c r="I148" s="121"/>
      <c r="K148" s="121"/>
    </row>
    <row r="149" spans="4:11" outlineLevel="1" collapsed="1">
      <c r="E149" s="121"/>
      <c r="F149" s="121"/>
      <c r="G149" s="121"/>
      <c r="H149" s="121"/>
      <c r="I149" s="121"/>
      <c r="K149" s="121"/>
    </row>
    <row r="150" spans="4:11">
      <c r="D150" s="121"/>
      <c r="E150" s="121"/>
      <c r="F150" s="121"/>
      <c r="G150" s="121"/>
      <c r="H150" s="121"/>
      <c r="I150" s="121"/>
      <c r="J150" s="121"/>
      <c r="K150" s="121"/>
    </row>
    <row r="151" spans="4:11" outlineLevel="1">
      <c r="D151" s="121"/>
      <c r="F151" s="121"/>
      <c r="G151" s="121"/>
      <c r="H151" s="121"/>
      <c r="I151" s="121"/>
      <c r="J151" s="121"/>
    </row>
    <row r="152" spans="4:11" outlineLevel="1" collapsed="1">
      <c r="D152" s="121"/>
      <c r="F152" s="121"/>
      <c r="G152" s="121"/>
      <c r="H152" s="121"/>
      <c r="I152" s="121"/>
      <c r="K152" s="121"/>
    </row>
    <row r="153" spans="4:11" outlineLevel="1" collapsed="1">
      <c r="E153" s="121"/>
      <c r="F153" s="121"/>
      <c r="G153" s="121"/>
      <c r="H153" s="121"/>
      <c r="I153" s="121"/>
      <c r="K153" s="121"/>
    </row>
    <row r="154" spans="4:11">
      <c r="D154" s="121"/>
      <c r="E154" s="121"/>
      <c r="F154" s="121"/>
      <c r="G154" s="121"/>
      <c r="H154" s="121"/>
      <c r="I154" s="121"/>
      <c r="J154" s="121"/>
      <c r="K154" s="121"/>
    </row>
    <row r="155" spans="4:11" outlineLevel="1">
      <c r="D155" s="121"/>
      <c r="F155" s="121"/>
      <c r="G155" s="121"/>
      <c r="H155" s="121"/>
      <c r="I155" s="121"/>
      <c r="J155" s="121"/>
    </row>
    <row r="156" spans="4:11" outlineLevel="1" collapsed="1">
      <c r="D156" s="121"/>
      <c r="F156" s="121"/>
      <c r="G156" s="121"/>
      <c r="H156" s="121"/>
      <c r="I156" s="121"/>
      <c r="K156" s="121"/>
    </row>
    <row r="157" spans="4:11" outlineLevel="1" collapsed="1">
      <c r="E157" s="121"/>
      <c r="F157" s="121"/>
      <c r="G157" s="121"/>
      <c r="H157" s="121"/>
      <c r="I157" s="121"/>
      <c r="K157" s="121"/>
    </row>
    <row r="158" spans="4:11">
      <c r="D158" s="121"/>
      <c r="E158" s="121"/>
      <c r="F158" s="121"/>
      <c r="G158" s="121"/>
      <c r="H158" s="121"/>
      <c r="I158" s="121"/>
      <c r="J158" s="121"/>
      <c r="K158" s="121"/>
    </row>
    <row r="159" spans="4:11" outlineLevel="1">
      <c r="D159" s="121"/>
      <c r="F159" s="121"/>
      <c r="G159" s="121"/>
      <c r="H159" s="121"/>
      <c r="I159" s="121"/>
      <c r="J159" s="121"/>
    </row>
    <row r="160" spans="4:11" outlineLevel="1" collapsed="1">
      <c r="D160" s="121"/>
      <c r="F160" s="121"/>
      <c r="G160" s="121"/>
      <c r="H160" s="121"/>
      <c r="I160" s="121"/>
      <c r="K160" s="121"/>
    </row>
    <row r="161" spans="4:11" outlineLevel="1" collapsed="1">
      <c r="E161" s="121"/>
      <c r="F161" s="121"/>
      <c r="G161" s="121"/>
      <c r="H161" s="121"/>
      <c r="I161" s="121"/>
      <c r="K161" s="121"/>
    </row>
    <row r="162" spans="4:11">
      <c r="D162" s="121"/>
      <c r="E162" s="121"/>
      <c r="F162" s="121"/>
      <c r="G162" s="121"/>
      <c r="H162" s="121"/>
      <c r="I162" s="121"/>
      <c r="J162" s="121"/>
      <c r="K162" s="121"/>
    </row>
    <row r="163" spans="4:11" outlineLevel="1">
      <c r="D163" s="121"/>
      <c r="F163" s="121"/>
      <c r="G163" s="121"/>
      <c r="H163" s="121"/>
      <c r="I163" s="121"/>
      <c r="J163" s="121"/>
    </row>
    <row r="164" spans="4:11" outlineLevel="1" collapsed="1">
      <c r="D164" s="121"/>
      <c r="F164" s="121"/>
      <c r="G164" s="121"/>
      <c r="H164" s="121"/>
      <c r="I164" s="121"/>
      <c r="K164" s="121"/>
    </row>
    <row r="165" spans="4:11" outlineLevel="1" collapsed="1">
      <c r="E165" s="121"/>
      <c r="F165" s="121"/>
      <c r="G165" s="121"/>
      <c r="H165" s="121"/>
      <c r="I165" s="121"/>
      <c r="K165" s="121"/>
    </row>
    <row r="166" spans="4:11">
      <c r="D166" s="121"/>
      <c r="E166" s="121"/>
      <c r="F166" s="121"/>
      <c r="G166" s="121"/>
      <c r="H166" s="121"/>
      <c r="I166" s="121"/>
      <c r="J166" s="121"/>
      <c r="K166" s="121"/>
    </row>
    <row r="167" spans="4:11" outlineLevel="1">
      <c r="D167" s="121"/>
      <c r="F167" s="121"/>
      <c r="G167" s="121"/>
      <c r="H167" s="121"/>
      <c r="I167" s="121"/>
      <c r="J167" s="121"/>
    </row>
    <row r="168" spans="4:11" outlineLevel="1" collapsed="1">
      <c r="D168" s="121"/>
      <c r="F168" s="121"/>
      <c r="G168" s="121"/>
      <c r="H168" s="121"/>
      <c r="I168" s="121"/>
      <c r="K168" s="121"/>
    </row>
    <row r="169" spans="4:11" outlineLevel="1" collapsed="1">
      <c r="E169" s="121"/>
      <c r="F169" s="121"/>
      <c r="G169" s="121"/>
      <c r="H169" s="121"/>
      <c r="I169" s="121"/>
      <c r="K169" s="121"/>
    </row>
    <row r="170" spans="4:11">
      <c r="D170" s="121"/>
      <c r="E170" s="121"/>
      <c r="F170" s="121"/>
      <c r="G170" s="121"/>
      <c r="H170" s="121"/>
      <c r="I170" s="121"/>
      <c r="J170" s="121"/>
      <c r="K170" s="121"/>
    </row>
    <row r="171" spans="4:11" outlineLevel="1">
      <c r="D171" s="121"/>
      <c r="F171" s="121"/>
      <c r="G171" s="121"/>
      <c r="H171" s="121"/>
      <c r="I171" s="121"/>
      <c r="J171" s="121"/>
    </row>
    <row r="172" spans="4:11" outlineLevel="1" collapsed="1">
      <c r="D172" s="121"/>
      <c r="F172" s="121"/>
      <c r="G172" s="121"/>
      <c r="H172" s="121"/>
      <c r="I172" s="121"/>
      <c r="K172" s="121"/>
    </row>
    <row r="173" spans="4:11" outlineLevel="1" collapsed="1">
      <c r="E173" s="121"/>
      <c r="F173" s="121"/>
      <c r="G173" s="121"/>
      <c r="H173" s="121"/>
      <c r="I173" s="121"/>
      <c r="K173" s="121"/>
    </row>
    <row r="174" spans="4:11">
      <c r="D174" s="121"/>
      <c r="E174" s="121"/>
      <c r="F174" s="121"/>
      <c r="G174" s="121"/>
      <c r="H174" s="121"/>
      <c r="I174" s="121"/>
      <c r="J174" s="121"/>
      <c r="K174" s="121"/>
    </row>
    <row r="175" spans="4:11" outlineLevel="1">
      <c r="D175" s="121"/>
      <c r="F175" s="121"/>
      <c r="G175" s="121"/>
      <c r="H175" s="121"/>
      <c r="I175" s="121"/>
      <c r="J175" s="121"/>
    </row>
    <row r="176" spans="4:11" outlineLevel="1" collapsed="1">
      <c r="D176" s="121"/>
      <c r="F176" s="121"/>
      <c r="G176" s="121"/>
      <c r="H176" s="121"/>
      <c r="I176" s="121"/>
      <c r="K176" s="121"/>
    </row>
    <row r="177" spans="4:11" outlineLevel="1" collapsed="1">
      <c r="E177" s="121"/>
      <c r="F177" s="121"/>
      <c r="G177" s="121"/>
      <c r="H177" s="121"/>
      <c r="I177" s="121"/>
      <c r="K177" s="121"/>
    </row>
    <row r="178" spans="4:11">
      <c r="D178" s="121"/>
      <c r="E178" s="121"/>
      <c r="F178" s="121"/>
      <c r="G178" s="121"/>
      <c r="H178" s="121"/>
      <c r="I178" s="121"/>
      <c r="J178" s="121"/>
      <c r="K178" s="121"/>
    </row>
    <row r="179" spans="4:11" outlineLevel="1">
      <c r="D179" s="121"/>
      <c r="F179" s="121"/>
      <c r="G179" s="121"/>
      <c r="H179" s="121"/>
      <c r="I179" s="121"/>
      <c r="J179" s="121"/>
    </row>
    <row r="180" spans="4:11" outlineLevel="1" collapsed="1">
      <c r="D180" s="121"/>
      <c r="F180" s="121"/>
      <c r="G180" s="121"/>
      <c r="H180" s="121"/>
      <c r="I180" s="121"/>
      <c r="K180" s="121"/>
    </row>
    <row r="181" spans="4:11">
      <c r="D181" s="121"/>
      <c r="F181" s="121"/>
      <c r="G181" s="121"/>
      <c r="H181" s="121"/>
      <c r="I181" s="121"/>
      <c r="J181" s="121"/>
      <c r="K181" s="121"/>
    </row>
  </sheetData>
  <dataConsolidate topLabels="1" link="1">
    <dataRefs count="3">
      <dataRef ref="A3:G16" sheet="Feb"/>
      <dataRef ref="A3:G16" sheet="Jan"/>
      <dataRef ref="A3:G15" sheet="Mar"/>
    </dataRefs>
  </dataConsolidate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A13D-4BF3-467B-9DDB-38045697DF14}">
  <dimension ref="A1:J103"/>
  <sheetViews>
    <sheetView showGridLines="0" tabSelected="1" topLeftCell="A70" zoomScale="125" zoomScaleNormal="130" workbookViewId="0">
      <selection activeCell="D78" sqref="D78"/>
    </sheetView>
  </sheetViews>
  <sheetFormatPr defaultRowHeight="14.4"/>
  <cols>
    <col min="2" max="2" width="39.5546875" customWidth="1"/>
    <col min="3" max="3" width="19.6640625" customWidth="1"/>
    <col min="4" max="4" width="16.77734375" customWidth="1"/>
    <col min="5" max="5" width="16.88671875" customWidth="1"/>
    <col min="6" max="6" width="13.77734375" bestFit="1" customWidth="1"/>
    <col min="7" max="7" width="13.44140625" customWidth="1"/>
    <col min="8" max="8" width="14.6640625" bestFit="1" customWidth="1"/>
    <col min="9" max="9" width="10.33203125" bestFit="1" customWidth="1"/>
  </cols>
  <sheetData>
    <row r="1" spans="1:10" ht="17.399999999999999">
      <c r="A1" s="87" t="s">
        <v>115</v>
      </c>
      <c r="B1" s="159" t="s">
        <v>116</v>
      </c>
      <c r="C1" s="159"/>
      <c r="D1" s="159"/>
      <c r="E1" s="159"/>
      <c r="H1" s="88"/>
      <c r="I1" s="88"/>
      <c r="J1" s="88"/>
    </row>
    <row r="2" spans="1:10" ht="17.399999999999999">
      <c r="A2" s="88"/>
      <c r="B2" s="89"/>
      <c r="H2" s="90"/>
      <c r="I2" s="88"/>
      <c r="J2" s="88"/>
    </row>
    <row r="3" spans="1:10" ht="17.399999999999999">
      <c r="A3" s="88"/>
      <c r="B3" s="91">
        <v>3</v>
      </c>
      <c r="H3" s="88"/>
      <c r="I3" s="88"/>
      <c r="J3" s="88"/>
    </row>
    <row r="4" spans="1:10" ht="17.399999999999999">
      <c r="A4" s="88"/>
      <c r="B4" s="91">
        <v>0</v>
      </c>
      <c r="H4" s="88"/>
      <c r="I4" s="88"/>
      <c r="J4" s="88"/>
    </row>
    <row r="5" spans="1:10" ht="17.399999999999999">
      <c r="A5" s="88"/>
      <c r="B5" s="91">
        <v>100</v>
      </c>
      <c r="H5" s="88"/>
      <c r="I5" s="88"/>
      <c r="J5" s="88"/>
    </row>
    <row r="6" spans="1:10" ht="17.399999999999999">
      <c r="A6" s="88"/>
      <c r="B6" s="89"/>
      <c r="H6" s="88"/>
      <c r="I6" s="88"/>
      <c r="J6" s="88"/>
    </row>
    <row r="7" spans="1:10" ht="17.399999999999999">
      <c r="A7" s="87" t="s">
        <v>117</v>
      </c>
      <c r="B7" s="159" t="s">
        <v>118</v>
      </c>
      <c r="C7" s="159"/>
      <c r="D7" s="159"/>
      <c r="E7" s="159"/>
      <c r="H7" s="88"/>
      <c r="I7" s="88"/>
      <c r="J7" s="88"/>
    </row>
    <row r="8" spans="1:10" ht="17.399999999999999">
      <c r="A8" s="88"/>
      <c r="B8" s="89"/>
      <c r="H8" s="88"/>
      <c r="I8" s="88"/>
      <c r="J8" s="88"/>
    </row>
    <row r="9" spans="1:10" ht="17.399999999999999">
      <c r="A9" s="88"/>
      <c r="B9" s="3">
        <v>0.5</v>
      </c>
      <c r="H9" s="88"/>
      <c r="I9" s="88"/>
      <c r="J9" s="88"/>
    </row>
    <row r="10" spans="1:10" ht="17.399999999999999">
      <c r="A10" s="88"/>
      <c r="B10" s="3">
        <v>15</v>
      </c>
      <c r="H10" s="88"/>
      <c r="I10" s="88"/>
      <c r="J10" s="88"/>
    </row>
    <row r="11" spans="1:10" ht="17.399999999999999">
      <c r="A11" s="88"/>
      <c r="B11" s="3">
        <v>11.999999989999999</v>
      </c>
      <c r="H11" s="88"/>
      <c r="I11" s="88"/>
      <c r="J11" s="88"/>
    </row>
    <row r="12" spans="1:10" ht="17.399999999999999">
      <c r="A12" s="88"/>
      <c r="B12" s="89"/>
      <c r="H12" s="88"/>
      <c r="I12" s="88"/>
      <c r="J12" s="88"/>
    </row>
    <row r="13" spans="1:10" ht="15.6">
      <c r="A13" s="87" t="s">
        <v>119</v>
      </c>
      <c r="B13" s="159" t="s">
        <v>120</v>
      </c>
      <c r="C13" s="159"/>
      <c r="D13" s="159"/>
      <c r="E13" s="159"/>
    </row>
    <row r="14" spans="1:10" ht="17.399999999999999">
      <c r="A14" s="88"/>
      <c r="B14" s="89"/>
    </row>
    <row r="15" spans="1:10" ht="17.399999999999999">
      <c r="A15" s="88"/>
      <c r="B15" s="3">
        <v>100</v>
      </c>
      <c r="H15" s="88"/>
      <c r="I15" s="88"/>
      <c r="J15" s="88"/>
    </row>
    <row r="16" spans="1:10" ht="17.399999999999999">
      <c r="A16" s="88"/>
      <c r="B16" s="3">
        <v>0.55600000000000005</v>
      </c>
      <c r="H16" s="88"/>
      <c r="I16" s="88"/>
      <c r="J16" s="88"/>
    </row>
    <row r="17" spans="1:10" ht="17.399999999999999">
      <c r="A17" s="88"/>
      <c r="B17" s="3">
        <v>11.789</v>
      </c>
      <c r="H17" s="88"/>
      <c r="I17" s="88"/>
      <c r="J17" s="88"/>
    </row>
    <row r="18" spans="1:10" ht="17.399999999999999">
      <c r="A18" s="88"/>
      <c r="B18" s="89"/>
      <c r="H18" s="88"/>
      <c r="I18" s="88"/>
      <c r="J18" s="88"/>
    </row>
    <row r="19" spans="1:10" ht="17.399999999999999">
      <c r="A19" s="87" t="s">
        <v>121</v>
      </c>
      <c r="B19" s="87" t="s">
        <v>122</v>
      </c>
      <c r="H19" s="88"/>
      <c r="I19" s="88"/>
    </row>
    <row r="20" spans="1:10" ht="17.399999999999999">
      <c r="A20" s="88"/>
      <c r="B20" s="159" t="s">
        <v>123</v>
      </c>
      <c r="C20" s="159"/>
      <c r="D20" s="159"/>
      <c r="E20" s="159"/>
      <c r="J20" s="88"/>
    </row>
    <row r="21" spans="1:10" ht="17.399999999999999">
      <c r="A21" s="88"/>
      <c r="B21" s="89"/>
      <c r="J21" s="88"/>
    </row>
    <row r="22" spans="1:10" ht="17.399999999999999">
      <c r="A22" s="88"/>
      <c r="B22" s="91">
        <v>0</v>
      </c>
      <c r="J22" s="88"/>
    </row>
    <row r="23" spans="1:10" ht="17.399999999999999">
      <c r="A23" s="88"/>
      <c r="B23" s="91">
        <v>100</v>
      </c>
      <c r="J23" s="88"/>
    </row>
    <row r="24" spans="1:10" ht="17.399999999999999">
      <c r="A24" s="88"/>
      <c r="B24" s="91">
        <v>20</v>
      </c>
      <c r="J24" s="88"/>
    </row>
    <row r="25" spans="1:10" ht="17.399999999999999">
      <c r="A25" s="88"/>
      <c r="B25" s="89"/>
      <c r="J25" s="88"/>
    </row>
    <row r="26" spans="1:10" ht="17.399999999999999">
      <c r="A26" s="87" t="s">
        <v>124</v>
      </c>
      <c r="B26" s="159" t="s">
        <v>125</v>
      </c>
      <c r="C26" s="159"/>
      <c r="D26" s="159"/>
      <c r="H26" s="88"/>
      <c r="I26" s="88"/>
      <c r="J26" s="88"/>
    </row>
    <row r="27" spans="1:10" ht="17.399999999999999">
      <c r="A27" s="88"/>
      <c r="B27" s="89"/>
      <c r="C27" s="88"/>
      <c r="D27" s="88"/>
      <c r="E27" s="88"/>
      <c r="F27" s="88"/>
      <c r="G27" s="88"/>
      <c r="H27" s="88"/>
      <c r="I27" s="88"/>
      <c r="J27" s="88"/>
    </row>
    <row r="28" spans="1:10" ht="17.399999999999999">
      <c r="A28" s="88"/>
      <c r="B28" s="92" t="s">
        <v>126</v>
      </c>
      <c r="C28" s="87" t="s">
        <v>127</v>
      </c>
      <c r="D28" s="88"/>
      <c r="E28" t="s">
        <v>215</v>
      </c>
      <c r="F28" s="88" t="s">
        <v>217</v>
      </c>
      <c r="G28" s="88"/>
      <c r="H28" s="88"/>
      <c r="I28" s="88"/>
      <c r="J28" s="88"/>
    </row>
    <row r="29" spans="1:10" ht="17.399999999999999">
      <c r="A29" s="88"/>
      <c r="B29" s="101" t="s">
        <v>128</v>
      </c>
      <c r="C29" s="3" t="s">
        <v>215</v>
      </c>
      <c r="D29" s="88"/>
      <c r="E29" t="s">
        <v>216</v>
      </c>
      <c r="F29" s="88"/>
      <c r="G29" s="88"/>
      <c r="H29" s="88"/>
      <c r="I29" s="88"/>
      <c r="J29" s="88"/>
    </row>
    <row r="30" spans="1:10" ht="17.399999999999999">
      <c r="A30" s="88"/>
      <c r="B30" s="101" t="s">
        <v>129</v>
      </c>
      <c r="C30" s="3" t="s">
        <v>216</v>
      </c>
      <c r="D30" s="88"/>
      <c r="E30" s="88"/>
      <c r="F30" s="88"/>
      <c r="G30" s="88"/>
      <c r="H30" s="88"/>
      <c r="I30" s="88"/>
      <c r="J30" s="88"/>
    </row>
    <row r="31" spans="1:10" ht="17.399999999999999">
      <c r="A31" s="88"/>
      <c r="B31" s="101" t="s">
        <v>130</v>
      </c>
      <c r="C31" s="3" t="s">
        <v>215</v>
      </c>
      <c r="D31" s="88"/>
      <c r="E31" s="88"/>
      <c r="F31" s="88"/>
      <c r="G31" s="88"/>
      <c r="H31" s="88"/>
      <c r="I31" s="88"/>
      <c r="J31" s="88"/>
    </row>
    <row r="32" spans="1:10" ht="17.399999999999999">
      <c r="A32" s="88"/>
      <c r="B32" s="101" t="s">
        <v>131</v>
      </c>
      <c r="C32" s="3" t="s">
        <v>215</v>
      </c>
      <c r="D32" s="88"/>
      <c r="E32" s="88"/>
      <c r="F32" s="88"/>
      <c r="G32" s="88"/>
      <c r="H32" s="88"/>
      <c r="I32" s="88"/>
      <c r="J32" s="88"/>
    </row>
    <row r="33" spans="1:10" ht="17.399999999999999">
      <c r="A33" s="88"/>
      <c r="B33" s="101" t="s">
        <v>132</v>
      </c>
      <c r="C33" s="3" t="s">
        <v>216</v>
      </c>
      <c r="D33" s="88"/>
      <c r="E33" s="88"/>
      <c r="F33" s="88"/>
      <c r="G33" s="88"/>
      <c r="H33" s="88"/>
      <c r="I33" s="88"/>
      <c r="J33" s="88"/>
    </row>
    <row r="34" spans="1:10" ht="17.399999999999999">
      <c r="A34" s="88"/>
      <c r="B34" s="101" t="s">
        <v>133</v>
      </c>
      <c r="C34" s="3" t="s">
        <v>216</v>
      </c>
      <c r="D34" s="88"/>
      <c r="E34" s="88"/>
      <c r="F34" s="88"/>
      <c r="G34" s="88"/>
      <c r="H34" s="88"/>
      <c r="I34" s="88"/>
      <c r="J34" s="88"/>
    </row>
    <row r="35" spans="1:10" ht="17.399999999999999">
      <c r="A35" s="88"/>
      <c r="B35" s="89"/>
      <c r="C35" s="88"/>
      <c r="D35" s="88"/>
      <c r="E35" s="88"/>
      <c r="F35" s="88"/>
      <c r="G35" s="88"/>
      <c r="H35" s="88"/>
      <c r="I35" s="88"/>
      <c r="J35" s="88"/>
    </row>
    <row r="36" spans="1:10" ht="17.399999999999999">
      <c r="A36" s="88"/>
      <c r="B36" s="89"/>
      <c r="C36" s="88"/>
      <c r="D36" s="88"/>
      <c r="E36" s="88"/>
      <c r="F36" s="88"/>
      <c r="G36" s="88"/>
      <c r="H36" s="88"/>
      <c r="I36" s="88"/>
      <c r="J36" s="88"/>
    </row>
    <row r="37" spans="1:10" ht="15.6">
      <c r="A37" s="92" t="s">
        <v>134</v>
      </c>
      <c r="B37" s="160" t="s">
        <v>135</v>
      </c>
      <c r="C37" s="161"/>
      <c r="D37" s="162"/>
    </row>
    <row r="38" spans="1:10" ht="17.399999999999999">
      <c r="A38" s="88"/>
      <c r="B38" s="89"/>
      <c r="C38" s="88"/>
      <c r="D38" s="88"/>
      <c r="E38" s="93"/>
      <c r="F38" s="88"/>
      <c r="G38" s="88"/>
      <c r="I38" s="88"/>
      <c r="J38" s="88"/>
    </row>
    <row r="39" spans="1:10" ht="17.399999999999999">
      <c r="A39" s="88"/>
      <c r="B39" s="94">
        <v>43586</v>
      </c>
      <c r="C39" s="94"/>
      <c r="D39" s="94"/>
      <c r="E39" s="93"/>
      <c r="F39" s="88"/>
      <c r="G39" s="88"/>
      <c r="H39" s="88"/>
      <c r="I39" s="88"/>
      <c r="J39" s="88"/>
    </row>
    <row r="40" spans="1:10" ht="17.399999999999999">
      <c r="A40" s="88"/>
      <c r="B40" s="94">
        <v>43742</v>
      </c>
      <c r="C40" s="94">
        <v>43791</v>
      </c>
      <c r="D40" s="94">
        <v>43852</v>
      </c>
      <c r="E40" s="88"/>
      <c r="F40" s="88"/>
      <c r="G40" s="88"/>
      <c r="H40" s="88"/>
      <c r="I40" s="88"/>
      <c r="J40" s="88"/>
    </row>
    <row r="41" spans="1:10" ht="17.399999999999999">
      <c r="A41" s="88"/>
      <c r="B41" s="94">
        <v>43921</v>
      </c>
      <c r="C41" s="94"/>
      <c r="D41" s="94"/>
      <c r="E41" s="88"/>
      <c r="F41" s="88"/>
      <c r="G41" s="88"/>
      <c r="H41" s="88"/>
      <c r="I41" s="88"/>
      <c r="J41" s="88"/>
    </row>
    <row r="42" spans="1:10" ht="17.399999999999999">
      <c r="A42" s="88"/>
      <c r="B42" s="89"/>
      <c r="C42" s="88"/>
      <c r="D42" s="88"/>
      <c r="E42" s="88"/>
      <c r="F42" s="88"/>
      <c r="G42" s="88"/>
      <c r="H42" s="88"/>
      <c r="I42" s="88"/>
      <c r="J42" s="88"/>
    </row>
    <row r="43" spans="1:10" ht="17.399999999999999">
      <c r="A43" s="88"/>
      <c r="B43" s="89"/>
      <c r="C43" s="88"/>
      <c r="D43" s="88"/>
      <c r="E43" s="88"/>
      <c r="F43" s="88"/>
      <c r="G43" s="88"/>
      <c r="H43" s="88"/>
      <c r="I43" s="88"/>
      <c r="J43" s="88"/>
    </row>
    <row r="44" spans="1:10" ht="17.399999999999999">
      <c r="A44" s="88"/>
      <c r="B44" s="95"/>
      <c r="D44" s="88"/>
      <c r="E44" s="88"/>
      <c r="F44" s="88"/>
      <c r="G44" s="88"/>
      <c r="H44" s="88"/>
      <c r="I44" s="88"/>
      <c r="J44" s="88"/>
    </row>
    <row r="45" spans="1:10" ht="17.399999999999999">
      <c r="A45" s="87" t="s">
        <v>136</v>
      </c>
      <c r="B45" s="160" t="s">
        <v>137</v>
      </c>
      <c r="C45" s="161"/>
      <c r="D45" s="162"/>
      <c r="H45" s="88"/>
      <c r="I45" s="88"/>
      <c r="J45" s="88"/>
    </row>
    <row r="46" spans="1:10" ht="17.399999999999999">
      <c r="A46" s="88"/>
      <c r="B46" s="3">
        <v>1</v>
      </c>
      <c r="C46" s="3" t="s">
        <v>218</v>
      </c>
      <c r="D46" s="3" t="s">
        <v>219</v>
      </c>
      <c r="J46" s="88"/>
    </row>
    <row r="47" spans="1:10" ht="17.399999999999999">
      <c r="A47" s="88"/>
      <c r="B47" s="3">
        <v>2</v>
      </c>
      <c r="C47" s="3">
        <v>13</v>
      </c>
      <c r="D47" s="3" t="s">
        <v>220</v>
      </c>
      <c r="J47" s="88"/>
    </row>
    <row r="48" spans="1:10" ht="17.399999999999999">
      <c r="A48" s="88"/>
      <c r="B48" s="3">
        <v>3</v>
      </c>
      <c r="C48" s="3">
        <v>31</v>
      </c>
      <c r="D48" s="3" t="s">
        <v>221</v>
      </c>
      <c r="J48" s="88"/>
    </row>
    <row r="49" spans="1:10" ht="17.399999999999999">
      <c r="A49" s="88"/>
      <c r="B49" s="89"/>
      <c r="C49" s="88"/>
      <c r="D49" s="88"/>
      <c r="E49" s="88"/>
      <c r="F49" s="88"/>
      <c r="G49" s="88"/>
      <c r="H49" s="88"/>
      <c r="I49" s="88"/>
      <c r="J49" s="88"/>
    </row>
    <row r="50" spans="1:10" ht="17.399999999999999">
      <c r="A50" s="87" t="s">
        <v>138</v>
      </c>
      <c r="B50" s="160" t="s">
        <v>139</v>
      </c>
      <c r="C50" s="161"/>
      <c r="D50" s="162"/>
      <c r="G50" s="88"/>
      <c r="H50" s="88"/>
      <c r="I50" s="88"/>
      <c r="J50" s="88"/>
    </row>
    <row r="51" spans="1:10" ht="17.399999999999999">
      <c r="A51" s="96"/>
      <c r="B51" s="97"/>
      <c r="C51" s="96"/>
      <c r="D51" s="96"/>
      <c r="E51" s="96"/>
      <c r="F51" s="96"/>
      <c r="G51" s="96"/>
      <c r="H51" s="96"/>
      <c r="I51" s="96"/>
      <c r="J51" s="96"/>
    </row>
    <row r="52" spans="1:10" ht="17.399999999999999">
      <c r="A52" s="96"/>
      <c r="B52" s="102" t="s">
        <v>222</v>
      </c>
      <c r="C52" s="96" t="b">
        <f>LEFT(B52,3)="EMP"</f>
        <v>1</v>
      </c>
      <c r="D52" s="96" t="b">
        <f>LEN(B52)=6</f>
        <v>1</v>
      </c>
      <c r="E52" s="98" t="b">
        <f>AND(LEFT(B52,3)="EMP",LEN(B52)=6)</f>
        <v>1</v>
      </c>
      <c r="F52" s="96"/>
      <c r="G52" s="96"/>
      <c r="H52" s="96"/>
      <c r="I52" s="96"/>
      <c r="J52" s="96"/>
    </row>
    <row r="53" spans="1:10" ht="17.399999999999999">
      <c r="A53" s="96"/>
      <c r="B53" s="102" t="s">
        <v>223</v>
      </c>
      <c r="C53" s="96"/>
      <c r="D53" s="96" t="b">
        <f>AND(C52:D52)</f>
        <v>1</v>
      </c>
      <c r="E53" s="96"/>
      <c r="F53" s="96"/>
      <c r="G53" s="96"/>
      <c r="H53" s="96"/>
      <c r="I53" s="96"/>
      <c r="J53" s="96"/>
    </row>
    <row r="54" spans="1:10" ht="17.399999999999999">
      <c r="A54" s="96"/>
      <c r="B54" s="102" t="s">
        <v>224</v>
      </c>
      <c r="C54" s="96"/>
      <c r="D54" s="96"/>
      <c r="E54" s="96"/>
      <c r="F54" s="96"/>
      <c r="G54" s="96"/>
      <c r="H54" s="96"/>
      <c r="I54" s="96"/>
      <c r="J54" s="96"/>
    </row>
    <row r="55" spans="1:10" ht="17.399999999999999">
      <c r="A55" s="96"/>
      <c r="B55" s="102" t="s">
        <v>225</v>
      </c>
      <c r="C55" s="96"/>
      <c r="D55" s="96"/>
      <c r="E55" s="96"/>
      <c r="F55" s="96"/>
      <c r="G55" s="96"/>
      <c r="H55" s="96"/>
      <c r="I55" s="96"/>
      <c r="J55" s="96"/>
    </row>
    <row r="56" spans="1:10" ht="17.399999999999999">
      <c r="A56" s="96"/>
      <c r="B56" s="102" t="s">
        <v>225</v>
      </c>
      <c r="C56" s="96"/>
      <c r="D56" s="163" t="s">
        <v>226</v>
      </c>
      <c r="E56" s="96"/>
      <c r="F56" s="96"/>
      <c r="G56" s="96"/>
      <c r="H56" s="96"/>
      <c r="I56" s="96"/>
      <c r="J56" s="96"/>
    </row>
    <row r="57" spans="1:10" ht="17.399999999999999">
      <c r="A57" s="88"/>
      <c r="B57" s="89"/>
      <c r="C57" s="88"/>
      <c r="D57" s="88" t="s">
        <v>227</v>
      </c>
      <c r="E57" s="88"/>
      <c r="F57" s="88"/>
      <c r="G57" s="88"/>
      <c r="H57" s="88"/>
      <c r="I57" s="88"/>
      <c r="J57" s="88"/>
    </row>
    <row r="58" spans="1:10" ht="17.399999999999999">
      <c r="A58" s="87" t="s">
        <v>140</v>
      </c>
      <c r="B58" s="160" t="s">
        <v>141</v>
      </c>
      <c r="C58" s="161"/>
      <c r="D58" s="162"/>
      <c r="H58" s="88"/>
      <c r="I58" s="88"/>
      <c r="J58" s="88"/>
    </row>
    <row r="59" spans="1:10" ht="17.399999999999999">
      <c r="A59" s="88"/>
      <c r="B59" s="89"/>
      <c r="C59" s="88"/>
      <c r="D59" s="88"/>
      <c r="E59" s="88"/>
      <c r="F59" s="88"/>
      <c r="G59" s="88"/>
      <c r="H59" s="88"/>
      <c r="I59" s="88"/>
      <c r="J59" s="88"/>
    </row>
    <row r="60" spans="1:10" ht="17.399999999999999">
      <c r="A60" s="88"/>
      <c r="B60" s="3">
        <v>8103123456</v>
      </c>
      <c r="C60" s="88"/>
      <c r="D60" s="88"/>
      <c r="E60" s="91" t="b">
        <f>AND(ISNUMBER(B60),LEN(B60)=10)</f>
        <v>1</v>
      </c>
      <c r="F60" t="s">
        <v>228</v>
      </c>
      <c r="J60" s="88"/>
    </row>
    <row r="61" spans="1:10" ht="17.399999999999999">
      <c r="A61" s="88"/>
      <c r="B61" s="3">
        <v>1234567890</v>
      </c>
      <c r="C61" s="88"/>
      <c r="D61" s="88"/>
      <c r="E61" s="88"/>
      <c r="F61" t="s">
        <v>229</v>
      </c>
      <c r="J61" s="88"/>
    </row>
    <row r="62" spans="1:10" ht="17.399999999999999">
      <c r="A62" s="88"/>
      <c r="B62" s="3">
        <v>9876543210</v>
      </c>
      <c r="C62" s="88"/>
      <c r="D62" s="88"/>
      <c r="E62" s="88"/>
      <c r="J62" s="88"/>
    </row>
    <row r="63" spans="1:10" ht="17.399999999999999">
      <c r="A63" s="88"/>
      <c r="B63" s="3">
        <v>9876123450</v>
      </c>
      <c r="C63" s="88"/>
      <c r="D63" s="88"/>
      <c r="E63" s="88"/>
      <c r="J63" s="88"/>
    </row>
    <row r="64" spans="1:10" ht="17.399999999999999">
      <c r="A64" s="88"/>
      <c r="B64" s="89"/>
      <c r="C64" s="88"/>
      <c r="D64" s="88"/>
      <c r="E64" s="88"/>
      <c r="J64" s="88"/>
    </row>
    <row r="65" spans="1:10" ht="17.399999999999999">
      <c r="A65" s="88"/>
      <c r="B65" s="89"/>
      <c r="C65" s="88"/>
      <c r="D65" s="88"/>
      <c r="E65" s="88"/>
      <c r="F65" s="88"/>
      <c r="G65" s="88"/>
      <c r="H65" s="88"/>
      <c r="I65" s="88"/>
      <c r="J65" s="88"/>
    </row>
    <row r="66" spans="1:10" ht="17.399999999999999">
      <c r="A66" s="87" t="s">
        <v>198</v>
      </c>
      <c r="B66" s="159" t="s">
        <v>142</v>
      </c>
      <c r="C66" s="159"/>
      <c r="D66" s="159"/>
      <c r="E66" s="159"/>
      <c r="F66" s="159"/>
      <c r="G66" s="159"/>
      <c r="H66" s="88"/>
      <c r="I66" s="88"/>
      <c r="J66" s="88"/>
    </row>
    <row r="67" spans="1:10" ht="17.399999999999999">
      <c r="A67" s="88"/>
      <c r="B67" s="89"/>
      <c r="C67" s="88"/>
      <c r="D67" s="88"/>
      <c r="E67" s="88"/>
      <c r="F67" s="88"/>
      <c r="G67" s="88"/>
      <c r="H67" s="88"/>
      <c r="I67" s="88"/>
      <c r="J67" s="88"/>
    </row>
    <row r="68" spans="1:10" ht="17.399999999999999">
      <c r="A68" s="88"/>
      <c r="B68" s="94">
        <v>46033</v>
      </c>
      <c r="C68" s="88"/>
      <c r="D68" s="88"/>
      <c r="E68" s="88"/>
      <c r="F68" s="88"/>
      <c r="G68" s="88"/>
      <c r="H68" s="88"/>
      <c r="I68" s="88"/>
      <c r="J68" s="88"/>
    </row>
    <row r="69" spans="1:10" ht="17.399999999999999">
      <c r="A69" s="88"/>
      <c r="B69" s="94">
        <v>46014</v>
      </c>
      <c r="C69" s="88"/>
      <c r="D69" s="88"/>
      <c r="E69" s="88"/>
      <c r="F69" s="88"/>
      <c r="G69" s="88"/>
      <c r="H69" s="88"/>
      <c r="I69" s="88"/>
      <c r="J69" s="88"/>
    </row>
    <row r="70" spans="1:10" ht="17.399999999999999">
      <c r="A70" s="88"/>
      <c r="B70" s="94">
        <v>37560</v>
      </c>
      <c r="C70" s="88"/>
      <c r="D70" s="88"/>
      <c r="E70" s="88"/>
      <c r="F70" s="88"/>
      <c r="G70" s="88"/>
      <c r="H70" s="88"/>
      <c r="I70" s="88"/>
      <c r="J70" s="88"/>
    </row>
    <row r="71" spans="1:10" ht="17.399999999999999">
      <c r="A71" s="88"/>
      <c r="B71" s="94">
        <v>23835</v>
      </c>
      <c r="C71" s="88"/>
      <c r="D71" s="88"/>
      <c r="E71" s="88"/>
      <c r="F71" s="88"/>
      <c r="G71" s="88"/>
      <c r="H71" s="88"/>
      <c r="I71" s="88"/>
      <c r="J71" s="88"/>
    </row>
    <row r="72" spans="1:10" ht="17.399999999999999">
      <c r="A72" s="88"/>
      <c r="B72" s="89"/>
      <c r="C72" s="88"/>
      <c r="D72" s="88"/>
      <c r="E72" s="88"/>
      <c r="F72" s="88"/>
      <c r="G72" s="88"/>
      <c r="H72" s="88"/>
      <c r="I72" s="88"/>
      <c r="J72" s="88"/>
    </row>
    <row r="73" spans="1:10" ht="17.399999999999999">
      <c r="A73" s="88"/>
      <c r="B73" s="89"/>
      <c r="C73" s="88"/>
      <c r="D73" s="88"/>
      <c r="E73" s="88"/>
      <c r="F73" s="88"/>
      <c r="G73" s="88"/>
      <c r="H73" s="88"/>
      <c r="I73" s="88"/>
      <c r="J73" s="88"/>
    </row>
    <row r="74" spans="1:10" ht="17.399999999999999">
      <c r="A74" s="87" t="s">
        <v>199</v>
      </c>
      <c r="B74" s="91"/>
      <c r="C74" s="91"/>
      <c r="D74" s="91"/>
      <c r="F74" s="87" t="s">
        <v>143</v>
      </c>
      <c r="H74" s="87" t="s">
        <v>144</v>
      </c>
      <c r="I74" s="88"/>
      <c r="J74" s="88"/>
    </row>
    <row r="75" spans="1:10" ht="17.399999999999999">
      <c r="A75" s="88"/>
      <c r="B75" s="87" t="s">
        <v>145</v>
      </c>
      <c r="C75" s="87" t="s">
        <v>146</v>
      </c>
      <c r="D75" s="87" t="s">
        <v>147</v>
      </c>
      <c r="F75" s="3" t="s">
        <v>146</v>
      </c>
      <c r="H75" s="3" t="s">
        <v>167</v>
      </c>
      <c r="I75" s="88"/>
      <c r="J75" s="88"/>
    </row>
    <row r="76" spans="1:10" ht="17.399999999999999">
      <c r="A76" s="88"/>
      <c r="B76" s="91" t="s">
        <v>149</v>
      </c>
      <c r="C76" s="91" t="s">
        <v>150</v>
      </c>
      <c r="D76" s="91" t="s">
        <v>151</v>
      </c>
      <c r="E76" s="88"/>
      <c r="G76" s="88"/>
      <c r="H76" s="88"/>
      <c r="I76" s="88"/>
      <c r="J76" s="88"/>
    </row>
    <row r="77" spans="1:10" ht="17.399999999999999">
      <c r="A77" s="88"/>
      <c r="B77" s="91" t="s">
        <v>152</v>
      </c>
      <c r="C77" s="91" t="s">
        <v>153</v>
      </c>
      <c r="D77" s="91" t="s">
        <v>148</v>
      </c>
      <c r="E77" s="88"/>
      <c r="G77" s="88"/>
      <c r="H77" s="88"/>
      <c r="I77" s="88"/>
      <c r="J77" s="88"/>
    </row>
    <row r="78" spans="1:10" ht="17.399999999999999">
      <c r="A78" s="88"/>
      <c r="B78" s="91" t="s">
        <v>154</v>
      </c>
      <c r="C78" s="91" t="s">
        <v>155</v>
      </c>
      <c r="D78" s="91" t="s">
        <v>156</v>
      </c>
      <c r="E78" s="88"/>
      <c r="G78" s="88"/>
      <c r="H78" s="88"/>
      <c r="I78" s="88"/>
      <c r="J78" s="88"/>
    </row>
    <row r="79" spans="1:10" ht="17.399999999999999">
      <c r="A79" s="88"/>
      <c r="B79" s="91" t="s">
        <v>157</v>
      </c>
      <c r="C79" s="91" t="s">
        <v>158</v>
      </c>
      <c r="D79" s="91" t="s">
        <v>159</v>
      </c>
      <c r="E79" s="88"/>
      <c r="F79" s="88"/>
      <c r="G79" s="88"/>
      <c r="H79" s="88"/>
      <c r="I79" s="88"/>
      <c r="J79" s="88"/>
    </row>
    <row r="80" spans="1:10" ht="17.399999999999999">
      <c r="A80" s="88"/>
      <c r="B80" s="91" t="s">
        <v>160</v>
      </c>
      <c r="C80" s="91" t="s">
        <v>161</v>
      </c>
      <c r="D80" s="91"/>
      <c r="E80" s="88"/>
      <c r="F80" s="88"/>
      <c r="G80" s="88"/>
      <c r="H80" s="88"/>
      <c r="I80" s="88"/>
      <c r="J80" s="88"/>
    </row>
    <row r="81" spans="1:10" ht="17.399999999999999">
      <c r="A81" s="88"/>
      <c r="B81" s="91" t="s">
        <v>162</v>
      </c>
      <c r="C81" s="91" t="s">
        <v>163</v>
      </c>
      <c r="D81" s="91"/>
      <c r="E81" s="88"/>
      <c r="F81" s="88"/>
      <c r="G81" s="88"/>
      <c r="H81" s="88"/>
      <c r="I81" s="88"/>
      <c r="J81" s="88"/>
    </row>
    <row r="82" spans="1:10" ht="17.399999999999999">
      <c r="A82" s="88"/>
      <c r="B82" s="91" t="s">
        <v>164</v>
      </c>
      <c r="C82" s="91" t="s">
        <v>165</v>
      </c>
      <c r="D82" s="91"/>
      <c r="E82" s="88"/>
      <c r="F82" s="88"/>
      <c r="G82" s="88"/>
      <c r="H82" s="88"/>
      <c r="I82" s="88"/>
      <c r="J82" s="88"/>
    </row>
    <row r="83" spans="1:10" ht="17.399999999999999">
      <c r="A83" s="88"/>
      <c r="B83" s="91" t="s">
        <v>166</v>
      </c>
      <c r="C83" s="91" t="s">
        <v>167</v>
      </c>
      <c r="D83" s="91"/>
      <c r="E83" s="88"/>
      <c r="F83" s="88"/>
      <c r="G83" s="88"/>
      <c r="H83" s="88"/>
      <c r="I83" s="88"/>
      <c r="J83" s="88"/>
    </row>
    <row r="84" spans="1:10" ht="17.399999999999999">
      <c r="A84" s="88"/>
      <c r="B84" s="91" t="s">
        <v>168</v>
      </c>
      <c r="C84" s="99" t="s">
        <v>169</v>
      </c>
      <c r="D84" s="91"/>
      <c r="E84" s="88"/>
      <c r="F84" s="88"/>
      <c r="G84" s="88"/>
      <c r="H84" s="88"/>
      <c r="I84" s="88"/>
      <c r="J84" s="88"/>
    </row>
    <row r="85" spans="1:10">
      <c r="B85" s="100"/>
    </row>
    <row r="86" spans="1:10">
      <c r="B86" s="100"/>
    </row>
    <row r="87" spans="1:10" ht="15.6">
      <c r="B87" s="87" t="s">
        <v>170</v>
      </c>
      <c r="C87" s="87"/>
    </row>
    <row r="88" spans="1:10" ht="15.6">
      <c r="B88" s="87" t="s">
        <v>171</v>
      </c>
      <c r="C88" s="87" t="s">
        <v>172</v>
      </c>
      <c r="D88" s="87" t="s">
        <v>173</v>
      </c>
    </row>
    <row r="89" spans="1:10" ht="15.6">
      <c r="B89" s="3" t="s">
        <v>174</v>
      </c>
      <c r="C89" s="3" t="s">
        <v>175</v>
      </c>
      <c r="D89" s="3">
        <v>25000</v>
      </c>
      <c r="G89" s="87" t="s">
        <v>172</v>
      </c>
      <c r="H89" s="87" t="s">
        <v>176</v>
      </c>
      <c r="I89" s="87" t="s">
        <v>177</v>
      </c>
    </row>
    <row r="90" spans="1:10">
      <c r="B90" s="3" t="s">
        <v>178</v>
      </c>
      <c r="C90" s="3" t="s">
        <v>179</v>
      </c>
      <c r="D90" s="3">
        <v>39000</v>
      </c>
      <c r="G90" s="91" t="s">
        <v>175</v>
      </c>
      <c r="H90" s="91">
        <v>15600</v>
      </c>
      <c r="I90" s="91">
        <v>39100</v>
      </c>
    </row>
    <row r="91" spans="1:10">
      <c r="B91" s="3" t="s">
        <v>180</v>
      </c>
      <c r="C91" s="3" t="s">
        <v>181</v>
      </c>
      <c r="D91" s="3">
        <v>30000</v>
      </c>
      <c r="G91" s="91" t="s">
        <v>179</v>
      </c>
      <c r="H91" s="91">
        <v>17000</v>
      </c>
      <c r="I91" s="91">
        <v>39100</v>
      </c>
    </row>
    <row r="92" spans="1:10">
      <c r="B92" s="3" t="s">
        <v>182</v>
      </c>
      <c r="C92" s="3" t="s">
        <v>183</v>
      </c>
      <c r="D92" s="3">
        <v>35000</v>
      </c>
      <c r="G92" s="91" t="s">
        <v>181</v>
      </c>
      <c r="H92" s="91">
        <v>20000</v>
      </c>
      <c r="I92" s="91">
        <v>45000</v>
      </c>
    </row>
    <row r="93" spans="1:10">
      <c r="B93" s="3" t="s">
        <v>184</v>
      </c>
      <c r="C93" s="3" t="s">
        <v>185</v>
      </c>
      <c r="D93" s="3">
        <v>40000</v>
      </c>
      <c r="G93" s="91" t="s">
        <v>183</v>
      </c>
      <c r="H93" s="91">
        <v>25000</v>
      </c>
      <c r="I93" s="91">
        <v>67000</v>
      </c>
    </row>
    <row r="94" spans="1:10">
      <c r="B94" s="3" t="s">
        <v>186</v>
      </c>
      <c r="C94" s="3" t="s">
        <v>187</v>
      </c>
      <c r="D94" s="3">
        <v>80000</v>
      </c>
      <c r="G94" s="91" t="s">
        <v>185</v>
      </c>
      <c r="H94" s="91">
        <v>30000</v>
      </c>
      <c r="I94" s="91">
        <v>70000</v>
      </c>
    </row>
    <row r="95" spans="1:10">
      <c r="B95" s="3" t="s">
        <v>188</v>
      </c>
      <c r="C95" s="3" t="s">
        <v>189</v>
      </c>
      <c r="D95" s="3">
        <v>70000</v>
      </c>
      <c r="G95" s="91" t="s">
        <v>187</v>
      </c>
      <c r="H95" s="91">
        <v>37000</v>
      </c>
      <c r="I95" s="91">
        <v>85000</v>
      </c>
    </row>
    <row r="96" spans="1:10">
      <c r="B96" s="3" t="s">
        <v>190</v>
      </c>
      <c r="C96" s="3" t="s">
        <v>175</v>
      </c>
      <c r="D96" s="3">
        <v>35000</v>
      </c>
      <c r="G96" s="91" t="s">
        <v>189</v>
      </c>
      <c r="H96" s="91">
        <v>38500</v>
      </c>
      <c r="I96" s="91">
        <v>90000</v>
      </c>
    </row>
    <row r="97" spans="2:4">
      <c r="B97" s="3" t="s">
        <v>191</v>
      </c>
      <c r="C97" s="3" t="s">
        <v>179</v>
      </c>
      <c r="D97" s="3">
        <v>39000</v>
      </c>
    </row>
    <row r="98" spans="2:4">
      <c r="B98" s="3" t="s">
        <v>192</v>
      </c>
      <c r="C98" s="3" t="s">
        <v>181</v>
      </c>
      <c r="D98" s="3">
        <v>42000</v>
      </c>
    </row>
    <row r="99" spans="2:4">
      <c r="B99" s="3" t="s">
        <v>193</v>
      </c>
      <c r="C99" s="3" t="s">
        <v>183</v>
      </c>
      <c r="D99" s="3">
        <v>60000</v>
      </c>
    </row>
    <row r="100" spans="2:4">
      <c r="B100" s="3" t="s">
        <v>194</v>
      </c>
      <c r="C100" s="3" t="s">
        <v>185</v>
      </c>
      <c r="D100" s="3">
        <v>55000</v>
      </c>
    </row>
    <row r="101" spans="2:4">
      <c r="B101" s="3" t="s">
        <v>195</v>
      </c>
      <c r="C101" s="3" t="s">
        <v>187</v>
      </c>
      <c r="D101" s="3">
        <v>70000</v>
      </c>
    </row>
    <row r="102" spans="2:4">
      <c r="B102" s="3" t="s">
        <v>196</v>
      </c>
      <c r="C102" s="3" t="s">
        <v>189</v>
      </c>
      <c r="D102" s="3">
        <v>75000</v>
      </c>
    </row>
    <row r="103" spans="2:4">
      <c r="B103" s="3" t="s">
        <v>197</v>
      </c>
      <c r="C103" s="3" t="s">
        <v>179</v>
      </c>
      <c r="D103" s="3">
        <v>35000</v>
      </c>
    </row>
  </sheetData>
  <mergeCells count="10">
    <mergeCell ref="B1:E1"/>
    <mergeCell ref="B7:E7"/>
    <mergeCell ref="B20:E20"/>
    <mergeCell ref="B26:D26"/>
    <mergeCell ref="B66:G66"/>
    <mergeCell ref="B13:E13"/>
    <mergeCell ref="B37:D37"/>
    <mergeCell ref="B45:D45"/>
    <mergeCell ref="B50:D50"/>
    <mergeCell ref="B58:D58"/>
  </mergeCells>
  <dataValidations count="12">
    <dataValidation type="whole" allowBlank="1" showInputMessage="1" showErrorMessage="1" errorTitle="Not a whole number" error="Not in the range!" sqref="B3:B5 B22:B24" xr:uid="{3F85F590-8E56-46F0-BE2A-F0630895C893}">
      <formula1>0</formula1>
      <formula2>100</formula2>
    </dataValidation>
    <dataValidation type="decimal" allowBlank="1" showInputMessage="1" showErrorMessage="1" errorTitle="Write Decimal or Number" error="This is not a decimal or number!" sqref="B9:B11" xr:uid="{3E46D2B1-5BA0-4E84-BF9D-1689D0FB157E}">
      <formula1>0</formula1>
      <formula2>100</formula2>
    </dataValidation>
    <dataValidation type="decimal" allowBlank="1" showInputMessage="1" showErrorMessage="1" errorTitle="Write Decimal or Number" error="This is not a decimal or number!" promptTitle="Decimals between 0 to 100" prompt="Please Enter any value between 0 to 100" sqref="B15:B17" xr:uid="{EE978E0A-754E-45BC-8C49-90B113D13737}">
      <formula1>0</formula1>
      <formula2>100</formula2>
    </dataValidation>
    <dataValidation type="list" allowBlank="1" showInputMessage="1" showErrorMessage="1" sqref="C29:C34" xr:uid="{F578D1AA-64D0-41C5-9FE6-B80286CE26DA}">
      <formula1>$E$28:$E$29</formula1>
    </dataValidation>
    <dataValidation type="list" allowBlank="1" showInputMessage="1" showErrorMessage="1" sqref="F75" xr:uid="{5370B910-5954-4D0D-A9C7-BF71AC6E7B62}">
      <formula1>$B$75:$D$75</formula1>
    </dataValidation>
    <dataValidation type="list" allowBlank="1" showInputMessage="1" showErrorMessage="1" sqref="H75" xr:uid="{7BA3A4CB-BF2E-457B-B8CA-450B7738F5B0}">
      <formula1>INDIRECT($F$75)</formula1>
    </dataValidation>
    <dataValidation type="date" allowBlank="1" showInputMessage="1" showErrorMessage="1" sqref="B39:D41" xr:uid="{617F3C4C-CD40-4205-A66B-EC5717756265}">
      <formula1>43556</formula1>
      <formula2>43921</formula2>
    </dataValidation>
    <dataValidation type="date" operator="lessThanOrEqual" allowBlank="1" showInputMessage="1" showErrorMessage="1" sqref="B68:B71" xr:uid="{83F682FF-26F3-4020-8B02-84F4730B9710}">
      <formula1>TODAY()</formula1>
    </dataValidation>
    <dataValidation type="custom" allowBlank="1" showInputMessage="1" showErrorMessage="1" sqref="B46:D48" xr:uid="{01592AA6-DD6E-4AFD-AF31-A01A63398888}">
      <formula1>COUNTIF($B$46:$D$48,B46)=1</formula1>
    </dataValidation>
    <dataValidation type="custom" allowBlank="1" showInputMessage="1" showErrorMessage="1" sqref="B52:B56" xr:uid="{EEF7428C-6A6F-4F59-B6F9-34F391CB41A6}">
      <formula1>AND(LEFT(B52,3)="EMP",LEN(B52)=6)</formula1>
    </dataValidation>
    <dataValidation type="custom" allowBlank="1" showInputMessage="1" showErrorMessage="1" sqref="B60:B63" xr:uid="{587CB059-0AF4-45B5-8BAA-36BAD85E1A4D}">
      <formula1>AND(ISNUMBER(B60),LEN(B60)=10)</formula1>
    </dataValidation>
    <dataValidation type="whole" allowBlank="1" showInputMessage="1" showErrorMessage="1" errorTitle="Grade range mismatch" error="Enter the salary as per the grade range" sqref="D89:D103" xr:uid="{0E008481-BB1A-4B51-BA91-63249C25D335}">
      <formula1>VLOOKUP(C89,$G$89:$I$96,2,0)</formula1>
      <formula2>VLOOKUP(C89,$G$89:$I$96,3,0)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Goal Seek</vt:lpstr>
      <vt:lpstr>Goal Seek 2</vt:lpstr>
      <vt:lpstr>Scenario Manager</vt:lpstr>
      <vt:lpstr>Scenario Summary</vt:lpstr>
      <vt:lpstr>Scenario Manager-2</vt:lpstr>
      <vt:lpstr>Data table 1 var</vt:lpstr>
      <vt:lpstr>Data Table 2 var</vt:lpstr>
      <vt:lpstr>Data Table-1 Var-Row</vt:lpstr>
      <vt:lpstr>Data Table-1 Var-Column</vt:lpstr>
      <vt:lpstr>Data Table 2</vt:lpstr>
      <vt:lpstr>Solver</vt:lpstr>
      <vt:lpstr>Jan</vt:lpstr>
      <vt:lpstr>Feb</vt:lpstr>
      <vt:lpstr>Mar</vt:lpstr>
      <vt:lpstr>Expected Report</vt:lpstr>
      <vt:lpstr>Data Validation</vt:lpstr>
      <vt:lpstr>Fruits</vt:lpstr>
      <vt:lpstr>Meats</vt:lpstr>
      <vt:lpstr>Vegetables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Muskan 23</cp:lastModifiedBy>
  <dcterms:created xsi:type="dcterms:W3CDTF">2023-05-31T19:24:15Z</dcterms:created>
  <dcterms:modified xsi:type="dcterms:W3CDTF">2026-01-19T11:54:47Z</dcterms:modified>
</cp:coreProperties>
</file>