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Jobaaj\Microsoft Advance Excel\Recorded\Excel in data analysis\"/>
    </mc:Choice>
  </mc:AlternateContent>
  <xr:revisionPtr revIDLastSave="0" documentId="13_ncr:1_{33506542-9EC5-43B3-8F3C-D7C30F0A0958}" xr6:coauthVersionLast="47" xr6:coauthVersionMax="47" xr10:uidLastSave="{00000000-0000-0000-0000-000000000000}"/>
  <bookViews>
    <workbookView xWindow="-108" yWindow="-108" windowWidth="23256" windowHeight="12456" activeTab="3" xr2:uid="{65295BC0-024E-468D-8AEC-82DEF29F3641}"/>
  </bookViews>
  <sheets>
    <sheet name="Data Table-S" sheetId="2" r:id="rId1"/>
    <sheet name="Data Table-UnS" sheetId="3" r:id="rId2"/>
    <sheet name="Data Validation-S" sheetId="4" r:id="rId3"/>
    <sheet name="Data Validation-UnS" sheetId="5" r:id="rId4"/>
    <sheet name="Source List" sheetId="6" r:id="rId5"/>
  </sheets>
  <definedNames>
    <definedName name="Furniture">'Source List'!$C$4:$C$7</definedName>
    <definedName name="Office_Supplies">'Source List'!$D$4:$D$12</definedName>
    <definedName name="Technology">'Source List'!$E$4:$E$7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5" l="1"/>
  <c r="J24" i="5"/>
  <c r="G24" i="5"/>
  <c r="F24" i="5"/>
  <c r="B24" i="5"/>
  <c r="A24" i="5"/>
  <c r="I24" i="5"/>
  <c r="H24" i="5"/>
  <c r="D24" i="5"/>
  <c r="E24" i="5" s="1"/>
  <c r="C24" i="5"/>
  <c r="B19" i="3"/>
  <c r="B19" i="2"/>
  <c r="B17" i="3"/>
  <c r="B16" i="3"/>
  <c r="B15" i="3"/>
  <c r="B15" i="2"/>
  <c r="B14" i="3"/>
  <c r="B14" i="2"/>
  <c r="B13" i="3"/>
  <c r="B20" i="3" s="1"/>
  <c r="B13" i="2"/>
  <c r="M21" i="5"/>
  <c r="P21" i="5" s="1"/>
  <c r="Q21" i="5" s="1"/>
  <c r="L21" i="5"/>
  <c r="P20" i="5"/>
  <c r="Q20" i="5" s="1"/>
  <c r="M20" i="5"/>
  <c r="L20" i="5"/>
  <c r="M19" i="5"/>
  <c r="P19" i="5" s="1"/>
  <c r="Q19" i="5" s="1"/>
  <c r="L19" i="5"/>
  <c r="P18" i="5"/>
  <c r="Q18" i="5" s="1"/>
  <c r="M18" i="5"/>
  <c r="L18" i="5"/>
  <c r="M17" i="5"/>
  <c r="P17" i="5" s="1"/>
  <c r="Q17" i="5" s="1"/>
  <c r="L17" i="5"/>
  <c r="P16" i="5"/>
  <c r="Q16" i="5" s="1"/>
  <c r="M16" i="5"/>
  <c r="L16" i="5"/>
  <c r="M15" i="5"/>
  <c r="P15" i="5" s="1"/>
  <c r="Q15" i="5" s="1"/>
  <c r="L15" i="5"/>
  <c r="P14" i="5"/>
  <c r="Q14" i="5" s="1"/>
  <c r="M14" i="5"/>
  <c r="L14" i="5"/>
  <c r="M13" i="5"/>
  <c r="P13" i="5" s="1"/>
  <c r="Q13" i="5" s="1"/>
  <c r="L13" i="5"/>
  <c r="P12" i="5"/>
  <c r="Q12" i="5" s="1"/>
  <c r="M12" i="5"/>
  <c r="L12" i="5"/>
  <c r="M11" i="5"/>
  <c r="P11" i="5" s="1"/>
  <c r="Q11" i="5" s="1"/>
  <c r="L11" i="5"/>
  <c r="P10" i="5"/>
  <c r="M10" i="5"/>
  <c r="L10" i="5"/>
  <c r="M9" i="5"/>
  <c r="P9" i="5" s="1"/>
  <c r="Q9" i="5" s="1"/>
  <c r="L9" i="5"/>
  <c r="P8" i="5"/>
  <c r="Q8" i="5" s="1"/>
  <c r="M8" i="5"/>
  <c r="L8" i="5"/>
  <c r="M7" i="5"/>
  <c r="P7" i="5" s="1"/>
  <c r="Q7" i="5" s="1"/>
  <c r="L7" i="5"/>
  <c r="P6" i="5"/>
  <c r="Q6" i="5" s="1"/>
  <c r="M6" i="5"/>
  <c r="L6" i="5"/>
  <c r="M5" i="5"/>
  <c r="P5" i="5" s="1"/>
  <c r="L5" i="5"/>
  <c r="P4" i="5"/>
  <c r="Q4" i="5" s="1"/>
  <c r="M4" i="5"/>
  <c r="L4" i="5"/>
  <c r="M3" i="5"/>
  <c r="P3" i="5" s="1"/>
  <c r="Q3" i="5" s="1"/>
  <c r="L3" i="5"/>
  <c r="M21" i="4"/>
  <c r="P21" i="4" s="1"/>
  <c r="Q21" i="4" s="1"/>
  <c r="L21" i="4"/>
  <c r="M20" i="4"/>
  <c r="P20" i="4" s="1"/>
  <c r="Q20" i="4" s="1"/>
  <c r="L20" i="4"/>
  <c r="M19" i="4"/>
  <c r="P19" i="4" s="1"/>
  <c r="Q19" i="4" s="1"/>
  <c r="L19" i="4"/>
  <c r="M18" i="4"/>
  <c r="P18" i="4" s="1"/>
  <c r="Q18" i="4" s="1"/>
  <c r="L18" i="4"/>
  <c r="M17" i="4"/>
  <c r="P17" i="4" s="1"/>
  <c r="Q17" i="4" s="1"/>
  <c r="L17" i="4"/>
  <c r="M16" i="4"/>
  <c r="P16" i="4" s="1"/>
  <c r="Q16" i="4" s="1"/>
  <c r="L16" i="4"/>
  <c r="M15" i="4"/>
  <c r="P15" i="4" s="1"/>
  <c r="L15" i="4"/>
  <c r="M14" i="4"/>
  <c r="P14" i="4" s="1"/>
  <c r="Q14" i="4" s="1"/>
  <c r="L14" i="4"/>
  <c r="M13" i="4"/>
  <c r="P13" i="4" s="1"/>
  <c r="L13" i="4"/>
  <c r="M12" i="4"/>
  <c r="P12" i="4" s="1"/>
  <c r="Q12" i="4" s="1"/>
  <c r="L12" i="4"/>
  <c r="M11" i="4"/>
  <c r="P11" i="4" s="1"/>
  <c r="L11" i="4"/>
  <c r="M10" i="4"/>
  <c r="P10" i="4" s="1"/>
  <c r="Q10" i="4" s="1"/>
  <c r="L10" i="4"/>
  <c r="M9" i="4"/>
  <c r="P9" i="4" s="1"/>
  <c r="L9" i="4"/>
  <c r="P8" i="4"/>
  <c r="Q8" i="4" s="1"/>
  <c r="M8" i="4"/>
  <c r="L8" i="4"/>
  <c r="M7" i="4"/>
  <c r="P7" i="4" s="1"/>
  <c r="L7" i="4"/>
  <c r="P6" i="4"/>
  <c r="Q6" i="4" s="1"/>
  <c r="M6" i="4"/>
  <c r="L6" i="4"/>
  <c r="M5" i="4"/>
  <c r="P5" i="4" s="1"/>
  <c r="Q5" i="4" s="1"/>
  <c r="L5" i="4"/>
  <c r="M4" i="4"/>
  <c r="P4" i="4" s="1"/>
  <c r="Q4" i="4" s="1"/>
  <c r="L4" i="4"/>
  <c r="M3" i="4"/>
  <c r="P3" i="4" s="1"/>
  <c r="Q3" i="4" s="1"/>
  <c r="L3" i="4"/>
  <c r="Q10" i="5" l="1"/>
  <c r="Q5" i="5"/>
  <c r="B22" i="3"/>
  <c r="E3" i="3" s="1"/>
  <c r="B21" i="3"/>
  <c r="B21" i="2"/>
  <c r="Q15" i="4"/>
  <c r="Q9" i="4"/>
  <c r="Q13" i="4"/>
  <c r="Q7" i="4"/>
  <c r="Q11" i="4"/>
  <c r="B17" i="2"/>
  <c r="B16" i="2"/>
  <c r="B20" i="2" s="1"/>
  <c r="B22" i="2" s="1"/>
  <c r="E3" i="2" l="1"/>
</calcChain>
</file>

<file path=xl/sharedStrings.xml><?xml version="1.0" encoding="utf-8"?>
<sst xmlns="http://schemas.openxmlformats.org/spreadsheetml/2006/main" count="370" uniqueCount="121">
  <si>
    <t xml:space="preserve"> Full Day Training</t>
  </si>
  <si>
    <t>Cost Item</t>
  </si>
  <si>
    <t>Amount</t>
  </si>
  <si>
    <t>Gross Profit</t>
  </si>
  <si>
    <t>Hotel Conference Room</t>
  </si>
  <si>
    <t>Feeding per participant</t>
  </si>
  <si>
    <t>Training Material</t>
  </si>
  <si>
    <t>Certificate</t>
  </si>
  <si>
    <t>Prize for best participant</t>
  </si>
  <si>
    <t>Analysis based on estimates</t>
  </si>
  <si>
    <t>Number of participants</t>
  </si>
  <si>
    <t>Course Fee</t>
  </si>
  <si>
    <t>Total Feeding cost</t>
  </si>
  <si>
    <t>Conference Room cost</t>
  </si>
  <si>
    <t>Training Materials cost</t>
  </si>
  <si>
    <t>Certificate Costs</t>
  </si>
  <si>
    <t>Prize Award cost</t>
  </si>
  <si>
    <t>Total Revenue</t>
  </si>
  <si>
    <t>Total Cost</t>
  </si>
  <si>
    <t>TaxFee (5%)</t>
  </si>
  <si>
    <t>Order ID</t>
  </si>
  <si>
    <t>Order Date</t>
  </si>
  <si>
    <t>Ship Date</t>
  </si>
  <si>
    <t>Product Category</t>
  </si>
  <si>
    <t>Sub-Category</t>
  </si>
  <si>
    <t>Australia</t>
  </si>
  <si>
    <t>Order_Source</t>
  </si>
  <si>
    <t>Customer_ID</t>
  </si>
  <si>
    <t>Price</t>
  </si>
  <si>
    <t>Cost</t>
  </si>
  <si>
    <t>Quantity</t>
  </si>
  <si>
    <t>Total_Cost</t>
  </si>
  <si>
    <t>Tota_Sales</t>
  </si>
  <si>
    <t>Discount</t>
  </si>
  <si>
    <t>Shiping Cost</t>
  </si>
  <si>
    <t>Tot_Sales_Amt</t>
  </si>
  <si>
    <t>Profit</t>
  </si>
  <si>
    <t>Order Priority</t>
  </si>
  <si>
    <t>GE-2018-15108</t>
  </si>
  <si>
    <t>Technology</t>
  </si>
  <si>
    <t>Phones</t>
  </si>
  <si>
    <t>Germany</t>
  </si>
  <si>
    <t>Flipkart</t>
  </si>
  <si>
    <t>CS-04692</t>
  </si>
  <si>
    <t>Critical</t>
  </si>
  <si>
    <t>AU-2018-97532</t>
  </si>
  <si>
    <t>Office_Supplies</t>
  </si>
  <si>
    <t>Chairs</t>
  </si>
  <si>
    <t>MG-21584</t>
  </si>
  <si>
    <t>Medium</t>
  </si>
  <si>
    <t>IN-2018-62406</t>
  </si>
  <si>
    <t>Accessories</t>
  </si>
  <si>
    <t>India</t>
  </si>
  <si>
    <t>Amazon</t>
  </si>
  <si>
    <t>ML-21811</t>
  </si>
  <si>
    <t>IN-2018-53340</t>
  </si>
  <si>
    <t>Furniture</t>
  </si>
  <si>
    <t>Bookcases</t>
  </si>
  <si>
    <t>RD-27712</t>
  </si>
  <si>
    <t>IN-2018-71010</t>
  </si>
  <si>
    <t>Snapdeal</t>
  </si>
  <si>
    <t>SN-28948</t>
  </si>
  <si>
    <t>IN-2018-19364</t>
  </si>
  <si>
    <t>Envelopes</t>
  </si>
  <si>
    <t>India Mart</t>
  </si>
  <si>
    <t>MM-22019</t>
  </si>
  <si>
    <t>GE-2018-38242</t>
  </si>
  <si>
    <t>Tables</t>
  </si>
  <si>
    <t>JO-16901</t>
  </si>
  <si>
    <t>AU-2018-43600</t>
  </si>
  <si>
    <t>Binders</t>
  </si>
  <si>
    <t>CS-08000</t>
  </si>
  <si>
    <t>CH-2018-73875</t>
  </si>
  <si>
    <t>Fasteners</t>
  </si>
  <si>
    <t>China</t>
  </si>
  <si>
    <t>JE-16318</t>
  </si>
  <si>
    <t>AU-2018-88091</t>
  </si>
  <si>
    <t>CM-06731</t>
  </si>
  <si>
    <t>High</t>
  </si>
  <si>
    <t>AU-2018-25092</t>
  </si>
  <si>
    <t>Furnishings</t>
  </si>
  <si>
    <t>VP-33803</t>
  </si>
  <si>
    <t>IN-2018-77633</t>
  </si>
  <si>
    <t>Referral</t>
  </si>
  <si>
    <t>JC-15796</t>
  </si>
  <si>
    <t>Low</t>
  </si>
  <si>
    <t>AU-2018-95331</t>
  </si>
  <si>
    <t>PK-26161</t>
  </si>
  <si>
    <t>GE-2018-28642</t>
  </si>
  <si>
    <t>Storage</t>
  </si>
  <si>
    <t>RC-27506</t>
  </si>
  <si>
    <t>IN-2018-87730</t>
  </si>
  <si>
    <t>Paper</t>
  </si>
  <si>
    <t>KC-18740</t>
  </si>
  <si>
    <t>CH-2018-64443</t>
  </si>
  <si>
    <t>AB-01473</t>
  </si>
  <si>
    <t>AU-2018-31068</t>
  </si>
  <si>
    <t>CL-06572</t>
  </si>
  <si>
    <t>CH-2018-30935</t>
  </si>
  <si>
    <t>DP-08734</t>
  </si>
  <si>
    <t>AU-2018-21093</t>
  </si>
  <si>
    <t>Website</t>
  </si>
  <si>
    <t>LD-20693</t>
  </si>
  <si>
    <t>Category</t>
  </si>
  <si>
    <t>Sub Category</t>
  </si>
  <si>
    <t>Supplies</t>
  </si>
  <si>
    <t>Art</t>
  </si>
  <si>
    <t>Machines</t>
  </si>
  <si>
    <t>Copiers</t>
  </si>
  <si>
    <t>Labels</t>
  </si>
  <si>
    <t>Appliances</t>
  </si>
  <si>
    <t>1st 2 Char from Country
3rd Char as "-"
Middle 4 represent year
8th Char as "-"
Last 5 Numbers</t>
  </si>
  <si>
    <t xml:space="preserve">Belong to Source List-
Category  </t>
  </si>
  <si>
    <t>Based on Category
dropdown of Sub-Category</t>
  </si>
  <si>
    <t>Country</t>
  </si>
  <si>
    <t>Should be 
always positive</t>
  </si>
  <si>
    <t>Date should
 be between
 FY 2018-19</t>
  </si>
  <si>
    <t>Text to num</t>
  </si>
  <si>
    <t>Result as text</t>
  </si>
  <si>
    <t>GE-2018-28215</t>
  </si>
  <si>
    <t>IN-2018-81893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</si>
</sst>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[$₹-449]\ ###0.00"/>
    <numFmt numFmtId="165" formatCode="&quot;₹&quot;\ #,##0.00"/>
    <numFmt numFmtId="166" formatCode="&quot;₹&quot;\ #,##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5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1" xfId="0" applyFont="1" applyBorder="1"/>
    <xf numFmtId="164" fontId="3" fillId="0" borderId="1" xfId="0" applyNumberFormat="1" applyFont="1" applyBorder="1"/>
    <xf numFmtId="0" fontId="0" fillId="0" borderId="1" xfId="0" applyBorder="1"/>
    <xf numFmtId="165" fontId="0" fillId="0" borderId="1" xfId="0" applyNumberFormat="1" applyBorder="1"/>
    <xf numFmtId="164" fontId="0" fillId="0" borderId="0" xfId="0" applyNumberFormat="1"/>
    <xf numFmtId="165" fontId="3" fillId="0" borderId="1" xfId="0" applyNumberFormat="1" applyFont="1" applyBorder="1"/>
    <xf numFmtId="0" fontId="2" fillId="3" borderId="1" xfId="0" applyFont="1" applyFill="1" applyBorder="1"/>
    <xf numFmtId="0" fontId="2" fillId="4" borderId="1" xfId="1" applyNumberFormat="1" applyFont="1" applyFill="1" applyBorder="1"/>
    <xf numFmtId="165" fontId="2" fillId="4" borderId="1" xfId="0" applyNumberFormat="1" applyFont="1" applyFill="1" applyBorder="1"/>
    <xf numFmtId="165" fontId="2" fillId="4" borderId="0" xfId="0" applyNumberFormat="1" applyFont="1" applyFill="1"/>
    <xf numFmtId="164" fontId="2" fillId="3" borderId="1" xfId="0" applyNumberFormat="1" applyFont="1" applyFill="1" applyBorder="1"/>
    <xf numFmtId="0" fontId="0" fillId="5" borderId="2" xfId="0" applyFill="1" applyBorder="1"/>
    <xf numFmtId="0" fontId="0" fillId="0" borderId="2" xfId="0" applyBorder="1"/>
    <xf numFmtId="0" fontId="5" fillId="3" borderId="1" xfId="0" applyFont="1" applyFill="1" applyBorder="1" applyAlignment="1">
      <alignment horizontal="center" vertical="center" wrapText="1"/>
    </xf>
    <xf numFmtId="15" fontId="0" fillId="0" borderId="0" xfId="0" applyNumberFormat="1"/>
    <xf numFmtId="166" fontId="2" fillId="4" borderId="1" xfId="0" applyNumberFormat="1" applyFont="1" applyFill="1" applyBorder="1"/>
    <xf numFmtId="166" fontId="0" fillId="0" borderId="1" xfId="0" applyNumberFormat="1" applyBorder="1"/>
    <xf numFmtId="166" fontId="0" fillId="0" borderId="0" xfId="0" applyNumberFormat="1"/>
    <xf numFmtId="166" fontId="3" fillId="0" borderId="1" xfId="0" applyNumberFormat="1" applyFont="1" applyBorder="1"/>
    <xf numFmtId="166" fontId="2" fillId="4" borderId="0" xfId="0" applyNumberFormat="1" applyFont="1" applyFill="1"/>
    <xf numFmtId="0" fontId="4" fillId="2" borderId="0" xfId="0" applyFont="1" applyFill="1" applyAlignment="1">
      <alignment horizontal="center"/>
    </xf>
    <xf numFmtId="0" fontId="0" fillId="6" borderId="0" xfId="0" applyFill="1"/>
  </cellXfs>
  <cellStyles count="2">
    <cellStyle name="Comma" xfId="1" builtinId="3"/>
    <cellStyle name="Normal" xfId="0" builtinId="0"/>
  </cellStyles>
  <dxfs count="4">
    <dxf>
      <numFmt numFmtId="20" formatCode="dd/mmm/yy"/>
    </dxf>
    <dxf>
      <numFmt numFmtId="20" formatCode="dd/mmm/yy"/>
    </dxf>
    <dxf>
      <numFmt numFmtId="20" formatCode="dd/mmm/yy"/>
    </dxf>
    <dxf>
      <numFmt numFmtId="20" formatCode="dd/m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92898D-4550-4948-BCF0-EC9DCA5034B2}" name="Table13" displayName="Table13" ref="A2:R21" totalsRowShown="0">
  <autoFilter ref="A2:R21" xr:uid="{7D92898D-4550-4948-BCF0-EC9DCA5034B2}"/>
  <tableColumns count="18">
    <tableColumn id="1" xr3:uid="{41DE26CB-68DE-4528-863D-E4E7EF155B19}" name="Order ID"/>
    <tableColumn id="2" xr3:uid="{AAE6399B-839C-495E-9B7A-9DE6BA1B1F15}" name="Order Date" dataDxfId="3"/>
    <tableColumn id="3" xr3:uid="{BA853FD7-7063-47A9-93B9-7D368553E99F}" name="Ship Date" dataDxfId="2"/>
    <tableColumn id="4" xr3:uid="{94C4657C-D6BB-4917-80AF-1E72DE67890E}" name="Product Category"/>
    <tableColumn id="18" xr3:uid="{FBE05749-A8A3-4D79-8D8A-741F3BBB9512}" name="Sub-Category"/>
    <tableColumn id="19" xr3:uid="{D674AF26-9A95-4B31-A5D5-17974DDCF87C}" name="Country"/>
    <tableColumn id="5" xr3:uid="{10B2515B-B4E5-4BB8-B753-EAC0B1623FA4}" name="Order_Source"/>
    <tableColumn id="6" xr3:uid="{EADA8946-0745-474E-A813-27CA00F70919}" name="Customer_ID"/>
    <tableColumn id="8" xr3:uid="{1CD3B5B6-0E53-4C7F-8AD2-794D0E928432}" name="Price"/>
    <tableColumn id="9" xr3:uid="{B142E4A7-D7B9-4E91-BC86-FE1923DAF718}" name="Cost"/>
    <tableColumn id="10" xr3:uid="{E7918ABD-AAB5-45D9-8F07-A41E58AF293E}" name="Quantity"/>
    <tableColumn id="11" xr3:uid="{5084ECB7-DC23-4BBD-9B0C-68165F5FC8A4}" name="Total_Cost">
      <calculatedColumnFormula>J3*K3</calculatedColumnFormula>
    </tableColumn>
    <tableColumn id="12" xr3:uid="{82CF9F0D-82A2-45E6-BDC6-DBBE70C2C5C5}" name="Tota_Sales">
      <calculatedColumnFormula>I3*K3</calculatedColumnFormula>
    </tableColumn>
    <tableColumn id="13" xr3:uid="{5B192D05-77A7-446A-B8C4-77DE8196E8A3}" name="Discount"/>
    <tableColumn id="14" xr3:uid="{DDC13517-280C-47E3-8026-B46FA68F437A}" name="Shiping Cost"/>
    <tableColumn id="15" xr3:uid="{4C7D0045-12EB-44BA-A8F4-3315735BB208}" name="Tot_Sales_Amt">
      <calculatedColumnFormula>M3-(M3*N3)+O3</calculatedColumnFormula>
    </tableColumn>
    <tableColumn id="16" xr3:uid="{887C6225-E059-44BC-8462-6C597E843CF0}" name="Profit">
      <calculatedColumnFormula>P3-L3</calculatedColumnFormula>
    </tableColumn>
    <tableColumn id="17" xr3:uid="{7BCD636A-59C8-4643-8AEE-A08DC9275F35}" name="Order Priority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A2FC9B4-23C2-432E-95EC-07AF7596BEAE}" name="Table134" displayName="Table134" ref="A2:R21" totalsRowShown="0">
  <autoFilter ref="A2:R21" xr:uid="{EA2FC9B4-23C2-432E-95EC-07AF7596BEAE}"/>
  <tableColumns count="18">
    <tableColumn id="1" xr3:uid="{3ECD50E5-B3A1-445E-BFDA-A0E72C32D38A}" name="Order ID"/>
    <tableColumn id="2" xr3:uid="{BF07A39B-35FC-4209-96BC-FEAC982BD040}" name="Order Date" dataDxfId="1"/>
    <tableColumn id="3" xr3:uid="{D6BD495D-A68A-4721-BDBC-C5F1CBA1F296}" name="Ship Date" dataDxfId="0"/>
    <tableColumn id="4" xr3:uid="{33509947-8646-4324-98E2-231E368F1E0C}" name="Product Category"/>
    <tableColumn id="18" xr3:uid="{2E220A5A-F5A5-4AD2-9BDE-1875296A41D6}" name="Sub-Category"/>
    <tableColumn id="19" xr3:uid="{26EAD1B7-3EDB-4284-ABB3-6D25A30D0A50}" name="Country"/>
    <tableColumn id="5" xr3:uid="{F963E752-162C-478E-9990-7C3F045F653D}" name="Order_Source"/>
    <tableColumn id="6" xr3:uid="{BE2175D3-7B19-4172-A8CD-A7575C62BC2E}" name="Customer_ID"/>
    <tableColumn id="8" xr3:uid="{2C6B48B4-DB71-4ABB-856F-3739624FAB7D}" name="Price"/>
    <tableColumn id="9" xr3:uid="{5574EAD1-7AF1-4156-A74B-952DD266DD1B}" name="Cost"/>
    <tableColumn id="10" xr3:uid="{5C562C76-821F-45DC-920C-9CD12A0768D5}" name="Quantity"/>
    <tableColumn id="11" xr3:uid="{3DBF1605-98E0-45AD-8744-75E695FB0C2F}" name="Total_Cost">
      <calculatedColumnFormula>J3*K3</calculatedColumnFormula>
    </tableColumn>
    <tableColumn id="12" xr3:uid="{77636F66-116D-42A8-A5D3-566B7F660BB7}" name="Tota_Sales">
      <calculatedColumnFormula>I3*K3</calculatedColumnFormula>
    </tableColumn>
    <tableColumn id="13" xr3:uid="{1DED167D-0F3B-4359-8BF4-03F288CF597A}" name="Discount"/>
    <tableColumn id="14" xr3:uid="{A895F72D-698C-4A5A-A81E-A96F96F6BA4A}" name="Shiping Cost"/>
    <tableColumn id="15" xr3:uid="{9D07FE1E-0A1E-47E0-AEB3-5879D9144899}" name="Tot_Sales_Amt">
      <calculatedColumnFormula>M3-(M3*N3)+O3</calculatedColumnFormula>
    </tableColumn>
    <tableColumn id="16" xr3:uid="{19687D63-019E-4DF5-BFA9-029CF82A5A3A}" name="Profit">
      <calculatedColumnFormula>P3-L3</calculatedColumnFormula>
    </tableColumn>
    <tableColumn id="17" xr3:uid="{D05472CB-9A2A-41B9-9A69-C95B5239EED5}" name="Order Priorit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5AA12-899A-4325-B6D9-30A284F139D2}">
  <dimension ref="A1:J22"/>
  <sheetViews>
    <sheetView topLeftCell="A2" zoomScale="120" zoomScaleNormal="120" workbookViewId="0">
      <selection activeCell="B26" sqref="B26"/>
    </sheetView>
  </sheetViews>
  <sheetFormatPr defaultColWidth="8.88671875" defaultRowHeight="14.4" x14ac:dyDescent="0.3"/>
  <cols>
    <col min="1" max="1" width="28.6640625" bestFit="1" customWidth="1"/>
    <col min="2" max="2" width="15" style="5" bestFit="1" customWidth="1"/>
    <col min="4" max="4" width="11.33203125" bestFit="1" customWidth="1"/>
    <col min="5" max="5" width="13.109375" bestFit="1" customWidth="1"/>
  </cols>
  <sheetData>
    <row r="1" spans="1:10" ht="18" x14ac:dyDescent="0.35">
      <c r="A1" s="21" t="s">
        <v>0</v>
      </c>
      <c r="B1" s="21"/>
    </row>
    <row r="3" spans="1:10" x14ac:dyDescent="0.3">
      <c r="A3" s="7" t="s">
        <v>1</v>
      </c>
      <c r="B3" s="11" t="s">
        <v>2</v>
      </c>
      <c r="E3" s="20">
        <f>B22</f>
        <v>412000</v>
      </c>
      <c r="F3" s="7">
        <v>30</v>
      </c>
      <c r="G3" s="7">
        <v>40</v>
      </c>
      <c r="H3" s="7">
        <v>50</v>
      </c>
      <c r="I3" s="7">
        <v>60</v>
      </c>
      <c r="J3" s="7">
        <v>70</v>
      </c>
    </row>
    <row r="4" spans="1:10" x14ac:dyDescent="0.3">
      <c r="A4" s="3" t="s">
        <v>4</v>
      </c>
      <c r="B4" s="4">
        <v>50000</v>
      </c>
      <c r="E4" s="7">
        <v>10000</v>
      </c>
      <c r="F4" s="3">
        <f t="dataTable" ref="F4:J16" dt2D="1" dtr="1" r1="B11" r2="B12"/>
        <v>-1000</v>
      </c>
      <c r="G4" s="3">
        <v>32000</v>
      </c>
      <c r="H4" s="3">
        <v>65000</v>
      </c>
      <c r="I4" s="3">
        <v>98000</v>
      </c>
      <c r="J4" s="3">
        <v>131000</v>
      </c>
    </row>
    <row r="5" spans="1:10" x14ac:dyDescent="0.3">
      <c r="A5" s="3" t="s">
        <v>5</v>
      </c>
      <c r="B5" s="4">
        <v>1200</v>
      </c>
      <c r="E5" s="7">
        <v>15000</v>
      </c>
      <c r="F5" s="3">
        <v>141500</v>
      </c>
      <c r="G5" s="3">
        <v>222000</v>
      </c>
      <c r="H5" s="3">
        <v>302500</v>
      </c>
      <c r="I5" s="3">
        <v>383000</v>
      </c>
      <c r="J5" s="3">
        <v>463500</v>
      </c>
    </row>
    <row r="6" spans="1:10" x14ac:dyDescent="0.3">
      <c r="A6" s="3" t="s">
        <v>6</v>
      </c>
      <c r="B6" s="4">
        <v>3000</v>
      </c>
      <c r="E6" s="7">
        <v>20000</v>
      </c>
      <c r="F6" s="3">
        <v>284000</v>
      </c>
      <c r="G6" s="3">
        <v>412000</v>
      </c>
      <c r="H6" s="3">
        <v>540000</v>
      </c>
      <c r="I6" s="3">
        <v>668000</v>
      </c>
      <c r="J6" s="3">
        <v>796000</v>
      </c>
    </row>
    <row r="7" spans="1:10" x14ac:dyDescent="0.3">
      <c r="A7" s="3" t="s">
        <v>7</v>
      </c>
      <c r="B7" s="4">
        <v>2000</v>
      </c>
      <c r="E7" s="7">
        <v>25000</v>
      </c>
      <c r="F7" s="3">
        <v>426500</v>
      </c>
      <c r="G7" s="3">
        <v>602000</v>
      </c>
      <c r="H7" s="3">
        <v>777500</v>
      </c>
      <c r="I7" s="3">
        <v>953000</v>
      </c>
      <c r="J7" s="3">
        <v>1128500</v>
      </c>
    </row>
    <row r="8" spans="1:10" x14ac:dyDescent="0.3">
      <c r="A8" s="3" t="s">
        <v>8</v>
      </c>
      <c r="B8" s="4">
        <v>50000</v>
      </c>
      <c r="E8" s="7">
        <v>30000</v>
      </c>
      <c r="F8" s="3">
        <v>569000</v>
      </c>
      <c r="G8" s="3">
        <v>792000</v>
      </c>
      <c r="H8" s="3">
        <v>1015000</v>
      </c>
      <c r="I8" s="3">
        <v>1238000</v>
      </c>
      <c r="J8" s="3">
        <v>1461000</v>
      </c>
    </row>
    <row r="9" spans="1:10" x14ac:dyDescent="0.3">
      <c r="E9" s="7">
        <v>35000</v>
      </c>
      <c r="F9" s="3">
        <v>711500</v>
      </c>
      <c r="G9" s="3">
        <v>982000</v>
      </c>
      <c r="H9" s="3">
        <v>1252500</v>
      </c>
      <c r="I9" s="3">
        <v>1523000</v>
      </c>
      <c r="J9" s="3">
        <v>1793500</v>
      </c>
    </row>
    <row r="10" spans="1:10" x14ac:dyDescent="0.3">
      <c r="A10" s="1" t="s">
        <v>9</v>
      </c>
      <c r="B10" s="2"/>
      <c r="E10" s="7">
        <v>40000</v>
      </c>
      <c r="F10" s="3">
        <v>854000</v>
      </c>
      <c r="G10" s="3">
        <v>1172000</v>
      </c>
      <c r="H10" s="3">
        <v>1490000</v>
      </c>
      <c r="I10" s="3">
        <v>1808000</v>
      </c>
      <c r="J10" s="3">
        <v>2126000</v>
      </c>
    </row>
    <row r="11" spans="1:10" x14ac:dyDescent="0.3">
      <c r="A11" s="3" t="s">
        <v>10</v>
      </c>
      <c r="B11" s="8">
        <v>40</v>
      </c>
      <c r="E11" s="7">
        <v>45000</v>
      </c>
      <c r="F11" s="3">
        <v>996500</v>
      </c>
      <c r="G11" s="3">
        <v>1362000</v>
      </c>
      <c r="H11" s="3">
        <v>1727500</v>
      </c>
      <c r="I11" s="3">
        <v>2093000</v>
      </c>
      <c r="J11" s="3">
        <v>2458500</v>
      </c>
    </row>
    <row r="12" spans="1:10" x14ac:dyDescent="0.3">
      <c r="A12" s="3" t="s">
        <v>11</v>
      </c>
      <c r="B12" s="16">
        <v>20000</v>
      </c>
      <c r="E12" s="7">
        <v>50000</v>
      </c>
      <c r="F12" s="3">
        <v>1139000</v>
      </c>
      <c r="G12" s="3">
        <v>1552000</v>
      </c>
      <c r="H12" s="3">
        <v>1965000</v>
      </c>
      <c r="I12" s="3">
        <v>2378000</v>
      </c>
      <c r="J12" s="3">
        <v>2791000</v>
      </c>
    </row>
    <row r="13" spans="1:10" x14ac:dyDescent="0.3">
      <c r="A13" s="3" t="s">
        <v>12</v>
      </c>
      <c r="B13" s="17">
        <f>B11*B5</f>
        <v>48000</v>
      </c>
      <c r="E13" s="7">
        <v>55000</v>
      </c>
      <c r="F13" s="3">
        <v>1281500</v>
      </c>
      <c r="G13" s="3">
        <v>1742000</v>
      </c>
      <c r="H13" s="3">
        <v>2202500</v>
      </c>
      <c r="I13" s="3">
        <v>2663000</v>
      </c>
      <c r="J13" s="3">
        <v>3123500</v>
      </c>
    </row>
    <row r="14" spans="1:10" x14ac:dyDescent="0.3">
      <c r="A14" s="3" t="s">
        <v>13</v>
      </c>
      <c r="B14" s="17">
        <f>B4</f>
        <v>50000</v>
      </c>
      <c r="E14" s="7">
        <v>60000</v>
      </c>
      <c r="F14" s="3">
        <v>1424000</v>
      </c>
      <c r="G14" s="3">
        <v>1932000</v>
      </c>
      <c r="H14" s="3">
        <v>2440000</v>
      </c>
      <c r="I14" s="3">
        <v>2948000</v>
      </c>
      <c r="J14" s="3">
        <v>3456000</v>
      </c>
    </row>
    <row r="15" spans="1:10" x14ac:dyDescent="0.3">
      <c r="A15" s="3" t="s">
        <v>14</v>
      </c>
      <c r="B15" s="17">
        <f>B11*B6</f>
        <v>120000</v>
      </c>
      <c r="E15" s="7">
        <v>65000</v>
      </c>
      <c r="F15" s="3">
        <v>1566500</v>
      </c>
      <c r="G15" s="3">
        <v>2122000</v>
      </c>
      <c r="H15" s="3">
        <v>2677500</v>
      </c>
      <c r="I15" s="3">
        <v>3233000</v>
      </c>
      <c r="J15" s="3">
        <v>3788500</v>
      </c>
    </row>
    <row r="16" spans="1:10" x14ac:dyDescent="0.3">
      <c r="A16" s="3" t="s">
        <v>15</v>
      </c>
      <c r="B16" s="17">
        <f>B11*B7</f>
        <v>80000</v>
      </c>
      <c r="E16" s="7">
        <v>70000</v>
      </c>
      <c r="F16" s="3">
        <v>1709000</v>
      </c>
      <c r="G16" s="3">
        <v>2312000</v>
      </c>
      <c r="H16" s="3">
        <v>2915000</v>
      </c>
      <c r="I16" s="3">
        <v>3518000</v>
      </c>
      <c r="J16" s="3">
        <v>4121000</v>
      </c>
    </row>
    <row r="17" spans="1:2" x14ac:dyDescent="0.3">
      <c r="A17" s="3" t="s">
        <v>16</v>
      </c>
      <c r="B17" s="17">
        <f>B8</f>
        <v>50000</v>
      </c>
    </row>
    <row r="18" spans="1:2" x14ac:dyDescent="0.3">
      <c r="B18" s="18"/>
    </row>
    <row r="19" spans="1:2" x14ac:dyDescent="0.3">
      <c r="A19" s="3" t="s">
        <v>17</v>
      </c>
      <c r="B19" s="17">
        <f>B12*B11</f>
        <v>800000</v>
      </c>
    </row>
    <row r="20" spans="1:2" x14ac:dyDescent="0.3">
      <c r="A20" s="3" t="s">
        <v>18</v>
      </c>
      <c r="B20" s="17">
        <f>SUM(B13:B17)</f>
        <v>348000</v>
      </c>
    </row>
    <row r="21" spans="1:2" x14ac:dyDescent="0.3">
      <c r="A21" s="3" t="s">
        <v>19</v>
      </c>
      <c r="B21" s="17">
        <f>B19*5%</f>
        <v>40000</v>
      </c>
    </row>
    <row r="22" spans="1:2" x14ac:dyDescent="0.3">
      <c r="A22" s="1" t="s">
        <v>3</v>
      </c>
      <c r="B22" s="19">
        <f>B19-SUM(B20:B21)</f>
        <v>412000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6541D-29AC-4F94-B657-587409342149}">
  <dimension ref="A1:J22"/>
  <sheetViews>
    <sheetView zoomScale="110" zoomScaleNormal="110" workbookViewId="0">
      <selection activeCell="D19" sqref="D19"/>
    </sheetView>
  </sheetViews>
  <sheetFormatPr defaultColWidth="8.88671875" defaultRowHeight="14.4" x14ac:dyDescent="0.3"/>
  <cols>
    <col min="1" max="1" width="28.6640625" bestFit="1" customWidth="1"/>
    <col min="2" max="2" width="15" style="5" bestFit="1" customWidth="1"/>
    <col min="4" max="4" width="11.33203125" bestFit="1" customWidth="1"/>
    <col min="5" max="5" width="13.109375" bestFit="1" customWidth="1"/>
  </cols>
  <sheetData>
    <row r="1" spans="1:10" ht="18" x14ac:dyDescent="0.35">
      <c r="A1" s="21" t="s">
        <v>0</v>
      </c>
      <c r="B1" s="21"/>
    </row>
    <row r="3" spans="1:10" x14ac:dyDescent="0.3">
      <c r="A3" s="7" t="s">
        <v>1</v>
      </c>
      <c r="B3" s="11" t="s">
        <v>2</v>
      </c>
      <c r="E3" s="10">
        <f>B22</f>
        <v>412000</v>
      </c>
      <c r="F3" s="7">
        <v>30</v>
      </c>
      <c r="G3" s="7">
        <v>40</v>
      </c>
      <c r="H3" s="7">
        <v>50</v>
      </c>
      <c r="I3" s="7">
        <v>60</v>
      </c>
      <c r="J3" s="7">
        <v>70</v>
      </c>
    </row>
    <row r="4" spans="1:10" x14ac:dyDescent="0.3">
      <c r="A4" s="3" t="s">
        <v>4</v>
      </c>
      <c r="B4" s="4">
        <v>50000</v>
      </c>
      <c r="E4" s="7">
        <v>10000</v>
      </c>
      <c r="F4" s="3">
        <f t="dataTable" ref="F4:J16" dt2D="1" dtr="1" r1="B11" r2="B12"/>
        <v>-1000</v>
      </c>
      <c r="G4" s="3">
        <v>32000</v>
      </c>
      <c r="H4" s="3">
        <v>65000</v>
      </c>
      <c r="I4" s="3">
        <v>98000</v>
      </c>
      <c r="J4" s="3">
        <v>131000</v>
      </c>
    </row>
    <row r="5" spans="1:10" x14ac:dyDescent="0.3">
      <c r="A5" s="3" t="s">
        <v>5</v>
      </c>
      <c r="B5" s="4">
        <v>1200</v>
      </c>
      <c r="E5" s="7">
        <v>15000</v>
      </c>
      <c r="F5" s="3">
        <v>141500</v>
      </c>
      <c r="G5" s="3">
        <v>222000</v>
      </c>
      <c r="H5" s="3">
        <v>302500</v>
      </c>
      <c r="I5" s="3">
        <v>383000</v>
      </c>
      <c r="J5" s="3">
        <v>463500</v>
      </c>
    </row>
    <row r="6" spans="1:10" x14ac:dyDescent="0.3">
      <c r="A6" s="3" t="s">
        <v>6</v>
      </c>
      <c r="B6" s="4">
        <v>3000</v>
      </c>
      <c r="E6" s="7">
        <v>20000</v>
      </c>
      <c r="F6" s="3">
        <v>284000</v>
      </c>
      <c r="G6" s="3">
        <v>412000</v>
      </c>
      <c r="H6" s="3">
        <v>540000</v>
      </c>
      <c r="I6" s="3">
        <v>668000</v>
      </c>
      <c r="J6" s="3">
        <v>796000</v>
      </c>
    </row>
    <row r="7" spans="1:10" x14ac:dyDescent="0.3">
      <c r="A7" s="3" t="s">
        <v>7</v>
      </c>
      <c r="B7" s="4">
        <v>2000</v>
      </c>
      <c r="E7" s="7">
        <v>25000</v>
      </c>
      <c r="F7" s="3">
        <v>426500</v>
      </c>
      <c r="G7" s="3">
        <v>602000</v>
      </c>
      <c r="H7" s="3">
        <v>777500</v>
      </c>
      <c r="I7" s="3">
        <v>953000</v>
      </c>
      <c r="J7" s="3">
        <v>1128500</v>
      </c>
    </row>
    <row r="8" spans="1:10" x14ac:dyDescent="0.3">
      <c r="A8" s="3" t="s">
        <v>8</v>
      </c>
      <c r="B8" s="4">
        <v>50000</v>
      </c>
      <c r="E8" s="7">
        <v>30000</v>
      </c>
      <c r="F8" s="3">
        <v>569000</v>
      </c>
      <c r="G8" s="3">
        <v>792000</v>
      </c>
      <c r="H8" s="3">
        <v>1015000</v>
      </c>
      <c r="I8" s="3">
        <v>1238000</v>
      </c>
      <c r="J8" s="3">
        <v>1461000</v>
      </c>
    </row>
    <row r="9" spans="1:10" x14ac:dyDescent="0.3">
      <c r="E9" s="7">
        <v>35000</v>
      </c>
      <c r="F9" s="3">
        <v>711500</v>
      </c>
      <c r="G9" s="3">
        <v>982000</v>
      </c>
      <c r="H9" s="3">
        <v>1252500</v>
      </c>
      <c r="I9" s="3">
        <v>1523000</v>
      </c>
      <c r="J9" s="3">
        <v>1793500</v>
      </c>
    </row>
    <row r="10" spans="1:10" x14ac:dyDescent="0.3">
      <c r="A10" s="1" t="s">
        <v>9</v>
      </c>
      <c r="B10" s="2"/>
      <c r="E10" s="7">
        <v>40000</v>
      </c>
      <c r="F10" s="3">
        <v>854000</v>
      </c>
      <c r="G10" s="3">
        <v>1172000</v>
      </c>
      <c r="H10" s="3">
        <v>1490000</v>
      </c>
      <c r="I10" s="3">
        <v>1808000</v>
      </c>
      <c r="J10" s="3">
        <v>2126000</v>
      </c>
    </row>
    <row r="11" spans="1:10" x14ac:dyDescent="0.3">
      <c r="A11" s="3" t="s">
        <v>10</v>
      </c>
      <c r="B11" s="8">
        <v>40</v>
      </c>
      <c r="E11" s="7">
        <v>45000</v>
      </c>
      <c r="F11" s="3">
        <v>996500</v>
      </c>
      <c r="G11" s="3">
        <v>1362000</v>
      </c>
      <c r="H11" s="3">
        <v>1727500</v>
      </c>
      <c r="I11" s="3">
        <v>2093000</v>
      </c>
      <c r="J11" s="3">
        <v>2458500</v>
      </c>
    </row>
    <row r="12" spans="1:10" x14ac:dyDescent="0.3">
      <c r="A12" s="3" t="s">
        <v>11</v>
      </c>
      <c r="B12" s="9">
        <v>20000</v>
      </c>
      <c r="E12" s="7">
        <v>50000</v>
      </c>
      <c r="F12" s="3">
        <v>1139000</v>
      </c>
      <c r="G12" s="3">
        <v>1552000</v>
      </c>
      <c r="H12" s="3">
        <v>1965000</v>
      </c>
      <c r="I12" s="3">
        <v>2378000</v>
      </c>
      <c r="J12" s="3">
        <v>2791000</v>
      </c>
    </row>
    <row r="13" spans="1:10" x14ac:dyDescent="0.3">
      <c r="A13" s="3" t="s">
        <v>12</v>
      </c>
      <c r="B13" s="4">
        <f>B5*B11</f>
        <v>48000</v>
      </c>
      <c r="E13" s="7">
        <v>55000</v>
      </c>
      <c r="F13" s="3">
        <v>1281500</v>
      </c>
      <c r="G13" s="3">
        <v>1742000</v>
      </c>
      <c r="H13" s="3">
        <v>2202500</v>
      </c>
      <c r="I13" s="3">
        <v>2663000</v>
      </c>
      <c r="J13" s="3">
        <v>3123500</v>
      </c>
    </row>
    <row r="14" spans="1:10" x14ac:dyDescent="0.3">
      <c r="A14" s="3" t="s">
        <v>13</v>
      </c>
      <c r="B14" s="4">
        <f>B4</f>
        <v>50000</v>
      </c>
      <c r="E14" s="7">
        <v>60000</v>
      </c>
      <c r="F14" s="3">
        <v>1424000</v>
      </c>
      <c r="G14" s="3">
        <v>1932000</v>
      </c>
      <c r="H14" s="3">
        <v>2440000</v>
      </c>
      <c r="I14" s="3">
        <v>2948000</v>
      </c>
      <c r="J14" s="3">
        <v>3456000</v>
      </c>
    </row>
    <row r="15" spans="1:10" x14ac:dyDescent="0.3">
      <c r="A15" s="3" t="s">
        <v>14</v>
      </c>
      <c r="B15" s="4">
        <f>B11*B6</f>
        <v>120000</v>
      </c>
      <c r="E15" s="7">
        <v>65000</v>
      </c>
      <c r="F15" s="3">
        <v>1566500</v>
      </c>
      <c r="G15" s="3">
        <v>2122000</v>
      </c>
      <c r="H15" s="3">
        <v>2677500</v>
      </c>
      <c r="I15" s="3">
        <v>3233000</v>
      </c>
      <c r="J15" s="3">
        <v>3788500</v>
      </c>
    </row>
    <row r="16" spans="1:10" x14ac:dyDescent="0.3">
      <c r="A16" s="3" t="s">
        <v>15</v>
      </c>
      <c r="B16" s="4">
        <f>B11*B7</f>
        <v>80000</v>
      </c>
      <c r="E16" s="7">
        <v>70000</v>
      </c>
      <c r="F16" s="3">
        <v>1709000</v>
      </c>
      <c r="G16" s="3">
        <v>2312000</v>
      </c>
      <c r="H16" s="3">
        <v>2915000</v>
      </c>
      <c r="I16" s="3">
        <v>3518000</v>
      </c>
      <c r="J16" s="3">
        <v>4121000</v>
      </c>
    </row>
    <row r="17" spans="1:2" x14ac:dyDescent="0.3">
      <c r="A17" s="3" t="s">
        <v>16</v>
      </c>
      <c r="B17" s="4">
        <f>B8</f>
        <v>50000</v>
      </c>
    </row>
    <row r="19" spans="1:2" x14ac:dyDescent="0.3">
      <c r="A19" s="3" t="s">
        <v>17</v>
      </c>
      <c r="B19" s="4">
        <f>B12*B11</f>
        <v>800000</v>
      </c>
    </row>
    <row r="20" spans="1:2" x14ac:dyDescent="0.3">
      <c r="A20" s="3" t="s">
        <v>18</v>
      </c>
      <c r="B20" s="4">
        <f>SUM(B13:B17)</f>
        <v>348000</v>
      </c>
    </row>
    <row r="21" spans="1:2" x14ac:dyDescent="0.3">
      <c r="A21" s="3" t="s">
        <v>19</v>
      </c>
      <c r="B21" s="4">
        <f>B19*5%</f>
        <v>40000</v>
      </c>
    </row>
    <row r="22" spans="1:2" x14ac:dyDescent="0.3">
      <c r="A22" s="1" t="s">
        <v>3</v>
      </c>
      <c r="B22" s="6">
        <f>B19-SUM(B20:B21)</f>
        <v>412000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0E6CA-4082-4A46-BD9D-65CB3AEF0689}">
  <dimension ref="A1:R21"/>
  <sheetViews>
    <sheetView topLeftCell="A2" workbookViewId="0">
      <selection activeCell="E25" sqref="E25"/>
    </sheetView>
  </sheetViews>
  <sheetFormatPr defaultRowHeight="14.4" x14ac:dyDescent="0.3"/>
  <cols>
    <col min="1" max="1" width="24.21875" customWidth="1"/>
    <col min="2" max="2" width="13.33203125" bestFit="1" customWidth="1"/>
    <col min="3" max="3" width="12.21875" bestFit="1" customWidth="1"/>
    <col min="4" max="4" width="19.21875" bestFit="1" customWidth="1"/>
    <col min="5" max="5" width="15.77734375" bestFit="1" customWidth="1"/>
    <col min="6" max="6" width="11.33203125" bestFit="1" customWidth="1"/>
    <col min="7" max="7" width="16" bestFit="1" customWidth="1"/>
    <col min="8" max="8" width="15.109375" bestFit="1" customWidth="1"/>
    <col min="9" max="9" width="8" bestFit="1" customWidth="1"/>
    <col min="10" max="10" width="7.44140625" bestFit="1" customWidth="1"/>
    <col min="11" max="11" width="11" bestFit="1" customWidth="1"/>
    <col min="12" max="12" width="12.77734375" bestFit="1" customWidth="1"/>
    <col min="13" max="13" width="13" bestFit="1" customWidth="1"/>
    <col min="14" max="14" width="11.44140625" bestFit="1" customWidth="1"/>
    <col min="15" max="15" width="14.88671875" bestFit="1" customWidth="1"/>
    <col min="16" max="16" width="16.5546875" bestFit="1" customWidth="1"/>
    <col min="17" max="17" width="8.21875" bestFit="1" customWidth="1"/>
    <col min="18" max="18" width="15.77734375" bestFit="1" customWidth="1"/>
  </cols>
  <sheetData>
    <row r="1" spans="1:18" ht="129.6" customHeight="1" x14ac:dyDescent="0.3">
      <c r="A1" s="14" t="s">
        <v>111</v>
      </c>
      <c r="B1" s="14" t="s">
        <v>116</v>
      </c>
      <c r="D1" s="14" t="s">
        <v>112</v>
      </c>
      <c r="E1" s="14" t="s">
        <v>113</v>
      </c>
      <c r="K1" s="14" t="s">
        <v>115</v>
      </c>
    </row>
    <row r="2" spans="1:18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114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</row>
    <row r="3" spans="1:18" x14ac:dyDescent="0.3">
      <c r="A3" t="s">
        <v>38</v>
      </c>
      <c r="B3" s="15">
        <v>43458</v>
      </c>
      <c r="C3" s="15">
        <v>43459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>
        <v>1834</v>
      </c>
      <c r="J3">
        <v>1716</v>
      </c>
      <c r="K3">
        <v>3</v>
      </c>
      <c r="L3">
        <f t="shared" ref="L3:L21" si="0">J3*K3</f>
        <v>5148</v>
      </c>
      <c r="M3">
        <f t="shared" ref="M3:M21" si="1">I3*K3</f>
        <v>5502</v>
      </c>
      <c r="N3">
        <v>0</v>
      </c>
      <c r="O3">
        <v>53</v>
      </c>
      <c r="P3">
        <f t="shared" ref="P3:P21" si="2">M3-(M3*N3)+O3</f>
        <v>5555</v>
      </c>
      <c r="Q3">
        <f t="shared" ref="Q3:Q21" si="3">P3-L3</f>
        <v>407</v>
      </c>
      <c r="R3" t="s">
        <v>44</v>
      </c>
    </row>
    <row r="4" spans="1:18" x14ac:dyDescent="0.3">
      <c r="A4" t="s">
        <v>45</v>
      </c>
      <c r="B4" s="15">
        <v>43304</v>
      </c>
      <c r="C4" s="15">
        <v>43671</v>
      </c>
      <c r="D4" t="s">
        <v>46</v>
      </c>
      <c r="E4" t="s">
        <v>47</v>
      </c>
      <c r="F4" t="s">
        <v>25</v>
      </c>
      <c r="G4" t="s">
        <v>42</v>
      </c>
      <c r="H4" t="s">
        <v>48</v>
      </c>
      <c r="I4">
        <v>4798</v>
      </c>
      <c r="J4">
        <v>4448</v>
      </c>
      <c r="K4">
        <v>6</v>
      </c>
      <c r="L4">
        <f t="shared" si="0"/>
        <v>26688</v>
      </c>
      <c r="M4">
        <f t="shared" si="1"/>
        <v>28788</v>
      </c>
      <c r="N4">
        <v>0</v>
      </c>
      <c r="O4">
        <v>91</v>
      </c>
      <c r="P4">
        <f t="shared" si="2"/>
        <v>28879</v>
      </c>
      <c r="Q4">
        <f t="shared" si="3"/>
        <v>2191</v>
      </c>
      <c r="R4" t="s">
        <v>49</v>
      </c>
    </row>
    <row r="5" spans="1:18" x14ac:dyDescent="0.3">
      <c r="A5" t="s">
        <v>50</v>
      </c>
      <c r="B5" s="15">
        <v>43397</v>
      </c>
      <c r="C5" s="15">
        <v>43399</v>
      </c>
      <c r="D5" t="s">
        <v>39</v>
      </c>
      <c r="E5" t="s">
        <v>51</v>
      </c>
      <c r="F5" t="s">
        <v>52</v>
      </c>
      <c r="G5" t="s">
        <v>53</v>
      </c>
      <c r="H5" t="s">
        <v>54</v>
      </c>
      <c r="I5">
        <v>2808</v>
      </c>
      <c r="J5">
        <v>2674</v>
      </c>
      <c r="K5">
        <v>3</v>
      </c>
      <c r="L5">
        <f t="shared" si="0"/>
        <v>8022</v>
      </c>
      <c r="M5">
        <f t="shared" si="1"/>
        <v>8424</v>
      </c>
      <c r="N5">
        <v>0.02</v>
      </c>
      <c r="O5">
        <v>47</v>
      </c>
      <c r="P5">
        <f t="shared" si="2"/>
        <v>8302.52</v>
      </c>
      <c r="Q5">
        <f t="shared" si="3"/>
        <v>280.52000000000044</v>
      </c>
      <c r="R5" t="s">
        <v>49</v>
      </c>
    </row>
    <row r="6" spans="1:18" x14ac:dyDescent="0.3">
      <c r="A6" t="s">
        <v>55</v>
      </c>
      <c r="B6" s="15">
        <v>43147</v>
      </c>
      <c r="C6" s="15">
        <v>43148</v>
      </c>
      <c r="D6" t="s">
        <v>56</v>
      </c>
      <c r="E6" t="s">
        <v>57</v>
      </c>
      <c r="F6" t="s">
        <v>52</v>
      </c>
      <c r="G6" t="s">
        <v>42</v>
      </c>
      <c r="H6" t="s">
        <v>58</v>
      </c>
      <c r="I6">
        <v>1816</v>
      </c>
      <c r="J6">
        <v>1699</v>
      </c>
      <c r="K6">
        <v>2</v>
      </c>
      <c r="L6">
        <f t="shared" si="0"/>
        <v>3398</v>
      </c>
      <c r="M6">
        <f t="shared" si="1"/>
        <v>3632</v>
      </c>
      <c r="N6">
        <v>0.02</v>
      </c>
      <c r="O6">
        <v>73</v>
      </c>
      <c r="P6">
        <f t="shared" si="2"/>
        <v>3632.36</v>
      </c>
      <c r="Q6">
        <f t="shared" si="3"/>
        <v>234.36000000000013</v>
      </c>
      <c r="R6" t="s">
        <v>49</v>
      </c>
    </row>
    <row r="7" spans="1:18" x14ac:dyDescent="0.3">
      <c r="A7" t="s">
        <v>59</v>
      </c>
      <c r="B7" s="15">
        <v>43369</v>
      </c>
      <c r="C7" s="15">
        <v>43371</v>
      </c>
      <c r="D7" t="s">
        <v>39</v>
      </c>
      <c r="E7" t="s">
        <v>51</v>
      </c>
      <c r="F7" t="s">
        <v>52</v>
      </c>
      <c r="G7" t="s">
        <v>60</v>
      </c>
      <c r="H7" t="s">
        <v>61</v>
      </c>
      <c r="I7">
        <v>1668</v>
      </c>
      <c r="J7">
        <v>1636</v>
      </c>
      <c r="K7">
        <v>4</v>
      </c>
      <c r="L7">
        <f t="shared" si="0"/>
        <v>6544</v>
      </c>
      <c r="M7">
        <f t="shared" si="1"/>
        <v>6672</v>
      </c>
      <c r="N7">
        <v>0.02</v>
      </c>
      <c r="O7">
        <v>66</v>
      </c>
      <c r="P7">
        <f t="shared" si="2"/>
        <v>6604.56</v>
      </c>
      <c r="Q7">
        <f t="shared" si="3"/>
        <v>60.5600000000004</v>
      </c>
      <c r="R7" t="s">
        <v>49</v>
      </c>
    </row>
    <row r="8" spans="1:18" x14ac:dyDescent="0.3">
      <c r="A8" t="s">
        <v>62</v>
      </c>
      <c r="B8" s="15">
        <v>43295</v>
      </c>
      <c r="C8" s="15">
        <v>43296</v>
      </c>
      <c r="D8" t="s">
        <v>46</v>
      </c>
      <c r="E8" t="s">
        <v>63</v>
      </c>
      <c r="F8" t="s">
        <v>52</v>
      </c>
      <c r="G8" t="s">
        <v>64</v>
      </c>
      <c r="H8" t="s">
        <v>65</v>
      </c>
      <c r="I8">
        <v>97</v>
      </c>
      <c r="J8">
        <v>92</v>
      </c>
      <c r="K8">
        <v>6</v>
      </c>
      <c r="L8">
        <f t="shared" si="0"/>
        <v>552</v>
      </c>
      <c r="M8">
        <f t="shared" si="1"/>
        <v>582</v>
      </c>
      <c r="N8">
        <v>0.01</v>
      </c>
      <c r="O8">
        <v>10</v>
      </c>
      <c r="P8">
        <f t="shared" si="2"/>
        <v>586.17999999999995</v>
      </c>
      <c r="Q8">
        <f t="shared" si="3"/>
        <v>34.17999999999995</v>
      </c>
      <c r="R8" t="s">
        <v>49</v>
      </c>
    </row>
    <row r="9" spans="1:18" x14ac:dyDescent="0.3">
      <c r="A9" t="s">
        <v>66</v>
      </c>
      <c r="B9" s="15">
        <v>43132</v>
      </c>
      <c r="C9" s="15">
        <v>43132</v>
      </c>
      <c r="D9" t="s">
        <v>56</v>
      </c>
      <c r="E9" t="s">
        <v>67</v>
      </c>
      <c r="F9" t="s">
        <v>41</v>
      </c>
      <c r="G9" t="s">
        <v>53</v>
      </c>
      <c r="H9" t="s">
        <v>68</v>
      </c>
      <c r="I9">
        <v>2790</v>
      </c>
      <c r="J9">
        <v>2557</v>
      </c>
      <c r="K9">
        <v>2</v>
      </c>
      <c r="L9">
        <f t="shared" si="0"/>
        <v>5114</v>
      </c>
      <c r="M9">
        <f t="shared" si="1"/>
        <v>5580</v>
      </c>
      <c r="N9">
        <v>0.01</v>
      </c>
      <c r="O9">
        <v>98</v>
      </c>
      <c r="P9">
        <f t="shared" si="2"/>
        <v>5622.2</v>
      </c>
      <c r="Q9">
        <f t="shared" si="3"/>
        <v>508.19999999999982</v>
      </c>
      <c r="R9" t="s">
        <v>49</v>
      </c>
    </row>
    <row r="10" spans="1:18" x14ac:dyDescent="0.3">
      <c r="A10" t="s">
        <v>69</v>
      </c>
      <c r="B10" s="15">
        <v>43256</v>
      </c>
      <c r="C10" s="15">
        <v>43258</v>
      </c>
      <c r="D10" t="s">
        <v>46</v>
      </c>
      <c r="E10" t="s">
        <v>70</v>
      </c>
      <c r="F10" t="s">
        <v>25</v>
      </c>
      <c r="G10" t="s">
        <v>53</v>
      </c>
      <c r="H10" t="s">
        <v>71</v>
      </c>
      <c r="I10">
        <v>138</v>
      </c>
      <c r="J10">
        <v>128</v>
      </c>
      <c r="K10">
        <v>3</v>
      </c>
      <c r="L10">
        <f t="shared" si="0"/>
        <v>384</v>
      </c>
      <c r="M10">
        <f t="shared" si="1"/>
        <v>414</v>
      </c>
      <c r="N10">
        <v>0.02</v>
      </c>
      <c r="O10">
        <v>30</v>
      </c>
      <c r="P10">
        <f t="shared" si="2"/>
        <v>435.72</v>
      </c>
      <c r="Q10">
        <f t="shared" si="3"/>
        <v>51.720000000000027</v>
      </c>
      <c r="R10" t="s">
        <v>49</v>
      </c>
    </row>
    <row r="11" spans="1:18" x14ac:dyDescent="0.3">
      <c r="A11" t="s">
        <v>72</v>
      </c>
      <c r="B11" s="15">
        <v>43315</v>
      </c>
      <c r="C11" s="15">
        <v>43315</v>
      </c>
      <c r="D11" t="s">
        <v>56</v>
      </c>
      <c r="E11" t="s">
        <v>73</v>
      </c>
      <c r="F11" t="s">
        <v>74</v>
      </c>
      <c r="G11" t="s">
        <v>60</v>
      </c>
      <c r="H11" t="s">
        <v>75</v>
      </c>
      <c r="I11">
        <v>162</v>
      </c>
      <c r="J11">
        <v>148</v>
      </c>
      <c r="K11">
        <v>3</v>
      </c>
      <c r="L11">
        <f t="shared" si="0"/>
        <v>444</v>
      </c>
      <c r="M11">
        <f t="shared" si="1"/>
        <v>486</v>
      </c>
      <c r="N11">
        <v>0.01</v>
      </c>
      <c r="O11">
        <v>30</v>
      </c>
      <c r="P11">
        <f t="shared" si="2"/>
        <v>511.14</v>
      </c>
      <c r="Q11">
        <f t="shared" si="3"/>
        <v>67.139999999999986</v>
      </c>
      <c r="R11" t="s">
        <v>49</v>
      </c>
    </row>
    <row r="12" spans="1:18" x14ac:dyDescent="0.3">
      <c r="A12" t="s">
        <v>76</v>
      </c>
      <c r="B12" s="15">
        <v>43262</v>
      </c>
      <c r="C12" s="15">
        <v>43264</v>
      </c>
      <c r="D12" t="s">
        <v>56</v>
      </c>
      <c r="E12" t="s">
        <v>47</v>
      </c>
      <c r="F12" t="s">
        <v>25</v>
      </c>
      <c r="G12" t="s">
        <v>60</v>
      </c>
      <c r="H12" t="s">
        <v>77</v>
      </c>
      <c r="I12">
        <v>1637</v>
      </c>
      <c r="J12">
        <v>1591</v>
      </c>
      <c r="K12">
        <v>1</v>
      </c>
      <c r="L12">
        <f t="shared" si="0"/>
        <v>1591</v>
      </c>
      <c r="M12">
        <f t="shared" si="1"/>
        <v>1637</v>
      </c>
      <c r="N12">
        <v>0</v>
      </c>
      <c r="O12">
        <v>57</v>
      </c>
      <c r="P12">
        <f t="shared" si="2"/>
        <v>1694</v>
      </c>
      <c r="Q12">
        <f t="shared" si="3"/>
        <v>103</v>
      </c>
      <c r="R12" t="s">
        <v>78</v>
      </c>
    </row>
    <row r="13" spans="1:18" x14ac:dyDescent="0.3">
      <c r="A13" t="s">
        <v>79</v>
      </c>
      <c r="B13" s="15">
        <v>43280</v>
      </c>
      <c r="C13" s="15">
        <v>43280</v>
      </c>
      <c r="D13" t="s">
        <v>56</v>
      </c>
      <c r="E13" t="s">
        <v>80</v>
      </c>
      <c r="F13" t="s">
        <v>25</v>
      </c>
      <c r="G13" t="s">
        <v>60</v>
      </c>
      <c r="H13" t="s">
        <v>81</v>
      </c>
      <c r="I13">
        <v>1364</v>
      </c>
      <c r="J13">
        <v>1274</v>
      </c>
      <c r="K13">
        <v>2</v>
      </c>
      <c r="L13">
        <f t="shared" si="0"/>
        <v>2548</v>
      </c>
      <c r="M13">
        <f t="shared" si="1"/>
        <v>2728</v>
      </c>
      <c r="N13">
        <v>0.01</v>
      </c>
      <c r="O13">
        <v>56</v>
      </c>
      <c r="P13">
        <f t="shared" si="2"/>
        <v>2756.72</v>
      </c>
      <c r="Q13">
        <f t="shared" si="3"/>
        <v>208.7199999999998</v>
      </c>
      <c r="R13" t="s">
        <v>49</v>
      </c>
    </row>
    <row r="14" spans="1:18" x14ac:dyDescent="0.3">
      <c r="A14" t="s">
        <v>82</v>
      </c>
      <c r="B14" s="15">
        <v>43173</v>
      </c>
      <c r="C14" s="15">
        <v>43175</v>
      </c>
      <c r="D14" t="s">
        <v>46</v>
      </c>
      <c r="E14" t="s">
        <v>73</v>
      </c>
      <c r="F14" t="s">
        <v>52</v>
      </c>
      <c r="G14" t="s">
        <v>83</v>
      </c>
      <c r="H14" t="s">
        <v>84</v>
      </c>
      <c r="I14">
        <v>169</v>
      </c>
      <c r="J14">
        <v>160</v>
      </c>
      <c r="K14">
        <v>2</v>
      </c>
      <c r="L14">
        <f t="shared" si="0"/>
        <v>320</v>
      </c>
      <c r="M14">
        <f t="shared" si="1"/>
        <v>338</v>
      </c>
      <c r="N14">
        <v>0.01</v>
      </c>
      <c r="O14">
        <v>30</v>
      </c>
      <c r="P14">
        <f t="shared" si="2"/>
        <v>364.62</v>
      </c>
      <c r="Q14">
        <f t="shared" si="3"/>
        <v>44.620000000000005</v>
      </c>
      <c r="R14" t="s">
        <v>85</v>
      </c>
    </row>
    <row r="15" spans="1:18" x14ac:dyDescent="0.3">
      <c r="A15" t="s">
        <v>86</v>
      </c>
      <c r="B15" s="15">
        <v>43429</v>
      </c>
      <c r="C15" s="15">
        <v>43431</v>
      </c>
      <c r="D15" t="s">
        <v>39</v>
      </c>
      <c r="E15" t="s">
        <v>51</v>
      </c>
      <c r="F15" t="s">
        <v>25</v>
      </c>
      <c r="G15" t="s">
        <v>53</v>
      </c>
      <c r="H15" t="s">
        <v>87</v>
      </c>
      <c r="I15">
        <v>9135</v>
      </c>
      <c r="J15">
        <v>8143</v>
      </c>
      <c r="K15">
        <v>4</v>
      </c>
      <c r="L15">
        <f t="shared" si="0"/>
        <v>32572</v>
      </c>
      <c r="M15">
        <f t="shared" si="1"/>
        <v>36540</v>
      </c>
      <c r="N15">
        <v>0</v>
      </c>
      <c r="O15">
        <v>66</v>
      </c>
      <c r="P15">
        <f t="shared" si="2"/>
        <v>36606</v>
      </c>
      <c r="Q15">
        <f t="shared" si="3"/>
        <v>4034</v>
      </c>
      <c r="R15" t="s">
        <v>78</v>
      </c>
    </row>
    <row r="16" spans="1:18" x14ac:dyDescent="0.3">
      <c r="A16" t="s">
        <v>88</v>
      </c>
      <c r="B16" s="15">
        <v>43435</v>
      </c>
      <c r="C16" s="15">
        <v>43436</v>
      </c>
      <c r="D16" t="s">
        <v>46</v>
      </c>
      <c r="E16" t="s">
        <v>89</v>
      </c>
      <c r="F16" t="s">
        <v>41</v>
      </c>
      <c r="G16" t="s">
        <v>53</v>
      </c>
      <c r="H16" t="s">
        <v>90</v>
      </c>
      <c r="I16">
        <v>693</v>
      </c>
      <c r="J16">
        <v>667</v>
      </c>
      <c r="K16">
        <v>6</v>
      </c>
      <c r="L16">
        <f t="shared" si="0"/>
        <v>4002</v>
      </c>
      <c r="M16">
        <f t="shared" si="1"/>
        <v>4158</v>
      </c>
      <c r="N16">
        <v>0.01</v>
      </c>
      <c r="O16">
        <v>38</v>
      </c>
      <c r="P16">
        <f t="shared" si="2"/>
        <v>4154.42</v>
      </c>
      <c r="Q16">
        <f t="shared" si="3"/>
        <v>152.42000000000007</v>
      </c>
      <c r="R16" t="s">
        <v>49</v>
      </c>
    </row>
    <row r="17" spans="1:18" x14ac:dyDescent="0.3">
      <c r="A17" t="s">
        <v>91</v>
      </c>
      <c r="B17" s="15">
        <v>43266</v>
      </c>
      <c r="C17" s="15">
        <v>43266</v>
      </c>
      <c r="D17" t="s">
        <v>46</v>
      </c>
      <c r="E17" t="s">
        <v>92</v>
      </c>
      <c r="F17" t="s">
        <v>52</v>
      </c>
      <c r="G17" t="s">
        <v>53</v>
      </c>
      <c r="H17" t="s">
        <v>93</v>
      </c>
      <c r="I17">
        <v>142</v>
      </c>
      <c r="J17">
        <v>134</v>
      </c>
      <c r="K17">
        <v>4</v>
      </c>
      <c r="L17">
        <f t="shared" si="0"/>
        <v>536</v>
      </c>
      <c r="M17">
        <f t="shared" si="1"/>
        <v>568</v>
      </c>
      <c r="N17">
        <v>0.01</v>
      </c>
      <c r="O17">
        <v>30</v>
      </c>
      <c r="P17">
        <f t="shared" si="2"/>
        <v>592.32000000000005</v>
      </c>
      <c r="Q17">
        <f t="shared" si="3"/>
        <v>56.32000000000005</v>
      </c>
      <c r="R17" t="s">
        <v>85</v>
      </c>
    </row>
    <row r="18" spans="1:18" x14ac:dyDescent="0.3">
      <c r="A18" t="s">
        <v>94</v>
      </c>
      <c r="B18" s="15">
        <v>43325</v>
      </c>
      <c r="C18" s="15">
        <v>43327</v>
      </c>
      <c r="D18" t="s">
        <v>56</v>
      </c>
      <c r="E18" t="s">
        <v>47</v>
      </c>
      <c r="F18" t="s">
        <v>74</v>
      </c>
      <c r="G18" t="s">
        <v>53</v>
      </c>
      <c r="H18" t="s">
        <v>95</v>
      </c>
      <c r="I18">
        <v>1798</v>
      </c>
      <c r="J18">
        <v>1666</v>
      </c>
      <c r="K18">
        <v>2</v>
      </c>
      <c r="L18">
        <f t="shared" si="0"/>
        <v>3332</v>
      </c>
      <c r="M18">
        <f t="shared" si="1"/>
        <v>3596</v>
      </c>
      <c r="N18">
        <v>0</v>
      </c>
      <c r="O18">
        <v>26</v>
      </c>
      <c r="P18">
        <f t="shared" si="2"/>
        <v>3622</v>
      </c>
      <c r="Q18">
        <f t="shared" si="3"/>
        <v>290</v>
      </c>
      <c r="R18" t="s">
        <v>78</v>
      </c>
    </row>
    <row r="19" spans="1:18" x14ac:dyDescent="0.3">
      <c r="A19" t="s">
        <v>96</v>
      </c>
      <c r="B19" s="15">
        <v>43168</v>
      </c>
      <c r="C19" s="15">
        <v>43169</v>
      </c>
      <c r="D19" t="s">
        <v>56</v>
      </c>
      <c r="E19" t="s">
        <v>80</v>
      </c>
      <c r="F19" t="s">
        <v>25</v>
      </c>
      <c r="G19" t="s">
        <v>64</v>
      </c>
      <c r="H19" t="s">
        <v>97</v>
      </c>
      <c r="I19">
        <v>1911</v>
      </c>
      <c r="J19">
        <v>1785</v>
      </c>
      <c r="K19">
        <v>10</v>
      </c>
      <c r="L19">
        <f t="shared" si="0"/>
        <v>17850</v>
      </c>
      <c r="M19">
        <f t="shared" si="1"/>
        <v>19110</v>
      </c>
      <c r="N19">
        <v>0.02</v>
      </c>
      <c r="O19">
        <v>54</v>
      </c>
      <c r="P19">
        <f t="shared" si="2"/>
        <v>18781.8</v>
      </c>
      <c r="Q19">
        <f t="shared" si="3"/>
        <v>931.79999999999927</v>
      </c>
      <c r="R19" t="s">
        <v>49</v>
      </c>
    </row>
    <row r="20" spans="1:18" x14ac:dyDescent="0.3">
      <c r="A20" t="s">
        <v>98</v>
      </c>
      <c r="B20" s="15">
        <v>43404</v>
      </c>
      <c r="C20" s="15">
        <v>43405</v>
      </c>
      <c r="D20" t="s">
        <v>56</v>
      </c>
      <c r="E20" t="s">
        <v>67</v>
      </c>
      <c r="F20" t="s">
        <v>74</v>
      </c>
      <c r="G20" t="s">
        <v>53</v>
      </c>
      <c r="H20" t="s">
        <v>99</v>
      </c>
      <c r="I20">
        <v>8617</v>
      </c>
      <c r="J20">
        <v>7900</v>
      </c>
      <c r="K20">
        <v>6</v>
      </c>
      <c r="L20">
        <f t="shared" si="0"/>
        <v>47400</v>
      </c>
      <c r="M20">
        <f t="shared" si="1"/>
        <v>51702</v>
      </c>
      <c r="N20">
        <v>0</v>
      </c>
      <c r="O20">
        <v>40</v>
      </c>
      <c r="P20">
        <f t="shared" si="2"/>
        <v>51742</v>
      </c>
      <c r="Q20">
        <f t="shared" si="3"/>
        <v>4342</v>
      </c>
      <c r="R20" t="s">
        <v>49</v>
      </c>
    </row>
    <row r="21" spans="1:18" x14ac:dyDescent="0.3">
      <c r="A21" t="s">
        <v>100</v>
      </c>
      <c r="B21" s="15">
        <v>43180</v>
      </c>
      <c r="C21" s="15">
        <v>43180</v>
      </c>
      <c r="D21" t="s">
        <v>56</v>
      </c>
      <c r="E21" t="s">
        <v>67</v>
      </c>
      <c r="F21" t="s">
        <v>25</v>
      </c>
      <c r="G21" t="s">
        <v>101</v>
      </c>
      <c r="H21" t="s">
        <v>102</v>
      </c>
      <c r="I21">
        <v>1621</v>
      </c>
      <c r="J21">
        <v>1545</v>
      </c>
      <c r="K21">
        <v>1</v>
      </c>
      <c r="L21">
        <f t="shared" si="0"/>
        <v>1545</v>
      </c>
      <c r="M21">
        <f t="shared" si="1"/>
        <v>1621</v>
      </c>
      <c r="N21">
        <v>0.02</v>
      </c>
      <c r="O21">
        <v>78</v>
      </c>
      <c r="P21">
        <f t="shared" si="2"/>
        <v>1666.58</v>
      </c>
      <c r="Q21">
        <f t="shared" si="3"/>
        <v>121.57999999999993</v>
      </c>
      <c r="R21" t="s">
        <v>78</v>
      </c>
    </row>
  </sheetData>
  <dataValidations count="3">
    <dataValidation type="whole" operator="greaterThanOrEqual" allowBlank="1" showInputMessage="1" showErrorMessage="1" errorTitle="Qty Error" error="Qty cannot be text or -ve" promptTitle="Qty " prompt="Enter the Qty order" sqref="K3:K21" xr:uid="{6F0B33A5-C72B-46EC-9C6E-41A233BAD50D}">
      <formula1>1</formula1>
    </dataValidation>
    <dataValidation type="list" allowBlank="1" showInputMessage="1" showErrorMessage="1" sqref="E3:E21" xr:uid="{DCEB368A-2A60-4D2E-9F4F-578D301CC40A}">
      <formula1>INDIRECT(D3)</formula1>
    </dataValidation>
    <dataValidation type="date" operator="greaterThanOrEqual" allowBlank="1" showInputMessage="1" showErrorMessage="1" sqref="C3:C21" xr:uid="{4AAF7BE0-AC40-499B-84BB-A5758CBF3A59}">
      <formula1>B3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2CA60-0126-4CCC-A631-C892639E657F}">
  <dimension ref="A1:R27"/>
  <sheetViews>
    <sheetView tabSelected="1" topLeftCell="A3" workbookViewId="0">
      <selection activeCell="J26" sqref="J26"/>
    </sheetView>
  </sheetViews>
  <sheetFormatPr defaultRowHeight="14.4" x14ac:dyDescent="0.3"/>
  <cols>
    <col min="1" max="1" width="24.21875" customWidth="1"/>
    <col min="2" max="2" width="13.33203125" bestFit="1" customWidth="1"/>
    <col min="3" max="3" width="12.21875" bestFit="1" customWidth="1"/>
    <col min="4" max="4" width="19.21875" bestFit="1" customWidth="1"/>
    <col min="5" max="5" width="13.77734375" customWidth="1"/>
    <col min="6" max="6" width="11.33203125" bestFit="1" customWidth="1"/>
    <col min="7" max="7" width="16" bestFit="1" customWidth="1"/>
    <col min="8" max="8" width="15.109375" bestFit="1" customWidth="1"/>
    <col min="9" max="9" width="8" bestFit="1" customWidth="1"/>
    <col min="10" max="10" width="7.44140625" bestFit="1" customWidth="1"/>
    <col min="11" max="11" width="11" bestFit="1" customWidth="1"/>
    <col min="12" max="12" width="12.77734375" bestFit="1" customWidth="1"/>
    <col min="13" max="13" width="13" bestFit="1" customWidth="1"/>
    <col min="14" max="14" width="11.44140625" bestFit="1" customWidth="1"/>
    <col min="15" max="15" width="14.88671875" bestFit="1" customWidth="1"/>
    <col min="16" max="16" width="16.5546875" bestFit="1" customWidth="1"/>
    <col min="17" max="17" width="8.21875" bestFit="1" customWidth="1"/>
    <col min="18" max="18" width="15.77734375" bestFit="1" customWidth="1"/>
  </cols>
  <sheetData>
    <row r="1" spans="1:18" ht="129.6" customHeight="1" x14ac:dyDescent="0.3">
      <c r="A1" s="14" t="s">
        <v>111</v>
      </c>
      <c r="B1" s="14" t="s">
        <v>116</v>
      </c>
      <c r="D1" s="14" t="s">
        <v>112</v>
      </c>
      <c r="E1" s="14" t="s">
        <v>113</v>
      </c>
      <c r="K1" s="14" t="s">
        <v>115</v>
      </c>
    </row>
    <row r="2" spans="1:18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114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</row>
    <row r="3" spans="1:18" x14ac:dyDescent="0.3">
      <c r="A3" t="s">
        <v>38</v>
      </c>
      <c r="B3" s="15">
        <v>43458</v>
      </c>
      <c r="C3" s="15">
        <v>43459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>
        <v>1834</v>
      </c>
      <c r="J3">
        <v>1716</v>
      </c>
      <c r="K3">
        <v>3</v>
      </c>
      <c r="L3">
        <f t="shared" ref="L3:L21" si="0">J3*K3</f>
        <v>5148</v>
      </c>
      <c r="M3">
        <f t="shared" ref="M3:M21" si="1">I3*K3</f>
        <v>5502</v>
      </c>
      <c r="N3">
        <v>0</v>
      </c>
      <c r="O3">
        <v>53</v>
      </c>
      <c r="P3">
        <f t="shared" ref="P3:P21" si="2">M3-(M3*N3)+O3</f>
        <v>5555</v>
      </c>
      <c r="Q3">
        <f t="shared" ref="Q3:Q21" si="3">P3-L3</f>
        <v>407</v>
      </c>
      <c r="R3" t="s">
        <v>44</v>
      </c>
    </row>
    <row r="4" spans="1:18" x14ac:dyDescent="0.3">
      <c r="A4" t="s">
        <v>45</v>
      </c>
      <c r="B4" s="15">
        <v>43304</v>
      </c>
      <c r="C4" s="15">
        <v>43671</v>
      </c>
      <c r="D4" t="s">
        <v>46</v>
      </c>
      <c r="E4" t="s">
        <v>63</v>
      </c>
      <c r="F4" t="s">
        <v>25</v>
      </c>
      <c r="G4" t="s">
        <v>42</v>
      </c>
      <c r="H4" t="s">
        <v>48</v>
      </c>
      <c r="I4">
        <v>4798</v>
      </c>
      <c r="J4">
        <v>4448</v>
      </c>
      <c r="K4">
        <v>6</v>
      </c>
      <c r="L4">
        <f t="shared" si="0"/>
        <v>26688</v>
      </c>
      <c r="M4">
        <f t="shared" si="1"/>
        <v>28788</v>
      </c>
      <c r="N4">
        <v>0</v>
      </c>
      <c r="O4">
        <v>91</v>
      </c>
      <c r="P4">
        <f t="shared" si="2"/>
        <v>28879</v>
      </c>
      <c r="Q4">
        <f t="shared" si="3"/>
        <v>2191</v>
      </c>
      <c r="R4" t="s">
        <v>49</v>
      </c>
    </row>
    <row r="5" spans="1:18" x14ac:dyDescent="0.3">
      <c r="A5" t="s">
        <v>50</v>
      </c>
      <c r="B5" s="15">
        <v>43397</v>
      </c>
      <c r="C5" s="15">
        <v>43399</v>
      </c>
      <c r="D5" t="s">
        <v>39</v>
      </c>
      <c r="E5" t="s">
        <v>51</v>
      </c>
      <c r="F5" t="s">
        <v>52</v>
      </c>
      <c r="G5" t="s">
        <v>53</v>
      </c>
      <c r="H5" t="s">
        <v>54</v>
      </c>
      <c r="I5">
        <v>2808</v>
      </c>
      <c r="J5">
        <v>2674</v>
      </c>
      <c r="K5">
        <v>3</v>
      </c>
      <c r="L5">
        <f t="shared" si="0"/>
        <v>8022</v>
      </c>
      <c r="M5">
        <f t="shared" si="1"/>
        <v>8424</v>
      </c>
      <c r="N5">
        <v>0.02</v>
      </c>
      <c r="O5">
        <v>47</v>
      </c>
      <c r="P5">
        <f t="shared" si="2"/>
        <v>8302.52</v>
      </c>
      <c r="Q5">
        <f t="shared" si="3"/>
        <v>280.52000000000044</v>
      </c>
      <c r="R5" t="s">
        <v>49</v>
      </c>
    </row>
    <row r="6" spans="1:18" x14ac:dyDescent="0.3">
      <c r="A6" t="s">
        <v>55</v>
      </c>
      <c r="B6" s="15">
        <v>43147</v>
      </c>
      <c r="C6" s="15">
        <v>43148</v>
      </c>
      <c r="D6" t="s">
        <v>56</v>
      </c>
      <c r="E6" t="s">
        <v>47</v>
      </c>
      <c r="F6" t="s">
        <v>52</v>
      </c>
      <c r="G6" t="s">
        <v>42</v>
      </c>
      <c r="H6" t="s">
        <v>58</v>
      </c>
      <c r="I6">
        <v>1816</v>
      </c>
      <c r="J6">
        <v>1699</v>
      </c>
      <c r="K6">
        <v>2</v>
      </c>
      <c r="L6">
        <f t="shared" si="0"/>
        <v>3398</v>
      </c>
      <c r="M6">
        <f t="shared" si="1"/>
        <v>3632</v>
      </c>
      <c r="N6">
        <v>0.02</v>
      </c>
      <c r="O6">
        <v>73</v>
      </c>
      <c r="P6">
        <f t="shared" si="2"/>
        <v>3632.36</v>
      </c>
      <c r="Q6">
        <f t="shared" si="3"/>
        <v>234.36000000000013</v>
      </c>
      <c r="R6" t="s">
        <v>49</v>
      </c>
    </row>
    <row r="7" spans="1:18" x14ac:dyDescent="0.3">
      <c r="A7" t="s">
        <v>59</v>
      </c>
      <c r="B7" s="15">
        <v>43369</v>
      </c>
      <c r="C7" s="15">
        <v>43371</v>
      </c>
      <c r="D7" t="s">
        <v>39</v>
      </c>
      <c r="E7" t="s">
        <v>108</v>
      </c>
      <c r="F7" t="s">
        <v>52</v>
      </c>
      <c r="G7" t="s">
        <v>60</v>
      </c>
      <c r="H7" t="s">
        <v>61</v>
      </c>
      <c r="I7">
        <v>1668</v>
      </c>
      <c r="J7">
        <v>1636</v>
      </c>
      <c r="K7">
        <v>4</v>
      </c>
      <c r="L7">
        <f t="shared" si="0"/>
        <v>6544</v>
      </c>
      <c r="M7">
        <f t="shared" si="1"/>
        <v>6672</v>
      </c>
      <c r="N7">
        <v>0.02</v>
      </c>
      <c r="O7">
        <v>66</v>
      </c>
      <c r="P7">
        <f t="shared" si="2"/>
        <v>6604.56</v>
      </c>
      <c r="Q7">
        <f t="shared" si="3"/>
        <v>60.5600000000004</v>
      </c>
      <c r="R7" t="s">
        <v>49</v>
      </c>
    </row>
    <row r="8" spans="1:18" x14ac:dyDescent="0.3">
      <c r="A8" t="s">
        <v>62</v>
      </c>
      <c r="B8" s="15">
        <v>43295</v>
      </c>
      <c r="C8" s="15">
        <v>43296</v>
      </c>
      <c r="D8" t="s">
        <v>46</v>
      </c>
      <c r="E8" t="s">
        <v>73</v>
      </c>
      <c r="F8" t="s">
        <v>52</v>
      </c>
      <c r="G8" t="s">
        <v>64</v>
      </c>
      <c r="H8" t="s">
        <v>65</v>
      </c>
      <c r="I8">
        <v>97</v>
      </c>
      <c r="J8">
        <v>92</v>
      </c>
      <c r="K8">
        <v>6</v>
      </c>
      <c r="L8">
        <f t="shared" si="0"/>
        <v>552</v>
      </c>
      <c r="M8">
        <f t="shared" si="1"/>
        <v>582</v>
      </c>
      <c r="N8">
        <v>0.01</v>
      </c>
      <c r="O8">
        <v>10</v>
      </c>
      <c r="P8">
        <f t="shared" si="2"/>
        <v>586.17999999999995</v>
      </c>
      <c r="Q8">
        <f t="shared" si="3"/>
        <v>34.17999999999995</v>
      </c>
      <c r="R8" t="s">
        <v>49</v>
      </c>
    </row>
    <row r="9" spans="1:18" x14ac:dyDescent="0.3">
      <c r="A9" t="s">
        <v>66</v>
      </c>
      <c r="B9" s="15">
        <v>43132</v>
      </c>
      <c r="C9" s="15">
        <v>43132</v>
      </c>
      <c r="D9" t="s">
        <v>56</v>
      </c>
      <c r="E9" t="s">
        <v>57</v>
      </c>
      <c r="F9" t="s">
        <v>41</v>
      </c>
      <c r="G9" t="s">
        <v>53</v>
      </c>
      <c r="H9" t="s">
        <v>68</v>
      </c>
      <c r="I9">
        <v>2790</v>
      </c>
      <c r="J9">
        <v>2557</v>
      </c>
      <c r="K9">
        <v>2</v>
      </c>
      <c r="L9">
        <f t="shared" si="0"/>
        <v>5114</v>
      </c>
      <c r="M9">
        <f t="shared" si="1"/>
        <v>5580</v>
      </c>
      <c r="N9">
        <v>0.01</v>
      </c>
      <c r="O9">
        <v>98</v>
      </c>
      <c r="P9">
        <f t="shared" si="2"/>
        <v>5622.2</v>
      </c>
      <c r="Q9">
        <f t="shared" si="3"/>
        <v>508.19999999999982</v>
      </c>
      <c r="R9" t="s">
        <v>49</v>
      </c>
    </row>
    <row r="10" spans="1:18" x14ac:dyDescent="0.3">
      <c r="A10" t="s">
        <v>69</v>
      </c>
      <c r="B10" s="15">
        <v>43256</v>
      </c>
      <c r="C10" s="15">
        <v>43258</v>
      </c>
      <c r="D10" t="s">
        <v>46</v>
      </c>
      <c r="E10" t="s">
        <v>109</v>
      </c>
      <c r="F10" t="s">
        <v>25</v>
      </c>
      <c r="G10" t="s">
        <v>53</v>
      </c>
      <c r="H10" t="s">
        <v>71</v>
      </c>
      <c r="I10">
        <v>138</v>
      </c>
      <c r="J10">
        <v>128</v>
      </c>
      <c r="K10">
        <v>3</v>
      </c>
      <c r="L10">
        <f t="shared" si="0"/>
        <v>384</v>
      </c>
      <c r="M10">
        <f t="shared" si="1"/>
        <v>414</v>
      </c>
      <c r="N10">
        <v>0.02</v>
      </c>
      <c r="O10">
        <v>30</v>
      </c>
      <c r="P10">
        <f t="shared" si="2"/>
        <v>435.72</v>
      </c>
      <c r="Q10">
        <f t="shared" si="3"/>
        <v>51.720000000000027</v>
      </c>
      <c r="R10" t="s">
        <v>49</v>
      </c>
    </row>
    <row r="11" spans="1:18" x14ac:dyDescent="0.3">
      <c r="A11" t="s">
        <v>72</v>
      </c>
      <c r="B11" s="15">
        <v>43315</v>
      </c>
      <c r="C11" s="15">
        <v>43315</v>
      </c>
      <c r="D11" t="s">
        <v>56</v>
      </c>
      <c r="E11" t="s">
        <v>67</v>
      </c>
      <c r="F11" t="s">
        <v>74</v>
      </c>
      <c r="G11" t="s">
        <v>60</v>
      </c>
      <c r="H11" t="s">
        <v>75</v>
      </c>
      <c r="I11">
        <v>162</v>
      </c>
      <c r="J11">
        <v>148</v>
      </c>
      <c r="K11">
        <v>3</v>
      </c>
      <c r="L11">
        <f t="shared" si="0"/>
        <v>444</v>
      </c>
      <c r="M11">
        <f t="shared" si="1"/>
        <v>486</v>
      </c>
      <c r="N11">
        <v>0.01</v>
      </c>
      <c r="O11">
        <v>30</v>
      </c>
      <c r="P11">
        <f t="shared" si="2"/>
        <v>511.14</v>
      </c>
      <c r="Q11">
        <f t="shared" si="3"/>
        <v>67.139999999999986</v>
      </c>
      <c r="R11" t="s">
        <v>49</v>
      </c>
    </row>
    <row r="12" spans="1:18" x14ac:dyDescent="0.3">
      <c r="A12" t="s">
        <v>76</v>
      </c>
      <c r="B12" s="15">
        <v>43262</v>
      </c>
      <c r="C12" s="15">
        <v>43264</v>
      </c>
      <c r="D12" t="s">
        <v>56</v>
      </c>
      <c r="E12" t="s">
        <v>80</v>
      </c>
      <c r="F12" t="s">
        <v>25</v>
      </c>
      <c r="G12" t="s">
        <v>60</v>
      </c>
      <c r="H12" t="s">
        <v>77</v>
      </c>
      <c r="I12">
        <v>1637</v>
      </c>
      <c r="J12">
        <v>1591</v>
      </c>
      <c r="K12">
        <v>1</v>
      </c>
      <c r="L12">
        <f t="shared" si="0"/>
        <v>1591</v>
      </c>
      <c r="M12">
        <f t="shared" si="1"/>
        <v>1637</v>
      </c>
      <c r="N12">
        <v>0</v>
      </c>
      <c r="O12">
        <v>57</v>
      </c>
      <c r="P12">
        <f t="shared" si="2"/>
        <v>1694</v>
      </c>
      <c r="Q12">
        <f t="shared" si="3"/>
        <v>103</v>
      </c>
      <c r="R12" t="s">
        <v>78</v>
      </c>
    </row>
    <row r="13" spans="1:18" x14ac:dyDescent="0.3">
      <c r="A13" t="s">
        <v>79</v>
      </c>
      <c r="B13" s="15">
        <v>43280</v>
      </c>
      <c r="C13" s="15">
        <v>43280</v>
      </c>
      <c r="D13" t="s">
        <v>56</v>
      </c>
      <c r="F13" t="s">
        <v>25</v>
      </c>
      <c r="G13" t="s">
        <v>60</v>
      </c>
      <c r="H13" t="s">
        <v>81</v>
      </c>
      <c r="I13">
        <v>1364</v>
      </c>
      <c r="J13">
        <v>1274</v>
      </c>
      <c r="K13">
        <v>2</v>
      </c>
      <c r="L13">
        <f t="shared" si="0"/>
        <v>2548</v>
      </c>
      <c r="M13">
        <f t="shared" si="1"/>
        <v>2728</v>
      </c>
      <c r="N13">
        <v>0.01</v>
      </c>
      <c r="O13">
        <v>56</v>
      </c>
      <c r="P13">
        <f t="shared" si="2"/>
        <v>2756.72</v>
      </c>
      <c r="Q13">
        <f t="shared" si="3"/>
        <v>208.7199999999998</v>
      </c>
      <c r="R13" t="s">
        <v>49</v>
      </c>
    </row>
    <row r="14" spans="1:18" x14ac:dyDescent="0.3">
      <c r="A14" t="s">
        <v>82</v>
      </c>
      <c r="B14" s="15">
        <v>43173</v>
      </c>
      <c r="C14" s="15">
        <v>43175</v>
      </c>
      <c r="D14" t="s">
        <v>46</v>
      </c>
      <c r="F14" t="s">
        <v>52</v>
      </c>
      <c r="G14" t="s">
        <v>83</v>
      </c>
      <c r="H14" t="s">
        <v>84</v>
      </c>
      <c r="I14">
        <v>169</v>
      </c>
      <c r="J14">
        <v>160</v>
      </c>
      <c r="K14">
        <v>2</v>
      </c>
      <c r="L14">
        <f t="shared" si="0"/>
        <v>320</v>
      </c>
      <c r="M14">
        <f t="shared" si="1"/>
        <v>338</v>
      </c>
      <c r="N14">
        <v>0.01</v>
      </c>
      <c r="O14">
        <v>30</v>
      </c>
      <c r="P14">
        <f t="shared" si="2"/>
        <v>364.62</v>
      </c>
      <c r="Q14">
        <f t="shared" si="3"/>
        <v>44.620000000000005</v>
      </c>
      <c r="R14" t="s">
        <v>85</v>
      </c>
    </row>
    <row r="15" spans="1:18" x14ac:dyDescent="0.3">
      <c r="A15" t="s">
        <v>86</v>
      </c>
      <c r="B15" s="15">
        <v>43429</v>
      </c>
      <c r="C15" s="15">
        <v>43431</v>
      </c>
      <c r="D15" t="s">
        <v>39</v>
      </c>
      <c r="F15" t="s">
        <v>25</v>
      </c>
      <c r="G15" t="s">
        <v>53</v>
      </c>
      <c r="H15" t="s">
        <v>87</v>
      </c>
      <c r="I15">
        <v>9135</v>
      </c>
      <c r="J15">
        <v>8143</v>
      </c>
      <c r="K15">
        <v>4</v>
      </c>
      <c r="L15">
        <f t="shared" si="0"/>
        <v>32572</v>
      </c>
      <c r="M15">
        <f t="shared" si="1"/>
        <v>36540</v>
      </c>
      <c r="N15">
        <v>0</v>
      </c>
      <c r="O15">
        <v>66</v>
      </c>
      <c r="P15">
        <f t="shared" si="2"/>
        <v>36606</v>
      </c>
      <c r="Q15">
        <f t="shared" si="3"/>
        <v>4034</v>
      </c>
      <c r="R15" t="s">
        <v>78</v>
      </c>
    </row>
    <row r="16" spans="1:18" x14ac:dyDescent="0.3">
      <c r="A16" t="s">
        <v>119</v>
      </c>
      <c r="B16" s="15">
        <v>43435</v>
      </c>
      <c r="C16" s="15">
        <v>43436</v>
      </c>
      <c r="D16" t="s">
        <v>46</v>
      </c>
      <c r="F16" t="s">
        <v>41</v>
      </c>
      <c r="G16" t="s">
        <v>53</v>
      </c>
      <c r="H16" t="s">
        <v>90</v>
      </c>
      <c r="I16">
        <v>693</v>
      </c>
      <c r="J16">
        <v>667</v>
      </c>
      <c r="K16">
        <v>6</v>
      </c>
      <c r="L16">
        <f t="shared" si="0"/>
        <v>4002</v>
      </c>
      <c r="M16">
        <f t="shared" si="1"/>
        <v>4158</v>
      </c>
      <c r="N16">
        <v>0.01</v>
      </c>
      <c r="O16">
        <v>38</v>
      </c>
      <c r="P16">
        <f t="shared" si="2"/>
        <v>4154.42</v>
      </c>
      <c r="Q16">
        <f t="shared" si="3"/>
        <v>152.42000000000007</v>
      </c>
      <c r="R16" t="s">
        <v>49</v>
      </c>
    </row>
    <row r="17" spans="1:18" x14ac:dyDescent="0.3">
      <c r="A17" t="s">
        <v>120</v>
      </c>
      <c r="B17" s="15">
        <v>43266</v>
      </c>
      <c r="C17" s="15">
        <v>43266</v>
      </c>
      <c r="D17" t="s">
        <v>46</v>
      </c>
      <c r="F17" t="s">
        <v>52</v>
      </c>
      <c r="G17" t="s">
        <v>53</v>
      </c>
      <c r="H17" t="s">
        <v>93</v>
      </c>
      <c r="I17">
        <v>142</v>
      </c>
      <c r="J17">
        <v>134</v>
      </c>
      <c r="K17">
        <v>4</v>
      </c>
      <c r="L17">
        <f t="shared" si="0"/>
        <v>536</v>
      </c>
      <c r="M17">
        <f t="shared" si="1"/>
        <v>568</v>
      </c>
      <c r="N17">
        <v>0.01</v>
      </c>
      <c r="O17">
        <v>30</v>
      </c>
      <c r="P17">
        <f t="shared" si="2"/>
        <v>592.32000000000005</v>
      </c>
      <c r="Q17">
        <f t="shared" si="3"/>
        <v>56.32000000000005</v>
      </c>
      <c r="R17" t="s">
        <v>85</v>
      </c>
    </row>
    <row r="18" spans="1:18" x14ac:dyDescent="0.3">
      <c r="A18" t="s">
        <v>94</v>
      </c>
      <c r="B18" s="15">
        <v>43325</v>
      </c>
      <c r="C18" s="15">
        <v>43327</v>
      </c>
      <c r="D18" t="s">
        <v>56</v>
      </c>
      <c r="F18" t="s">
        <v>74</v>
      </c>
      <c r="G18" t="s">
        <v>53</v>
      </c>
      <c r="H18" t="s">
        <v>95</v>
      </c>
      <c r="I18">
        <v>1798</v>
      </c>
      <c r="J18">
        <v>1666</v>
      </c>
      <c r="K18">
        <v>2</v>
      </c>
      <c r="L18">
        <f t="shared" si="0"/>
        <v>3332</v>
      </c>
      <c r="M18">
        <f t="shared" si="1"/>
        <v>3596</v>
      </c>
      <c r="N18">
        <v>0</v>
      </c>
      <c r="O18">
        <v>26</v>
      </c>
      <c r="P18">
        <f t="shared" si="2"/>
        <v>3622</v>
      </c>
      <c r="Q18">
        <f t="shared" si="3"/>
        <v>290</v>
      </c>
      <c r="R18" t="s">
        <v>78</v>
      </c>
    </row>
    <row r="19" spans="1:18" x14ac:dyDescent="0.3">
      <c r="A19" t="s">
        <v>96</v>
      </c>
      <c r="B19" s="15">
        <v>43168</v>
      </c>
      <c r="C19" s="15">
        <v>43169</v>
      </c>
      <c r="D19" t="s">
        <v>56</v>
      </c>
      <c r="F19" t="s">
        <v>25</v>
      </c>
      <c r="G19" t="s">
        <v>64</v>
      </c>
      <c r="H19" t="s">
        <v>97</v>
      </c>
      <c r="I19">
        <v>1911</v>
      </c>
      <c r="J19">
        <v>1785</v>
      </c>
      <c r="K19">
        <v>10</v>
      </c>
      <c r="L19">
        <f t="shared" si="0"/>
        <v>17850</v>
      </c>
      <c r="M19">
        <f t="shared" si="1"/>
        <v>19110</v>
      </c>
      <c r="N19">
        <v>0.02</v>
      </c>
      <c r="O19">
        <v>54</v>
      </c>
      <c r="P19">
        <f t="shared" si="2"/>
        <v>18781.8</v>
      </c>
      <c r="Q19">
        <f t="shared" si="3"/>
        <v>931.79999999999927</v>
      </c>
      <c r="R19" t="s">
        <v>49</v>
      </c>
    </row>
    <row r="20" spans="1:18" x14ac:dyDescent="0.3">
      <c r="A20" t="s">
        <v>98</v>
      </c>
      <c r="B20" s="15">
        <v>43404</v>
      </c>
      <c r="C20" s="15">
        <v>43405</v>
      </c>
      <c r="D20" t="s">
        <v>56</v>
      </c>
      <c r="F20" t="s">
        <v>74</v>
      </c>
      <c r="G20" t="s">
        <v>53</v>
      </c>
      <c r="H20" t="s">
        <v>99</v>
      </c>
      <c r="I20">
        <v>8617</v>
      </c>
      <c r="J20">
        <v>7900</v>
      </c>
      <c r="K20">
        <v>6</v>
      </c>
      <c r="L20">
        <f t="shared" si="0"/>
        <v>47400</v>
      </c>
      <c r="M20">
        <f t="shared" si="1"/>
        <v>51702</v>
      </c>
      <c r="N20">
        <v>0</v>
      </c>
      <c r="O20">
        <v>40</v>
      </c>
      <c r="P20">
        <f t="shared" si="2"/>
        <v>51742</v>
      </c>
      <c r="Q20">
        <f t="shared" si="3"/>
        <v>4342</v>
      </c>
      <c r="R20" t="s">
        <v>49</v>
      </c>
    </row>
    <row r="21" spans="1:18" x14ac:dyDescent="0.3">
      <c r="A21" t="s">
        <v>100</v>
      </c>
      <c r="B21" s="15">
        <v>43180</v>
      </c>
      <c r="C21" s="15">
        <v>43180</v>
      </c>
      <c r="D21" t="s">
        <v>56</v>
      </c>
      <c r="F21" t="s">
        <v>25</v>
      </c>
      <c r="G21" t="s">
        <v>101</v>
      </c>
      <c r="H21" t="s">
        <v>102</v>
      </c>
      <c r="I21">
        <v>1621</v>
      </c>
      <c r="J21">
        <v>1545</v>
      </c>
      <c r="K21">
        <v>1</v>
      </c>
      <c r="L21">
        <f t="shared" si="0"/>
        <v>1545</v>
      </c>
      <c r="M21">
        <f t="shared" si="1"/>
        <v>1621</v>
      </c>
      <c r="N21">
        <v>0.02</v>
      </c>
      <c r="O21">
        <v>78</v>
      </c>
      <c r="P21">
        <f t="shared" si="2"/>
        <v>1666.58</v>
      </c>
      <c r="Q21">
        <f t="shared" si="3"/>
        <v>121.57999999999993</v>
      </c>
      <c r="R21" t="s">
        <v>78</v>
      </c>
    </row>
    <row r="23" spans="1:18" x14ac:dyDescent="0.3">
      <c r="D23" t="s">
        <v>118</v>
      </c>
      <c r="E23" t="s">
        <v>117</v>
      </c>
    </row>
    <row r="24" spans="1:18" x14ac:dyDescent="0.3">
      <c r="A24" s="22" t="b">
        <f>LEFT(F3,2)=LEFT(A3,2)</f>
        <v>1</v>
      </c>
      <c r="B24" s="22" t="b">
        <f>MID(A3,3,1)="-"</f>
        <v>1</v>
      </c>
      <c r="C24">
        <f>YEAR(C3)</f>
        <v>2018</v>
      </c>
      <c r="D24" t="str">
        <f>MID(A3,4,4)</f>
        <v>2018</v>
      </c>
      <c r="E24">
        <f>VALUE(D24)</f>
        <v>2018</v>
      </c>
      <c r="F24" s="22" t="b">
        <f>YEAR(B3)=VALUE(MID(A3,4,4))</f>
        <v>1</v>
      </c>
      <c r="G24" s="22" t="b">
        <f>MID(A3,8,1)="-"</f>
        <v>1</v>
      </c>
      <c r="H24" t="str">
        <f>RIGHT(A3,5)</f>
        <v>15108</v>
      </c>
      <c r="I24">
        <f>VALUE(H24)</f>
        <v>15108</v>
      </c>
      <c r="J24" s="22" t="b">
        <f>ISNUMBER(VALUE(RIGHT(A3,5)))</f>
        <v>1</v>
      </c>
    </row>
    <row r="27" spans="1:18" x14ac:dyDescent="0.3">
      <c r="D27" t="b">
        <f>AND(LEFT(A3,2)=LEFT(F3,2),MID(A3,3,1)="-",YEAR(B3)=VALUE(MID(A3,4,4)),MID(A3,8,1)="-",ISNUMBER(VALUE(RIGHT(A3,4))))</f>
        <v>1</v>
      </c>
    </row>
  </sheetData>
  <dataValidations count="4">
    <dataValidation type="whole" operator="greaterThanOrEqual" allowBlank="1" showInputMessage="1" showErrorMessage="1" sqref="K3:K21" xr:uid="{F10AC064-FAB9-4B06-AE4E-12D34BBE5D5C}">
      <formula1>0</formula1>
    </dataValidation>
    <dataValidation type="date" allowBlank="1" showInputMessage="1" showErrorMessage="1" sqref="B3:B21" xr:uid="{E1C65ECC-A6CD-4F12-BF98-EAD0FA4A3994}">
      <formula1>43101</formula1>
      <formula2>43830</formula2>
    </dataValidation>
    <dataValidation type="list" allowBlank="1" showInputMessage="1" showErrorMessage="1" sqref="E5:E21 E3 E4" xr:uid="{37021502-2D4B-4EC4-84FD-C9418BFF90BB}">
      <formula1>INDIRECT(D3)</formula1>
    </dataValidation>
    <dataValidation type="custom" allowBlank="1" showInputMessage="1" showErrorMessage="1" sqref="A3:A21" xr:uid="{192C0C24-0117-4B77-BF3C-33DF79E508D5}">
      <formula1>AND(LEFT(A3,2)=LEFT(F3,2),MID(A3,3,1)="-",YEAR(B3)=VALUE(MID(A3,4,4)),MID(A3,8,1)="-",ISNUMBER(VALUE(RIGHT(A3,4))))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5898E28-8B76-445C-BB55-46FB95E7B529}">
          <x14:formula1>
            <xm:f>'Source List'!$A$2:$A$4</xm:f>
          </x14:formula1>
          <xm:sqref>D3:D21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C8EEA-8542-4FDF-B102-1FF9D02FB249}">
  <dimension ref="A1:E12"/>
  <sheetViews>
    <sheetView workbookViewId="0">
      <selection activeCell="I14" sqref="I14"/>
    </sheetView>
  </sheetViews>
  <sheetFormatPr defaultRowHeight="14.4" x14ac:dyDescent="0.3"/>
  <cols>
    <col min="1" max="1" width="16.33203125" customWidth="1"/>
    <col min="3" max="5" width="13.44140625" customWidth="1"/>
  </cols>
  <sheetData>
    <row r="1" spans="1:5" x14ac:dyDescent="0.3">
      <c r="A1" s="12" t="s">
        <v>103</v>
      </c>
      <c r="C1" t="s">
        <v>104</v>
      </c>
    </row>
    <row r="2" spans="1:5" x14ac:dyDescent="0.3">
      <c r="A2" s="13" t="s">
        <v>56</v>
      </c>
    </row>
    <row r="3" spans="1:5" x14ac:dyDescent="0.3">
      <c r="A3" s="13" t="s">
        <v>46</v>
      </c>
      <c r="C3" s="12" t="s">
        <v>56</v>
      </c>
      <c r="D3" s="12" t="s">
        <v>46</v>
      </c>
      <c r="E3" s="12" t="s">
        <v>39</v>
      </c>
    </row>
    <row r="4" spans="1:5" x14ac:dyDescent="0.3">
      <c r="A4" s="13" t="s">
        <v>39</v>
      </c>
      <c r="C4" s="13" t="s">
        <v>80</v>
      </c>
      <c r="D4" s="13" t="s">
        <v>105</v>
      </c>
      <c r="E4" s="13" t="s">
        <v>40</v>
      </c>
    </row>
    <row r="5" spans="1:5" x14ac:dyDescent="0.3">
      <c r="C5" s="13" t="s">
        <v>47</v>
      </c>
      <c r="D5" s="13" t="s">
        <v>63</v>
      </c>
      <c r="E5" s="13" t="s">
        <v>51</v>
      </c>
    </row>
    <row r="6" spans="1:5" x14ac:dyDescent="0.3">
      <c r="C6" s="13" t="s">
        <v>57</v>
      </c>
      <c r="D6" s="13" t="s">
        <v>106</v>
      </c>
      <c r="E6" s="13" t="s">
        <v>107</v>
      </c>
    </row>
    <row r="7" spans="1:5" x14ac:dyDescent="0.3">
      <c r="C7" s="13" t="s">
        <v>67</v>
      </c>
      <c r="D7" s="13" t="s">
        <v>70</v>
      </c>
      <c r="E7" s="13" t="s">
        <v>108</v>
      </c>
    </row>
    <row r="8" spans="1:5" x14ac:dyDescent="0.3">
      <c r="D8" s="13" t="s">
        <v>73</v>
      </c>
    </row>
    <row r="9" spans="1:5" x14ac:dyDescent="0.3">
      <c r="D9" s="13" t="s">
        <v>92</v>
      </c>
    </row>
    <row r="10" spans="1:5" x14ac:dyDescent="0.3">
      <c r="D10" s="13" t="s">
        <v>89</v>
      </c>
    </row>
    <row r="11" spans="1:5" x14ac:dyDescent="0.3">
      <c r="D11" s="13" t="s">
        <v>109</v>
      </c>
    </row>
    <row r="12" spans="1:5" x14ac:dyDescent="0.3">
      <c r="D12" s="13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Data Table-S</vt:lpstr>
      <vt:lpstr>Data Table-UnS</vt:lpstr>
      <vt:lpstr>Data Validation-S</vt:lpstr>
      <vt:lpstr>Data Validation-UnS</vt:lpstr>
      <vt:lpstr>Source List</vt:lpstr>
      <vt:lpstr>Furniture</vt:lpstr>
      <vt:lpstr>Office_Supplies</vt:lpstr>
      <vt:lpstr>Technology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jayshree tawari</dc:creator>
  <cp:lastModifiedBy>Muskan 23</cp:lastModifiedBy>
  <dcterms:created xsi:type="dcterms:W3CDTF">2023-07-17T16:22:45Z</dcterms:created>
  <dcterms:modified xsi:type="dcterms:W3CDTF">2026-01-19T13:02:12Z</dcterms:modified>
</cp:coreProperties>
</file>