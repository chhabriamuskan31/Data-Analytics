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9E51D4D65E34240/Documents/"/>
    </mc:Choice>
  </mc:AlternateContent>
  <xr:revisionPtr revIDLastSave="0" documentId="8_{054B81BC-19C8-4966-A46E-B80730ADB996}" xr6:coauthVersionLast="47" xr6:coauthVersionMax="47" xr10:uidLastSave="{00000000-0000-0000-0000-000000000000}"/>
  <bookViews>
    <workbookView minimized="1" xWindow="1116" yWindow="1116" windowWidth="17280" windowHeight="8880" firstSheet="7" activeTab="7" xr2:uid="{00000000-000D-0000-FFFF-FFFF00000000}"/>
  </bookViews>
  <sheets>
    <sheet name="Order SUmmary" sheetId="1" r:id="rId1"/>
    <sheet name="Customer Details" sheetId="2" r:id="rId2"/>
    <sheet name="Region INfo" sheetId="3" r:id="rId3"/>
    <sheet name="Match" sheetId="32" r:id="rId4"/>
    <sheet name="Product List" sheetId="4" r:id="rId5"/>
    <sheet name="Commission Criteria" sheetId="13" r:id="rId6"/>
    <sheet name="Indirect" sheetId="39" r:id="rId7"/>
    <sheet name="Order Details" sheetId="40" r:id="rId8"/>
    <sheet name="Flipkart" sheetId="33" r:id="rId9"/>
    <sheet name="Amazon" sheetId="34" r:id="rId10"/>
    <sheet name="Snapdeal" sheetId="35" r:id="rId11"/>
    <sheet name="India_Mart" sheetId="36" r:id="rId12"/>
    <sheet name="Referral" sheetId="37" r:id="rId13"/>
    <sheet name="Website" sheetId="38" r:id="rId14"/>
  </sheets>
  <definedNames>
    <definedName name="_xlnm._FilterDatabase" localSheetId="0" hidden="1">'Order SUmmary'!$A$2:$S$1275</definedName>
    <definedName name="_xlnm._FilterDatabase" localSheetId="2" hidden="1">'Region INfo'!$A$1:$C$52</definedName>
    <definedName name="Product_A">Indirect!$B$4:$B$7</definedName>
    <definedName name="Product_B">Indirect!$C$4:$C$7</definedName>
    <definedName name="Product_C">Indirect!$D$4:$D$7</definedName>
    <definedName name="Product_List">'Product List'!$A$1:$E$299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40" l="1" a="1"/>
  <c r="J2" i="40" s="1"/>
  <c r="I3" i="40"/>
  <c r="I4" i="40"/>
  <c r="I5" i="40"/>
  <c r="I6" i="40"/>
  <c r="I7" i="40"/>
  <c r="I8" i="40"/>
  <c r="I9" i="40"/>
  <c r="I10" i="40"/>
  <c r="I11" i="40"/>
  <c r="I12" i="40"/>
  <c r="I13" i="40"/>
  <c r="I14" i="40"/>
  <c r="I15" i="40"/>
  <c r="I16" i="40"/>
  <c r="I17" i="40"/>
  <c r="I18" i="40"/>
  <c r="I19" i="40"/>
  <c r="I20" i="40"/>
  <c r="I21" i="40"/>
  <c r="I22" i="40"/>
  <c r="I23" i="40"/>
  <c r="I24" i="40"/>
  <c r="I25" i="40"/>
  <c r="I26" i="40"/>
  <c r="I27" i="40"/>
  <c r="I28" i="40"/>
  <c r="I29" i="40"/>
  <c r="I30" i="40"/>
  <c r="I31" i="40"/>
  <c r="I32" i="40"/>
  <c r="I33" i="40"/>
  <c r="I34" i="40"/>
  <c r="I35" i="40"/>
  <c r="I36" i="40"/>
  <c r="I37" i="40"/>
  <c r="I38" i="40"/>
  <c r="I39" i="40"/>
  <c r="I40" i="40"/>
  <c r="I41" i="40"/>
  <c r="I42" i="40"/>
  <c r="I43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22" i="40"/>
  <c r="I123" i="40"/>
  <c r="I124" i="40"/>
  <c r="I125" i="40"/>
  <c r="I126" i="40"/>
  <c r="I127" i="40"/>
  <c r="I128" i="40"/>
  <c r="I129" i="40"/>
  <c r="I130" i="40"/>
  <c r="I131" i="40"/>
  <c r="I132" i="40"/>
  <c r="I133" i="40"/>
  <c r="I134" i="40"/>
  <c r="I135" i="40"/>
  <c r="I136" i="40"/>
  <c r="I137" i="40"/>
  <c r="I138" i="40"/>
  <c r="I139" i="40"/>
  <c r="I140" i="40"/>
  <c r="I141" i="40"/>
  <c r="I142" i="40"/>
  <c r="I143" i="40"/>
  <c r="I144" i="40"/>
  <c r="I145" i="40"/>
  <c r="I146" i="40"/>
  <c r="I147" i="40"/>
  <c r="I148" i="40"/>
  <c r="I149" i="40"/>
  <c r="I150" i="40"/>
  <c r="I151" i="40"/>
  <c r="I152" i="40"/>
  <c r="I153" i="40"/>
  <c r="I154" i="40"/>
  <c r="I155" i="40"/>
  <c r="I156" i="40"/>
  <c r="I157" i="40"/>
  <c r="I158" i="40"/>
  <c r="I159" i="40"/>
  <c r="I160" i="40"/>
  <c r="I161" i="40"/>
  <c r="I162" i="40"/>
  <c r="I163" i="40"/>
  <c r="I164" i="40"/>
  <c r="I165" i="40"/>
  <c r="I166" i="40"/>
  <c r="I167" i="40"/>
  <c r="I168" i="40"/>
  <c r="I169" i="40"/>
  <c r="I170" i="40"/>
  <c r="I171" i="40"/>
  <c r="I172" i="40"/>
  <c r="I173" i="40"/>
  <c r="I174" i="40"/>
  <c r="I175" i="40"/>
  <c r="I176" i="40"/>
  <c r="I177" i="40"/>
  <c r="I178" i="40"/>
  <c r="I179" i="40"/>
  <c r="I180" i="40"/>
  <c r="I181" i="40"/>
  <c r="I182" i="40"/>
  <c r="I183" i="40"/>
  <c r="I184" i="40"/>
  <c r="I185" i="40"/>
  <c r="I186" i="40"/>
  <c r="I187" i="40"/>
  <c r="I188" i="40"/>
  <c r="I189" i="40"/>
  <c r="I190" i="40"/>
  <c r="I191" i="40"/>
  <c r="I192" i="40"/>
  <c r="I193" i="40"/>
  <c r="I194" i="40"/>
  <c r="I195" i="40"/>
  <c r="I196" i="40"/>
  <c r="I197" i="40"/>
  <c r="I198" i="40"/>
  <c r="I199" i="40"/>
  <c r="I200" i="40"/>
  <c r="I201" i="40"/>
  <c r="I202" i="40"/>
  <c r="I203" i="40"/>
  <c r="I204" i="40"/>
  <c r="I205" i="40"/>
  <c r="I206" i="40"/>
  <c r="I207" i="40"/>
  <c r="I208" i="40"/>
  <c r="I209" i="40"/>
  <c r="I210" i="40"/>
  <c r="I211" i="40"/>
  <c r="I212" i="40"/>
  <c r="I213" i="40"/>
  <c r="I214" i="40"/>
  <c r="I215" i="40"/>
  <c r="I216" i="40"/>
  <c r="I217" i="40"/>
  <c r="I218" i="40"/>
  <c r="I219" i="40"/>
  <c r="I220" i="40"/>
  <c r="I221" i="40"/>
  <c r="I222" i="40"/>
  <c r="I223" i="40"/>
  <c r="I224" i="40"/>
  <c r="I225" i="40"/>
  <c r="I226" i="40"/>
  <c r="I227" i="40"/>
  <c r="I228" i="40"/>
  <c r="I229" i="40"/>
  <c r="I230" i="40"/>
  <c r="I231" i="40"/>
  <c r="I232" i="40"/>
  <c r="I233" i="40"/>
  <c r="I234" i="40"/>
  <c r="I235" i="40"/>
  <c r="I236" i="40"/>
  <c r="I237" i="40"/>
  <c r="I238" i="40"/>
  <c r="I239" i="40"/>
  <c r="I240" i="40"/>
  <c r="I241" i="40"/>
  <c r="I242" i="40"/>
  <c r="I243" i="40"/>
  <c r="I244" i="40"/>
  <c r="I245" i="40"/>
  <c r="I246" i="40"/>
  <c r="I247" i="40"/>
  <c r="I248" i="40"/>
  <c r="I249" i="40"/>
  <c r="I250" i="40"/>
  <c r="I251" i="40"/>
  <c r="I252" i="40"/>
  <c r="I253" i="40"/>
  <c r="I254" i="40"/>
  <c r="I255" i="40"/>
  <c r="I256" i="40"/>
  <c r="I257" i="40"/>
  <c r="I258" i="40"/>
  <c r="I259" i="40"/>
  <c r="I260" i="40"/>
  <c r="I261" i="40"/>
  <c r="I262" i="40"/>
  <c r="I263" i="40"/>
  <c r="I264" i="40"/>
  <c r="I265" i="40"/>
  <c r="I266" i="40"/>
  <c r="I267" i="40"/>
  <c r="I268" i="40"/>
  <c r="I269" i="40"/>
  <c r="I270" i="40"/>
  <c r="I271" i="40"/>
  <c r="I272" i="40"/>
  <c r="I273" i="40"/>
  <c r="I274" i="40"/>
  <c r="I275" i="40"/>
  <c r="I276" i="40"/>
  <c r="I277" i="40"/>
  <c r="I278" i="40"/>
  <c r="I279" i="40"/>
  <c r="I280" i="40"/>
  <c r="I281" i="40"/>
  <c r="I282" i="40"/>
  <c r="I283" i="40"/>
  <c r="I284" i="40"/>
  <c r="I285" i="40"/>
  <c r="I286" i="40"/>
  <c r="I287" i="40"/>
  <c r="I288" i="40"/>
  <c r="I289" i="40"/>
  <c r="I290" i="40"/>
  <c r="I291" i="40"/>
  <c r="I292" i="40"/>
  <c r="I293" i="40"/>
  <c r="I294" i="40"/>
  <c r="I295" i="40"/>
  <c r="I296" i="40"/>
  <c r="I297" i="40"/>
  <c r="I298" i="40"/>
  <c r="I299" i="40"/>
  <c r="I300" i="40"/>
  <c r="I301" i="40"/>
  <c r="I302" i="40"/>
  <c r="I303" i="40"/>
  <c r="I304" i="40"/>
  <c r="I305" i="40"/>
  <c r="I306" i="40"/>
  <c r="I307" i="40"/>
  <c r="I308" i="40"/>
  <c r="I309" i="40"/>
  <c r="I310" i="40"/>
  <c r="I311" i="40"/>
  <c r="I312" i="40"/>
  <c r="I313" i="40"/>
  <c r="I314" i="40"/>
  <c r="I315" i="40"/>
  <c r="I316" i="40"/>
  <c r="I317" i="40"/>
  <c r="I318" i="40"/>
  <c r="I319" i="40"/>
  <c r="I320" i="40"/>
  <c r="I321" i="40"/>
  <c r="I322" i="40"/>
  <c r="I323" i="40"/>
  <c r="I324" i="40"/>
  <c r="I325" i="40"/>
  <c r="I326" i="40"/>
  <c r="I327" i="40"/>
  <c r="I328" i="40"/>
  <c r="I329" i="40"/>
  <c r="I330" i="40"/>
  <c r="I331" i="40"/>
  <c r="I332" i="40"/>
  <c r="I333" i="40"/>
  <c r="I334" i="40"/>
  <c r="I335" i="40"/>
  <c r="I336" i="40"/>
  <c r="I337" i="40"/>
  <c r="I338" i="40"/>
  <c r="I339" i="40"/>
  <c r="I340" i="40"/>
  <c r="I341" i="40"/>
  <c r="I342" i="40"/>
  <c r="I343" i="40"/>
  <c r="I344" i="40"/>
  <c r="I345" i="40"/>
  <c r="I346" i="40"/>
  <c r="I347" i="40"/>
  <c r="I348" i="40"/>
  <c r="I349" i="40"/>
  <c r="I350" i="40"/>
  <c r="I351" i="40"/>
  <c r="I352" i="40"/>
  <c r="I353" i="40"/>
  <c r="I354" i="40"/>
  <c r="I355" i="40"/>
  <c r="I356" i="40"/>
  <c r="I357" i="40"/>
  <c r="I358" i="40"/>
  <c r="I359" i="40"/>
  <c r="I360" i="40"/>
  <c r="I361" i="40"/>
  <c r="I362" i="40"/>
  <c r="I363" i="40"/>
  <c r="I364" i="40"/>
  <c r="I365" i="40"/>
  <c r="I366" i="40"/>
  <c r="I367" i="40"/>
  <c r="I368" i="40"/>
  <c r="I369" i="40"/>
  <c r="I370" i="40"/>
  <c r="I371" i="40"/>
  <c r="I372" i="40"/>
  <c r="I373" i="40"/>
  <c r="I374" i="40"/>
  <c r="I375" i="40"/>
  <c r="I376" i="40"/>
  <c r="I377" i="40"/>
  <c r="I378" i="40"/>
  <c r="I379" i="40"/>
  <c r="I380" i="40"/>
  <c r="I381" i="40"/>
  <c r="I382" i="40"/>
  <c r="I383" i="40"/>
  <c r="I384" i="40"/>
  <c r="I385" i="40"/>
  <c r="I386" i="40"/>
  <c r="I387" i="40"/>
  <c r="I388" i="40"/>
  <c r="I389" i="40"/>
  <c r="I390" i="40"/>
  <c r="I391" i="40"/>
  <c r="I392" i="40"/>
  <c r="I393" i="40"/>
  <c r="I394" i="40"/>
  <c r="I395" i="40"/>
  <c r="I396" i="40"/>
  <c r="I397" i="40"/>
  <c r="I398" i="40"/>
  <c r="I399" i="40"/>
  <c r="I400" i="40"/>
  <c r="I401" i="40"/>
  <c r="I402" i="40"/>
  <c r="I403" i="40"/>
  <c r="I404" i="40"/>
  <c r="I405" i="40"/>
  <c r="I406" i="40"/>
  <c r="I407" i="40"/>
  <c r="I408" i="40"/>
  <c r="I409" i="40"/>
  <c r="I410" i="40"/>
  <c r="I411" i="40"/>
  <c r="I412" i="40"/>
  <c r="I413" i="40"/>
  <c r="I414" i="40"/>
  <c r="I415" i="40"/>
  <c r="I416" i="40"/>
  <c r="I417" i="40"/>
  <c r="I418" i="40"/>
  <c r="I419" i="40"/>
  <c r="I420" i="40"/>
  <c r="I421" i="40"/>
  <c r="I422" i="40"/>
  <c r="I423" i="40"/>
  <c r="I424" i="40"/>
  <c r="I425" i="40"/>
  <c r="I426" i="40"/>
  <c r="I427" i="40"/>
  <c r="I428" i="40"/>
  <c r="I429" i="40"/>
  <c r="I430" i="40"/>
  <c r="I431" i="40"/>
  <c r="I432" i="40"/>
  <c r="I433" i="40"/>
  <c r="I434" i="40"/>
  <c r="I435" i="40"/>
  <c r="I436" i="40"/>
  <c r="I437" i="40"/>
  <c r="I438" i="40"/>
  <c r="I439" i="40"/>
  <c r="I440" i="40"/>
  <c r="I441" i="40"/>
  <c r="I442" i="40"/>
  <c r="I443" i="40"/>
  <c r="I444" i="40"/>
  <c r="I445" i="40"/>
  <c r="I446" i="40"/>
  <c r="I447" i="40"/>
  <c r="I448" i="40"/>
  <c r="I449" i="40"/>
  <c r="I450" i="40"/>
  <c r="I451" i="40"/>
  <c r="I452" i="40"/>
  <c r="I453" i="40"/>
  <c r="I454" i="40"/>
  <c r="I455" i="40"/>
  <c r="I456" i="40"/>
  <c r="I457" i="40"/>
  <c r="I458" i="40"/>
  <c r="I459" i="40"/>
  <c r="I460" i="40"/>
  <c r="I461" i="40"/>
  <c r="I462" i="40"/>
  <c r="I463" i="40"/>
  <c r="I464" i="40"/>
  <c r="I465" i="40"/>
  <c r="I466" i="40"/>
  <c r="I467" i="40"/>
  <c r="I468" i="40"/>
  <c r="I469" i="40"/>
  <c r="I470" i="40"/>
  <c r="I471" i="40"/>
  <c r="I472" i="40"/>
  <c r="I473" i="40"/>
  <c r="I474" i="40"/>
  <c r="I475" i="40"/>
  <c r="I476" i="40"/>
  <c r="I477" i="40"/>
  <c r="I478" i="40"/>
  <c r="I479" i="40"/>
  <c r="I480" i="40"/>
  <c r="I481" i="40"/>
  <c r="I482" i="40"/>
  <c r="I483" i="40"/>
  <c r="I484" i="40"/>
  <c r="I485" i="40"/>
  <c r="I486" i="40"/>
  <c r="I487" i="40"/>
  <c r="I488" i="40"/>
  <c r="I489" i="40"/>
  <c r="I490" i="40"/>
  <c r="I491" i="40"/>
  <c r="I492" i="40"/>
  <c r="I493" i="40"/>
  <c r="I494" i="40"/>
  <c r="I495" i="40"/>
  <c r="I496" i="40"/>
  <c r="I497" i="40"/>
  <c r="I498" i="40"/>
  <c r="I499" i="40"/>
  <c r="I500" i="40"/>
  <c r="I501" i="40"/>
  <c r="I502" i="40"/>
  <c r="I503" i="40"/>
  <c r="I504" i="40"/>
  <c r="I505" i="40"/>
  <c r="I506" i="40"/>
  <c r="I507" i="40"/>
  <c r="I508" i="40"/>
  <c r="I509" i="40"/>
  <c r="I510" i="40"/>
  <c r="I511" i="40"/>
  <c r="I512" i="40"/>
  <c r="I513" i="40"/>
  <c r="I514" i="40"/>
  <c r="I515" i="40"/>
  <c r="I516" i="40"/>
  <c r="I517" i="40"/>
  <c r="I518" i="40"/>
  <c r="I519" i="40"/>
  <c r="I520" i="40"/>
  <c r="I521" i="40"/>
  <c r="I522" i="40"/>
  <c r="I523" i="40"/>
  <c r="I524" i="40"/>
  <c r="I525" i="40"/>
  <c r="I526" i="40"/>
  <c r="I527" i="40"/>
  <c r="I528" i="40"/>
  <c r="I529" i="40"/>
  <c r="I530" i="40"/>
  <c r="I531" i="40"/>
  <c r="I532" i="40"/>
  <c r="I533" i="40"/>
  <c r="I534" i="40"/>
  <c r="I535" i="40"/>
  <c r="I536" i="40"/>
  <c r="I537" i="40"/>
  <c r="I538" i="40"/>
  <c r="I539" i="40"/>
  <c r="I540" i="40"/>
  <c r="I541" i="40"/>
  <c r="I542" i="40"/>
  <c r="I543" i="40"/>
  <c r="I544" i="40"/>
  <c r="I545" i="40"/>
  <c r="I546" i="40"/>
  <c r="I547" i="40"/>
  <c r="I548" i="40"/>
  <c r="I549" i="40"/>
  <c r="I550" i="40"/>
  <c r="I551" i="40"/>
  <c r="I552" i="40"/>
  <c r="I553" i="40"/>
  <c r="I554" i="40"/>
  <c r="I555" i="40"/>
  <c r="I556" i="40"/>
  <c r="I557" i="40"/>
  <c r="I558" i="40"/>
  <c r="I559" i="40"/>
  <c r="I560" i="40"/>
  <c r="I561" i="40"/>
  <c r="I562" i="40"/>
  <c r="I563" i="40"/>
  <c r="I564" i="40"/>
  <c r="I565" i="40"/>
  <c r="I566" i="40"/>
  <c r="I567" i="40"/>
  <c r="I568" i="40"/>
  <c r="I569" i="40"/>
  <c r="I570" i="40"/>
  <c r="I571" i="40"/>
  <c r="I572" i="40"/>
  <c r="I573" i="40"/>
  <c r="I574" i="40"/>
  <c r="I575" i="40"/>
  <c r="I576" i="40"/>
  <c r="I577" i="40"/>
  <c r="I578" i="40"/>
  <c r="I579" i="40"/>
  <c r="I580" i="40"/>
  <c r="I581" i="40"/>
  <c r="I582" i="40"/>
  <c r="I583" i="40"/>
  <c r="I584" i="40"/>
  <c r="I585" i="40"/>
  <c r="I586" i="40"/>
  <c r="I587" i="40"/>
  <c r="I588" i="40"/>
  <c r="I589" i="40"/>
  <c r="I590" i="40"/>
  <c r="I591" i="40"/>
  <c r="I592" i="40"/>
  <c r="I593" i="40"/>
  <c r="I594" i="40"/>
  <c r="I595" i="40"/>
  <c r="I596" i="40"/>
  <c r="I597" i="40"/>
  <c r="I598" i="40"/>
  <c r="I599" i="40"/>
  <c r="I600" i="40"/>
  <c r="I601" i="40"/>
  <c r="I602" i="40"/>
  <c r="I603" i="40"/>
  <c r="I604" i="40"/>
  <c r="I605" i="40"/>
  <c r="I606" i="40"/>
  <c r="I607" i="40"/>
  <c r="I608" i="40"/>
  <c r="I609" i="40"/>
  <c r="I610" i="40"/>
  <c r="I611" i="40"/>
  <c r="I612" i="40"/>
  <c r="I613" i="40"/>
  <c r="I614" i="40"/>
  <c r="I615" i="40"/>
  <c r="I616" i="40"/>
  <c r="I617" i="40"/>
  <c r="I618" i="40"/>
  <c r="I619" i="40"/>
  <c r="I620" i="40"/>
  <c r="I621" i="40"/>
  <c r="I622" i="40"/>
  <c r="I623" i="40"/>
  <c r="I624" i="40"/>
  <c r="I625" i="40"/>
  <c r="I626" i="40"/>
  <c r="I627" i="40"/>
  <c r="I628" i="40"/>
  <c r="I629" i="40"/>
  <c r="I630" i="40"/>
  <c r="I631" i="40"/>
  <c r="I632" i="40"/>
  <c r="I633" i="40"/>
  <c r="I634" i="40"/>
  <c r="I635" i="40"/>
  <c r="I636" i="40"/>
  <c r="I637" i="40"/>
  <c r="I638" i="40"/>
  <c r="I639" i="40"/>
  <c r="I640" i="40"/>
  <c r="I641" i="40"/>
  <c r="I642" i="40"/>
  <c r="I643" i="40"/>
  <c r="I644" i="40"/>
  <c r="I645" i="40"/>
  <c r="I646" i="40"/>
  <c r="I647" i="40"/>
  <c r="I648" i="40"/>
  <c r="I649" i="40"/>
  <c r="I650" i="40"/>
  <c r="I651" i="40"/>
  <c r="I652" i="40"/>
  <c r="I653" i="40"/>
  <c r="I654" i="40"/>
  <c r="I655" i="40"/>
  <c r="I656" i="40"/>
  <c r="I657" i="40"/>
  <c r="I658" i="40"/>
  <c r="I659" i="40"/>
  <c r="I660" i="40"/>
  <c r="I661" i="40"/>
  <c r="I662" i="40"/>
  <c r="I663" i="40"/>
  <c r="I664" i="40"/>
  <c r="I665" i="40"/>
  <c r="I666" i="40"/>
  <c r="I667" i="40"/>
  <c r="I668" i="40"/>
  <c r="I669" i="40"/>
  <c r="I670" i="40"/>
  <c r="I671" i="40"/>
  <c r="I672" i="40"/>
  <c r="I673" i="40"/>
  <c r="I674" i="40"/>
  <c r="I675" i="40"/>
  <c r="I676" i="40"/>
  <c r="I677" i="40"/>
  <c r="I678" i="40"/>
  <c r="I679" i="40"/>
  <c r="I680" i="40"/>
  <c r="I681" i="40"/>
  <c r="I682" i="40"/>
  <c r="I683" i="40"/>
  <c r="I684" i="40"/>
  <c r="I685" i="40"/>
  <c r="I686" i="40"/>
  <c r="I687" i="40"/>
  <c r="I688" i="40"/>
  <c r="I689" i="40"/>
  <c r="I690" i="40"/>
  <c r="I691" i="40"/>
  <c r="I692" i="40"/>
  <c r="I693" i="40"/>
  <c r="I694" i="40"/>
  <c r="I695" i="40"/>
  <c r="I696" i="40"/>
  <c r="I697" i="40"/>
  <c r="I698" i="40"/>
  <c r="I699" i="40"/>
  <c r="I700" i="40"/>
  <c r="I701" i="40"/>
  <c r="I702" i="40"/>
  <c r="I703" i="40"/>
  <c r="I704" i="40"/>
  <c r="I705" i="40"/>
  <c r="I706" i="40"/>
  <c r="I707" i="40"/>
  <c r="I708" i="40"/>
  <c r="I709" i="40"/>
  <c r="I710" i="40"/>
  <c r="I711" i="40"/>
  <c r="I712" i="40"/>
  <c r="I713" i="40"/>
  <c r="I714" i="40"/>
  <c r="I715" i="40"/>
  <c r="I716" i="40"/>
  <c r="I717" i="40"/>
  <c r="I718" i="40"/>
  <c r="I719" i="40"/>
  <c r="I720" i="40"/>
  <c r="I721" i="40"/>
  <c r="I722" i="40"/>
  <c r="I723" i="40"/>
  <c r="I724" i="40"/>
  <c r="I725" i="40"/>
  <c r="I726" i="40"/>
  <c r="I727" i="40"/>
  <c r="I728" i="40"/>
  <c r="I729" i="40"/>
  <c r="I730" i="40"/>
  <c r="I731" i="40"/>
  <c r="I732" i="40"/>
  <c r="I733" i="40"/>
  <c r="I734" i="40"/>
  <c r="I735" i="40"/>
  <c r="I736" i="40"/>
  <c r="I737" i="40"/>
  <c r="I738" i="40"/>
  <c r="I739" i="40"/>
  <c r="I740" i="40"/>
  <c r="I741" i="40"/>
  <c r="I742" i="40"/>
  <c r="I743" i="40"/>
  <c r="I744" i="40"/>
  <c r="I745" i="40"/>
  <c r="I746" i="40"/>
  <c r="I747" i="40"/>
  <c r="I748" i="40"/>
  <c r="I749" i="40"/>
  <c r="I750" i="40"/>
  <c r="I751" i="40"/>
  <c r="I752" i="40"/>
  <c r="I753" i="40"/>
  <c r="I754" i="40"/>
  <c r="I755" i="40"/>
  <c r="I756" i="40"/>
  <c r="I757" i="40"/>
  <c r="I758" i="40"/>
  <c r="I759" i="40"/>
  <c r="I760" i="40"/>
  <c r="I761" i="40"/>
  <c r="I762" i="40"/>
  <c r="I763" i="40"/>
  <c r="I764" i="40"/>
  <c r="I765" i="40"/>
  <c r="I766" i="40"/>
  <c r="I767" i="40"/>
  <c r="I768" i="40"/>
  <c r="I769" i="40"/>
  <c r="I770" i="40"/>
  <c r="I771" i="40"/>
  <c r="I772" i="40"/>
  <c r="I773" i="40"/>
  <c r="I774" i="40"/>
  <c r="I775" i="40"/>
  <c r="I776" i="40"/>
  <c r="I777" i="40"/>
  <c r="I778" i="40"/>
  <c r="I779" i="40"/>
  <c r="I780" i="40"/>
  <c r="I781" i="40"/>
  <c r="I782" i="40"/>
  <c r="I783" i="40"/>
  <c r="I784" i="40"/>
  <c r="I785" i="40"/>
  <c r="I786" i="40"/>
  <c r="I787" i="40"/>
  <c r="I788" i="40"/>
  <c r="I789" i="40"/>
  <c r="I790" i="40"/>
  <c r="I791" i="40"/>
  <c r="I792" i="40"/>
  <c r="I793" i="40"/>
  <c r="I794" i="40"/>
  <c r="I795" i="40"/>
  <c r="I796" i="40"/>
  <c r="I797" i="40"/>
  <c r="I798" i="40"/>
  <c r="I799" i="40"/>
  <c r="I800" i="40"/>
  <c r="I801" i="40"/>
  <c r="I802" i="40"/>
  <c r="I803" i="40"/>
  <c r="I804" i="40"/>
  <c r="I805" i="40"/>
  <c r="I806" i="40"/>
  <c r="I807" i="40"/>
  <c r="I808" i="40"/>
  <c r="I809" i="40"/>
  <c r="I810" i="40"/>
  <c r="I811" i="40"/>
  <c r="I812" i="40"/>
  <c r="I813" i="40"/>
  <c r="I814" i="40"/>
  <c r="I815" i="40"/>
  <c r="I816" i="40"/>
  <c r="I817" i="40"/>
  <c r="I818" i="40"/>
  <c r="I819" i="40"/>
  <c r="I820" i="40"/>
  <c r="I821" i="40"/>
  <c r="I822" i="40"/>
  <c r="I823" i="40"/>
  <c r="I824" i="40"/>
  <c r="I825" i="40"/>
  <c r="I826" i="40"/>
  <c r="I827" i="40"/>
  <c r="I828" i="40"/>
  <c r="I829" i="40"/>
  <c r="I830" i="40"/>
  <c r="I831" i="40"/>
  <c r="I832" i="40"/>
  <c r="I833" i="40"/>
  <c r="I834" i="40"/>
  <c r="I835" i="40"/>
  <c r="I836" i="40"/>
  <c r="I837" i="40"/>
  <c r="I838" i="40"/>
  <c r="I839" i="40"/>
  <c r="I840" i="40"/>
  <c r="I841" i="40"/>
  <c r="I842" i="40"/>
  <c r="I843" i="40"/>
  <c r="I844" i="40"/>
  <c r="I845" i="40"/>
  <c r="I846" i="40"/>
  <c r="I847" i="40"/>
  <c r="I848" i="40"/>
  <c r="I849" i="40"/>
  <c r="I850" i="40"/>
  <c r="I851" i="40"/>
  <c r="I852" i="40"/>
  <c r="I853" i="40"/>
  <c r="I854" i="40"/>
  <c r="I855" i="40"/>
  <c r="I856" i="40"/>
  <c r="I857" i="40"/>
  <c r="I858" i="40"/>
  <c r="I859" i="40"/>
  <c r="I860" i="40"/>
  <c r="I861" i="40"/>
  <c r="I862" i="40"/>
  <c r="I863" i="40"/>
  <c r="I864" i="40"/>
  <c r="I865" i="40"/>
  <c r="I866" i="40"/>
  <c r="I867" i="40"/>
  <c r="I868" i="40"/>
  <c r="I869" i="40"/>
  <c r="I870" i="40"/>
  <c r="I871" i="40"/>
  <c r="I872" i="40"/>
  <c r="I873" i="40"/>
  <c r="I874" i="40"/>
  <c r="I875" i="40"/>
  <c r="I876" i="40"/>
  <c r="I877" i="40"/>
  <c r="I878" i="40"/>
  <c r="I879" i="40"/>
  <c r="I880" i="40"/>
  <c r="I881" i="40"/>
  <c r="I882" i="40"/>
  <c r="I883" i="40"/>
  <c r="I884" i="40"/>
  <c r="I885" i="40"/>
  <c r="I886" i="40"/>
  <c r="I887" i="40"/>
  <c r="I888" i="40"/>
  <c r="I889" i="40"/>
  <c r="I890" i="40"/>
  <c r="I891" i="40"/>
  <c r="I892" i="40"/>
  <c r="I893" i="40"/>
  <c r="I894" i="40"/>
  <c r="I895" i="40"/>
  <c r="I896" i="40"/>
  <c r="I897" i="40"/>
  <c r="I898" i="40"/>
  <c r="I899" i="40"/>
  <c r="I900" i="40"/>
  <c r="I901" i="40"/>
  <c r="I902" i="40"/>
  <c r="I903" i="40"/>
  <c r="I904" i="40"/>
  <c r="I905" i="40"/>
  <c r="I906" i="40"/>
  <c r="I907" i="40"/>
  <c r="I908" i="40"/>
  <c r="I909" i="40"/>
  <c r="I910" i="40"/>
  <c r="I911" i="40"/>
  <c r="I912" i="40"/>
  <c r="I913" i="40"/>
  <c r="I914" i="40"/>
  <c r="I915" i="40"/>
  <c r="I916" i="40"/>
  <c r="I917" i="40"/>
  <c r="I918" i="40"/>
  <c r="I919" i="40"/>
  <c r="I920" i="40"/>
  <c r="I921" i="40"/>
  <c r="I922" i="40"/>
  <c r="I923" i="40"/>
  <c r="I924" i="40"/>
  <c r="I925" i="40"/>
  <c r="I926" i="40"/>
  <c r="I927" i="40"/>
  <c r="I928" i="40"/>
  <c r="I929" i="40"/>
  <c r="I930" i="40"/>
  <c r="I931" i="40"/>
  <c r="I932" i="40"/>
  <c r="I933" i="40"/>
  <c r="I934" i="40"/>
  <c r="I935" i="40"/>
  <c r="I936" i="40"/>
  <c r="I937" i="40"/>
  <c r="I938" i="40"/>
  <c r="I939" i="40"/>
  <c r="I940" i="40"/>
  <c r="I941" i="40"/>
  <c r="I942" i="40"/>
  <c r="I943" i="40"/>
  <c r="I944" i="40"/>
  <c r="I945" i="40"/>
  <c r="I946" i="40"/>
  <c r="I947" i="40"/>
  <c r="I948" i="40"/>
  <c r="I949" i="40"/>
  <c r="I950" i="40"/>
  <c r="I951" i="40"/>
  <c r="I952" i="40"/>
  <c r="I953" i="40"/>
  <c r="I954" i="40"/>
  <c r="I955" i="40"/>
  <c r="I956" i="40"/>
  <c r="I957" i="40"/>
  <c r="I958" i="40"/>
  <c r="I959" i="40"/>
  <c r="I960" i="40"/>
  <c r="I961" i="40"/>
  <c r="I962" i="40"/>
  <c r="I963" i="40"/>
  <c r="I964" i="40"/>
  <c r="I965" i="40"/>
  <c r="I966" i="40"/>
  <c r="I967" i="40"/>
  <c r="I968" i="40"/>
  <c r="I969" i="40"/>
  <c r="I970" i="40"/>
  <c r="I971" i="40"/>
  <c r="I972" i="40"/>
  <c r="I973" i="40"/>
  <c r="I974" i="40"/>
  <c r="I975" i="40"/>
  <c r="I976" i="40"/>
  <c r="I977" i="40"/>
  <c r="I978" i="40"/>
  <c r="I979" i="40"/>
  <c r="I980" i="40"/>
  <c r="I981" i="40"/>
  <c r="I982" i="40"/>
  <c r="I983" i="40"/>
  <c r="I984" i="40"/>
  <c r="I985" i="40"/>
  <c r="I986" i="40"/>
  <c r="I987" i="40"/>
  <c r="I988" i="40"/>
  <c r="I989" i="40"/>
  <c r="I990" i="40"/>
  <c r="I991" i="40"/>
  <c r="I992" i="40"/>
  <c r="I993" i="40"/>
  <c r="I994" i="40"/>
  <c r="I995" i="40"/>
  <c r="I996" i="40"/>
  <c r="I997" i="40"/>
  <c r="I998" i="40"/>
  <c r="I999" i="40"/>
  <c r="I1000" i="40"/>
  <c r="I1001" i="40"/>
  <c r="I1002" i="40"/>
  <c r="I1003" i="40"/>
  <c r="I1004" i="40"/>
  <c r="I1005" i="40"/>
  <c r="I1006" i="40"/>
  <c r="I1007" i="40"/>
  <c r="I1008" i="40"/>
  <c r="I1009" i="40"/>
  <c r="I1010" i="40"/>
  <c r="I1011" i="40"/>
  <c r="I1012" i="40"/>
  <c r="I1013" i="40"/>
  <c r="I1014" i="40"/>
  <c r="I1015" i="40"/>
  <c r="I1016" i="40"/>
  <c r="I1017" i="40"/>
  <c r="I1018" i="40"/>
  <c r="I1019" i="40"/>
  <c r="I1020" i="40"/>
  <c r="I1021" i="40"/>
  <c r="I1022" i="40"/>
  <c r="I1023" i="40"/>
  <c r="I1024" i="40"/>
  <c r="I1025" i="40"/>
  <c r="I1026" i="40"/>
  <c r="I1027" i="40"/>
  <c r="I1028" i="40"/>
  <c r="I1029" i="40"/>
  <c r="I1030" i="40"/>
  <c r="I1031" i="40"/>
  <c r="I1032" i="40"/>
  <c r="I1033" i="40"/>
  <c r="I1034" i="40"/>
  <c r="I1035" i="40"/>
  <c r="I1036" i="40"/>
  <c r="I1037" i="40"/>
  <c r="I1038" i="40"/>
  <c r="I1039" i="40"/>
  <c r="I1040" i="40"/>
  <c r="I1041" i="40"/>
  <c r="I1042" i="40"/>
  <c r="I1043" i="40"/>
  <c r="I1044" i="40"/>
  <c r="I1045" i="40"/>
  <c r="I1046" i="40"/>
  <c r="I1047" i="40"/>
  <c r="I1048" i="40"/>
  <c r="I1049" i="40"/>
  <c r="I1050" i="40"/>
  <c r="I1051" i="40"/>
  <c r="I1052" i="40"/>
  <c r="I1053" i="40"/>
  <c r="I1054" i="40"/>
  <c r="I1055" i="40"/>
  <c r="I1056" i="40"/>
  <c r="I1057" i="40"/>
  <c r="I1058" i="40"/>
  <c r="I1059" i="40"/>
  <c r="I1060" i="40"/>
  <c r="I1061" i="40"/>
  <c r="I1062" i="40"/>
  <c r="I1063" i="40"/>
  <c r="I1064" i="40"/>
  <c r="I1065" i="40"/>
  <c r="I1066" i="40"/>
  <c r="I1067" i="40"/>
  <c r="I1068" i="40"/>
  <c r="I1069" i="40"/>
  <c r="I1070" i="40"/>
  <c r="I1071" i="40"/>
  <c r="I1072" i="40"/>
  <c r="I1073" i="40"/>
  <c r="I1074" i="40"/>
  <c r="I1075" i="40"/>
  <c r="I1076" i="40"/>
  <c r="I1077" i="40"/>
  <c r="I1078" i="40"/>
  <c r="I1079" i="40"/>
  <c r="I1080" i="40"/>
  <c r="I1081" i="40"/>
  <c r="I1082" i="40"/>
  <c r="I1083" i="40"/>
  <c r="I1084" i="40"/>
  <c r="I1085" i="40"/>
  <c r="I1086" i="40"/>
  <c r="I1087" i="40"/>
  <c r="I1088" i="40"/>
  <c r="I1089" i="40"/>
  <c r="I1090" i="40"/>
  <c r="I1091" i="40"/>
  <c r="I1092" i="40"/>
  <c r="I1093" i="40"/>
  <c r="I1094" i="40"/>
  <c r="I1095" i="40"/>
  <c r="I1096" i="40"/>
  <c r="I1097" i="40"/>
  <c r="I1098" i="40"/>
  <c r="I1099" i="40"/>
  <c r="I1100" i="40"/>
  <c r="I1101" i="40"/>
  <c r="I1102" i="40"/>
  <c r="I1103" i="40"/>
  <c r="I1104" i="40"/>
  <c r="I1105" i="40"/>
  <c r="I1106" i="40"/>
  <c r="I1107" i="40"/>
  <c r="I1108" i="40"/>
  <c r="I1109" i="40"/>
  <c r="I1110" i="40"/>
  <c r="I1111" i="40"/>
  <c r="I1112" i="40"/>
  <c r="I1113" i="40"/>
  <c r="I1114" i="40"/>
  <c r="I1115" i="40"/>
  <c r="I1116" i="40"/>
  <c r="I1117" i="40"/>
  <c r="I1118" i="40"/>
  <c r="I1119" i="40"/>
  <c r="I1120" i="40"/>
  <c r="I1121" i="40"/>
  <c r="I1122" i="40"/>
  <c r="I1123" i="40"/>
  <c r="I1124" i="40"/>
  <c r="I1125" i="40"/>
  <c r="I1126" i="40"/>
  <c r="I1127" i="40"/>
  <c r="I1128" i="40"/>
  <c r="I1129" i="40"/>
  <c r="I1130" i="40"/>
  <c r="I1131" i="40"/>
  <c r="I1132" i="40"/>
  <c r="I1133" i="40"/>
  <c r="I1134" i="40"/>
  <c r="I1135" i="40"/>
  <c r="I1136" i="40"/>
  <c r="I1137" i="40"/>
  <c r="I1138" i="40"/>
  <c r="I1139" i="40"/>
  <c r="I1140" i="40"/>
  <c r="I1141" i="40"/>
  <c r="I1142" i="40"/>
  <c r="I1143" i="40"/>
  <c r="I1144" i="40"/>
  <c r="I1145" i="40"/>
  <c r="I1146" i="40"/>
  <c r="I1147" i="40"/>
  <c r="I1148" i="40"/>
  <c r="I1149" i="40"/>
  <c r="I1150" i="40"/>
  <c r="I1151" i="40"/>
  <c r="I1152" i="40"/>
  <c r="I1153" i="40"/>
  <c r="I1154" i="40"/>
  <c r="I1155" i="40"/>
  <c r="I1156" i="40"/>
  <c r="I1157" i="40"/>
  <c r="I1158" i="40"/>
  <c r="I1159" i="40"/>
  <c r="I1160" i="40"/>
  <c r="I1161" i="40"/>
  <c r="I1162" i="40"/>
  <c r="I1163" i="40"/>
  <c r="I1164" i="40"/>
  <c r="I1165" i="40"/>
  <c r="I1166" i="40"/>
  <c r="I1167" i="40"/>
  <c r="I1168" i="40"/>
  <c r="I1169" i="40"/>
  <c r="I1170" i="40"/>
  <c r="I1171" i="40"/>
  <c r="I1172" i="40"/>
  <c r="I1173" i="40"/>
  <c r="I1174" i="40"/>
  <c r="I1175" i="40"/>
  <c r="I1176" i="40"/>
  <c r="I1177" i="40"/>
  <c r="I1178" i="40"/>
  <c r="I1179" i="40"/>
  <c r="I1180" i="40"/>
  <c r="I1181" i="40"/>
  <c r="I1182" i="40"/>
  <c r="I1183" i="40"/>
  <c r="I1184" i="40"/>
  <c r="I1185" i="40"/>
  <c r="I1186" i="40"/>
  <c r="I1187" i="40"/>
  <c r="I1188" i="40"/>
  <c r="I1189" i="40"/>
  <c r="I1190" i="40"/>
  <c r="I1191" i="40"/>
  <c r="I1192" i="40"/>
  <c r="I1193" i="40"/>
  <c r="I1194" i="40"/>
  <c r="I1195" i="40"/>
  <c r="I1196" i="40"/>
  <c r="I1197" i="40"/>
  <c r="I1198" i="40"/>
  <c r="I1199" i="40"/>
  <c r="I1200" i="40"/>
  <c r="I1201" i="40"/>
  <c r="I1202" i="40"/>
  <c r="I1203" i="40"/>
  <c r="I1204" i="40"/>
  <c r="I1205" i="40"/>
  <c r="I1206" i="40"/>
  <c r="I1207" i="40"/>
  <c r="I1208" i="40"/>
  <c r="I1209" i="40"/>
  <c r="I1210" i="40"/>
  <c r="I1211" i="40"/>
  <c r="I1212" i="40"/>
  <c r="I1213" i="40"/>
  <c r="I1214" i="40"/>
  <c r="I1215" i="40"/>
  <c r="I1216" i="40"/>
  <c r="I1217" i="40"/>
  <c r="I1218" i="40"/>
  <c r="I1219" i="40"/>
  <c r="I1220" i="40"/>
  <c r="I1221" i="40"/>
  <c r="I1222" i="40"/>
  <c r="I1223" i="40"/>
  <c r="I1224" i="40"/>
  <c r="I1225" i="40"/>
  <c r="I1226" i="40"/>
  <c r="I1227" i="40"/>
  <c r="I1228" i="40"/>
  <c r="I1229" i="40"/>
  <c r="I1230" i="40"/>
  <c r="I1231" i="40"/>
  <c r="I1232" i="40"/>
  <c r="I1233" i="40"/>
  <c r="I1234" i="40"/>
  <c r="I1235" i="40"/>
  <c r="I1236" i="40"/>
  <c r="I1237" i="40"/>
  <c r="I1238" i="40"/>
  <c r="I1239" i="40"/>
  <c r="I1240" i="40"/>
  <c r="I1241" i="40"/>
  <c r="I1242" i="40"/>
  <c r="I1243" i="40"/>
  <c r="I1244" i="40"/>
  <c r="I1245" i="40"/>
  <c r="I1246" i="40"/>
  <c r="I1247" i="40"/>
  <c r="I1248" i="40"/>
  <c r="I1249" i="40"/>
  <c r="I1250" i="40"/>
  <c r="I1251" i="40"/>
  <c r="I1252" i="40"/>
  <c r="I1253" i="40"/>
  <c r="I1254" i="40"/>
  <c r="I1255" i="40"/>
  <c r="I1256" i="40"/>
  <c r="I1257" i="40"/>
  <c r="I1258" i="40"/>
  <c r="I1259" i="40"/>
  <c r="I1260" i="40"/>
  <c r="I1261" i="40"/>
  <c r="I1262" i="40"/>
  <c r="I1263" i="40"/>
  <c r="I1264" i="40"/>
  <c r="I1265" i="40"/>
  <c r="I1266" i="40"/>
  <c r="I1267" i="40"/>
  <c r="I1268" i="40"/>
  <c r="I1269" i="40"/>
  <c r="I1270" i="40"/>
  <c r="I1271" i="40"/>
  <c r="I1272" i="40"/>
  <c r="I1273" i="40"/>
  <c r="I1274" i="40"/>
  <c r="I2" i="40"/>
  <c r="H2" i="40"/>
  <c r="H4" i="40"/>
  <c r="H5" i="40"/>
  <c r="H6" i="40"/>
  <c r="H7" i="40"/>
  <c r="H8" i="40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23" i="40"/>
  <c r="H24" i="40"/>
  <c r="H25" i="40"/>
  <c r="H26" i="40"/>
  <c r="H27" i="40"/>
  <c r="H28" i="40"/>
  <c r="H29" i="40"/>
  <c r="H30" i="40"/>
  <c r="H31" i="40"/>
  <c r="H32" i="40"/>
  <c r="H33" i="40"/>
  <c r="H34" i="40"/>
  <c r="H35" i="40"/>
  <c r="H36" i="40"/>
  <c r="H37" i="40"/>
  <c r="H38" i="40"/>
  <c r="H39" i="40"/>
  <c r="H40" i="40"/>
  <c r="H41" i="40"/>
  <c r="H42" i="40"/>
  <c r="H43" i="40"/>
  <c r="H44" i="40"/>
  <c r="H45" i="40"/>
  <c r="H46" i="40"/>
  <c r="H47" i="40"/>
  <c r="H48" i="40"/>
  <c r="H49" i="40"/>
  <c r="H50" i="40"/>
  <c r="H51" i="40"/>
  <c r="H52" i="40"/>
  <c r="H53" i="40"/>
  <c r="H54" i="40"/>
  <c r="H55" i="40"/>
  <c r="H56" i="40"/>
  <c r="H57" i="40"/>
  <c r="H58" i="40"/>
  <c r="H59" i="40"/>
  <c r="H60" i="40"/>
  <c r="H61" i="40"/>
  <c r="H62" i="40"/>
  <c r="H63" i="40"/>
  <c r="H64" i="40"/>
  <c r="H65" i="40"/>
  <c r="H66" i="40"/>
  <c r="H67" i="40"/>
  <c r="H68" i="40"/>
  <c r="H69" i="40"/>
  <c r="H70" i="40"/>
  <c r="H71" i="40"/>
  <c r="H72" i="40"/>
  <c r="H73" i="40"/>
  <c r="H74" i="40"/>
  <c r="H75" i="40"/>
  <c r="H76" i="40"/>
  <c r="H77" i="40"/>
  <c r="H78" i="40"/>
  <c r="H79" i="40"/>
  <c r="H80" i="40"/>
  <c r="H81" i="40"/>
  <c r="H82" i="40"/>
  <c r="H83" i="40"/>
  <c r="H84" i="40"/>
  <c r="H85" i="40"/>
  <c r="H86" i="40"/>
  <c r="H87" i="40"/>
  <c r="H88" i="40"/>
  <c r="H89" i="40"/>
  <c r="H90" i="40"/>
  <c r="H91" i="40"/>
  <c r="H92" i="40"/>
  <c r="H93" i="40"/>
  <c r="H94" i="40"/>
  <c r="H95" i="40"/>
  <c r="H96" i="40"/>
  <c r="H97" i="40"/>
  <c r="H98" i="40"/>
  <c r="H99" i="40"/>
  <c r="H100" i="40"/>
  <c r="H101" i="40"/>
  <c r="H102" i="40"/>
  <c r="H103" i="40"/>
  <c r="H104" i="40"/>
  <c r="H105" i="40"/>
  <c r="H106" i="40"/>
  <c r="H107" i="40"/>
  <c r="H108" i="40"/>
  <c r="H109" i="40"/>
  <c r="H110" i="40"/>
  <c r="H111" i="40"/>
  <c r="H112" i="40"/>
  <c r="H113" i="40"/>
  <c r="H114" i="40"/>
  <c r="H115" i="40"/>
  <c r="H116" i="40"/>
  <c r="H117" i="40"/>
  <c r="H118" i="40"/>
  <c r="H119" i="40"/>
  <c r="H120" i="40"/>
  <c r="H121" i="40"/>
  <c r="H122" i="40"/>
  <c r="H123" i="40"/>
  <c r="H124" i="40"/>
  <c r="H125" i="40"/>
  <c r="H126" i="40"/>
  <c r="H127" i="40"/>
  <c r="H128" i="40"/>
  <c r="H129" i="40"/>
  <c r="H130" i="40"/>
  <c r="H131" i="40"/>
  <c r="H132" i="40"/>
  <c r="H133" i="40"/>
  <c r="H134" i="40"/>
  <c r="H135" i="40"/>
  <c r="H136" i="40"/>
  <c r="H137" i="40"/>
  <c r="H138" i="40"/>
  <c r="H139" i="40"/>
  <c r="H140" i="40"/>
  <c r="H141" i="40"/>
  <c r="H142" i="40"/>
  <c r="H143" i="40"/>
  <c r="H144" i="40"/>
  <c r="H145" i="40"/>
  <c r="H146" i="40"/>
  <c r="H147" i="40"/>
  <c r="H148" i="40"/>
  <c r="H149" i="40"/>
  <c r="H150" i="40"/>
  <c r="H151" i="40"/>
  <c r="H152" i="40"/>
  <c r="H153" i="40"/>
  <c r="H154" i="40"/>
  <c r="H155" i="40"/>
  <c r="H156" i="40"/>
  <c r="H157" i="40"/>
  <c r="H158" i="40"/>
  <c r="H159" i="40"/>
  <c r="H160" i="40"/>
  <c r="H161" i="40"/>
  <c r="H162" i="40"/>
  <c r="H163" i="40"/>
  <c r="H164" i="40"/>
  <c r="H165" i="40"/>
  <c r="H166" i="40"/>
  <c r="H167" i="40"/>
  <c r="H168" i="40"/>
  <c r="H169" i="40"/>
  <c r="H170" i="40"/>
  <c r="H171" i="40"/>
  <c r="H172" i="40"/>
  <c r="H173" i="40"/>
  <c r="H174" i="40"/>
  <c r="H175" i="40"/>
  <c r="H176" i="40"/>
  <c r="H177" i="40"/>
  <c r="H178" i="40"/>
  <c r="H179" i="40"/>
  <c r="H180" i="40"/>
  <c r="H181" i="40"/>
  <c r="H182" i="40"/>
  <c r="H183" i="40"/>
  <c r="H184" i="40"/>
  <c r="H185" i="40"/>
  <c r="H186" i="40"/>
  <c r="H187" i="40"/>
  <c r="H188" i="40"/>
  <c r="H189" i="40"/>
  <c r="H190" i="40"/>
  <c r="H191" i="40"/>
  <c r="H192" i="40"/>
  <c r="H193" i="40"/>
  <c r="H194" i="40"/>
  <c r="H195" i="40"/>
  <c r="H196" i="40"/>
  <c r="H197" i="40"/>
  <c r="H198" i="40"/>
  <c r="H199" i="40"/>
  <c r="H200" i="40"/>
  <c r="H201" i="40"/>
  <c r="H202" i="40"/>
  <c r="H203" i="40"/>
  <c r="H204" i="40"/>
  <c r="H205" i="40"/>
  <c r="H206" i="40"/>
  <c r="H207" i="40"/>
  <c r="H208" i="40"/>
  <c r="H209" i="40"/>
  <c r="H210" i="40"/>
  <c r="H211" i="40"/>
  <c r="H212" i="40"/>
  <c r="H213" i="40"/>
  <c r="H214" i="40"/>
  <c r="H215" i="40"/>
  <c r="H216" i="40"/>
  <c r="H217" i="40"/>
  <c r="H218" i="40"/>
  <c r="H219" i="40"/>
  <c r="H220" i="40"/>
  <c r="H221" i="40"/>
  <c r="H222" i="40"/>
  <c r="H223" i="40"/>
  <c r="H224" i="40"/>
  <c r="H225" i="40"/>
  <c r="H226" i="40"/>
  <c r="H227" i="40"/>
  <c r="H228" i="40"/>
  <c r="H229" i="40"/>
  <c r="H230" i="40"/>
  <c r="H231" i="40"/>
  <c r="H232" i="40"/>
  <c r="H233" i="40"/>
  <c r="H234" i="40"/>
  <c r="H235" i="40"/>
  <c r="H236" i="40"/>
  <c r="H237" i="40"/>
  <c r="H238" i="40"/>
  <c r="H239" i="40"/>
  <c r="H240" i="40"/>
  <c r="H241" i="40"/>
  <c r="H242" i="40"/>
  <c r="H243" i="40"/>
  <c r="H244" i="40"/>
  <c r="H245" i="40"/>
  <c r="H246" i="40"/>
  <c r="H247" i="40"/>
  <c r="H248" i="40"/>
  <c r="H249" i="40"/>
  <c r="H250" i="40"/>
  <c r="H251" i="40"/>
  <c r="H252" i="40"/>
  <c r="H253" i="40"/>
  <c r="H254" i="40"/>
  <c r="H255" i="40"/>
  <c r="H256" i="40"/>
  <c r="H257" i="40"/>
  <c r="H258" i="40"/>
  <c r="H259" i="40"/>
  <c r="H260" i="40"/>
  <c r="H261" i="40"/>
  <c r="H262" i="40"/>
  <c r="H263" i="40"/>
  <c r="H264" i="40"/>
  <c r="H265" i="40"/>
  <c r="H266" i="40"/>
  <c r="H267" i="40"/>
  <c r="H268" i="40"/>
  <c r="H269" i="40"/>
  <c r="H270" i="40"/>
  <c r="H271" i="40"/>
  <c r="H272" i="40"/>
  <c r="H273" i="40"/>
  <c r="H274" i="40"/>
  <c r="H275" i="40"/>
  <c r="H276" i="40"/>
  <c r="H277" i="40"/>
  <c r="H278" i="40"/>
  <c r="H279" i="40"/>
  <c r="H280" i="40"/>
  <c r="H281" i="40"/>
  <c r="H282" i="40"/>
  <c r="H283" i="40"/>
  <c r="H284" i="40"/>
  <c r="H285" i="40"/>
  <c r="H286" i="40"/>
  <c r="H287" i="40"/>
  <c r="H288" i="40"/>
  <c r="H289" i="40"/>
  <c r="H290" i="40"/>
  <c r="H291" i="40"/>
  <c r="H292" i="40"/>
  <c r="H293" i="40"/>
  <c r="H294" i="40"/>
  <c r="H295" i="40"/>
  <c r="H296" i="40"/>
  <c r="H297" i="40"/>
  <c r="H298" i="40"/>
  <c r="H299" i="40"/>
  <c r="H300" i="40"/>
  <c r="H301" i="40"/>
  <c r="H302" i="40"/>
  <c r="H303" i="40"/>
  <c r="H304" i="40"/>
  <c r="H305" i="40"/>
  <c r="H306" i="40"/>
  <c r="H307" i="40"/>
  <c r="H308" i="40"/>
  <c r="H309" i="40"/>
  <c r="H310" i="40"/>
  <c r="H311" i="40"/>
  <c r="H312" i="40"/>
  <c r="H313" i="40"/>
  <c r="H314" i="40"/>
  <c r="H315" i="40"/>
  <c r="H316" i="40"/>
  <c r="H317" i="40"/>
  <c r="H318" i="40"/>
  <c r="H319" i="40"/>
  <c r="H320" i="40"/>
  <c r="H321" i="40"/>
  <c r="H322" i="40"/>
  <c r="H323" i="40"/>
  <c r="H324" i="40"/>
  <c r="H325" i="40"/>
  <c r="H326" i="40"/>
  <c r="H327" i="40"/>
  <c r="H328" i="40"/>
  <c r="H329" i="40"/>
  <c r="H330" i="40"/>
  <c r="H331" i="40"/>
  <c r="H332" i="40"/>
  <c r="H333" i="40"/>
  <c r="H334" i="40"/>
  <c r="H335" i="40"/>
  <c r="H336" i="40"/>
  <c r="H337" i="40"/>
  <c r="H338" i="40"/>
  <c r="H339" i="40"/>
  <c r="H340" i="40"/>
  <c r="H341" i="40"/>
  <c r="H342" i="40"/>
  <c r="H343" i="40"/>
  <c r="H344" i="40"/>
  <c r="H345" i="40"/>
  <c r="H346" i="40"/>
  <c r="H347" i="40"/>
  <c r="H348" i="40"/>
  <c r="H349" i="40"/>
  <c r="H350" i="40"/>
  <c r="H351" i="40"/>
  <c r="H352" i="40"/>
  <c r="H353" i="40"/>
  <c r="H354" i="40"/>
  <c r="H355" i="40"/>
  <c r="H356" i="40"/>
  <c r="H357" i="40"/>
  <c r="H358" i="40"/>
  <c r="H359" i="40"/>
  <c r="H360" i="40"/>
  <c r="H361" i="40"/>
  <c r="H362" i="40"/>
  <c r="H363" i="40"/>
  <c r="H364" i="40"/>
  <c r="H365" i="40"/>
  <c r="H366" i="40"/>
  <c r="H367" i="40"/>
  <c r="H368" i="40"/>
  <c r="H369" i="40"/>
  <c r="H370" i="40"/>
  <c r="H371" i="40"/>
  <c r="H372" i="40"/>
  <c r="H373" i="40"/>
  <c r="H374" i="40"/>
  <c r="H375" i="40"/>
  <c r="H376" i="40"/>
  <c r="H377" i="40"/>
  <c r="H378" i="40"/>
  <c r="H379" i="40"/>
  <c r="H380" i="40"/>
  <c r="H381" i="40"/>
  <c r="H382" i="40"/>
  <c r="H383" i="40"/>
  <c r="H384" i="40"/>
  <c r="H385" i="40"/>
  <c r="H386" i="40"/>
  <c r="H387" i="40"/>
  <c r="H388" i="40"/>
  <c r="H389" i="40"/>
  <c r="H390" i="40"/>
  <c r="H391" i="40"/>
  <c r="H392" i="40"/>
  <c r="H393" i="40"/>
  <c r="H394" i="40"/>
  <c r="H395" i="40"/>
  <c r="H396" i="40"/>
  <c r="H397" i="40"/>
  <c r="H398" i="40"/>
  <c r="H399" i="40"/>
  <c r="H400" i="40"/>
  <c r="H401" i="40"/>
  <c r="H402" i="40"/>
  <c r="H403" i="40"/>
  <c r="H404" i="40"/>
  <c r="H405" i="40"/>
  <c r="H406" i="40"/>
  <c r="H407" i="40"/>
  <c r="H408" i="40"/>
  <c r="H409" i="40"/>
  <c r="H410" i="40"/>
  <c r="H411" i="40"/>
  <c r="H412" i="40"/>
  <c r="H413" i="40"/>
  <c r="H414" i="40"/>
  <c r="H415" i="40"/>
  <c r="H416" i="40"/>
  <c r="H417" i="40"/>
  <c r="H418" i="40"/>
  <c r="H419" i="40"/>
  <c r="H420" i="40"/>
  <c r="H421" i="40"/>
  <c r="H422" i="40"/>
  <c r="H423" i="40"/>
  <c r="H424" i="40"/>
  <c r="H425" i="40"/>
  <c r="H426" i="40"/>
  <c r="H427" i="40"/>
  <c r="H428" i="40"/>
  <c r="H429" i="40"/>
  <c r="H430" i="40"/>
  <c r="H431" i="40"/>
  <c r="H432" i="40"/>
  <c r="H433" i="40"/>
  <c r="H434" i="40"/>
  <c r="H435" i="40"/>
  <c r="H436" i="40"/>
  <c r="H437" i="40"/>
  <c r="H438" i="40"/>
  <c r="H439" i="40"/>
  <c r="H440" i="40"/>
  <c r="H441" i="40"/>
  <c r="H442" i="40"/>
  <c r="H443" i="40"/>
  <c r="H444" i="40"/>
  <c r="H445" i="40"/>
  <c r="H446" i="40"/>
  <c r="H447" i="40"/>
  <c r="H448" i="40"/>
  <c r="H449" i="40"/>
  <c r="H450" i="40"/>
  <c r="H451" i="40"/>
  <c r="H452" i="40"/>
  <c r="H453" i="40"/>
  <c r="H454" i="40"/>
  <c r="H455" i="40"/>
  <c r="H456" i="40"/>
  <c r="H457" i="40"/>
  <c r="H458" i="40"/>
  <c r="H459" i="40"/>
  <c r="H460" i="40"/>
  <c r="H461" i="40"/>
  <c r="H462" i="40"/>
  <c r="H463" i="40"/>
  <c r="H464" i="40"/>
  <c r="H465" i="40"/>
  <c r="H466" i="40"/>
  <c r="H467" i="40"/>
  <c r="H468" i="40"/>
  <c r="H469" i="40"/>
  <c r="H470" i="40"/>
  <c r="H471" i="40"/>
  <c r="H472" i="40"/>
  <c r="H473" i="40"/>
  <c r="H474" i="40"/>
  <c r="H475" i="40"/>
  <c r="H476" i="40"/>
  <c r="H477" i="40"/>
  <c r="H478" i="40"/>
  <c r="H479" i="40"/>
  <c r="H480" i="40"/>
  <c r="H481" i="40"/>
  <c r="H482" i="40"/>
  <c r="H483" i="40"/>
  <c r="H484" i="40"/>
  <c r="H485" i="40"/>
  <c r="H486" i="40"/>
  <c r="H487" i="40"/>
  <c r="H488" i="40"/>
  <c r="H489" i="40"/>
  <c r="H490" i="40"/>
  <c r="H491" i="40"/>
  <c r="H492" i="40"/>
  <c r="H493" i="40"/>
  <c r="H494" i="40"/>
  <c r="H495" i="40"/>
  <c r="H496" i="40"/>
  <c r="H497" i="40"/>
  <c r="H498" i="40"/>
  <c r="H499" i="40"/>
  <c r="H500" i="40"/>
  <c r="H501" i="40"/>
  <c r="H502" i="40"/>
  <c r="H503" i="40"/>
  <c r="H504" i="40"/>
  <c r="H505" i="40"/>
  <c r="H506" i="40"/>
  <c r="H507" i="40"/>
  <c r="H508" i="40"/>
  <c r="H509" i="40"/>
  <c r="H510" i="40"/>
  <c r="H511" i="40"/>
  <c r="H512" i="40"/>
  <c r="H513" i="40"/>
  <c r="H514" i="40"/>
  <c r="H515" i="40"/>
  <c r="H516" i="40"/>
  <c r="H517" i="40"/>
  <c r="H518" i="40"/>
  <c r="H519" i="40"/>
  <c r="H520" i="40"/>
  <c r="H521" i="40"/>
  <c r="H522" i="40"/>
  <c r="H523" i="40"/>
  <c r="H524" i="40"/>
  <c r="H525" i="40"/>
  <c r="H526" i="40"/>
  <c r="H527" i="40"/>
  <c r="H528" i="40"/>
  <c r="H529" i="40"/>
  <c r="H530" i="40"/>
  <c r="H531" i="40"/>
  <c r="H532" i="40"/>
  <c r="H533" i="40"/>
  <c r="H534" i="40"/>
  <c r="H535" i="40"/>
  <c r="H536" i="40"/>
  <c r="H537" i="40"/>
  <c r="H538" i="40"/>
  <c r="H539" i="40"/>
  <c r="H540" i="40"/>
  <c r="H541" i="40"/>
  <c r="H542" i="40"/>
  <c r="H543" i="40"/>
  <c r="H544" i="40"/>
  <c r="H545" i="40"/>
  <c r="H546" i="40"/>
  <c r="H547" i="40"/>
  <c r="H548" i="40"/>
  <c r="H549" i="40"/>
  <c r="H550" i="40"/>
  <c r="H551" i="40"/>
  <c r="H552" i="40"/>
  <c r="H553" i="40"/>
  <c r="H554" i="40"/>
  <c r="H555" i="40"/>
  <c r="H556" i="40"/>
  <c r="H557" i="40"/>
  <c r="H558" i="40"/>
  <c r="H559" i="40"/>
  <c r="H560" i="40"/>
  <c r="H561" i="40"/>
  <c r="H562" i="40"/>
  <c r="H563" i="40"/>
  <c r="H564" i="40"/>
  <c r="H565" i="40"/>
  <c r="H566" i="40"/>
  <c r="H567" i="40"/>
  <c r="H568" i="40"/>
  <c r="H569" i="40"/>
  <c r="H570" i="40"/>
  <c r="H571" i="40"/>
  <c r="H572" i="40"/>
  <c r="H573" i="40"/>
  <c r="H574" i="40"/>
  <c r="H575" i="40"/>
  <c r="H576" i="40"/>
  <c r="H577" i="40"/>
  <c r="H578" i="40"/>
  <c r="H579" i="40"/>
  <c r="H580" i="40"/>
  <c r="H581" i="40"/>
  <c r="H582" i="40"/>
  <c r="H583" i="40"/>
  <c r="H584" i="40"/>
  <c r="H585" i="40"/>
  <c r="H586" i="40"/>
  <c r="H587" i="40"/>
  <c r="H588" i="40"/>
  <c r="H589" i="40"/>
  <c r="H590" i="40"/>
  <c r="H591" i="40"/>
  <c r="H592" i="40"/>
  <c r="H593" i="40"/>
  <c r="H594" i="40"/>
  <c r="H595" i="40"/>
  <c r="H596" i="40"/>
  <c r="H597" i="40"/>
  <c r="H598" i="40"/>
  <c r="H599" i="40"/>
  <c r="H600" i="40"/>
  <c r="H601" i="40"/>
  <c r="H602" i="40"/>
  <c r="H603" i="40"/>
  <c r="H604" i="40"/>
  <c r="H605" i="40"/>
  <c r="H606" i="40"/>
  <c r="H607" i="40"/>
  <c r="H608" i="40"/>
  <c r="H609" i="40"/>
  <c r="H610" i="40"/>
  <c r="H611" i="40"/>
  <c r="H612" i="40"/>
  <c r="H613" i="40"/>
  <c r="H614" i="40"/>
  <c r="H615" i="40"/>
  <c r="H616" i="40"/>
  <c r="H617" i="40"/>
  <c r="H618" i="40"/>
  <c r="H619" i="40"/>
  <c r="H620" i="40"/>
  <c r="H621" i="40"/>
  <c r="H622" i="40"/>
  <c r="H623" i="40"/>
  <c r="H624" i="40"/>
  <c r="H625" i="40"/>
  <c r="H626" i="40"/>
  <c r="H627" i="40"/>
  <c r="H628" i="40"/>
  <c r="H629" i="40"/>
  <c r="H630" i="40"/>
  <c r="H631" i="40"/>
  <c r="H632" i="40"/>
  <c r="H633" i="40"/>
  <c r="H634" i="40"/>
  <c r="H635" i="40"/>
  <c r="H636" i="40"/>
  <c r="H637" i="40"/>
  <c r="H638" i="40"/>
  <c r="H639" i="40"/>
  <c r="H640" i="40"/>
  <c r="H641" i="40"/>
  <c r="H642" i="40"/>
  <c r="H643" i="40"/>
  <c r="H644" i="40"/>
  <c r="H645" i="40"/>
  <c r="H646" i="40"/>
  <c r="H647" i="40"/>
  <c r="H648" i="40"/>
  <c r="H649" i="40"/>
  <c r="H650" i="40"/>
  <c r="H651" i="40"/>
  <c r="H652" i="40"/>
  <c r="H653" i="40"/>
  <c r="H654" i="40"/>
  <c r="H655" i="40"/>
  <c r="H656" i="40"/>
  <c r="H657" i="40"/>
  <c r="H658" i="40"/>
  <c r="H659" i="40"/>
  <c r="H660" i="40"/>
  <c r="H661" i="40"/>
  <c r="H662" i="40"/>
  <c r="H663" i="40"/>
  <c r="H664" i="40"/>
  <c r="H665" i="40"/>
  <c r="H666" i="40"/>
  <c r="H667" i="40"/>
  <c r="H668" i="40"/>
  <c r="H669" i="40"/>
  <c r="H670" i="40"/>
  <c r="H671" i="40"/>
  <c r="H672" i="40"/>
  <c r="H673" i="40"/>
  <c r="H674" i="40"/>
  <c r="H675" i="40"/>
  <c r="H676" i="40"/>
  <c r="H677" i="40"/>
  <c r="H678" i="40"/>
  <c r="H679" i="40"/>
  <c r="H680" i="40"/>
  <c r="H681" i="40"/>
  <c r="H682" i="40"/>
  <c r="H683" i="40"/>
  <c r="H684" i="40"/>
  <c r="H685" i="40"/>
  <c r="H686" i="40"/>
  <c r="H687" i="40"/>
  <c r="H688" i="40"/>
  <c r="H689" i="40"/>
  <c r="H690" i="40"/>
  <c r="H691" i="40"/>
  <c r="H692" i="40"/>
  <c r="H693" i="40"/>
  <c r="H694" i="40"/>
  <c r="H695" i="40"/>
  <c r="H696" i="40"/>
  <c r="H697" i="40"/>
  <c r="H698" i="40"/>
  <c r="H699" i="40"/>
  <c r="H700" i="40"/>
  <c r="H701" i="40"/>
  <c r="H702" i="40"/>
  <c r="H703" i="40"/>
  <c r="H704" i="40"/>
  <c r="H705" i="40"/>
  <c r="H706" i="40"/>
  <c r="H707" i="40"/>
  <c r="H708" i="40"/>
  <c r="H709" i="40"/>
  <c r="H710" i="40"/>
  <c r="H711" i="40"/>
  <c r="H712" i="40"/>
  <c r="H713" i="40"/>
  <c r="H714" i="40"/>
  <c r="H715" i="40"/>
  <c r="H716" i="40"/>
  <c r="H717" i="40"/>
  <c r="H718" i="40"/>
  <c r="H719" i="40"/>
  <c r="H720" i="40"/>
  <c r="H721" i="40"/>
  <c r="H722" i="40"/>
  <c r="H723" i="40"/>
  <c r="H724" i="40"/>
  <c r="H725" i="40"/>
  <c r="H726" i="40"/>
  <c r="H727" i="40"/>
  <c r="H728" i="40"/>
  <c r="H729" i="40"/>
  <c r="H730" i="40"/>
  <c r="H731" i="40"/>
  <c r="H732" i="40"/>
  <c r="H733" i="40"/>
  <c r="H734" i="40"/>
  <c r="H735" i="40"/>
  <c r="H736" i="40"/>
  <c r="H737" i="40"/>
  <c r="H738" i="40"/>
  <c r="H739" i="40"/>
  <c r="H740" i="40"/>
  <c r="H741" i="40"/>
  <c r="H742" i="40"/>
  <c r="H743" i="40"/>
  <c r="H744" i="40"/>
  <c r="H745" i="40"/>
  <c r="H746" i="40"/>
  <c r="H747" i="40"/>
  <c r="H748" i="40"/>
  <c r="H749" i="40"/>
  <c r="H750" i="40"/>
  <c r="H751" i="40"/>
  <c r="H752" i="40"/>
  <c r="H753" i="40"/>
  <c r="H754" i="40"/>
  <c r="H755" i="40"/>
  <c r="H756" i="40"/>
  <c r="H757" i="40"/>
  <c r="H758" i="40"/>
  <c r="H759" i="40"/>
  <c r="H760" i="40"/>
  <c r="H761" i="40"/>
  <c r="H762" i="40"/>
  <c r="H763" i="40"/>
  <c r="H764" i="40"/>
  <c r="H765" i="40"/>
  <c r="H766" i="40"/>
  <c r="H767" i="40"/>
  <c r="H768" i="40"/>
  <c r="H769" i="40"/>
  <c r="H770" i="40"/>
  <c r="H771" i="40"/>
  <c r="H772" i="40"/>
  <c r="H773" i="40"/>
  <c r="H774" i="40"/>
  <c r="H775" i="40"/>
  <c r="H776" i="40"/>
  <c r="H777" i="40"/>
  <c r="H778" i="40"/>
  <c r="H779" i="40"/>
  <c r="H780" i="40"/>
  <c r="H781" i="40"/>
  <c r="H782" i="40"/>
  <c r="H783" i="40"/>
  <c r="H784" i="40"/>
  <c r="H785" i="40"/>
  <c r="H786" i="40"/>
  <c r="H787" i="40"/>
  <c r="H788" i="40"/>
  <c r="H789" i="40"/>
  <c r="H790" i="40"/>
  <c r="H791" i="40"/>
  <c r="H792" i="40"/>
  <c r="H793" i="40"/>
  <c r="H794" i="40"/>
  <c r="H795" i="40"/>
  <c r="H796" i="40"/>
  <c r="H797" i="40"/>
  <c r="H798" i="40"/>
  <c r="H799" i="40"/>
  <c r="H800" i="40"/>
  <c r="H801" i="40"/>
  <c r="H802" i="40"/>
  <c r="H803" i="40"/>
  <c r="H804" i="40"/>
  <c r="H805" i="40"/>
  <c r="H806" i="40"/>
  <c r="H807" i="40"/>
  <c r="H808" i="40"/>
  <c r="H809" i="40"/>
  <c r="H810" i="40"/>
  <c r="H811" i="40"/>
  <c r="H812" i="40"/>
  <c r="H813" i="40"/>
  <c r="H814" i="40"/>
  <c r="H815" i="40"/>
  <c r="H816" i="40"/>
  <c r="H817" i="40"/>
  <c r="H818" i="40"/>
  <c r="H819" i="40"/>
  <c r="H820" i="40"/>
  <c r="H821" i="40"/>
  <c r="H822" i="40"/>
  <c r="H823" i="40"/>
  <c r="H824" i="40"/>
  <c r="H825" i="40"/>
  <c r="H826" i="40"/>
  <c r="H827" i="40"/>
  <c r="H828" i="40"/>
  <c r="H829" i="40"/>
  <c r="H830" i="40"/>
  <c r="H831" i="40"/>
  <c r="H832" i="40"/>
  <c r="H833" i="40"/>
  <c r="H834" i="40"/>
  <c r="H835" i="40"/>
  <c r="H836" i="40"/>
  <c r="H837" i="40"/>
  <c r="H838" i="40"/>
  <c r="H839" i="40"/>
  <c r="H840" i="40"/>
  <c r="H841" i="40"/>
  <c r="H842" i="40"/>
  <c r="H843" i="40"/>
  <c r="H844" i="40"/>
  <c r="H845" i="40"/>
  <c r="H846" i="40"/>
  <c r="H847" i="40"/>
  <c r="H848" i="40"/>
  <c r="H849" i="40"/>
  <c r="H850" i="40"/>
  <c r="H851" i="40"/>
  <c r="H852" i="40"/>
  <c r="H853" i="40"/>
  <c r="H854" i="40"/>
  <c r="H855" i="40"/>
  <c r="H856" i="40"/>
  <c r="H857" i="40"/>
  <c r="H858" i="40"/>
  <c r="H859" i="40"/>
  <c r="H860" i="40"/>
  <c r="H861" i="40"/>
  <c r="H862" i="40"/>
  <c r="H863" i="40"/>
  <c r="H864" i="40"/>
  <c r="H865" i="40"/>
  <c r="H866" i="40"/>
  <c r="H867" i="40"/>
  <c r="H868" i="40"/>
  <c r="H869" i="40"/>
  <c r="H870" i="40"/>
  <c r="H871" i="40"/>
  <c r="H872" i="40"/>
  <c r="H873" i="40"/>
  <c r="H874" i="40"/>
  <c r="H875" i="40"/>
  <c r="H876" i="40"/>
  <c r="H877" i="40"/>
  <c r="H878" i="40"/>
  <c r="H879" i="40"/>
  <c r="H880" i="40"/>
  <c r="H881" i="40"/>
  <c r="H882" i="40"/>
  <c r="H883" i="40"/>
  <c r="H884" i="40"/>
  <c r="H885" i="40"/>
  <c r="H886" i="40"/>
  <c r="H887" i="40"/>
  <c r="H888" i="40"/>
  <c r="H889" i="40"/>
  <c r="H890" i="40"/>
  <c r="H891" i="40"/>
  <c r="H892" i="40"/>
  <c r="H893" i="40"/>
  <c r="H894" i="40"/>
  <c r="H895" i="40"/>
  <c r="H896" i="40"/>
  <c r="H897" i="40"/>
  <c r="H898" i="40"/>
  <c r="H899" i="40"/>
  <c r="H900" i="40"/>
  <c r="H901" i="40"/>
  <c r="H902" i="40"/>
  <c r="H903" i="40"/>
  <c r="H904" i="40"/>
  <c r="H905" i="40"/>
  <c r="H906" i="40"/>
  <c r="H907" i="40"/>
  <c r="H908" i="40"/>
  <c r="H909" i="40"/>
  <c r="H910" i="40"/>
  <c r="H911" i="40"/>
  <c r="H912" i="40"/>
  <c r="H913" i="40"/>
  <c r="H914" i="40"/>
  <c r="H915" i="40"/>
  <c r="H916" i="40"/>
  <c r="H917" i="40"/>
  <c r="H918" i="40"/>
  <c r="H919" i="40"/>
  <c r="H920" i="40"/>
  <c r="H921" i="40"/>
  <c r="H922" i="40"/>
  <c r="H923" i="40"/>
  <c r="H924" i="40"/>
  <c r="H925" i="40"/>
  <c r="H926" i="40"/>
  <c r="H927" i="40"/>
  <c r="H928" i="40"/>
  <c r="H929" i="40"/>
  <c r="H930" i="40"/>
  <c r="H931" i="40"/>
  <c r="H932" i="40"/>
  <c r="H933" i="40"/>
  <c r="H934" i="40"/>
  <c r="H935" i="40"/>
  <c r="H936" i="40"/>
  <c r="H937" i="40"/>
  <c r="H938" i="40"/>
  <c r="H939" i="40"/>
  <c r="H940" i="40"/>
  <c r="H941" i="40"/>
  <c r="H942" i="40"/>
  <c r="H943" i="40"/>
  <c r="H944" i="40"/>
  <c r="H945" i="40"/>
  <c r="H946" i="40"/>
  <c r="H947" i="40"/>
  <c r="H948" i="40"/>
  <c r="H949" i="40"/>
  <c r="H950" i="40"/>
  <c r="H951" i="40"/>
  <c r="H952" i="40"/>
  <c r="H953" i="40"/>
  <c r="H954" i="40"/>
  <c r="H955" i="40"/>
  <c r="H956" i="40"/>
  <c r="H957" i="40"/>
  <c r="H958" i="40"/>
  <c r="H959" i="40"/>
  <c r="H960" i="40"/>
  <c r="H961" i="40"/>
  <c r="H962" i="40"/>
  <c r="H963" i="40"/>
  <c r="H964" i="40"/>
  <c r="H965" i="40"/>
  <c r="H966" i="40"/>
  <c r="H967" i="40"/>
  <c r="H968" i="40"/>
  <c r="H969" i="40"/>
  <c r="H970" i="40"/>
  <c r="H971" i="40"/>
  <c r="H972" i="40"/>
  <c r="H973" i="40"/>
  <c r="H974" i="40"/>
  <c r="H975" i="40"/>
  <c r="H976" i="40"/>
  <c r="H977" i="40"/>
  <c r="H978" i="40"/>
  <c r="H979" i="40"/>
  <c r="H980" i="40"/>
  <c r="H981" i="40"/>
  <c r="H982" i="40"/>
  <c r="H983" i="40"/>
  <c r="H984" i="40"/>
  <c r="H985" i="40"/>
  <c r="H986" i="40"/>
  <c r="H987" i="40"/>
  <c r="H988" i="40"/>
  <c r="H989" i="40"/>
  <c r="H990" i="40"/>
  <c r="H991" i="40"/>
  <c r="H992" i="40"/>
  <c r="H993" i="40"/>
  <c r="H994" i="40"/>
  <c r="H995" i="40"/>
  <c r="H996" i="40"/>
  <c r="H997" i="40"/>
  <c r="H998" i="40"/>
  <c r="H999" i="40"/>
  <c r="H1000" i="40"/>
  <c r="H1001" i="40"/>
  <c r="H1002" i="40"/>
  <c r="H1003" i="40"/>
  <c r="H1004" i="40"/>
  <c r="H1005" i="40"/>
  <c r="H1006" i="40"/>
  <c r="H1007" i="40"/>
  <c r="H1008" i="40"/>
  <c r="H1009" i="40"/>
  <c r="H1010" i="40"/>
  <c r="H1011" i="40"/>
  <c r="H1012" i="40"/>
  <c r="H1013" i="40"/>
  <c r="H1014" i="40"/>
  <c r="H1015" i="40"/>
  <c r="H1016" i="40"/>
  <c r="H1017" i="40"/>
  <c r="H1018" i="40"/>
  <c r="H1019" i="40"/>
  <c r="H1020" i="40"/>
  <c r="H1021" i="40"/>
  <c r="H1022" i="40"/>
  <c r="H1023" i="40"/>
  <c r="H1024" i="40"/>
  <c r="H1025" i="40"/>
  <c r="H1026" i="40"/>
  <c r="H1027" i="40"/>
  <c r="H1028" i="40"/>
  <c r="H1029" i="40"/>
  <c r="H1030" i="40"/>
  <c r="H1031" i="40"/>
  <c r="H1032" i="40"/>
  <c r="H1033" i="40"/>
  <c r="H1034" i="40"/>
  <c r="H1035" i="40"/>
  <c r="H1036" i="40"/>
  <c r="H1037" i="40"/>
  <c r="H1038" i="40"/>
  <c r="H1039" i="40"/>
  <c r="H1040" i="40"/>
  <c r="H1041" i="40"/>
  <c r="H1042" i="40"/>
  <c r="H1043" i="40"/>
  <c r="H1044" i="40"/>
  <c r="H1045" i="40"/>
  <c r="H1046" i="40"/>
  <c r="H1047" i="40"/>
  <c r="H1048" i="40"/>
  <c r="H1049" i="40"/>
  <c r="H1050" i="40"/>
  <c r="H1051" i="40"/>
  <c r="H1052" i="40"/>
  <c r="H1053" i="40"/>
  <c r="H1054" i="40"/>
  <c r="H1055" i="40"/>
  <c r="H1056" i="40"/>
  <c r="H1057" i="40"/>
  <c r="H1058" i="40"/>
  <c r="H1059" i="40"/>
  <c r="H1060" i="40"/>
  <c r="H1061" i="40"/>
  <c r="H1062" i="40"/>
  <c r="H1063" i="40"/>
  <c r="H1064" i="40"/>
  <c r="H1065" i="40"/>
  <c r="H1066" i="40"/>
  <c r="H1067" i="40"/>
  <c r="H1068" i="40"/>
  <c r="H1069" i="40"/>
  <c r="H1070" i="40"/>
  <c r="H1071" i="40"/>
  <c r="H1072" i="40"/>
  <c r="H1073" i="40"/>
  <c r="H1074" i="40"/>
  <c r="H1075" i="40"/>
  <c r="H1076" i="40"/>
  <c r="H1077" i="40"/>
  <c r="H1078" i="40"/>
  <c r="H1079" i="40"/>
  <c r="H1080" i="40"/>
  <c r="H1081" i="40"/>
  <c r="H1082" i="40"/>
  <c r="H1083" i="40"/>
  <c r="H1084" i="40"/>
  <c r="H1085" i="40"/>
  <c r="H1086" i="40"/>
  <c r="H1087" i="40"/>
  <c r="H1088" i="40"/>
  <c r="H1089" i="40"/>
  <c r="H1090" i="40"/>
  <c r="H1091" i="40"/>
  <c r="H1092" i="40"/>
  <c r="H1093" i="40"/>
  <c r="H1094" i="40"/>
  <c r="H1095" i="40"/>
  <c r="H1096" i="40"/>
  <c r="H1097" i="40"/>
  <c r="H1098" i="40"/>
  <c r="H1099" i="40"/>
  <c r="H1100" i="40"/>
  <c r="H1101" i="40"/>
  <c r="H1102" i="40"/>
  <c r="H1103" i="40"/>
  <c r="H1104" i="40"/>
  <c r="H1105" i="40"/>
  <c r="H1106" i="40"/>
  <c r="H1107" i="40"/>
  <c r="H1108" i="40"/>
  <c r="H1109" i="40"/>
  <c r="H1110" i="40"/>
  <c r="H1111" i="40"/>
  <c r="H1112" i="40"/>
  <c r="H1113" i="40"/>
  <c r="H1114" i="40"/>
  <c r="H1115" i="40"/>
  <c r="H1116" i="40"/>
  <c r="H1117" i="40"/>
  <c r="H1118" i="40"/>
  <c r="H1119" i="40"/>
  <c r="H1120" i="40"/>
  <c r="H1121" i="40"/>
  <c r="H1122" i="40"/>
  <c r="H1123" i="40"/>
  <c r="H1124" i="40"/>
  <c r="H1125" i="40"/>
  <c r="H1126" i="40"/>
  <c r="H1127" i="40"/>
  <c r="H1128" i="40"/>
  <c r="H1129" i="40"/>
  <c r="H1130" i="40"/>
  <c r="H1131" i="40"/>
  <c r="H1132" i="40"/>
  <c r="H1133" i="40"/>
  <c r="H1134" i="40"/>
  <c r="H1135" i="40"/>
  <c r="H1136" i="40"/>
  <c r="H1137" i="40"/>
  <c r="H1138" i="40"/>
  <c r="H1139" i="40"/>
  <c r="H1140" i="40"/>
  <c r="H1141" i="40"/>
  <c r="H1142" i="40"/>
  <c r="H1143" i="40"/>
  <c r="H1144" i="40"/>
  <c r="H1145" i="40"/>
  <c r="H1146" i="40"/>
  <c r="H1147" i="40"/>
  <c r="H1148" i="40"/>
  <c r="H1149" i="40"/>
  <c r="H1150" i="40"/>
  <c r="H1151" i="40"/>
  <c r="H1152" i="40"/>
  <c r="H1153" i="40"/>
  <c r="H1154" i="40"/>
  <c r="H1155" i="40"/>
  <c r="H1156" i="40"/>
  <c r="H1157" i="40"/>
  <c r="H1158" i="40"/>
  <c r="H1159" i="40"/>
  <c r="H1160" i="40"/>
  <c r="H1161" i="40"/>
  <c r="H1162" i="40"/>
  <c r="H1163" i="40"/>
  <c r="H1164" i="40"/>
  <c r="H1165" i="40"/>
  <c r="H1166" i="40"/>
  <c r="H1167" i="40"/>
  <c r="H1168" i="40"/>
  <c r="H1169" i="40"/>
  <c r="H1170" i="40"/>
  <c r="H1171" i="40"/>
  <c r="H1172" i="40"/>
  <c r="H1173" i="40"/>
  <c r="H1174" i="40"/>
  <c r="H1175" i="40"/>
  <c r="H1176" i="40"/>
  <c r="H1177" i="40"/>
  <c r="H1178" i="40"/>
  <c r="H1179" i="40"/>
  <c r="H1180" i="40"/>
  <c r="H1181" i="40"/>
  <c r="H1182" i="40"/>
  <c r="H1183" i="40"/>
  <c r="H1184" i="40"/>
  <c r="H1185" i="40"/>
  <c r="H1186" i="40"/>
  <c r="H1187" i="40"/>
  <c r="H1188" i="40"/>
  <c r="H1189" i="40"/>
  <c r="H1190" i="40"/>
  <c r="H1191" i="40"/>
  <c r="H1192" i="40"/>
  <c r="H1193" i="40"/>
  <c r="H1194" i="40"/>
  <c r="H1195" i="40"/>
  <c r="H1196" i="40"/>
  <c r="H1197" i="40"/>
  <c r="H1198" i="40"/>
  <c r="H1199" i="40"/>
  <c r="H1200" i="40"/>
  <c r="H1201" i="40"/>
  <c r="H1202" i="40"/>
  <c r="H1203" i="40"/>
  <c r="H1204" i="40"/>
  <c r="H1205" i="40"/>
  <c r="H1206" i="40"/>
  <c r="H1207" i="40"/>
  <c r="H1208" i="40"/>
  <c r="H1209" i="40"/>
  <c r="H1210" i="40"/>
  <c r="H1211" i="40"/>
  <c r="H1212" i="40"/>
  <c r="H1213" i="40"/>
  <c r="H1214" i="40"/>
  <c r="H1215" i="40"/>
  <c r="H1216" i="40"/>
  <c r="H1217" i="40"/>
  <c r="H1218" i="40"/>
  <c r="H1219" i="40"/>
  <c r="H1220" i="40"/>
  <c r="H1221" i="40"/>
  <c r="H1222" i="40"/>
  <c r="H1223" i="40"/>
  <c r="H1224" i="40"/>
  <c r="H1225" i="40"/>
  <c r="H1226" i="40"/>
  <c r="H1227" i="40"/>
  <c r="H1228" i="40"/>
  <c r="H1229" i="40"/>
  <c r="H1230" i="40"/>
  <c r="H1231" i="40"/>
  <c r="H1232" i="40"/>
  <c r="H1233" i="40"/>
  <c r="H1234" i="40"/>
  <c r="H1235" i="40"/>
  <c r="H1236" i="40"/>
  <c r="H1237" i="40"/>
  <c r="H1238" i="40"/>
  <c r="H1239" i="40"/>
  <c r="H1240" i="40"/>
  <c r="H1241" i="40"/>
  <c r="H1242" i="40"/>
  <c r="H1243" i="40"/>
  <c r="H1244" i="40"/>
  <c r="H1245" i="40"/>
  <c r="H1246" i="40"/>
  <c r="H1247" i="40"/>
  <c r="H1248" i="40"/>
  <c r="H1249" i="40"/>
  <c r="H1250" i="40"/>
  <c r="H1251" i="40"/>
  <c r="H1252" i="40"/>
  <c r="H1253" i="40"/>
  <c r="H1254" i="40"/>
  <c r="H1255" i="40"/>
  <c r="H1256" i="40"/>
  <c r="H1257" i="40"/>
  <c r="H1258" i="40"/>
  <c r="H1259" i="40"/>
  <c r="H1260" i="40"/>
  <c r="H1261" i="40"/>
  <c r="H1262" i="40"/>
  <c r="H1263" i="40"/>
  <c r="H1264" i="40"/>
  <c r="H1265" i="40"/>
  <c r="H1266" i="40"/>
  <c r="H1267" i="40"/>
  <c r="H1268" i="40"/>
  <c r="H1269" i="40"/>
  <c r="H1270" i="40"/>
  <c r="H1271" i="40"/>
  <c r="H1272" i="40"/>
  <c r="H1273" i="40"/>
  <c r="H1274" i="40"/>
  <c r="H3" i="40"/>
  <c r="G3" i="40"/>
  <c r="G4" i="40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40" i="40"/>
  <c r="G41" i="40"/>
  <c r="G42" i="40"/>
  <c r="G43" i="40"/>
  <c r="G44" i="40"/>
  <c r="G45" i="40"/>
  <c r="G46" i="40"/>
  <c r="G47" i="40"/>
  <c r="G48" i="40"/>
  <c r="G49" i="40"/>
  <c r="G50" i="40"/>
  <c r="G51" i="40"/>
  <c r="G52" i="40"/>
  <c r="G53" i="40"/>
  <c r="G54" i="40"/>
  <c r="G55" i="40"/>
  <c r="G56" i="40"/>
  <c r="G57" i="40"/>
  <c r="G58" i="40"/>
  <c r="G59" i="40"/>
  <c r="G60" i="40"/>
  <c r="G61" i="40"/>
  <c r="G62" i="40"/>
  <c r="G63" i="40"/>
  <c r="G64" i="40"/>
  <c r="G65" i="40"/>
  <c r="G66" i="40"/>
  <c r="G67" i="40"/>
  <c r="G68" i="40"/>
  <c r="G69" i="40"/>
  <c r="G70" i="40"/>
  <c r="G71" i="40"/>
  <c r="G72" i="40"/>
  <c r="G73" i="40"/>
  <c r="G74" i="40"/>
  <c r="G75" i="40"/>
  <c r="G76" i="40"/>
  <c r="G77" i="40"/>
  <c r="G78" i="40"/>
  <c r="G79" i="40"/>
  <c r="G80" i="40"/>
  <c r="G81" i="40"/>
  <c r="G82" i="40"/>
  <c r="G83" i="40"/>
  <c r="G84" i="40"/>
  <c r="G85" i="40"/>
  <c r="G86" i="40"/>
  <c r="G87" i="40"/>
  <c r="G88" i="40"/>
  <c r="G89" i="40"/>
  <c r="G90" i="40"/>
  <c r="G91" i="40"/>
  <c r="G92" i="40"/>
  <c r="G93" i="40"/>
  <c r="G94" i="40"/>
  <c r="G95" i="40"/>
  <c r="G96" i="40"/>
  <c r="G97" i="40"/>
  <c r="G98" i="40"/>
  <c r="G99" i="40"/>
  <c r="G100" i="40"/>
  <c r="G101" i="40"/>
  <c r="G102" i="40"/>
  <c r="G103" i="40"/>
  <c r="G104" i="40"/>
  <c r="G105" i="40"/>
  <c r="G106" i="40"/>
  <c r="G107" i="40"/>
  <c r="G108" i="40"/>
  <c r="G109" i="40"/>
  <c r="G110" i="40"/>
  <c r="G111" i="40"/>
  <c r="G112" i="40"/>
  <c r="G113" i="40"/>
  <c r="G114" i="40"/>
  <c r="G115" i="40"/>
  <c r="G116" i="40"/>
  <c r="G117" i="40"/>
  <c r="G118" i="40"/>
  <c r="G119" i="40"/>
  <c r="G120" i="40"/>
  <c r="G121" i="40"/>
  <c r="G122" i="40"/>
  <c r="G123" i="40"/>
  <c r="G124" i="40"/>
  <c r="G125" i="40"/>
  <c r="G126" i="40"/>
  <c r="G127" i="40"/>
  <c r="G128" i="40"/>
  <c r="G129" i="40"/>
  <c r="G130" i="40"/>
  <c r="G131" i="40"/>
  <c r="G132" i="40"/>
  <c r="G133" i="40"/>
  <c r="G134" i="40"/>
  <c r="G135" i="40"/>
  <c r="G136" i="40"/>
  <c r="G137" i="40"/>
  <c r="G138" i="40"/>
  <c r="G139" i="40"/>
  <c r="G140" i="40"/>
  <c r="G141" i="40"/>
  <c r="G142" i="40"/>
  <c r="G143" i="40"/>
  <c r="G144" i="40"/>
  <c r="G145" i="40"/>
  <c r="G146" i="40"/>
  <c r="G147" i="40"/>
  <c r="G148" i="40"/>
  <c r="G149" i="40"/>
  <c r="G150" i="40"/>
  <c r="G151" i="40"/>
  <c r="G152" i="40"/>
  <c r="G153" i="40"/>
  <c r="G154" i="40"/>
  <c r="G155" i="40"/>
  <c r="G156" i="40"/>
  <c r="G157" i="40"/>
  <c r="G158" i="40"/>
  <c r="G159" i="40"/>
  <c r="G160" i="40"/>
  <c r="G161" i="40"/>
  <c r="G162" i="40"/>
  <c r="G163" i="40"/>
  <c r="G164" i="40"/>
  <c r="G165" i="40"/>
  <c r="G166" i="40"/>
  <c r="G167" i="40"/>
  <c r="G168" i="40"/>
  <c r="G169" i="40"/>
  <c r="G170" i="40"/>
  <c r="G171" i="40"/>
  <c r="G172" i="40"/>
  <c r="G173" i="40"/>
  <c r="G174" i="40"/>
  <c r="G175" i="40"/>
  <c r="G176" i="40"/>
  <c r="G177" i="40"/>
  <c r="G178" i="40"/>
  <c r="G179" i="40"/>
  <c r="G180" i="40"/>
  <c r="G181" i="40"/>
  <c r="G182" i="40"/>
  <c r="G183" i="40"/>
  <c r="G184" i="40"/>
  <c r="G185" i="40"/>
  <c r="G186" i="40"/>
  <c r="G187" i="40"/>
  <c r="G188" i="40"/>
  <c r="G189" i="40"/>
  <c r="G190" i="40"/>
  <c r="G191" i="40"/>
  <c r="G192" i="40"/>
  <c r="G193" i="40"/>
  <c r="G194" i="40"/>
  <c r="G195" i="40"/>
  <c r="G196" i="40"/>
  <c r="G197" i="40"/>
  <c r="G198" i="40"/>
  <c r="G199" i="40"/>
  <c r="G200" i="40"/>
  <c r="G201" i="40"/>
  <c r="G202" i="40"/>
  <c r="G203" i="40"/>
  <c r="G204" i="40"/>
  <c r="G205" i="40"/>
  <c r="G206" i="40"/>
  <c r="G207" i="40"/>
  <c r="G208" i="40"/>
  <c r="G209" i="40"/>
  <c r="G210" i="40"/>
  <c r="G211" i="40"/>
  <c r="G212" i="40"/>
  <c r="G213" i="40"/>
  <c r="G214" i="40"/>
  <c r="G215" i="40"/>
  <c r="G216" i="40"/>
  <c r="G217" i="40"/>
  <c r="G218" i="40"/>
  <c r="G219" i="40"/>
  <c r="G220" i="40"/>
  <c r="G221" i="40"/>
  <c r="G222" i="40"/>
  <c r="G223" i="40"/>
  <c r="G224" i="40"/>
  <c r="G225" i="40"/>
  <c r="G226" i="40"/>
  <c r="G227" i="40"/>
  <c r="G228" i="40"/>
  <c r="G229" i="40"/>
  <c r="G230" i="40"/>
  <c r="G231" i="40"/>
  <c r="G232" i="40"/>
  <c r="G233" i="40"/>
  <c r="G234" i="40"/>
  <c r="G235" i="40"/>
  <c r="G236" i="40"/>
  <c r="G237" i="40"/>
  <c r="G238" i="40"/>
  <c r="G239" i="40"/>
  <c r="G240" i="40"/>
  <c r="G241" i="40"/>
  <c r="G242" i="40"/>
  <c r="G243" i="40"/>
  <c r="G244" i="40"/>
  <c r="G245" i="40"/>
  <c r="G246" i="40"/>
  <c r="G247" i="40"/>
  <c r="G248" i="40"/>
  <c r="G249" i="40"/>
  <c r="G250" i="40"/>
  <c r="G251" i="40"/>
  <c r="G252" i="40"/>
  <c r="G253" i="40"/>
  <c r="G254" i="40"/>
  <c r="G255" i="40"/>
  <c r="G256" i="40"/>
  <c r="G257" i="40"/>
  <c r="G258" i="40"/>
  <c r="G259" i="40"/>
  <c r="G260" i="40"/>
  <c r="G261" i="40"/>
  <c r="G262" i="40"/>
  <c r="G263" i="40"/>
  <c r="G264" i="40"/>
  <c r="G265" i="40"/>
  <c r="G266" i="40"/>
  <c r="G267" i="40"/>
  <c r="G268" i="40"/>
  <c r="G269" i="40"/>
  <c r="G270" i="40"/>
  <c r="G271" i="40"/>
  <c r="G272" i="40"/>
  <c r="G273" i="40"/>
  <c r="G274" i="40"/>
  <c r="G275" i="40"/>
  <c r="G276" i="40"/>
  <c r="G277" i="40"/>
  <c r="G278" i="40"/>
  <c r="G279" i="40"/>
  <c r="G280" i="40"/>
  <c r="G281" i="40"/>
  <c r="G282" i="40"/>
  <c r="G283" i="40"/>
  <c r="G284" i="40"/>
  <c r="G285" i="40"/>
  <c r="G286" i="40"/>
  <c r="G287" i="40"/>
  <c r="G288" i="40"/>
  <c r="G289" i="40"/>
  <c r="G290" i="40"/>
  <c r="G291" i="40"/>
  <c r="G292" i="40"/>
  <c r="G293" i="40"/>
  <c r="G294" i="40"/>
  <c r="G295" i="40"/>
  <c r="G296" i="40"/>
  <c r="G297" i="40"/>
  <c r="G298" i="40"/>
  <c r="G299" i="40"/>
  <c r="G300" i="40"/>
  <c r="G301" i="40"/>
  <c r="G302" i="40"/>
  <c r="G303" i="40"/>
  <c r="G304" i="40"/>
  <c r="G305" i="40"/>
  <c r="G306" i="40"/>
  <c r="G307" i="40"/>
  <c r="G308" i="40"/>
  <c r="G309" i="40"/>
  <c r="G310" i="40"/>
  <c r="G311" i="40"/>
  <c r="G312" i="40"/>
  <c r="G313" i="40"/>
  <c r="G314" i="40"/>
  <c r="G315" i="40"/>
  <c r="G316" i="40"/>
  <c r="G317" i="40"/>
  <c r="G318" i="40"/>
  <c r="G319" i="40"/>
  <c r="G320" i="40"/>
  <c r="G321" i="40"/>
  <c r="G322" i="40"/>
  <c r="G323" i="40"/>
  <c r="G324" i="40"/>
  <c r="G325" i="40"/>
  <c r="G326" i="40"/>
  <c r="G327" i="40"/>
  <c r="G328" i="40"/>
  <c r="G329" i="40"/>
  <c r="G330" i="40"/>
  <c r="G331" i="40"/>
  <c r="G332" i="40"/>
  <c r="G333" i="40"/>
  <c r="G334" i="40"/>
  <c r="G335" i="40"/>
  <c r="G336" i="40"/>
  <c r="G337" i="40"/>
  <c r="G338" i="40"/>
  <c r="G339" i="40"/>
  <c r="G340" i="40"/>
  <c r="G341" i="40"/>
  <c r="G342" i="40"/>
  <c r="G343" i="40"/>
  <c r="G344" i="40"/>
  <c r="G345" i="40"/>
  <c r="G346" i="40"/>
  <c r="G347" i="40"/>
  <c r="G348" i="40"/>
  <c r="G349" i="40"/>
  <c r="G350" i="40"/>
  <c r="G351" i="40"/>
  <c r="G352" i="40"/>
  <c r="G353" i="40"/>
  <c r="G354" i="40"/>
  <c r="G355" i="40"/>
  <c r="G356" i="40"/>
  <c r="G357" i="40"/>
  <c r="G358" i="40"/>
  <c r="G359" i="40"/>
  <c r="G360" i="40"/>
  <c r="G361" i="40"/>
  <c r="G362" i="40"/>
  <c r="G363" i="40"/>
  <c r="G364" i="40"/>
  <c r="G365" i="40"/>
  <c r="G366" i="40"/>
  <c r="G367" i="40"/>
  <c r="G368" i="40"/>
  <c r="G369" i="40"/>
  <c r="G370" i="40"/>
  <c r="G371" i="40"/>
  <c r="G372" i="40"/>
  <c r="G373" i="40"/>
  <c r="G374" i="40"/>
  <c r="G375" i="40"/>
  <c r="G376" i="40"/>
  <c r="G377" i="40"/>
  <c r="G378" i="40"/>
  <c r="G379" i="40"/>
  <c r="G380" i="40"/>
  <c r="G381" i="40"/>
  <c r="G382" i="40"/>
  <c r="G383" i="40"/>
  <c r="G384" i="40"/>
  <c r="G385" i="40"/>
  <c r="G386" i="40"/>
  <c r="G387" i="40"/>
  <c r="G388" i="40"/>
  <c r="G389" i="40"/>
  <c r="G390" i="40"/>
  <c r="G391" i="40"/>
  <c r="G392" i="40"/>
  <c r="G393" i="40"/>
  <c r="G394" i="40"/>
  <c r="G395" i="40"/>
  <c r="G396" i="40"/>
  <c r="G397" i="40"/>
  <c r="G398" i="40"/>
  <c r="G399" i="40"/>
  <c r="G400" i="40"/>
  <c r="G401" i="40"/>
  <c r="G402" i="40"/>
  <c r="G403" i="40"/>
  <c r="G404" i="40"/>
  <c r="G405" i="40"/>
  <c r="G406" i="40"/>
  <c r="G407" i="40"/>
  <c r="G408" i="40"/>
  <c r="G409" i="40"/>
  <c r="G410" i="40"/>
  <c r="G411" i="40"/>
  <c r="G412" i="40"/>
  <c r="G413" i="40"/>
  <c r="G414" i="40"/>
  <c r="G415" i="40"/>
  <c r="G416" i="40"/>
  <c r="G417" i="40"/>
  <c r="G418" i="40"/>
  <c r="G419" i="40"/>
  <c r="G420" i="40"/>
  <c r="G421" i="40"/>
  <c r="G422" i="40"/>
  <c r="G423" i="40"/>
  <c r="G424" i="40"/>
  <c r="G425" i="40"/>
  <c r="G426" i="40"/>
  <c r="G427" i="40"/>
  <c r="G428" i="40"/>
  <c r="G429" i="40"/>
  <c r="G430" i="40"/>
  <c r="G431" i="40"/>
  <c r="G432" i="40"/>
  <c r="G433" i="40"/>
  <c r="G434" i="40"/>
  <c r="G435" i="40"/>
  <c r="G436" i="40"/>
  <c r="G437" i="40"/>
  <c r="G438" i="40"/>
  <c r="G439" i="40"/>
  <c r="G440" i="40"/>
  <c r="G441" i="40"/>
  <c r="G442" i="40"/>
  <c r="G443" i="40"/>
  <c r="G444" i="40"/>
  <c r="G445" i="40"/>
  <c r="G446" i="40"/>
  <c r="G447" i="40"/>
  <c r="G448" i="40"/>
  <c r="G449" i="40"/>
  <c r="G450" i="40"/>
  <c r="G451" i="40"/>
  <c r="G452" i="40"/>
  <c r="G453" i="40"/>
  <c r="G454" i="40"/>
  <c r="G455" i="40"/>
  <c r="G456" i="40"/>
  <c r="G457" i="40"/>
  <c r="G458" i="40"/>
  <c r="G459" i="40"/>
  <c r="G460" i="40"/>
  <c r="G461" i="40"/>
  <c r="G462" i="40"/>
  <c r="G463" i="40"/>
  <c r="G464" i="40"/>
  <c r="G465" i="40"/>
  <c r="G466" i="40"/>
  <c r="G467" i="40"/>
  <c r="G468" i="40"/>
  <c r="G469" i="40"/>
  <c r="G470" i="40"/>
  <c r="G471" i="40"/>
  <c r="G472" i="40"/>
  <c r="G473" i="40"/>
  <c r="G474" i="40"/>
  <c r="G475" i="40"/>
  <c r="G476" i="40"/>
  <c r="G477" i="40"/>
  <c r="G478" i="40"/>
  <c r="G479" i="40"/>
  <c r="G480" i="40"/>
  <c r="G481" i="40"/>
  <c r="G482" i="40"/>
  <c r="G483" i="40"/>
  <c r="G484" i="40"/>
  <c r="G485" i="40"/>
  <c r="G486" i="40"/>
  <c r="G487" i="40"/>
  <c r="G488" i="40"/>
  <c r="G489" i="40"/>
  <c r="G490" i="40"/>
  <c r="G491" i="40"/>
  <c r="G492" i="40"/>
  <c r="G493" i="40"/>
  <c r="G494" i="40"/>
  <c r="G495" i="40"/>
  <c r="G496" i="40"/>
  <c r="G497" i="40"/>
  <c r="G498" i="40"/>
  <c r="G499" i="40"/>
  <c r="G500" i="40"/>
  <c r="G501" i="40"/>
  <c r="G502" i="40"/>
  <c r="G503" i="40"/>
  <c r="G504" i="40"/>
  <c r="G505" i="40"/>
  <c r="G506" i="40"/>
  <c r="G507" i="40"/>
  <c r="G508" i="40"/>
  <c r="G509" i="40"/>
  <c r="G510" i="40"/>
  <c r="G511" i="40"/>
  <c r="G512" i="40"/>
  <c r="G513" i="40"/>
  <c r="G514" i="40"/>
  <c r="G515" i="40"/>
  <c r="G516" i="40"/>
  <c r="G517" i="40"/>
  <c r="G518" i="40"/>
  <c r="G519" i="40"/>
  <c r="G520" i="40"/>
  <c r="G521" i="40"/>
  <c r="G522" i="40"/>
  <c r="G523" i="40"/>
  <c r="G524" i="40"/>
  <c r="G525" i="40"/>
  <c r="G526" i="40"/>
  <c r="G527" i="40"/>
  <c r="G528" i="40"/>
  <c r="G529" i="40"/>
  <c r="G530" i="40"/>
  <c r="G531" i="40"/>
  <c r="G532" i="40"/>
  <c r="G533" i="40"/>
  <c r="G534" i="40"/>
  <c r="G535" i="40"/>
  <c r="G536" i="40"/>
  <c r="G537" i="40"/>
  <c r="G538" i="40"/>
  <c r="G539" i="40"/>
  <c r="G540" i="40"/>
  <c r="G541" i="40"/>
  <c r="G542" i="40"/>
  <c r="G543" i="40"/>
  <c r="G544" i="40"/>
  <c r="G545" i="40"/>
  <c r="G546" i="40"/>
  <c r="G547" i="40"/>
  <c r="G548" i="40"/>
  <c r="G549" i="40"/>
  <c r="G550" i="40"/>
  <c r="G551" i="40"/>
  <c r="G552" i="40"/>
  <c r="G553" i="40"/>
  <c r="G554" i="40"/>
  <c r="G555" i="40"/>
  <c r="G556" i="40"/>
  <c r="G557" i="40"/>
  <c r="G558" i="40"/>
  <c r="G559" i="40"/>
  <c r="G560" i="40"/>
  <c r="G561" i="40"/>
  <c r="G562" i="40"/>
  <c r="G563" i="40"/>
  <c r="G564" i="40"/>
  <c r="G565" i="40"/>
  <c r="G566" i="40"/>
  <c r="G567" i="40"/>
  <c r="G568" i="40"/>
  <c r="G569" i="40"/>
  <c r="G570" i="40"/>
  <c r="G571" i="40"/>
  <c r="G572" i="40"/>
  <c r="G573" i="40"/>
  <c r="G574" i="40"/>
  <c r="G575" i="40"/>
  <c r="G576" i="40"/>
  <c r="G577" i="40"/>
  <c r="G578" i="40"/>
  <c r="G579" i="40"/>
  <c r="G580" i="40"/>
  <c r="G581" i="40"/>
  <c r="G582" i="40"/>
  <c r="G583" i="40"/>
  <c r="G584" i="40"/>
  <c r="G585" i="40"/>
  <c r="G586" i="40"/>
  <c r="G587" i="40"/>
  <c r="G588" i="40"/>
  <c r="G589" i="40"/>
  <c r="G590" i="40"/>
  <c r="G591" i="40"/>
  <c r="G592" i="40"/>
  <c r="G593" i="40"/>
  <c r="G594" i="40"/>
  <c r="G595" i="40"/>
  <c r="G596" i="40"/>
  <c r="G597" i="40"/>
  <c r="G598" i="40"/>
  <c r="G599" i="40"/>
  <c r="G600" i="40"/>
  <c r="G601" i="40"/>
  <c r="G602" i="40"/>
  <c r="G603" i="40"/>
  <c r="G604" i="40"/>
  <c r="G605" i="40"/>
  <c r="G606" i="40"/>
  <c r="G607" i="40"/>
  <c r="G608" i="40"/>
  <c r="G609" i="40"/>
  <c r="G610" i="40"/>
  <c r="G611" i="40"/>
  <c r="G612" i="40"/>
  <c r="G613" i="40"/>
  <c r="G614" i="40"/>
  <c r="G615" i="40"/>
  <c r="G616" i="40"/>
  <c r="G617" i="40"/>
  <c r="G618" i="40"/>
  <c r="G619" i="40"/>
  <c r="G620" i="40"/>
  <c r="G621" i="40"/>
  <c r="G622" i="40"/>
  <c r="G623" i="40"/>
  <c r="G624" i="40"/>
  <c r="G625" i="40"/>
  <c r="G626" i="40"/>
  <c r="G627" i="40"/>
  <c r="G628" i="40"/>
  <c r="G629" i="40"/>
  <c r="G630" i="40"/>
  <c r="G631" i="40"/>
  <c r="G632" i="40"/>
  <c r="G633" i="40"/>
  <c r="G634" i="40"/>
  <c r="G635" i="40"/>
  <c r="G636" i="40"/>
  <c r="G637" i="40"/>
  <c r="G638" i="40"/>
  <c r="G639" i="40"/>
  <c r="G640" i="40"/>
  <c r="G641" i="40"/>
  <c r="G642" i="40"/>
  <c r="G643" i="40"/>
  <c r="G644" i="40"/>
  <c r="G645" i="40"/>
  <c r="G646" i="40"/>
  <c r="G647" i="40"/>
  <c r="G648" i="40"/>
  <c r="G649" i="40"/>
  <c r="G650" i="40"/>
  <c r="G651" i="40"/>
  <c r="G652" i="40"/>
  <c r="G653" i="40"/>
  <c r="G654" i="40"/>
  <c r="G655" i="40"/>
  <c r="G656" i="40"/>
  <c r="G657" i="40"/>
  <c r="G658" i="40"/>
  <c r="G659" i="40"/>
  <c r="G660" i="40"/>
  <c r="G661" i="40"/>
  <c r="G662" i="40"/>
  <c r="G663" i="40"/>
  <c r="G664" i="40"/>
  <c r="G665" i="40"/>
  <c r="G666" i="40"/>
  <c r="G667" i="40"/>
  <c r="G668" i="40"/>
  <c r="G669" i="40"/>
  <c r="G670" i="40"/>
  <c r="G671" i="40"/>
  <c r="G672" i="40"/>
  <c r="G673" i="40"/>
  <c r="G674" i="40"/>
  <c r="G675" i="40"/>
  <c r="G676" i="40"/>
  <c r="G677" i="40"/>
  <c r="G678" i="40"/>
  <c r="G679" i="40"/>
  <c r="G680" i="40"/>
  <c r="G681" i="40"/>
  <c r="G682" i="40"/>
  <c r="G683" i="40"/>
  <c r="G684" i="40"/>
  <c r="G685" i="40"/>
  <c r="G686" i="40"/>
  <c r="G687" i="40"/>
  <c r="G688" i="40"/>
  <c r="G689" i="40"/>
  <c r="G690" i="40"/>
  <c r="G691" i="40"/>
  <c r="G692" i="40"/>
  <c r="G693" i="40"/>
  <c r="G694" i="40"/>
  <c r="G695" i="40"/>
  <c r="G696" i="40"/>
  <c r="G697" i="40"/>
  <c r="G698" i="40"/>
  <c r="G699" i="40"/>
  <c r="G700" i="40"/>
  <c r="G701" i="40"/>
  <c r="G702" i="40"/>
  <c r="G703" i="40"/>
  <c r="G704" i="40"/>
  <c r="G705" i="40"/>
  <c r="G706" i="40"/>
  <c r="G707" i="40"/>
  <c r="G708" i="40"/>
  <c r="G709" i="40"/>
  <c r="G710" i="40"/>
  <c r="G711" i="40"/>
  <c r="G712" i="40"/>
  <c r="G713" i="40"/>
  <c r="G714" i="40"/>
  <c r="G715" i="40"/>
  <c r="G716" i="40"/>
  <c r="G717" i="40"/>
  <c r="G718" i="40"/>
  <c r="G719" i="40"/>
  <c r="G720" i="40"/>
  <c r="G721" i="40"/>
  <c r="G722" i="40"/>
  <c r="G723" i="40"/>
  <c r="G724" i="40"/>
  <c r="G725" i="40"/>
  <c r="G726" i="40"/>
  <c r="G727" i="40"/>
  <c r="G728" i="40"/>
  <c r="G729" i="40"/>
  <c r="G730" i="40"/>
  <c r="G731" i="40"/>
  <c r="G732" i="40"/>
  <c r="G733" i="40"/>
  <c r="G734" i="40"/>
  <c r="G735" i="40"/>
  <c r="G736" i="40"/>
  <c r="G737" i="40"/>
  <c r="G738" i="40"/>
  <c r="G739" i="40"/>
  <c r="G740" i="40"/>
  <c r="G741" i="40"/>
  <c r="G742" i="40"/>
  <c r="G743" i="40"/>
  <c r="G744" i="40"/>
  <c r="G745" i="40"/>
  <c r="G746" i="40"/>
  <c r="G747" i="40"/>
  <c r="G748" i="40"/>
  <c r="G749" i="40"/>
  <c r="G750" i="40"/>
  <c r="G751" i="40"/>
  <c r="G752" i="40"/>
  <c r="G753" i="40"/>
  <c r="G754" i="40"/>
  <c r="G755" i="40"/>
  <c r="G756" i="40"/>
  <c r="G757" i="40"/>
  <c r="G758" i="40"/>
  <c r="G759" i="40"/>
  <c r="G760" i="40"/>
  <c r="G761" i="40"/>
  <c r="G762" i="40"/>
  <c r="G763" i="40"/>
  <c r="G764" i="40"/>
  <c r="G765" i="40"/>
  <c r="G766" i="40"/>
  <c r="G767" i="40"/>
  <c r="G768" i="40"/>
  <c r="G769" i="40"/>
  <c r="G770" i="40"/>
  <c r="G771" i="40"/>
  <c r="G772" i="40"/>
  <c r="G773" i="40"/>
  <c r="G774" i="40"/>
  <c r="G775" i="40"/>
  <c r="G776" i="40"/>
  <c r="G777" i="40"/>
  <c r="G778" i="40"/>
  <c r="G779" i="40"/>
  <c r="G780" i="40"/>
  <c r="G781" i="40"/>
  <c r="G782" i="40"/>
  <c r="G783" i="40"/>
  <c r="G784" i="40"/>
  <c r="G785" i="40"/>
  <c r="G786" i="40"/>
  <c r="G787" i="40"/>
  <c r="G788" i="40"/>
  <c r="G789" i="40"/>
  <c r="G790" i="40"/>
  <c r="G791" i="40"/>
  <c r="G792" i="40"/>
  <c r="G793" i="40"/>
  <c r="G794" i="40"/>
  <c r="G795" i="40"/>
  <c r="G796" i="40"/>
  <c r="G797" i="40"/>
  <c r="G798" i="40"/>
  <c r="G799" i="40"/>
  <c r="G800" i="40"/>
  <c r="G801" i="40"/>
  <c r="G802" i="40"/>
  <c r="G803" i="40"/>
  <c r="G804" i="40"/>
  <c r="G805" i="40"/>
  <c r="G806" i="40"/>
  <c r="G807" i="40"/>
  <c r="G808" i="40"/>
  <c r="G809" i="40"/>
  <c r="G810" i="40"/>
  <c r="G811" i="40"/>
  <c r="G812" i="40"/>
  <c r="G813" i="40"/>
  <c r="G814" i="40"/>
  <c r="G815" i="40"/>
  <c r="G816" i="40"/>
  <c r="G817" i="40"/>
  <c r="G818" i="40"/>
  <c r="G819" i="40"/>
  <c r="G820" i="40"/>
  <c r="G821" i="40"/>
  <c r="G822" i="40"/>
  <c r="G823" i="40"/>
  <c r="G824" i="40"/>
  <c r="G825" i="40"/>
  <c r="G826" i="40"/>
  <c r="G827" i="40"/>
  <c r="G828" i="40"/>
  <c r="G829" i="40"/>
  <c r="G830" i="40"/>
  <c r="G831" i="40"/>
  <c r="G832" i="40"/>
  <c r="G833" i="40"/>
  <c r="G834" i="40"/>
  <c r="G835" i="40"/>
  <c r="G836" i="40"/>
  <c r="G837" i="40"/>
  <c r="G838" i="40"/>
  <c r="G839" i="40"/>
  <c r="G840" i="40"/>
  <c r="G841" i="40"/>
  <c r="G842" i="40"/>
  <c r="G843" i="40"/>
  <c r="G844" i="40"/>
  <c r="G845" i="40"/>
  <c r="G846" i="40"/>
  <c r="G847" i="40"/>
  <c r="G848" i="40"/>
  <c r="G849" i="40"/>
  <c r="G850" i="40"/>
  <c r="G851" i="40"/>
  <c r="G852" i="40"/>
  <c r="G853" i="40"/>
  <c r="G854" i="40"/>
  <c r="G855" i="40"/>
  <c r="G856" i="40"/>
  <c r="G857" i="40"/>
  <c r="G858" i="40"/>
  <c r="G859" i="40"/>
  <c r="G860" i="40"/>
  <c r="G861" i="40"/>
  <c r="G862" i="40"/>
  <c r="G863" i="40"/>
  <c r="G864" i="40"/>
  <c r="G865" i="40"/>
  <c r="G866" i="40"/>
  <c r="G867" i="40"/>
  <c r="G868" i="40"/>
  <c r="G869" i="40"/>
  <c r="G870" i="40"/>
  <c r="G871" i="40"/>
  <c r="G872" i="40"/>
  <c r="G873" i="40"/>
  <c r="G874" i="40"/>
  <c r="G875" i="40"/>
  <c r="G876" i="40"/>
  <c r="G877" i="40"/>
  <c r="G878" i="40"/>
  <c r="G879" i="40"/>
  <c r="G880" i="40"/>
  <c r="G881" i="40"/>
  <c r="G882" i="40"/>
  <c r="G883" i="40"/>
  <c r="G884" i="40"/>
  <c r="G885" i="40"/>
  <c r="G886" i="40"/>
  <c r="G887" i="40"/>
  <c r="G888" i="40"/>
  <c r="G889" i="40"/>
  <c r="G890" i="40"/>
  <c r="G891" i="40"/>
  <c r="G892" i="40"/>
  <c r="G893" i="40"/>
  <c r="G894" i="40"/>
  <c r="G895" i="40"/>
  <c r="G896" i="40"/>
  <c r="G897" i="40"/>
  <c r="G898" i="40"/>
  <c r="G899" i="40"/>
  <c r="G900" i="40"/>
  <c r="G901" i="40"/>
  <c r="G902" i="40"/>
  <c r="G903" i="40"/>
  <c r="G904" i="40"/>
  <c r="G905" i="40"/>
  <c r="G906" i="40"/>
  <c r="G907" i="40"/>
  <c r="G908" i="40"/>
  <c r="G909" i="40"/>
  <c r="G910" i="40"/>
  <c r="G911" i="40"/>
  <c r="G912" i="40"/>
  <c r="G913" i="40"/>
  <c r="G914" i="40"/>
  <c r="G915" i="40"/>
  <c r="G916" i="40"/>
  <c r="G917" i="40"/>
  <c r="G918" i="40"/>
  <c r="G919" i="40"/>
  <c r="G920" i="40"/>
  <c r="G921" i="40"/>
  <c r="G922" i="40"/>
  <c r="G923" i="40"/>
  <c r="G924" i="40"/>
  <c r="G925" i="40"/>
  <c r="G926" i="40"/>
  <c r="G927" i="40"/>
  <c r="G928" i="40"/>
  <c r="G929" i="40"/>
  <c r="G930" i="40"/>
  <c r="G931" i="40"/>
  <c r="G932" i="40"/>
  <c r="G933" i="40"/>
  <c r="G934" i="40"/>
  <c r="G935" i="40"/>
  <c r="G936" i="40"/>
  <c r="G937" i="40"/>
  <c r="G938" i="40"/>
  <c r="G939" i="40"/>
  <c r="G940" i="40"/>
  <c r="G941" i="40"/>
  <c r="G942" i="40"/>
  <c r="G943" i="40"/>
  <c r="G944" i="40"/>
  <c r="G945" i="40"/>
  <c r="G946" i="40"/>
  <c r="G947" i="40"/>
  <c r="G948" i="40"/>
  <c r="G949" i="40"/>
  <c r="G950" i="40"/>
  <c r="G951" i="40"/>
  <c r="G952" i="40"/>
  <c r="G953" i="40"/>
  <c r="G954" i="40"/>
  <c r="G955" i="40"/>
  <c r="G956" i="40"/>
  <c r="G957" i="40"/>
  <c r="G958" i="40"/>
  <c r="G959" i="40"/>
  <c r="G960" i="40"/>
  <c r="G961" i="40"/>
  <c r="G962" i="40"/>
  <c r="G963" i="40"/>
  <c r="G964" i="40"/>
  <c r="G965" i="40"/>
  <c r="G966" i="40"/>
  <c r="G967" i="40"/>
  <c r="G968" i="40"/>
  <c r="G969" i="40"/>
  <c r="G970" i="40"/>
  <c r="G971" i="40"/>
  <c r="G972" i="40"/>
  <c r="G973" i="40"/>
  <c r="G974" i="40"/>
  <c r="G975" i="40"/>
  <c r="G976" i="40"/>
  <c r="G977" i="40"/>
  <c r="G978" i="40"/>
  <c r="G979" i="40"/>
  <c r="G980" i="40"/>
  <c r="G981" i="40"/>
  <c r="G982" i="40"/>
  <c r="G983" i="40"/>
  <c r="G984" i="40"/>
  <c r="G985" i="40"/>
  <c r="G986" i="40"/>
  <c r="G987" i="40"/>
  <c r="G988" i="40"/>
  <c r="G989" i="40"/>
  <c r="G990" i="40"/>
  <c r="G991" i="40"/>
  <c r="G992" i="40"/>
  <c r="G993" i="40"/>
  <c r="G994" i="40"/>
  <c r="G995" i="40"/>
  <c r="G996" i="40"/>
  <c r="G997" i="40"/>
  <c r="G998" i="40"/>
  <c r="G999" i="40"/>
  <c r="G1000" i="40"/>
  <c r="G1001" i="40"/>
  <c r="G1002" i="40"/>
  <c r="G1003" i="40"/>
  <c r="G1004" i="40"/>
  <c r="G1005" i="40"/>
  <c r="G1006" i="40"/>
  <c r="G1007" i="40"/>
  <c r="G1008" i="40"/>
  <c r="G1009" i="40"/>
  <c r="G1010" i="40"/>
  <c r="G1011" i="40"/>
  <c r="G1012" i="40"/>
  <c r="G1013" i="40"/>
  <c r="G1014" i="40"/>
  <c r="G1015" i="40"/>
  <c r="G1016" i="40"/>
  <c r="G1017" i="40"/>
  <c r="G1018" i="40"/>
  <c r="G1019" i="40"/>
  <c r="G1020" i="40"/>
  <c r="G1021" i="40"/>
  <c r="G1022" i="40"/>
  <c r="G1023" i="40"/>
  <c r="G1024" i="40"/>
  <c r="G1025" i="40"/>
  <c r="G1026" i="40"/>
  <c r="G1027" i="40"/>
  <c r="G1028" i="40"/>
  <c r="G1029" i="40"/>
  <c r="G1030" i="40"/>
  <c r="G1031" i="40"/>
  <c r="G1032" i="40"/>
  <c r="G1033" i="40"/>
  <c r="G1034" i="40"/>
  <c r="G1035" i="40"/>
  <c r="G1036" i="40"/>
  <c r="G1037" i="40"/>
  <c r="G1038" i="40"/>
  <c r="G1039" i="40"/>
  <c r="G1040" i="40"/>
  <c r="G1041" i="40"/>
  <c r="G1042" i="40"/>
  <c r="G1043" i="40"/>
  <c r="G1044" i="40"/>
  <c r="G1045" i="40"/>
  <c r="G1046" i="40"/>
  <c r="G1047" i="40"/>
  <c r="G1048" i="40"/>
  <c r="G1049" i="40"/>
  <c r="G1050" i="40"/>
  <c r="G1051" i="40"/>
  <c r="G1052" i="40"/>
  <c r="G1053" i="40"/>
  <c r="G1054" i="40"/>
  <c r="G1055" i="40"/>
  <c r="G1056" i="40"/>
  <c r="G1057" i="40"/>
  <c r="G1058" i="40"/>
  <c r="G1059" i="40"/>
  <c r="G1060" i="40"/>
  <c r="G1061" i="40"/>
  <c r="G1062" i="40"/>
  <c r="G1063" i="40"/>
  <c r="G1064" i="40"/>
  <c r="G1065" i="40"/>
  <c r="G1066" i="40"/>
  <c r="G1067" i="40"/>
  <c r="G1068" i="40"/>
  <c r="G1069" i="40"/>
  <c r="G1070" i="40"/>
  <c r="G1071" i="40"/>
  <c r="G1072" i="40"/>
  <c r="G1073" i="40"/>
  <c r="G1074" i="40"/>
  <c r="G1075" i="40"/>
  <c r="G1076" i="40"/>
  <c r="G1077" i="40"/>
  <c r="G1078" i="40"/>
  <c r="G1079" i="40"/>
  <c r="G1080" i="40"/>
  <c r="G1081" i="40"/>
  <c r="G1082" i="40"/>
  <c r="G1083" i="40"/>
  <c r="G1084" i="40"/>
  <c r="G1085" i="40"/>
  <c r="G1086" i="40"/>
  <c r="G1087" i="40"/>
  <c r="G1088" i="40"/>
  <c r="G1089" i="40"/>
  <c r="G1090" i="40"/>
  <c r="G1091" i="40"/>
  <c r="G1092" i="40"/>
  <c r="G1093" i="40"/>
  <c r="G1094" i="40"/>
  <c r="G1095" i="40"/>
  <c r="G1096" i="40"/>
  <c r="G1097" i="40"/>
  <c r="G1098" i="40"/>
  <c r="G1099" i="40"/>
  <c r="G1100" i="40"/>
  <c r="G1101" i="40"/>
  <c r="G1102" i="40"/>
  <c r="G1103" i="40"/>
  <c r="G1104" i="40"/>
  <c r="G1105" i="40"/>
  <c r="G1106" i="40"/>
  <c r="G1107" i="40"/>
  <c r="G1108" i="40"/>
  <c r="G1109" i="40"/>
  <c r="G1110" i="40"/>
  <c r="G1111" i="40"/>
  <c r="G1112" i="40"/>
  <c r="G1113" i="40"/>
  <c r="G1114" i="40"/>
  <c r="G1115" i="40"/>
  <c r="G1116" i="40"/>
  <c r="G1117" i="40"/>
  <c r="G1118" i="40"/>
  <c r="G1119" i="40"/>
  <c r="G1120" i="40"/>
  <c r="G1121" i="40"/>
  <c r="G1122" i="40"/>
  <c r="G1123" i="40"/>
  <c r="G1124" i="40"/>
  <c r="G1125" i="40"/>
  <c r="G1126" i="40"/>
  <c r="G1127" i="40"/>
  <c r="G1128" i="40"/>
  <c r="G1129" i="40"/>
  <c r="G1130" i="40"/>
  <c r="G1131" i="40"/>
  <c r="G1132" i="40"/>
  <c r="G1133" i="40"/>
  <c r="G1134" i="40"/>
  <c r="G1135" i="40"/>
  <c r="G1136" i="40"/>
  <c r="G1137" i="40"/>
  <c r="G1138" i="40"/>
  <c r="G1139" i="40"/>
  <c r="G1140" i="40"/>
  <c r="G1141" i="40"/>
  <c r="G1142" i="40"/>
  <c r="G1143" i="40"/>
  <c r="G1144" i="40"/>
  <c r="G1145" i="40"/>
  <c r="G1146" i="40"/>
  <c r="G1147" i="40"/>
  <c r="G1148" i="40"/>
  <c r="G1149" i="40"/>
  <c r="G1150" i="40"/>
  <c r="G1151" i="40"/>
  <c r="G1152" i="40"/>
  <c r="G1153" i="40"/>
  <c r="G1154" i="40"/>
  <c r="G1155" i="40"/>
  <c r="G1156" i="40"/>
  <c r="G1157" i="40"/>
  <c r="G1158" i="40"/>
  <c r="G1159" i="40"/>
  <c r="G1160" i="40"/>
  <c r="G1161" i="40"/>
  <c r="G1162" i="40"/>
  <c r="G1163" i="40"/>
  <c r="G1164" i="40"/>
  <c r="G1165" i="40"/>
  <c r="G1166" i="40"/>
  <c r="G1167" i="40"/>
  <c r="G1168" i="40"/>
  <c r="G1169" i="40"/>
  <c r="G1170" i="40"/>
  <c r="G1171" i="40"/>
  <c r="G1172" i="40"/>
  <c r="G1173" i="40"/>
  <c r="G1174" i="40"/>
  <c r="G1175" i="40"/>
  <c r="G1176" i="40"/>
  <c r="G1177" i="40"/>
  <c r="G1178" i="40"/>
  <c r="G1179" i="40"/>
  <c r="G1180" i="40"/>
  <c r="G1181" i="40"/>
  <c r="G1182" i="40"/>
  <c r="G1183" i="40"/>
  <c r="G1184" i="40"/>
  <c r="G1185" i="40"/>
  <c r="G1186" i="40"/>
  <c r="G1187" i="40"/>
  <c r="G1188" i="40"/>
  <c r="G1189" i="40"/>
  <c r="G1190" i="40"/>
  <c r="G1191" i="40"/>
  <c r="G1192" i="40"/>
  <c r="G1193" i="40"/>
  <c r="G1194" i="40"/>
  <c r="G1195" i="40"/>
  <c r="G1196" i="40"/>
  <c r="G1197" i="40"/>
  <c r="G1198" i="40"/>
  <c r="G1199" i="40"/>
  <c r="G1200" i="40"/>
  <c r="G1201" i="40"/>
  <c r="G1202" i="40"/>
  <c r="G1203" i="40"/>
  <c r="G1204" i="40"/>
  <c r="G1205" i="40"/>
  <c r="G1206" i="40"/>
  <c r="G1207" i="40"/>
  <c r="G1208" i="40"/>
  <c r="G1209" i="40"/>
  <c r="G1210" i="40"/>
  <c r="G1211" i="40"/>
  <c r="G1212" i="40"/>
  <c r="G1213" i="40"/>
  <c r="G1214" i="40"/>
  <c r="G1215" i="40"/>
  <c r="G1216" i="40"/>
  <c r="G1217" i="40"/>
  <c r="G1218" i="40"/>
  <c r="G1219" i="40"/>
  <c r="G1220" i="40"/>
  <c r="G1221" i="40"/>
  <c r="G1222" i="40"/>
  <c r="G1223" i="40"/>
  <c r="G1224" i="40"/>
  <c r="G1225" i="40"/>
  <c r="G1226" i="40"/>
  <c r="G1227" i="40"/>
  <c r="G1228" i="40"/>
  <c r="G1229" i="40"/>
  <c r="G1230" i="40"/>
  <c r="G1231" i="40"/>
  <c r="G1232" i="40"/>
  <c r="G1233" i="40"/>
  <c r="G1234" i="40"/>
  <c r="G1235" i="40"/>
  <c r="G1236" i="40"/>
  <c r="G1237" i="40"/>
  <c r="G1238" i="40"/>
  <c r="G1239" i="40"/>
  <c r="G1240" i="40"/>
  <c r="G1241" i="40"/>
  <c r="G1242" i="40"/>
  <c r="G1243" i="40"/>
  <c r="G1244" i="40"/>
  <c r="G1245" i="40"/>
  <c r="G1246" i="40"/>
  <c r="G1247" i="40"/>
  <c r="G1248" i="40"/>
  <c r="G1249" i="40"/>
  <c r="G1250" i="40"/>
  <c r="G1251" i="40"/>
  <c r="G1252" i="40"/>
  <c r="G1253" i="40"/>
  <c r="G1254" i="40"/>
  <c r="G1255" i="40"/>
  <c r="G1256" i="40"/>
  <c r="G1257" i="40"/>
  <c r="G1258" i="40"/>
  <c r="G1259" i="40"/>
  <c r="G1260" i="40"/>
  <c r="G1261" i="40"/>
  <c r="G1262" i="40"/>
  <c r="G1263" i="40"/>
  <c r="G1264" i="40"/>
  <c r="G1265" i="40"/>
  <c r="G1266" i="40"/>
  <c r="G1267" i="40"/>
  <c r="G1268" i="40"/>
  <c r="G1269" i="40"/>
  <c r="G1270" i="40"/>
  <c r="G1271" i="40"/>
  <c r="G1272" i="40"/>
  <c r="G1273" i="40"/>
  <c r="G1274" i="40"/>
  <c r="G2" i="40"/>
  <c r="F3" i="39" a="1"/>
  <c r="F3" i="39"/>
  <c r="H3" i="39" a="1"/>
  <c r="H3" i="39"/>
  <c r="D21" i="39"/>
  <c r="D20" i="39"/>
  <c r="D12" i="39"/>
  <c r="C21" i="39"/>
  <c r="C20" i="39"/>
  <c r="K3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2" i="2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3" i="1"/>
  <c r="H1" i="1"/>
  <c r="F1" i="1"/>
  <c r="H787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3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Z4" i="1" a="1"/>
  <c r="Z4" i="1" s="1"/>
  <c r="Z5" i="1" a="1"/>
  <c r="Z5" i="1" s="1"/>
  <c r="Z6" i="1" a="1"/>
  <c r="Z6" i="1" s="1"/>
  <c r="Z7" i="1" a="1"/>
  <c r="Z7" i="1" s="1"/>
  <c r="Z8" i="1" a="1"/>
  <c r="Z8" i="1" s="1"/>
  <c r="Z9" i="1" a="1"/>
  <c r="Z9" i="1" s="1"/>
  <c r="Z10" i="1" a="1"/>
  <c r="Z10" i="1" s="1"/>
  <c r="Z11" i="1" a="1"/>
  <c r="Z11" i="1" s="1"/>
  <c r="Z12" i="1" a="1"/>
  <c r="Z12" i="1" s="1"/>
  <c r="Z13" i="1" a="1"/>
  <c r="Z13" i="1" s="1"/>
  <c r="Z14" i="1" a="1"/>
  <c r="Z14" i="1" s="1"/>
  <c r="Z15" i="1" a="1"/>
  <c r="Z15" i="1" s="1"/>
  <c r="Z16" i="1" a="1"/>
  <c r="Z16" i="1" s="1"/>
  <c r="Z17" i="1" a="1"/>
  <c r="Z17" i="1" s="1"/>
  <c r="Z18" i="1" a="1"/>
  <c r="Z18" i="1" s="1"/>
  <c r="Z19" i="1" a="1"/>
  <c r="Z19" i="1" s="1"/>
  <c r="Z20" i="1" a="1"/>
  <c r="Z20" i="1" s="1"/>
  <c r="Z21" i="1" a="1"/>
  <c r="Z21" i="1" s="1"/>
  <c r="Z22" i="1" a="1"/>
  <c r="Z22" i="1" s="1"/>
  <c r="Z23" i="1" a="1"/>
  <c r="Z23" i="1" s="1"/>
  <c r="Z24" i="1" a="1"/>
  <c r="Z24" i="1" s="1"/>
  <c r="Z25" i="1" a="1"/>
  <c r="Z25" i="1" s="1"/>
  <c r="Z26" i="1" a="1"/>
  <c r="Z26" i="1" s="1"/>
  <c r="Z27" i="1" a="1"/>
  <c r="Z27" i="1" s="1"/>
  <c r="Z28" i="1" a="1"/>
  <c r="Z28" i="1" s="1"/>
  <c r="Z29" i="1" a="1"/>
  <c r="Z29" i="1" s="1"/>
  <c r="Z30" i="1" a="1"/>
  <c r="Z30" i="1" s="1"/>
  <c r="Z31" i="1" a="1"/>
  <c r="Z31" i="1" s="1"/>
  <c r="Z32" i="1" a="1"/>
  <c r="Z32" i="1" s="1"/>
  <c r="Z33" i="1" a="1"/>
  <c r="Z33" i="1" s="1"/>
  <c r="Z34" i="1" a="1"/>
  <c r="Z34" i="1" s="1"/>
  <c r="Z35" i="1" a="1"/>
  <c r="Z35" i="1" s="1"/>
  <c r="Z36" i="1" a="1"/>
  <c r="Z36" i="1" s="1"/>
  <c r="Z37" i="1" a="1"/>
  <c r="Z37" i="1" s="1"/>
  <c r="Z38" i="1" a="1"/>
  <c r="Z38" i="1" s="1"/>
  <c r="Z39" i="1" a="1"/>
  <c r="Z39" i="1" s="1"/>
  <c r="Z40" i="1" a="1"/>
  <c r="Z40" i="1" s="1"/>
  <c r="Z41" i="1" a="1"/>
  <c r="Z41" i="1" s="1"/>
  <c r="Z42" i="1" a="1"/>
  <c r="Z42" i="1" s="1"/>
  <c r="Z43" i="1" a="1"/>
  <c r="Z43" i="1" s="1"/>
  <c r="Z44" i="1" a="1"/>
  <c r="Z44" i="1" s="1"/>
  <c r="Z45" i="1" a="1"/>
  <c r="Z45" i="1" s="1"/>
  <c r="Z46" i="1" a="1"/>
  <c r="Z46" i="1" s="1"/>
  <c r="Z47" i="1" a="1"/>
  <c r="Z47" i="1" s="1"/>
  <c r="Z48" i="1" a="1"/>
  <c r="Z48" i="1" s="1"/>
  <c r="Z49" i="1" a="1"/>
  <c r="Z49" i="1" s="1"/>
  <c r="Z50" i="1" a="1"/>
  <c r="Z50" i="1" s="1"/>
  <c r="Z3" i="1" a="1"/>
  <c r="Z3" i="1" s="1"/>
  <c r="Z51" i="1" a="1"/>
  <c r="Z51" i="1" s="1"/>
  <c r="Z52" i="1" a="1"/>
  <c r="Z52" i="1" s="1"/>
  <c r="Z53" i="1" a="1"/>
  <c r="Z53" i="1" s="1"/>
  <c r="Z54" i="1" a="1"/>
  <c r="Z54" i="1" s="1"/>
  <c r="Z55" i="1" a="1"/>
  <c r="Z55" i="1" s="1"/>
  <c r="Z56" i="1" a="1"/>
  <c r="Z56" i="1" s="1"/>
  <c r="Z57" i="1" a="1"/>
  <c r="Z57" i="1" s="1"/>
  <c r="Z58" i="1" a="1"/>
  <c r="Z58" i="1" s="1"/>
  <c r="Z59" i="1" a="1"/>
  <c r="Z59" i="1" s="1"/>
  <c r="Z60" i="1" a="1"/>
  <c r="Z60" i="1" s="1"/>
  <c r="Z61" i="1" a="1"/>
  <c r="Z61" i="1" s="1"/>
  <c r="Z62" i="1" a="1"/>
  <c r="Z62" i="1" s="1"/>
  <c r="Z63" i="1" a="1"/>
  <c r="Z63" i="1" s="1"/>
  <c r="Z64" i="1" a="1"/>
  <c r="Z64" i="1" s="1"/>
  <c r="Z65" i="1" a="1"/>
  <c r="Z65" i="1" s="1"/>
  <c r="Z66" i="1" a="1"/>
  <c r="Z66" i="1" s="1"/>
  <c r="Z67" i="1" a="1"/>
  <c r="Z67" i="1" s="1"/>
  <c r="Z68" i="1" a="1"/>
  <c r="Z68" i="1" s="1"/>
  <c r="Z69" i="1" a="1"/>
  <c r="Z69" i="1" s="1"/>
  <c r="Z70" i="1" a="1"/>
  <c r="Z70" i="1" s="1"/>
  <c r="Z71" i="1" a="1"/>
  <c r="Z71" i="1" s="1"/>
  <c r="Z72" i="1" a="1"/>
  <c r="Z72" i="1" s="1"/>
  <c r="Z73" i="1" a="1"/>
  <c r="Z73" i="1" s="1"/>
  <c r="Z74" i="1" a="1"/>
  <c r="Z74" i="1" s="1"/>
  <c r="Z75" i="1" a="1"/>
  <c r="Z75" i="1" s="1"/>
  <c r="Z76" i="1" a="1"/>
  <c r="Z76" i="1" s="1"/>
  <c r="Z77" i="1" a="1"/>
  <c r="Z77" i="1" s="1"/>
  <c r="Z78" i="1" a="1"/>
  <c r="Z78" i="1" s="1"/>
  <c r="Z79" i="1" a="1"/>
  <c r="Z79" i="1" s="1"/>
  <c r="Z80" i="1" a="1"/>
  <c r="Z80" i="1" s="1"/>
  <c r="Z81" i="1" a="1"/>
  <c r="Z81" i="1" s="1"/>
  <c r="Z82" i="1" a="1"/>
  <c r="Z82" i="1" s="1"/>
  <c r="Z83" i="1" a="1"/>
  <c r="Z83" i="1" s="1"/>
  <c r="Z84" i="1" a="1"/>
  <c r="Z84" i="1" s="1"/>
  <c r="Z85" i="1" a="1"/>
  <c r="Z85" i="1" s="1"/>
  <c r="Z86" i="1" a="1"/>
  <c r="Z86" i="1" s="1"/>
  <c r="Z87" i="1" a="1"/>
  <c r="Z87" i="1" s="1"/>
  <c r="Z88" i="1" a="1"/>
  <c r="Z88" i="1" s="1"/>
  <c r="Z89" i="1" a="1"/>
  <c r="Z89" i="1" s="1"/>
  <c r="Z90" i="1" a="1"/>
  <c r="Z90" i="1" s="1"/>
  <c r="Z91" i="1" a="1"/>
  <c r="Z91" i="1" s="1"/>
  <c r="Z92" i="1" a="1"/>
  <c r="Z92" i="1" s="1"/>
  <c r="Z93" i="1" a="1"/>
  <c r="Z93" i="1" s="1"/>
  <c r="Z94" i="1" a="1"/>
  <c r="Z94" i="1" s="1"/>
  <c r="Z95" i="1" a="1"/>
  <c r="Z95" i="1" s="1"/>
  <c r="Z96" i="1" a="1"/>
  <c r="Z96" i="1" s="1"/>
  <c r="Z97" i="1" a="1"/>
  <c r="Z97" i="1" s="1"/>
  <c r="Z98" i="1" a="1"/>
  <c r="Z98" i="1" s="1"/>
  <c r="Z99" i="1" a="1"/>
  <c r="Z99" i="1" s="1"/>
  <c r="Z100" i="1" a="1"/>
  <c r="Z100" i="1" s="1"/>
  <c r="Z101" i="1" a="1"/>
  <c r="Z101" i="1" s="1"/>
  <c r="Z102" i="1" a="1"/>
  <c r="Z102" i="1" s="1"/>
  <c r="Z103" i="1" a="1"/>
  <c r="Z103" i="1" s="1"/>
  <c r="Z104" i="1" a="1"/>
  <c r="Z104" i="1" s="1"/>
  <c r="Z105" i="1" a="1"/>
  <c r="Z105" i="1" s="1"/>
  <c r="Z106" i="1" a="1"/>
  <c r="Z106" i="1" s="1"/>
  <c r="Z107" i="1" a="1"/>
  <c r="Z107" i="1" s="1"/>
  <c r="Z108" i="1" a="1"/>
  <c r="Z108" i="1" s="1"/>
  <c r="Z109" i="1" a="1"/>
  <c r="Z109" i="1" s="1"/>
  <c r="Z110" i="1" a="1"/>
  <c r="Z110" i="1" s="1"/>
  <c r="Z111" i="1" a="1"/>
  <c r="Z111" i="1" s="1"/>
  <c r="Z112" i="1" a="1"/>
  <c r="Z112" i="1" s="1"/>
  <c r="Z113" i="1" a="1"/>
  <c r="Z113" i="1" s="1"/>
  <c r="Z114" i="1" a="1"/>
  <c r="Z114" i="1" s="1"/>
  <c r="Z115" i="1" a="1"/>
  <c r="Z115" i="1" s="1"/>
  <c r="Z116" i="1" a="1"/>
  <c r="Z116" i="1" s="1"/>
  <c r="Z117" i="1" a="1"/>
  <c r="Z117" i="1" s="1"/>
  <c r="Z118" i="1" a="1"/>
  <c r="Z118" i="1" s="1"/>
  <c r="Z119" i="1" a="1"/>
  <c r="Z119" i="1" s="1"/>
  <c r="Z120" i="1" a="1"/>
  <c r="Z120" i="1" s="1"/>
  <c r="Z121" i="1" a="1"/>
  <c r="Z121" i="1" s="1"/>
  <c r="Z122" i="1" a="1"/>
  <c r="Z122" i="1" s="1"/>
  <c r="Z123" i="1" a="1"/>
  <c r="Z123" i="1" s="1"/>
  <c r="Z124" i="1" a="1"/>
  <c r="Z124" i="1" s="1"/>
  <c r="Z125" i="1" a="1"/>
  <c r="Z125" i="1" s="1"/>
  <c r="Z126" i="1" a="1"/>
  <c r="Z126" i="1" s="1"/>
  <c r="Z127" i="1" a="1"/>
  <c r="Z127" i="1" s="1"/>
  <c r="Z128" i="1" a="1"/>
  <c r="Z128" i="1" s="1"/>
  <c r="Z129" i="1" a="1"/>
  <c r="Z129" i="1" s="1"/>
  <c r="Z130" i="1" a="1"/>
  <c r="Z130" i="1" s="1"/>
  <c r="Z131" i="1" a="1"/>
  <c r="Z131" i="1" s="1"/>
  <c r="Z132" i="1" a="1"/>
  <c r="Z132" i="1" s="1"/>
  <c r="Z133" i="1" a="1"/>
  <c r="Z133" i="1" s="1"/>
  <c r="Z134" i="1" a="1"/>
  <c r="Z134" i="1" s="1"/>
  <c r="Z135" i="1" a="1"/>
  <c r="Z135" i="1" s="1"/>
  <c r="Z136" i="1" a="1"/>
  <c r="Z136" i="1" s="1"/>
  <c r="Z137" i="1" a="1"/>
  <c r="Z137" i="1" s="1"/>
  <c r="Z138" i="1" a="1"/>
  <c r="Z138" i="1" s="1"/>
  <c r="Z139" i="1" a="1"/>
  <c r="Z139" i="1" s="1"/>
  <c r="Z140" i="1" a="1"/>
  <c r="Z140" i="1" s="1"/>
  <c r="Z141" i="1" a="1"/>
  <c r="Z141" i="1" s="1"/>
  <c r="Z142" i="1" a="1"/>
  <c r="Z142" i="1" s="1"/>
  <c r="Z143" i="1" a="1"/>
  <c r="Z143" i="1" s="1"/>
  <c r="Z144" i="1" a="1"/>
  <c r="Z144" i="1" s="1"/>
  <c r="Z145" i="1" a="1"/>
  <c r="Z145" i="1" s="1"/>
  <c r="Z146" i="1" a="1"/>
  <c r="Z146" i="1" s="1"/>
  <c r="Z147" i="1" a="1"/>
  <c r="Z147" i="1" s="1"/>
  <c r="Z148" i="1" a="1"/>
  <c r="Z148" i="1" s="1"/>
  <c r="Z149" i="1" a="1"/>
  <c r="Z149" i="1" s="1"/>
  <c r="Z150" i="1" a="1"/>
  <c r="Z150" i="1" s="1"/>
  <c r="Z151" i="1" a="1"/>
  <c r="Z151" i="1" s="1"/>
  <c r="Z152" i="1" a="1"/>
  <c r="Z152" i="1" s="1"/>
  <c r="Z153" i="1" a="1"/>
  <c r="Z153" i="1" s="1"/>
  <c r="Z154" i="1" a="1"/>
  <c r="Z154" i="1" s="1"/>
  <c r="Z155" i="1" a="1"/>
  <c r="Z155" i="1" s="1"/>
  <c r="Z156" i="1" a="1"/>
  <c r="Z156" i="1" s="1"/>
  <c r="Z157" i="1" a="1"/>
  <c r="Z157" i="1" s="1"/>
  <c r="Z158" i="1" a="1"/>
  <c r="Z158" i="1" s="1"/>
  <c r="Z159" i="1" a="1"/>
  <c r="Z159" i="1" s="1"/>
  <c r="Z160" i="1" a="1"/>
  <c r="Z160" i="1" s="1"/>
  <c r="Z161" i="1" a="1"/>
  <c r="Z161" i="1" s="1"/>
  <c r="Z162" i="1" a="1"/>
  <c r="Z162" i="1" s="1"/>
  <c r="Z163" i="1" a="1"/>
  <c r="Z163" i="1" s="1"/>
  <c r="Z164" i="1" a="1"/>
  <c r="Z164" i="1" s="1"/>
  <c r="Z165" i="1" a="1"/>
  <c r="Z165" i="1" s="1"/>
  <c r="Z166" i="1" a="1"/>
  <c r="Z166" i="1" s="1"/>
  <c r="Z167" i="1" a="1"/>
  <c r="Z167" i="1" s="1"/>
  <c r="Z168" i="1" a="1"/>
  <c r="Z168" i="1" s="1"/>
  <c r="Z169" i="1" a="1"/>
  <c r="Z169" i="1" s="1"/>
  <c r="Z170" i="1" a="1"/>
  <c r="Z170" i="1" s="1"/>
  <c r="Z171" i="1" a="1"/>
  <c r="Z171" i="1" s="1"/>
  <c r="Z172" i="1" a="1"/>
  <c r="Z172" i="1" s="1"/>
  <c r="Z173" i="1" a="1"/>
  <c r="Z173" i="1" s="1"/>
  <c r="Z174" i="1" a="1"/>
  <c r="Z174" i="1" s="1"/>
  <c r="Z175" i="1" a="1"/>
  <c r="Z175" i="1" s="1"/>
  <c r="Z176" i="1" a="1"/>
  <c r="Z176" i="1" s="1"/>
  <c r="Z177" i="1" a="1"/>
  <c r="Z177" i="1" s="1"/>
  <c r="Z178" i="1" a="1"/>
  <c r="Z178" i="1" s="1"/>
  <c r="Z179" i="1" a="1"/>
  <c r="Z179" i="1" s="1"/>
  <c r="Z180" i="1" a="1"/>
  <c r="Z180" i="1" s="1"/>
  <c r="Z181" i="1" a="1"/>
  <c r="Z181" i="1" s="1"/>
  <c r="Z182" i="1" a="1"/>
  <c r="Z182" i="1" s="1"/>
  <c r="Z183" i="1" a="1"/>
  <c r="Z183" i="1" s="1"/>
  <c r="Z184" i="1" a="1"/>
  <c r="Z184" i="1" s="1"/>
  <c r="Z185" i="1" a="1"/>
  <c r="Z185" i="1" s="1"/>
  <c r="Z186" i="1" a="1"/>
  <c r="Z186" i="1" s="1"/>
  <c r="Z187" i="1" a="1"/>
  <c r="Z187" i="1" s="1"/>
  <c r="Z188" i="1" a="1"/>
  <c r="Z188" i="1" s="1"/>
  <c r="Z189" i="1" a="1"/>
  <c r="Z189" i="1" s="1"/>
  <c r="Z190" i="1" a="1"/>
  <c r="Z190" i="1" s="1"/>
  <c r="Z191" i="1" a="1"/>
  <c r="Z191" i="1" s="1"/>
  <c r="Z192" i="1" a="1"/>
  <c r="Z192" i="1" s="1"/>
  <c r="Z193" i="1" a="1"/>
  <c r="Z193" i="1" s="1"/>
  <c r="Z194" i="1" a="1"/>
  <c r="Z194" i="1" s="1"/>
  <c r="Z195" i="1" a="1"/>
  <c r="Z195" i="1" s="1"/>
  <c r="Z196" i="1" a="1"/>
  <c r="Z196" i="1" s="1"/>
  <c r="Z197" i="1" a="1"/>
  <c r="Z197" i="1" s="1"/>
  <c r="Z198" i="1" a="1"/>
  <c r="Z198" i="1" s="1"/>
  <c r="Z199" i="1" a="1"/>
  <c r="Z199" i="1" s="1"/>
  <c r="Z200" i="1" a="1"/>
  <c r="Z200" i="1" s="1"/>
  <c r="Z201" i="1" a="1"/>
  <c r="Z201" i="1" s="1"/>
  <c r="Z202" i="1" a="1"/>
  <c r="Z202" i="1" s="1"/>
  <c r="Z203" i="1" a="1"/>
  <c r="Z203" i="1" s="1"/>
  <c r="Z204" i="1" a="1"/>
  <c r="Z204" i="1" s="1"/>
  <c r="Z205" i="1" a="1"/>
  <c r="Z205" i="1" s="1"/>
  <c r="Z206" i="1" a="1"/>
  <c r="Z206" i="1" s="1"/>
  <c r="Z207" i="1" a="1"/>
  <c r="Z207" i="1" s="1"/>
  <c r="Z208" i="1" a="1"/>
  <c r="Z208" i="1" s="1"/>
  <c r="Z209" i="1" a="1"/>
  <c r="Z209" i="1" s="1"/>
  <c r="Z210" i="1" a="1"/>
  <c r="Z210" i="1" s="1"/>
  <c r="Z211" i="1" a="1"/>
  <c r="Z211" i="1" s="1"/>
  <c r="Z212" i="1" a="1"/>
  <c r="Z212" i="1" s="1"/>
  <c r="Z213" i="1" a="1"/>
  <c r="Z213" i="1" s="1"/>
  <c r="Z214" i="1" a="1"/>
  <c r="Z214" i="1" s="1"/>
  <c r="Z215" i="1" a="1"/>
  <c r="Z215" i="1" s="1"/>
  <c r="Z216" i="1" a="1"/>
  <c r="Z216" i="1" s="1"/>
  <c r="Z217" i="1" a="1"/>
  <c r="Z217" i="1" s="1"/>
  <c r="Z218" i="1" a="1"/>
  <c r="Z218" i="1" s="1"/>
  <c r="Z219" i="1" a="1"/>
  <c r="Z219" i="1" s="1"/>
  <c r="Z220" i="1" a="1"/>
  <c r="Z220" i="1" s="1"/>
  <c r="Z221" i="1" a="1"/>
  <c r="Z221" i="1" s="1"/>
  <c r="Z222" i="1" a="1"/>
  <c r="Z222" i="1" s="1"/>
  <c r="Z223" i="1" a="1"/>
  <c r="Z223" i="1" s="1"/>
  <c r="Z224" i="1" a="1"/>
  <c r="Z224" i="1" s="1"/>
  <c r="Z225" i="1" a="1"/>
  <c r="Z225" i="1" s="1"/>
  <c r="Z226" i="1" a="1"/>
  <c r="Z226" i="1" s="1"/>
  <c r="Z227" i="1" a="1"/>
  <c r="Z227" i="1" s="1"/>
  <c r="Z228" i="1" a="1"/>
  <c r="Z228" i="1" s="1"/>
  <c r="Z229" i="1" a="1"/>
  <c r="Z229" i="1" s="1"/>
  <c r="Z230" i="1" a="1"/>
  <c r="Z230" i="1" s="1"/>
  <c r="Z231" i="1" a="1"/>
  <c r="Z231" i="1" s="1"/>
  <c r="Z232" i="1" a="1"/>
  <c r="Z232" i="1" s="1"/>
  <c r="Z233" i="1" a="1"/>
  <c r="Z233" i="1" s="1"/>
  <c r="Z234" i="1" a="1"/>
  <c r="Z234" i="1" s="1"/>
  <c r="Z235" i="1" a="1"/>
  <c r="Z235" i="1" s="1"/>
  <c r="Z236" i="1" a="1"/>
  <c r="Z236" i="1" s="1"/>
  <c r="Z237" i="1" a="1"/>
  <c r="Z237" i="1" s="1"/>
  <c r="Z238" i="1" a="1"/>
  <c r="Z238" i="1" s="1"/>
  <c r="Z239" i="1" a="1"/>
  <c r="Z239" i="1" s="1"/>
  <c r="Z240" i="1" a="1"/>
  <c r="Z240" i="1" s="1"/>
  <c r="Z241" i="1" a="1"/>
  <c r="Z241" i="1" s="1"/>
  <c r="Z242" i="1" a="1"/>
  <c r="Z242" i="1" s="1"/>
  <c r="Z243" i="1" a="1"/>
  <c r="Z243" i="1" s="1"/>
  <c r="Z244" i="1" a="1"/>
  <c r="Z244" i="1" s="1"/>
  <c r="Z245" i="1" a="1"/>
  <c r="Z245" i="1" s="1"/>
  <c r="Z246" i="1" a="1"/>
  <c r="Z246" i="1" s="1"/>
  <c r="Z247" i="1" a="1"/>
  <c r="Z247" i="1" s="1"/>
  <c r="Z248" i="1" a="1"/>
  <c r="Z248" i="1" s="1"/>
  <c r="Z249" i="1" a="1"/>
  <c r="Z249" i="1" s="1"/>
  <c r="Z250" i="1" a="1"/>
  <c r="Z250" i="1" s="1"/>
  <c r="Z251" i="1" a="1"/>
  <c r="Z251" i="1" s="1"/>
  <c r="Z252" i="1" a="1"/>
  <c r="Z252" i="1" s="1"/>
  <c r="Z253" i="1" a="1"/>
  <c r="Z253" i="1" s="1"/>
  <c r="Z254" i="1" a="1"/>
  <c r="Z254" i="1" s="1"/>
  <c r="Z255" i="1" a="1"/>
  <c r="Z255" i="1" s="1"/>
  <c r="Z256" i="1" a="1"/>
  <c r="Z256" i="1" s="1"/>
  <c r="Z257" i="1" a="1"/>
  <c r="Z257" i="1" s="1"/>
  <c r="Z258" i="1" a="1"/>
  <c r="Z258" i="1" s="1"/>
  <c r="Z259" i="1" a="1"/>
  <c r="Z259" i="1" s="1"/>
  <c r="Z260" i="1" a="1"/>
  <c r="Z260" i="1" s="1"/>
  <c r="Z261" i="1" a="1"/>
  <c r="Z261" i="1" s="1"/>
  <c r="Z262" i="1" a="1"/>
  <c r="Z262" i="1" s="1"/>
  <c r="Z263" i="1" a="1"/>
  <c r="Z263" i="1" s="1"/>
  <c r="Z264" i="1" a="1"/>
  <c r="Z264" i="1" s="1"/>
  <c r="Z265" i="1" a="1"/>
  <c r="Z265" i="1" s="1"/>
  <c r="Z266" i="1" a="1"/>
  <c r="Z266" i="1" s="1"/>
  <c r="Z267" i="1" a="1"/>
  <c r="Z267" i="1" s="1"/>
  <c r="Z268" i="1" a="1"/>
  <c r="Z268" i="1" s="1"/>
  <c r="Z269" i="1" a="1"/>
  <c r="Z269" i="1" s="1"/>
  <c r="Z270" i="1" a="1"/>
  <c r="Z270" i="1" s="1"/>
  <c r="Z271" i="1" a="1"/>
  <c r="Z271" i="1" s="1"/>
  <c r="Z272" i="1" a="1"/>
  <c r="Z272" i="1" s="1"/>
  <c r="Z273" i="1" a="1"/>
  <c r="Z273" i="1" s="1"/>
  <c r="Z274" i="1" a="1"/>
  <c r="Z274" i="1" s="1"/>
  <c r="Z275" i="1" a="1"/>
  <c r="Z275" i="1" s="1"/>
  <c r="Z276" i="1" a="1"/>
  <c r="Z276" i="1" s="1"/>
  <c r="Z277" i="1" a="1"/>
  <c r="Z277" i="1" s="1"/>
  <c r="Z278" i="1" a="1"/>
  <c r="Z278" i="1" s="1"/>
  <c r="Z279" i="1" a="1"/>
  <c r="Z279" i="1" s="1"/>
  <c r="Z280" i="1" a="1"/>
  <c r="Z280" i="1" s="1"/>
  <c r="Z281" i="1" a="1"/>
  <c r="Z281" i="1" s="1"/>
  <c r="Z282" i="1" a="1"/>
  <c r="Z282" i="1" s="1"/>
  <c r="Z283" i="1" a="1"/>
  <c r="Z283" i="1" s="1"/>
  <c r="Z284" i="1" a="1"/>
  <c r="Z284" i="1" s="1"/>
  <c r="Z285" i="1" a="1"/>
  <c r="Z285" i="1" s="1"/>
  <c r="Z286" i="1" a="1"/>
  <c r="Z286" i="1" s="1"/>
  <c r="Z287" i="1" a="1"/>
  <c r="Z287" i="1" s="1"/>
  <c r="Z288" i="1" a="1"/>
  <c r="Z288" i="1" s="1"/>
  <c r="Z289" i="1" a="1"/>
  <c r="Z289" i="1" s="1"/>
  <c r="Z290" i="1" a="1"/>
  <c r="Z290" i="1" s="1"/>
  <c r="Z291" i="1" a="1"/>
  <c r="Z291" i="1" s="1"/>
  <c r="Z292" i="1" a="1"/>
  <c r="Z292" i="1" s="1"/>
  <c r="Z293" i="1" a="1"/>
  <c r="Z293" i="1" s="1"/>
  <c r="Z294" i="1" a="1"/>
  <c r="Z294" i="1" s="1"/>
  <c r="Z295" i="1" a="1"/>
  <c r="Z295" i="1" s="1"/>
  <c r="Z296" i="1" a="1"/>
  <c r="Z296" i="1" s="1"/>
  <c r="Z297" i="1" a="1"/>
  <c r="Z297" i="1" s="1"/>
  <c r="Z298" i="1" a="1"/>
  <c r="Z298" i="1" s="1"/>
  <c r="Z299" i="1" a="1"/>
  <c r="Z299" i="1" s="1"/>
  <c r="Z300" i="1" a="1"/>
  <c r="Z300" i="1" s="1"/>
  <c r="Z301" i="1" a="1"/>
  <c r="Z301" i="1" s="1"/>
  <c r="Z302" i="1" a="1"/>
  <c r="Z302" i="1" s="1"/>
  <c r="Z303" i="1" a="1"/>
  <c r="Z303" i="1" s="1"/>
  <c r="Z304" i="1" a="1"/>
  <c r="Z304" i="1" s="1"/>
  <c r="Z305" i="1" a="1"/>
  <c r="Z305" i="1" s="1"/>
  <c r="Z306" i="1" a="1"/>
  <c r="Z306" i="1" s="1"/>
  <c r="Z307" i="1" a="1"/>
  <c r="Z307" i="1" s="1"/>
  <c r="Z308" i="1" a="1"/>
  <c r="Z308" i="1" s="1"/>
  <c r="Z309" i="1" a="1"/>
  <c r="Z309" i="1" s="1"/>
  <c r="Z310" i="1" a="1"/>
  <c r="Z310" i="1" s="1"/>
  <c r="Z311" i="1" a="1"/>
  <c r="Z311" i="1" s="1"/>
  <c r="Z312" i="1" a="1"/>
  <c r="Z312" i="1" s="1"/>
  <c r="Z313" i="1" a="1"/>
  <c r="Z313" i="1" s="1"/>
  <c r="Z314" i="1" a="1"/>
  <c r="Z314" i="1" s="1"/>
  <c r="Z315" i="1" a="1"/>
  <c r="Z315" i="1" s="1"/>
  <c r="Z316" i="1" a="1"/>
  <c r="Z316" i="1" s="1"/>
  <c r="Z317" i="1" a="1"/>
  <c r="Z317" i="1" s="1"/>
  <c r="Z318" i="1" a="1"/>
  <c r="Z318" i="1" s="1"/>
  <c r="Z319" i="1" a="1"/>
  <c r="Z319" i="1" s="1"/>
  <c r="Z320" i="1" a="1"/>
  <c r="Z320" i="1" s="1"/>
  <c r="Z321" i="1" a="1"/>
  <c r="Z321" i="1" s="1"/>
  <c r="Z322" i="1" a="1"/>
  <c r="Z322" i="1" s="1"/>
  <c r="Z323" i="1" a="1"/>
  <c r="Z323" i="1" s="1"/>
  <c r="Z324" i="1" a="1"/>
  <c r="Z324" i="1" s="1"/>
  <c r="Z325" i="1" a="1"/>
  <c r="Z325" i="1" s="1"/>
  <c r="Z326" i="1" a="1"/>
  <c r="Z326" i="1" s="1"/>
  <c r="Z327" i="1" a="1"/>
  <c r="Z327" i="1" s="1"/>
  <c r="Z328" i="1" a="1"/>
  <c r="Z328" i="1" s="1"/>
  <c r="Z329" i="1" a="1"/>
  <c r="Z329" i="1" s="1"/>
  <c r="Z330" i="1" a="1"/>
  <c r="Z330" i="1" s="1"/>
  <c r="Z331" i="1" a="1"/>
  <c r="Z331" i="1" s="1"/>
  <c r="Z332" i="1" a="1"/>
  <c r="Z332" i="1" s="1"/>
  <c r="Z333" i="1" a="1"/>
  <c r="Z333" i="1" s="1"/>
  <c r="Z334" i="1" a="1"/>
  <c r="Z334" i="1" s="1"/>
  <c r="Z335" i="1" a="1"/>
  <c r="Z335" i="1" s="1"/>
  <c r="Z336" i="1" a="1"/>
  <c r="Z336" i="1" s="1"/>
  <c r="Z337" i="1" a="1"/>
  <c r="Z337" i="1" s="1"/>
  <c r="Z338" i="1" a="1"/>
  <c r="Z338" i="1" s="1"/>
  <c r="Z339" i="1" a="1"/>
  <c r="Z339" i="1" s="1"/>
  <c r="Z340" i="1" a="1"/>
  <c r="Z340" i="1" s="1"/>
  <c r="Z341" i="1" a="1"/>
  <c r="Z341" i="1" s="1"/>
  <c r="Z342" i="1" a="1"/>
  <c r="Z342" i="1" s="1"/>
  <c r="Z343" i="1" a="1"/>
  <c r="Z343" i="1" s="1"/>
  <c r="Z344" i="1" a="1"/>
  <c r="Z344" i="1" s="1"/>
  <c r="Z345" i="1" a="1"/>
  <c r="Z345" i="1" s="1"/>
  <c r="Z346" i="1" a="1"/>
  <c r="Z346" i="1" s="1"/>
  <c r="Z347" i="1" a="1"/>
  <c r="Z347" i="1" s="1"/>
  <c r="Z348" i="1" a="1"/>
  <c r="Z348" i="1" s="1"/>
  <c r="Z349" i="1" a="1"/>
  <c r="Z349" i="1" s="1"/>
  <c r="Z350" i="1" a="1"/>
  <c r="Z350" i="1" s="1"/>
  <c r="Z351" i="1" a="1"/>
  <c r="Z351" i="1" s="1"/>
  <c r="Z352" i="1" a="1"/>
  <c r="Z352" i="1" s="1"/>
  <c r="Z353" i="1" a="1"/>
  <c r="Z353" i="1" s="1"/>
  <c r="Z354" i="1" a="1"/>
  <c r="Z354" i="1" s="1"/>
  <c r="Z355" i="1" a="1"/>
  <c r="Z355" i="1" s="1"/>
  <c r="Z356" i="1" a="1"/>
  <c r="Z356" i="1" s="1"/>
  <c r="Z357" i="1" a="1"/>
  <c r="Z357" i="1" s="1"/>
  <c r="Z358" i="1" a="1"/>
  <c r="Z358" i="1" s="1"/>
  <c r="Z359" i="1" a="1"/>
  <c r="Z359" i="1" s="1"/>
  <c r="Z360" i="1" a="1"/>
  <c r="Z360" i="1" s="1"/>
  <c r="Z361" i="1" a="1"/>
  <c r="Z361" i="1" s="1"/>
  <c r="Z362" i="1" a="1"/>
  <c r="Z362" i="1" s="1"/>
  <c r="Z363" i="1" a="1"/>
  <c r="Z363" i="1" s="1"/>
  <c r="Z364" i="1" a="1"/>
  <c r="Z364" i="1" s="1"/>
  <c r="Z365" i="1" a="1"/>
  <c r="Z365" i="1" s="1"/>
  <c r="Z366" i="1" a="1"/>
  <c r="Z366" i="1" s="1"/>
  <c r="Z367" i="1" a="1"/>
  <c r="Z367" i="1" s="1"/>
  <c r="Z368" i="1" a="1"/>
  <c r="Z368" i="1" s="1"/>
  <c r="Z369" i="1" a="1"/>
  <c r="Z369" i="1" s="1"/>
  <c r="Z370" i="1" a="1"/>
  <c r="Z370" i="1" s="1"/>
  <c r="Z371" i="1" a="1"/>
  <c r="Z371" i="1" s="1"/>
  <c r="Z372" i="1" a="1"/>
  <c r="Z372" i="1" s="1"/>
  <c r="Z373" i="1" a="1"/>
  <c r="Z373" i="1" s="1"/>
  <c r="Z374" i="1" a="1"/>
  <c r="Z374" i="1" s="1"/>
  <c r="Z375" i="1" a="1"/>
  <c r="Z375" i="1" s="1"/>
  <c r="Z376" i="1" a="1"/>
  <c r="Z376" i="1" s="1"/>
  <c r="Z377" i="1" a="1"/>
  <c r="Z377" i="1" s="1"/>
  <c r="Z378" i="1" a="1"/>
  <c r="Z378" i="1" s="1"/>
  <c r="Z379" i="1" a="1"/>
  <c r="Z379" i="1" s="1"/>
  <c r="Z380" i="1" a="1"/>
  <c r="Z380" i="1" s="1"/>
  <c r="Z381" i="1" a="1"/>
  <c r="Z381" i="1" s="1"/>
  <c r="Z382" i="1" a="1"/>
  <c r="Z382" i="1" s="1"/>
  <c r="Z383" i="1" a="1"/>
  <c r="Z383" i="1" s="1"/>
  <c r="Z384" i="1" a="1"/>
  <c r="Z384" i="1" s="1"/>
  <c r="Z385" i="1" a="1"/>
  <c r="Z385" i="1" s="1"/>
  <c r="Z386" i="1" a="1"/>
  <c r="Z386" i="1" s="1"/>
  <c r="Z387" i="1" a="1"/>
  <c r="Z387" i="1" s="1"/>
  <c r="Z388" i="1" a="1"/>
  <c r="Z388" i="1" s="1"/>
  <c r="Z389" i="1" a="1"/>
  <c r="Z389" i="1" s="1"/>
  <c r="Z390" i="1" a="1"/>
  <c r="Z390" i="1" s="1"/>
  <c r="Z391" i="1" a="1"/>
  <c r="Z391" i="1" s="1"/>
  <c r="Z392" i="1" a="1"/>
  <c r="Z392" i="1" s="1"/>
  <c r="Z393" i="1" a="1"/>
  <c r="Z393" i="1" s="1"/>
  <c r="Z394" i="1" a="1"/>
  <c r="Z394" i="1" s="1"/>
  <c r="Z395" i="1" a="1"/>
  <c r="Z395" i="1" s="1"/>
  <c r="Z396" i="1" a="1"/>
  <c r="Z396" i="1" s="1"/>
  <c r="Z397" i="1" a="1"/>
  <c r="Z397" i="1" s="1"/>
  <c r="Z398" i="1" a="1"/>
  <c r="Z398" i="1" s="1"/>
  <c r="Z399" i="1" a="1"/>
  <c r="Z399" i="1" s="1"/>
  <c r="Z400" i="1" a="1"/>
  <c r="Z400" i="1" s="1"/>
  <c r="Z401" i="1" a="1"/>
  <c r="Z401" i="1" s="1"/>
  <c r="Z402" i="1" a="1"/>
  <c r="Z402" i="1" s="1"/>
  <c r="Z403" i="1" a="1"/>
  <c r="Z403" i="1" s="1"/>
  <c r="Z404" i="1" a="1"/>
  <c r="Z404" i="1" s="1"/>
  <c r="Z405" i="1" a="1"/>
  <c r="Z405" i="1" s="1"/>
  <c r="Z406" i="1" a="1"/>
  <c r="Z406" i="1" s="1"/>
  <c r="Z407" i="1" a="1"/>
  <c r="Z407" i="1" s="1"/>
  <c r="Z408" i="1" a="1"/>
  <c r="Z408" i="1" s="1"/>
  <c r="Z409" i="1" a="1"/>
  <c r="Z409" i="1" s="1"/>
  <c r="Z410" i="1" a="1"/>
  <c r="Z410" i="1" s="1"/>
  <c r="Z411" i="1" a="1"/>
  <c r="Z411" i="1" s="1"/>
  <c r="Z412" i="1" a="1"/>
  <c r="Z412" i="1" s="1"/>
  <c r="Z413" i="1" a="1"/>
  <c r="Z413" i="1" s="1"/>
  <c r="Z414" i="1" a="1"/>
  <c r="Z414" i="1" s="1"/>
  <c r="Z415" i="1" a="1"/>
  <c r="Z415" i="1" s="1"/>
  <c r="Z416" i="1" a="1"/>
  <c r="Z416" i="1" s="1"/>
  <c r="Z417" i="1" a="1"/>
  <c r="Z417" i="1" s="1"/>
  <c r="Z418" i="1" a="1"/>
  <c r="Z418" i="1" s="1"/>
  <c r="Z419" i="1" a="1"/>
  <c r="Z419" i="1" s="1"/>
  <c r="Z420" i="1" a="1"/>
  <c r="Z420" i="1" s="1"/>
  <c r="Z421" i="1" a="1"/>
  <c r="Z421" i="1" s="1"/>
  <c r="Z422" i="1" a="1"/>
  <c r="Z422" i="1" s="1"/>
  <c r="Z423" i="1" a="1"/>
  <c r="Z423" i="1" s="1"/>
  <c r="Z424" i="1" a="1"/>
  <c r="Z424" i="1" s="1"/>
  <c r="Z425" i="1" a="1"/>
  <c r="Z425" i="1" s="1"/>
  <c r="Z426" i="1" a="1"/>
  <c r="Z426" i="1" s="1"/>
  <c r="Z427" i="1" a="1"/>
  <c r="Z427" i="1" s="1"/>
  <c r="Z428" i="1" a="1"/>
  <c r="Z428" i="1" s="1"/>
  <c r="Z429" i="1" a="1"/>
  <c r="Z429" i="1" s="1"/>
  <c r="Z430" i="1" a="1"/>
  <c r="Z430" i="1" s="1"/>
  <c r="Z431" i="1" a="1"/>
  <c r="Z431" i="1" s="1"/>
  <c r="Z432" i="1" a="1"/>
  <c r="Z432" i="1" s="1"/>
  <c r="Z433" i="1" a="1"/>
  <c r="Z433" i="1" s="1"/>
  <c r="Z434" i="1" a="1"/>
  <c r="Z434" i="1" s="1"/>
  <c r="Z435" i="1" a="1"/>
  <c r="Z435" i="1" s="1"/>
  <c r="Z436" i="1" a="1"/>
  <c r="Z436" i="1" s="1"/>
  <c r="Z437" i="1" a="1"/>
  <c r="Z437" i="1" s="1"/>
  <c r="Z438" i="1" a="1"/>
  <c r="Z438" i="1" s="1"/>
  <c r="Z439" i="1" a="1"/>
  <c r="Z439" i="1" s="1"/>
  <c r="Z440" i="1" a="1"/>
  <c r="Z440" i="1" s="1"/>
  <c r="Z441" i="1" a="1"/>
  <c r="Z441" i="1" s="1"/>
  <c r="Z442" i="1" a="1"/>
  <c r="Z442" i="1" s="1"/>
  <c r="Z443" i="1" a="1"/>
  <c r="Z443" i="1" s="1"/>
  <c r="Z444" i="1" a="1"/>
  <c r="Z444" i="1" s="1"/>
  <c r="Z445" i="1" a="1"/>
  <c r="Z445" i="1" s="1"/>
  <c r="Z446" i="1" a="1"/>
  <c r="Z446" i="1" s="1"/>
  <c r="Z447" i="1" a="1"/>
  <c r="Z447" i="1" s="1"/>
  <c r="Z448" i="1" a="1"/>
  <c r="Z448" i="1" s="1"/>
  <c r="Z449" i="1" a="1"/>
  <c r="Z449" i="1" s="1"/>
  <c r="Z450" i="1" a="1"/>
  <c r="Z450" i="1" s="1"/>
  <c r="Z451" i="1" a="1"/>
  <c r="Z451" i="1" s="1"/>
  <c r="Z452" i="1" a="1"/>
  <c r="Z452" i="1" s="1"/>
  <c r="Z453" i="1" a="1"/>
  <c r="Z453" i="1" s="1"/>
  <c r="Z454" i="1" a="1"/>
  <c r="Z454" i="1" s="1"/>
  <c r="Z455" i="1" a="1"/>
  <c r="Z455" i="1" s="1"/>
  <c r="Z456" i="1" a="1"/>
  <c r="Z456" i="1" s="1"/>
  <c r="Z457" i="1" a="1"/>
  <c r="Z457" i="1" s="1"/>
  <c r="Z458" i="1" a="1"/>
  <c r="Z458" i="1" s="1"/>
  <c r="Z459" i="1" a="1"/>
  <c r="Z459" i="1" s="1"/>
  <c r="Z460" i="1" a="1"/>
  <c r="Z460" i="1" s="1"/>
  <c r="Z461" i="1" a="1"/>
  <c r="Z461" i="1" s="1"/>
  <c r="Z462" i="1" a="1"/>
  <c r="Z462" i="1" s="1"/>
  <c r="Z463" i="1" a="1"/>
  <c r="Z463" i="1" s="1"/>
  <c r="Z464" i="1" a="1"/>
  <c r="Z464" i="1" s="1"/>
  <c r="Z465" i="1" a="1"/>
  <c r="Z465" i="1" s="1"/>
  <c r="Z466" i="1" a="1"/>
  <c r="Z466" i="1" s="1"/>
  <c r="Z467" i="1" a="1"/>
  <c r="Z467" i="1" s="1"/>
  <c r="Z468" i="1" a="1"/>
  <c r="Z468" i="1" s="1"/>
  <c r="Z469" i="1" a="1"/>
  <c r="Z469" i="1" s="1"/>
  <c r="Z470" i="1" a="1"/>
  <c r="Z470" i="1" s="1"/>
  <c r="Z471" i="1" a="1"/>
  <c r="Z471" i="1" s="1"/>
  <c r="Z472" i="1" a="1"/>
  <c r="Z472" i="1" s="1"/>
  <c r="Z473" i="1" a="1"/>
  <c r="Z473" i="1" s="1"/>
  <c r="Z474" i="1" a="1"/>
  <c r="Z474" i="1" s="1"/>
  <c r="Z475" i="1" a="1"/>
  <c r="Z475" i="1" s="1"/>
  <c r="Z476" i="1" a="1"/>
  <c r="Z476" i="1" s="1"/>
  <c r="Z477" i="1" a="1"/>
  <c r="Z477" i="1" s="1"/>
  <c r="Z478" i="1" a="1"/>
  <c r="Z478" i="1" s="1"/>
  <c r="Z479" i="1" a="1"/>
  <c r="Z479" i="1" s="1"/>
  <c r="Z480" i="1" a="1"/>
  <c r="Z480" i="1" s="1"/>
  <c r="Z481" i="1" a="1"/>
  <c r="Z481" i="1" s="1"/>
  <c r="Z482" i="1" a="1"/>
  <c r="Z482" i="1" s="1"/>
  <c r="Z483" i="1" a="1"/>
  <c r="Z483" i="1" s="1"/>
  <c r="Z484" i="1" a="1"/>
  <c r="Z484" i="1" s="1"/>
  <c r="Z485" i="1" a="1"/>
  <c r="Z485" i="1" s="1"/>
  <c r="Z486" i="1" a="1"/>
  <c r="Z486" i="1" s="1"/>
  <c r="Z487" i="1" a="1"/>
  <c r="Z487" i="1" s="1"/>
  <c r="Z488" i="1" a="1"/>
  <c r="Z488" i="1" s="1"/>
  <c r="Z489" i="1" a="1"/>
  <c r="Z489" i="1" s="1"/>
  <c r="Z490" i="1" a="1"/>
  <c r="Z490" i="1" s="1"/>
  <c r="Z491" i="1" a="1"/>
  <c r="Z491" i="1" s="1"/>
  <c r="Z492" i="1" a="1"/>
  <c r="Z492" i="1" s="1"/>
  <c r="Z493" i="1" a="1"/>
  <c r="Z493" i="1" s="1"/>
  <c r="Z494" i="1" a="1"/>
  <c r="Z494" i="1" s="1"/>
  <c r="Z495" i="1" a="1"/>
  <c r="Z495" i="1" s="1"/>
  <c r="Z496" i="1" a="1"/>
  <c r="Z496" i="1" s="1"/>
  <c r="Z497" i="1" a="1"/>
  <c r="Z497" i="1" s="1"/>
  <c r="Z498" i="1" a="1"/>
  <c r="Z498" i="1" s="1"/>
  <c r="Z499" i="1" a="1"/>
  <c r="Z499" i="1" s="1"/>
  <c r="Z500" i="1" a="1"/>
  <c r="Z500" i="1" s="1"/>
  <c r="Z501" i="1" a="1"/>
  <c r="Z501" i="1" s="1"/>
  <c r="Z502" i="1" a="1"/>
  <c r="Z502" i="1" s="1"/>
  <c r="Z503" i="1" a="1"/>
  <c r="Z503" i="1" s="1"/>
  <c r="Z504" i="1" a="1"/>
  <c r="Z504" i="1" s="1"/>
  <c r="Z505" i="1" a="1"/>
  <c r="Z505" i="1" s="1"/>
  <c r="Z506" i="1" a="1"/>
  <c r="Z506" i="1" s="1"/>
  <c r="Z507" i="1" a="1"/>
  <c r="Z507" i="1" s="1"/>
  <c r="Z508" i="1" a="1"/>
  <c r="Z508" i="1" s="1"/>
  <c r="Z509" i="1" a="1"/>
  <c r="Z509" i="1" s="1"/>
  <c r="Z510" i="1" a="1"/>
  <c r="Z510" i="1" s="1"/>
  <c r="Z511" i="1" a="1"/>
  <c r="Z511" i="1" s="1"/>
  <c r="Z512" i="1" a="1"/>
  <c r="Z512" i="1" s="1"/>
  <c r="Z513" i="1" a="1"/>
  <c r="Z513" i="1" s="1"/>
  <c r="Z514" i="1" a="1"/>
  <c r="Z514" i="1" s="1"/>
  <c r="Z515" i="1" a="1"/>
  <c r="Z515" i="1" s="1"/>
  <c r="Z516" i="1" a="1"/>
  <c r="Z516" i="1" s="1"/>
  <c r="Z517" i="1" a="1"/>
  <c r="Z517" i="1" s="1"/>
  <c r="Z518" i="1" a="1"/>
  <c r="Z518" i="1" s="1"/>
  <c r="Z519" i="1" a="1"/>
  <c r="Z519" i="1" s="1"/>
  <c r="Z520" i="1" a="1"/>
  <c r="Z520" i="1" s="1"/>
  <c r="Z521" i="1" a="1"/>
  <c r="Z521" i="1" s="1"/>
  <c r="Z522" i="1" a="1"/>
  <c r="Z522" i="1" s="1"/>
  <c r="Z523" i="1" a="1"/>
  <c r="Z523" i="1" s="1"/>
  <c r="Z524" i="1" a="1"/>
  <c r="Z524" i="1" s="1"/>
  <c r="Z525" i="1" a="1"/>
  <c r="Z525" i="1" s="1"/>
  <c r="Z526" i="1" a="1"/>
  <c r="Z526" i="1" s="1"/>
  <c r="Z527" i="1" a="1"/>
  <c r="Z527" i="1" s="1"/>
  <c r="Z528" i="1" a="1"/>
  <c r="Z528" i="1" s="1"/>
  <c r="Z529" i="1" a="1"/>
  <c r="Z529" i="1" s="1"/>
  <c r="Z530" i="1" a="1"/>
  <c r="Z530" i="1" s="1"/>
  <c r="Z531" i="1" a="1"/>
  <c r="Z531" i="1" s="1"/>
  <c r="Z532" i="1" a="1"/>
  <c r="Z532" i="1" s="1"/>
  <c r="Z533" i="1" a="1"/>
  <c r="Z533" i="1" s="1"/>
  <c r="Z534" i="1" a="1"/>
  <c r="Z534" i="1" s="1"/>
  <c r="Z535" i="1" a="1"/>
  <c r="Z535" i="1" s="1"/>
  <c r="Z536" i="1" a="1"/>
  <c r="Z536" i="1" s="1"/>
  <c r="Z537" i="1" a="1"/>
  <c r="Z537" i="1" s="1"/>
  <c r="Z538" i="1" a="1"/>
  <c r="Z538" i="1" s="1"/>
  <c r="Z539" i="1" a="1"/>
  <c r="Z539" i="1" s="1"/>
  <c r="Z540" i="1" a="1"/>
  <c r="Z540" i="1" s="1"/>
  <c r="Z541" i="1" a="1"/>
  <c r="Z541" i="1" s="1"/>
  <c r="Z542" i="1" a="1"/>
  <c r="Z542" i="1" s="1"/>
  <c r="Z543" i="1" a="1"/>
  <c r="Z543" i="1" s="1"/>
  <c r="Z544" i="1" a="1"/>
  <c r="Z544" i="1" s="1"/>
  <c r="Z545" i="1" a="1"/>
  <c r="Z545" i="1" s="1"/>
  <c r="Z546" i="1" a="1"/>
  <c r="Z546" i="1" s="1"/>
  <c r="Z547" i="1" a="1"/>
  <c r="Z547" i="1" s="1"/>
  <c r="Z548" i="1" a="1"/>
  <c r="Z548" i="1" s="1"/>
  <c r="Z549" i="1" a="1"/>
  <c r="Z549" i="1" s="1"/>
  <c r="Z550" i="1" a="1"/>
  <c r="Z550" i="1" s="1"/>
  <c r="Z551" i="1" a="1"/>
  <c r="Z551" i="1" s="1"/>
  <c r="Z552" i="1" a="1"/>
  <c r="Z552" i="1" s="1"/>
  <c r="Z553" i="1" a="1"/>
  <c r="Z553" i="1" s="1"/>
  <c r="Z554" i="1" a="1"/>
  <c r="Z554" i="1" s="1"/>
  <c r="Z555" i="1" a="1"/>
  <c r="Z555" i="1" s="1"/>
  <c r="Z556" i="1" a="1"/>
  <c r="Z556" i="1" s="1"/>
  <c r="Z557" i="1" a="1"/>
  <c r="Z557" i="1" s="1"/>
  <c r="Z558" i="1" a="1"/>
  <c r="Z558" i="1" s="1"/>
  <c r="Z559" i="1" a="1"/>
  <c r="Z559" i="1" s="1"/>
  <c r="Z560" i="1" a="1"/>
  <c r="Z560" i="1" s="1"/>
  <c r="Z561" i="1" a="1"/>
  <c r="Z561" i="1" s="1"/>
  <c r="Z562" i="1" a="1"/>
  <c r="Z562" i="1" s="1"/>
  <c r="Z563" i="1" a="1"/>
  <c r="Z563" i="1" s="1"/>
  <c r="Z564" i="1" a="1"/>
  <c r="Z564" i="1" s="1"/>
  <c r="Z565" i="1" a="1"/>
  <c r="Z565" i="1" s="1"/>
  <c r="Z566" i="1" a="1"/>
  <c r="Z566" i="1" s="1"/>
  <c r="Z567" i="1" a="1"/>
  <c r="Z567" i="1" s="1"/>
  <c r="Z568" i="1" a="1"/>
  <c r="Z568" i="1" s="1"/>
  <c r="Z569" i="1" a="1"/>
  <c r="Z569" i="1" s="1"/>
  <c r="Z570" i="1" a="1"/>
  <c r="Z570" i="1" s="1"/>
  <c r="Z571" i="1" a="1"/>
  <c r="Z571" i="1" s="1"/>
  <c r="Z572" i="1" a="1"/>
  <c r="Z572" i="1" s="1"/>
  <c r="Z573" i="1" a="1"/>
  <c r="Z573" i="1" s="1"/>
  <c r="Z574" i="1" a="1"/>
  <c r="Z574" i="1" s="1"/>
  <c r="Z575" i="1" a="1"/>
  <c r="Z575" i="1" s="1"/>
  <c r="Z576" i="1" a="1"/>
  <c r="Z576" i="1" s="1"/>
  <c r="Z577" i="1" a="1"/>
  <c r="Z577" i="1" s="1"/>
  <c r="Z578" i="1" a="1"/>
  <c r="Z578" i="1" s="1"/>
  <c r="Z579" i="1" a="1"/>
  <c r="Z579" i="1" s="1"/>
  <c r="Z580" i="1" a="1"/>
  <c r="Z580" i="1" s="1"/>
  <c r="Z581" i="1" a="1"/>
  <c r="Z581" i="1" s="1"/>
  <c r="Z582" i="1" a="1"/>
  <c r="Z582" i="1" s="1"/>
  <c r="Z583" i="1" a="1"/>
  <c r="Z583" i="1" s="1"/>
  <c r="Z584" i="1" a="1"/>
  <c r="Z584" i="1" s="1"/>
  <c r="Z585" i="1" a="1"/>
  <c r="Z585" i="1" s="1"/>
  <c r="Z586" i="1" a="1"/>
  <c r="Z586" i="1" s="1"/>
  <c r="Z587" i="1" a="1"/>
  <c r="Z587" i="1" s="1"/>
  <c r="Z588" i="1" a="1"/>
  <c r="Z588" i="1" s="1"/>
  <c r="Z589" i="1" a="1"/>
  <c r="Z589" i="1" s="1"/>
  <c r="Z590" i="1" a="1"/>
  <c r="Z590" i="1" s="1"/>
  <c r="Z591" i="1" a="1"/>
  <c r="Z591" i="1" s="1"/>
  <c r="Z592" i="1" a="1"/>
  <c r="Z592" i="1" s="1"/>
  <c r="Z593" i="1" a="1"/>
  <c r="Z593" i="1" s="1"/>
  <c r="Z594" i="1" a="1"/>
  <c r="Z594" i="1" s="1"/>
  <c r="Z595" i="1" a="1"/>
  <c r="Z595" i="1" s="1"/>
  <c r="Z596" i="1" a="1"/>
  <c r="Z596" i="1" s="1"/>
  <c r="Z597" i="1" a="1"/>
  <c r="Z597" i="1" s="1"/>
  <c r="Z598" i="1" a="1"/>
  <c r="Z598" i="1" s="1"/>
  <c r="Z599" i="1" a="1"/>
  <c r="Z599" i="1" s="1"/>
  <c r="Z600" i="1" a="1"/>
  <c r="Z600" i="1" s="1"/>
  <c r="Z601" i="1" a="1"/>
  <c r="Z601" i="1" s="1"/>
  <c r="Z602" i="1" a="1"/>
  <c r="Z602" i="1" s="1"/>
  <c r="Z603" i="1" a="1"/>
  <c r="Z603" i="1" s="1"/>
  <c r="Z604" i="1" a="1"/>
  <c r="Z604" i="1" s="1"/>
  <c r="Z605" i="1" a="1"/>
  <c r="Z605" i="1" s="1"/>
  <c r="Z606" i="1" a="1"/>
  <c r="Z606" i="1" s="1"/>
  <c r="Z607" i="1" a="1"/>
  <c r="Z607" i="1" s="1"/>
  <c r="Z608" i="1" a="1"/>
  <c r="Z608" i="1" s="1"/>
  <c r="Z609" i="1" a="1"/>
  <c r="Z609" i="1" s="1"/>
  <c r="Z610" i="1" a="1"/>
  <c r="Z610" i="1" s="1"/>
  <c r="Z611" i="1" a="1"/>
  <c r="Z611" i="1" s="1"/>
  <c r="Z612" i="1" a="1"/>
  <c r="Z612" i="1" s="1"/>
  <c r="Z613" i="1" a="1"/>
  <c r="Z613" i="1" s="1"/>
  <c r="Z614" i="1" a="1"/>
  <c r="Z614" i="1" s="1"/>
  <c r="Z615" i="1" a="1"/>
  <c r="Z615" i="1" s="1"/>
  <c r="Z616" i="1" a="1"/>
  <c r="Z616" i="1" s="1"/>
  <c r="Z617" i="1" a="1"/>
  <c r="Z617" i="1" s="1"/>
  <c r="Z618" i="1" a="1"/>
  <c r="Z618" i="1" s="1"/>
  <c r="Z619" i="1" a="1"/>
  <c r="Z619" i="1" s="1"/>
  <c r="Z620" i="1" a="1"/>
  <c r="Z620" i="1" s="1"/>
  <c r="Z621" i="1" a="1"/>
  <c r="Z621" i="1" s="1"/>
  <c r="Z622" i="1" a="1"/>
  <c r="Z622" i="1" s="1"/>
  <c r="Z623" i="1" a="1"/>
  <c r="Z623" i="1" s="1"/>
  <c r="Z624" i="1" a="1"/>
  <c r="Z624" i="1" s="1"/>
  <c r="Z625" i="1" a="1"/>
  <c r="Z625" i="1" s="1"/>
  <c r="Z626" i="1" a="1"/>
  <c r="Z626" i="1" s="1"/>
  <c r="Z627" i="1" a="1"/>
  <c r="Z627" i="1" s="1"/>
  <c r="Z628" i="1" a="1"/>
  <c r="Z628" i="1" s="1"/>
  <c r="Z629" i="1" a="1"/>
  <c r="Z629" i="1" s="1"/>
  <c r="Z630" i="1" a="1"/>
  <c r="Z630" i="1" s="1"/>
  <c r="Z631" i="1" a="1"/>
  <c r="Z631" i="1" s="1"/>
  <c r="Z632" i="1" a="1"/>
  <c r="Z632" i="1" s="1"/>
  <c r="Z633" i="1" a="1"/>
  <c r="Z633" i="1" s="1"/>
  <c r="Z634" i="1" a="1"/>
  <c r="Z634" i="1" s="1"/>
  <c r="Z635" i="1" a="1"/>
  <c r="Z635" i="1" s="1"/>
  <c r="Z636" i="1" a="1"/>
  <c r="Z636" i="1" s="1"/>
  <c r="Z637" i="1" a="1"/>
  <c r="Z637" i="1" s="1"/>
  <c r="Z638" i="1" a="1"/>
  <c r="Z638" i="1" s="1"/>
  <c r="Z639" i="1" a="1"/>
  <c r="Z639" i="1" s="1"/>
  <c r="Z640" i="1" a="1"/>
  <c r="Z640" i="1" s="1"/>
  <c r="Z641" i="1" a="1"/>
  <c r="Z641" i="1" s="1"/>
  <c r="Z642" i="1" a="1"/>
  <c r="Z642" i="1" s="1"/>
  <c r="Z643" i="1" a="1"/>
  <c r="Z643" i="1" s="1"/>
  <c r="Z644" i="1" a="1"/>
  <c r="Z644" i="1" s="1"/>
  <c r="Z645" i="1" a="1"/>
  <c r="Z645" i="1" s="1"/>
  <c r="Z646" i="1" a="1"/>
  <c r="Z646" i="1" s="1"/>
  <c r="Z647" i="1" a="1"/>
  <c r="Z647" i="1" s="1"/>
  <c r="Z648" i="1" a="1"/>
  <c r="Z648" i="1" s="1"/>
  <c r="Z649" i="1" a="1"/>
  <c r="Z649" i="1" s="1"/>
  <c r="Z650" i="1" a="1"/>
  <c r="Z650" i="1" s="1"/>
  <c r="Z651" i="1" a="1"/>
  <c r="Z651" i="1" s="1"/>
  <c r="Z652" i="1" a="1"/>
  <c r="Z652" i="1" s="1"/>
  <c r="Z653" i="1" a="1"/>
  <c r="Z653" i="1" s="1"/>
  <c r="Z654" i="1" a="1"/>
  <c r="Z654" i="1" s="1"/>
  <c r="Z655" i="1" a="1"/>
  <c r="Z655" i="1" s="1"/>
  <c r="Z656" i="1" a="1"/>
  <c r="Z656" i="1" s="1"/>
  <c r="Z657" i="1" a="1"/>
  <c r="Z657" i="1" s="1"/>
  <c r="Z658" i="1" a="1"/>
  <c r="Z658" i="1" s="1"/>
  <c r="Z659" i="1" a="1"/>
  <c r="Z659" i="1" s="1"/>
  <c r="Z660" i="1" a="1"/>
  <c r="Z660" i="1" s="1"/>
  <c r="Z661" i="1" a="1"/>
  <c r="Z661" i="1" s="1"/>
  <c r="Z662" i="1" a="1"/>
  <c r="Z662" i="1" s="1"/>
  <c r="Z663" i="1" a="1"/>
  <c r="Z663" i="1" s="1"/>
  <c r="Z664" i="1" a="1"/>
  <c r="Z664" i="1" s="1"/>
  <c r="Z665" i="1" a="1"/>
  <c r="Z665" i="1" s="1"/>
  <c r="Z666" i="1" a="1"/>
  <c r="Z666" i="1" s="1"/>
  <c r="Z667" i="1" a="1"/>
  <c r="Z667" i="1" s="1"/>
  <c r="Z668" i="1" a="1"/>
  <c r="Z668" i="1" s="1"/>
  <c r="Z669" i="1" a="1"/>
  <c r="Z669" i="1" s="1"/>
  <c r="Z670" i="1" a="1"/>
  <c r="Z670" i="1" s="1"/>
  <c r="Z671" i="1" a="1"/>
  <c r="Z671" i="1" s="1"/>
  <c r="Z672" i="1" a="1"/>
  <c r="Z672" i="1" s="1"/>
  <c r="Z673" i="1" a="1"/>
  <c r="Z673" i="1" s="1"/>
  <c r="Z674" i="1" a="1"/>
  <c r="Z674" i="1" s="1"/>
  <c r="Z675" i="1" a="1"/>
  <c r="Z675" i="1" s="1"/>
  <c r="Z676" i="1" a="1"/>
  <c r="Z676" i="1" s="1"/>
  <c r="Z677" i="1" a="1"/>
  <c r="Z677" i="1" s="1"/>
  <c r="Z678" i="1" a="1"/>
  <c r="Z678" i="1" s="1"/>
  <c r="Z679" i="1" a="1"/>
  <c r="Z679" i="1" s="1"/>
  <c r="Z680" i="1" a="1"/>
  <c r="Z680" i="1" s="1"/>
  <c r="Z681" i="1" a="1"/>
  <c r="Z681" i="1" s="1"/>
  <c r="Z682" i="1" a="1"/>
  <c r="Z682" i="1" s="1"/>
  <c r="Z683" i="1" a="1"/>
  <c r="Z683" i="1" s="1"/>
  <c r="Z684" i="1" a="1"/>
  <c r="Z684" i="1" s="1"/>
  <c r="Z685" i="1" a="1"/>
  <c r="Z685" i="1" s="1"/>
  <c r="Z686" i="1" a="1"/>
  <c r="Z686" i="1" s="1"/>
  <c r="Z687" i="1" a="1"/>
  <c r="Z687" i="1" s="1"/>
  <c r="Z688" i="1" a="1"/>
  <c r="Z688" i="1" s="1"/>
  <c r="Z689" i="1" a="1"/>
  <c r="Z689" i="1" s="1"/>
  <c r="Z690" i="1" a="1"/>
  <c r="Z690" i="1" s="1"/>
  <c r="Z691" i="1" a="1"/>
  <c r="Z691" i="1" s="1"/>
  <c r="Z692" i="1" a="1"/>
  <c r="Z692" i="1" s="1"/>
  <c r="Z693" i="1" a="1"/>
  <c r="Z693" i="1" s="1"/>
  <c r="Z694" i="1" a="1"/>
  <c r="Z694" i="1" s="1"/>
  <c r="Z695" i="1" a="1"/>
  <c r="Z695" i="1" s="1"/>
  <c r="Z696" i="1" a="1"/>
  <c r="Z696" i="1" s="1"/>
  <c r="Z697" i="1" a="1"/>
  <c r="Z697" i="1" s="1"/>
  <c r="Z698" i="1" a="1"/>
  <c r="Z698" i="1" s="1"/>
  <c r="Z699" i="1" a="1"/>
  <c r="Z699" i="1" s="1"/>
  <c r="Z700" i="1" a="1"/>
  <c r="Z700" i="1" s="1"/>
  <c r="Z701" i="1" a="1"/>
  <c r="Z701" i="1" s="1"/>
  <c r="Z702" i="1" a="1"/>
  <c r="Z702" i="1" s="1"/>
  <c r="Z703" i="1" a="1"/>
  <c r="Z703" i="1" s="1"/>
  <c r="Z704" i="1" a="1"/>
  <c r="Z704" i="1" s="1"/>
  <c r="Z705" i="1" a="1"/>
  <c r="Z705" i="1" s="1"/>
  <c r="Z706" i="1" a="1"/>
  <c r="Z706" i="1" s="1"/>
  <c r="Z707" i="1" a="1"/>
  <c r="Z707" i="1" s="1"/>
  <c r="Z708" i="1" a="1"/>
  <c r="Z708" i="1" s="1"/>
  <c r="Z709" i="1" a="1"/>
  <c r="Z709" i="1" s="1"/>
  <c r="Z710" i="1" a="1"/>
  <c r="Z710" i="1" s="1"/>
  <c r="Z711" i="1" a="1"/>
  <c r="Z711" i="1" s="1"/>
  <c r="Z712" i="1" a="1"/>
  <c r="Z712" i="1" s="1"/>
  <c r="Z713" i="1" a="1"/>
  <c r="Z713" i="1" s="1"/>
  <c r="Z714" i="1" a="1"/>
  <c r="Z714" i="1" s="1"/>
  <c r="Z715" i="1" a="1"/>
  <c r="Z715" i="1" s="1"/>
  <c r="Z716" i="1" a="1"/>
  <c r="Z716" i="1" s="1"/>
  <c r="Z717" i="1" a="1"/>
  <c r="Z717" i="1" s="1"/>
  <c r="Z718" i="1" a="1"/>
  <c r="Z718" i="1" s="1"/>
  <c r="Z719" i="1" a="1"/>
  <c r="Z719" i="1" s="1"/>
  <c r="Z720" i="1" a="1"/>
  <c r="Z720" i="1" s="1"/>
  <c r="Z721" i="1" a="1"/>
  <c r="Z721" i="1" s="1"/>
  <c r="Z722" i="1" a="1"/>
  <c r="Z722" i="1" s="1"/>
  <c r="Z723" i="1" a="1"/>
  <c r="Z723" i="1" s="1"/>
  <c r="Z724" i="1" a="1"/>
  <c r="Z724" i="1" s="1"/>
  <c r="Z725" i="1" a="1"/>
  <c r="Z725" i="1" s="1"/>
  <c r="Z726" i="1" a="1"/>
  <c r="Z726" i="1" s="1"/>
  <c r="Z727" i="1" a="1"/>
  <c r="Z727" i="1" s="1"/>
  <c r="Z728" i="1" a="1"/>
  <c r="Z728" i="1" s="1"/>
  <c r="Z729" i="1" a="1"/>
  <c r="Z729" i="1" s="1"/>
  <c r="Z730" i="1" a="1"/>
  <c r="Z730" i="1" s="1"/>
  <c r="Z731" i="1" a="1"/>
  <c r="Z731" i="1" s="1"/>
  <c r="Z732" i="1" a="1"/>
  <c r="Z732" i="1" s="1"/>
  <c r="Z733" i="1" a="1"/>
  <c r="Z733" i="1" s="1"/>
  <c r="Z734" i="1" a="1"/>
  <c r="Z734" i="1" s="1"/>
  <c r="Z735" i="1" a="1"/>
  <c r="Z735" i="1" s="1"/>
  <c r="Z736" i="1" a="1"/>
  <c r="Z736" i="1" s="1"/>
  <c r="Z737" i="1" a="1"/>
  <c r="Z737" i="1" s="1"/>
  <c r="Z738" i="1" a="1"/>
  <c r="Z738" i="1" s="1"/>
  <c r="Z739" i="1" a="1"/>
  <c r="Z739" i="1" s="1"/>
  <c r="Z740" i="1" a="1"/>
  <c r="Z740" i="1" s="1"/>
  <c r="Z741" i="1" a="1"/>
  <c r="Z741" i="1" s="1"/>
  <c r="Z742" i="1" a="1"/>
  <c r="Z742" i="1" s="1"/>
  <c r="Z743" i="1" a="1"/>
  <c r="Z743" i="1" s="1"/>
  <c r="Z744" i="1" a="1"/>
  <c r="Z744" i="1" s="1"/>
  <c r="Z745" i="1" a="1"/>
  <c r="Z745" i="1" s="1"/>
  <c r="Z746" i="1" a="1"/>
  <c r="Z746" i="1" s="1"/>
  <c r="Z747" i="1" a="1"/>
  <c r="Z747" i="1" s="1"/>
  <c r="Z748" i="1" a="1"/>
  <c r="Z748" i="1" s="1"/>
  <c r="Z749" i="1" a="1"/>
  <c r="Z749" i="1" s="1"/>
  <c r="Z750" i="1" a="1"/>
  <c r="Z750" i="1" s="1"/>
  <c r="Z751" i="1" a="1"/>
  <c r="Z751" i="1" s="1"/>
  <c r="Z752" i="1" a="1"/>
  <c r="Z752" i="1" s="1"/>
  <c r="Z753" i="1" a="1"/>
  <c r="Z753" i="1" s="1"/>
  <c r="Z754" i="1" a="1"/>
  <c r="Z754" i="1" s="1"/>
  <c r="Z755" i="1" a="1"/>
  <c r="Z755" i="1" s="1"/>
  <c r="Z756" i="1" a="1"/>
  <c r="Z756" i="1" s="1"/>
  <c r="Z757" i="1" a="1"/>
  <c r="Z757" i="1" s="1"/>
  <c r="Z758" i="1" a="1"/>
  <c r="Z758" i="1" s="1"/>
  <c r="Z759" i="1" a="1"/>
  <c r="Z759" i="1" s="1"/>
  <c r="Z760" i="1" a="1"/>
  <c r="Z760" i="1" s="1"/>
  <c r="Z761" i="1" a="1"/>
  <c r="Z761" i="1" s="1"/>
  <c r="Z762" i="1" a="1"/>
  <c r="Z762" i="1" s="1"/>
  <c r="Z763" i="1" a="1"/>
  <c r="Z763" i="1" s="1"/>
  <c r="Z764" i="1" a="1"/>
  <c r="Z764" i="1" s="1"/>
  <c r="Z765" i="1" a="1"/>
  <c r="Z765" i="1" s="1"/>
  <c r="Z766" i="1" a="1"/>
  <c r="Z766" i="1" s="1"/>
  <c r="Z767" i="1" a="1"/>
  <c r="Z767" i="1" s="1"/>
  <c r="Z768" i="1" a="1"/>
  <c r="Z768" i="1" s="1"/>
  <c r="Z769" i="1" a="1"/>
  <c r="Z769" i="1" s="1"/>
  <c r="Z770" i="1" a="1"/>
  <c r="Z770" i="1" s="1"/>
  <c r="Z771" i="1" a="1"/>
  <c r="Z771" i="1" s="1"/>
  <c r="Z772" i="1" a="1"/>
  <c r="Z772" i="1" s="1"/>
  <c r="Z773" i="1" a="1"/>
  <c r="Z773" i="1" s="1"/>
  <c r="Z774" i="1" a="1"/>
  <c r="Z774" i="1" s="1"/>
  <c r="Z775" i="1" a="1"/>
  <c r="Z775" i="1" s="1"/>
  <c r="Z776" i="1" a="1"/>
  <c r="Z776" i="1" s="1"/>
  <c r="Z777" i="1" a="1"/>
  <c r="Z777" i="1" s="1"/>
  <c r="Z778" i="1" a="1"/>
  <c r="Z778" i="1" s="1"/>
  <c r="Z779" i="1" a="1"/>
  <c r="Z779" i="1" s="1"/>
  <c r="Z780" i="1" a="1"/>
  <c r="Z780" i="1" s="1"/>
  <c r="Z781" i="1" a="1"/>
  <c r="Z781" i="1" s="1"/>
  <c r="Z782" i="1" a="1"/>
  <c r="Z782" i="1" s="1"/>
  <c r="Z783" i="1" a="1"/>
  <c r="Z783" i="1" s="1"/>
  <c r="Z784" i="1" a="1"/>
  <c r="Z784" i="1" s="1"/>
  <c r="Z785" i="1" a="1"/>
  <c r="Z785" i="1" s="1"/>
  <c r="Z786" i="1" a="1"/>
  <c r="Z786" i="1" s="1"/>
  <c r="Z787" i="1" a="1"/>
  <c r="Z787" i="1" s="1"/>
  <c r="Z788" i="1" a="1"/>
  <c r="Z788" i="1" s="1"/>
  <c r="Z789" i="1" a="1"/>
  <c r="Z789" i="1" s="1"/>
  <c r="Z790" i="1" a="1"/>
  <c r="Z790" i="1" s="1"/>
  <c r="Z791" i="1" a="1"/>
  <c r="Z791" i="1" s="1"/>
  <c r="Z792" i="1" a="1"/>
  <c r="Z792" i="1" s="1"/>
  <c r="Z793" i="1" a="1"/>
  <c r="Z793" i="1" s="1"/>
  <c r="Z794" i="1" a="1"/>
  <c r="Z794" i="1" s="1"/>
  <c r="Z795" i="1" a="1"/>
  <c r="Z795" i="1" s="1"/>
  <c r="Z796" i="1" a="1"/>
  <c r="Z796" i="1" s="1"/>
  <c r="Z797" i="1" a="1"/>
  <c r="Z797" i="1" s="1"/>
  <c r="Z798" i="1" a="1"/>
  <c r="Z798" i="1" s="1"/>
  <c r="Z799" i="1" a="1"/>
  <c r="Z799" i="1" s="1"/>
  <c r="Z800" i="1" a="1"/>
  <c r="Z800" i="1" s="1"/>
  <c r="Z801" i="1" a="1"/>
  <c r="Z801" i="1" s="1"/>
  <c r="Z802" i="1" a="1"/>
  <c r="Z802" i="1" s="1"/>
  <c r="Z803" i="1" a="1"/>
  <c r="Z803" i="1" s="1"/>
  <c r="Z804" i="1" a="1"/>
  <c r="Z804" i="1" s="1"/>
  <c r="Z805" i="1" a="1"/>
  <c r="Z805" i="1" s="1"/>
  <c r="Z806" i="1" a="1"/>
  <c r="Z806" i="1" s="1"/>
  <c r="Z807" i="1" a="1"/>
  <c r="Z807" i="1" s="1"/>
  <c r="Z808" i="1" a="1"/>
  <c r="Z808" i="1" s="1"/>
  <c r="Z809" i="1" a="1"/>
  <c r="Z809" i="1" s="1"/>
  <c r="Z810" i="1" a="1"/>
  <c r="Z810" i="1" s="1"/>
  <c r="Z811" i="1" a="1"/>
  <c r="Z811" i="1" s="1"/>
  <c r="Z812" i="1" a="1"/>
  <c r="Z812" i="1" s="1"/>
  <c r="Z813" i="1" a="1"/>
  <c r="Z813" i="1" s="1"/>
  <c r="Z814" i="1" a="1"/>
  <c r="Z814" i="1" s="1"/>
  <c r="Z815" i="1" a="1"/>
  <c r="Z815" i="1" s="1"/>
  <c r="Z816" i="1" a="1"/>
  <c r="Z816" i="1" s="1"/>
  <c r="Z817" i="1" a="1"/>
  <c r="Z817" i="1" s="1"/>
  <c r="Z818" i="1" a="1"/>
  <c r="Z818" i="1" s="1"/>
  <c r="Z819" i="1" a="1"/>
  <c r="Z819" i="1" s="1"/>
  <c r="Z820" i="1" a="1"/>
  <c r="Z820" i="1" s="1"/>
  <c r="Z821" i="1" a="1"/>
  <c r="Z821" i="1" s="1"/>
  <c r="Z822" i="1" a="1"/>
  <c r="Z822" i="1" s="1"/>
  <c r="Z823" i="1" a="1"/>
  <c r="Z823" i="1" s="1"/>
  <c r="Z824" i="1" a="1"/>
  <c r="Z824" i="1" s="1"/>
  <c r="Z825" i="1" a="1"/>
  <c r="Z825" i="1" s="1"/>
  <c r="Z826" i="1" a="1"/>
  <c r="Z826" i="1" s="1"/>
  <c r="Z827" i="1" a="1"/>
  <c r="Z827" i="1" s="1"/>
  <c r="Z828" i="1" a="1"/>
  <c r="Z828" i="1" s="1"/>
  <c r="Z829" i="1" a="1"/>
  <c r="Z829" i="1" s="1"/>
  <c r="Z830" i="1" a="1"/>
  <c r="Z830" i="1" s="1"/>
  <c r="Z831" i="1" a="1"/>
  <c r="Z831" i="1" s="1"/>
  <c r="Z832" i="1" a="1"/>
  <c r="Z832" i="1" s="1"/>
  <c r="Z833" i="1" a="1"/>
  <c r="Z833" i="1" s="1"/>
  <c r="Z834" i="1" a="1"/>
  <c r="Z834" i="1" s="1"/>
  <c r="Z835" i="1" a="1"/>
  <c r="Z835" i="1" s="1"/>
  <c r="Z836" i="1" a="1"/>
  <c r="Z836" i="1" s="1"/>
  <c r="Z837" i="1" a="1"/>
  <c r="Z837" i="1" s="1"/>
  <c r="Z838" i="1" a="1"/>
  <c r="Z838" i="1" s="1"/>
  <c r="Z839" i="1" a="1"/>
  <c r="Z839" i="1" s="1"/>
  <c r="Z840" i="1" a="1"/>
  <c r="Z840" i="1" s="1"/>
  <c r="Z841" i="1" a="1"/>
  <c r="Z841" i="1" s="1"/>
  <c r="Z842" i="1" a="1"/>
  <c r="Z842" i="1" s="1"/>
  <c r="Z843" i="1" a="1"/>
  <c r="Z843" i="1" s="1"/>
  <c r="Z844" i="1" a="1"/>
  <c r="Z844" i="1" s="1"/>
  <c r="Z845" i="1" a="1"/>
  <c r="Z845" i="1" s="1"/>
  <c r="Z846" i="1" a="1"/>
  <c r="Z846" i="1" s="1"/>
  <c r="Z847" i="1" a="1"/>
  <c r="Z847" i="1" s="1"/>
  <c r="Z848" i="1" a="1"/>
  <c r="Z848" i="1" s="1"/>
  <c r="Z849" i="1" a="1"/>
  <c r="Z849" i="1" s="1"/>
  <c r="Z850" i="1" a="1"/>
  <c r="Z850" i="1" s="1"/>
  <c r="Z851" i="1" a="1"/>
  <c r="Z851" i="1" s="1"/>
  <c r="Z852" i="1" a="1"/>
  <c r="Z852" i="1" s="1"/>
  <c r="Z853" i="1" a="1"/>
  <c r="Z853" i="1" s="1"/>
  <c r="Z854" i="1" a="1"/>
  <c r="Z854" i="1" s="1"/>
  <c r="Z855" i="1" a="1"/>
  <c r="Z855" i="1" s="1"/>
  <c r="Z856" i="1" a="1"/>
  <c r="Z856" i="1" s="1"/>
  <c r="Z857" i="1" a="1"/>
  <c r="Z857" i="1" s="1"/>
  <c r="Z858" i="1" a="1"/>
  <c r="Z858" i="1" s="1"/>
  <c r="Z859" i="1" a="1"/>
  <c r="Z859" i="1" s="1"/>
  <c r="Z860" i="1" a="1"/>
  <c r="Z860" i="1" s="1"/>
  <c r="Z861" i="1" a="1"/>
  <c r="Z861" i="1" s="1"/>
  <c r="Z862" i="1" a="1"/>
  <c r="Z862" i="1" s="1"/>
  <c r="Z863" i="1" a="1"/>
  <c r="Z863" i="1" s="1"/>
  <c r="Z864" i="1" a="1"/>
  <c r="Z864" i="1" s="1"/>
  <c r="Z865" i="1" a="1"/>
  <c r="Z865" i="1" s="1"/>
  <c r="Z866" i="1" a="1"/>
  <c r="Z866" i="1" s="1"/>
  <c r="Z867" i="1" a="1"/>
  <c r="Z867" i="1" s="1"/>
  <c r="Z868" i="1" a="1"/>
  <c r="Z868" i="1" s="1"/>
  <c r="Z869" i="1" a="1"/>
  <c r="Z869" i="1" s="1"/>
  <c r="Z870" i="1" a="1"/>
  <c r="Z870" i="1" s="1"/>
  <c r="Z871" i="1" a="1"/>
  <c r="Z871" i="1" s="1"/>
  <c r="Z872" i="1" a="1"/>
  <c r="Z872" i="1" s="1"/>
  <c r="Z873" i="1" a="1"/>
  <c r="Z873" i="1" s="1"/>
  <c r="Z874" i="1" a="1"/>
  <c r="Z874" i="1" s="1"/>
  <c r="Z875" i="1" a="1"/>
  <c r="Z875" i="1" s="1"/>
  <c r="Z876" i="1" a="1"/>
  <c r="Z876" i="1" s="1"/>
  <c r="Z877" i="1" a="1"/>
  <c r="Z877" i="1" s="1"/>
  <c r="Z878" i="1" a="1"/>
  <c r="Z878" i="1" s="1"/>
  <c r="Z879" i="1" a="1"/>
  <c r="Z879" i="1" s="1"/>
  <c r="Z880" i="1" a="1"/>
  <c r="Z880" i="1" s="1"/>
  <c r="Z881" i="1" a="1"/>
  <c r="Z881" i="1" s="1"/>
  <c r="Z882" i="1" a="1"/>
  <c r="Z882" i="1" s="1"/>
  <c r="Z883" i="1" a="1"/>
  <c r="Z883" i="1" s="1"/>
  <c r="Z884" i="1" a="1"/>
  <c r="Z884" i="1" s="1"/>
  <c r="Z885" i="1" a="1"/>
  <c r="Z885" i="1" s="1"/>
  <c r="Z886" i="1" a="1"/>
  <c r="Z886" i="1" s="1"/>
  <c r="Z887" i="1" a="1"/>
  <c r="Z887" i="1" s="1"/>
  <c r="Z888" i="1" a="1"/>
  <c r="Z888" i="1" s="1"/>
  <c r="Z889" i="1" a="1"/>
  <c r="Z889" i="1" s="1"/>
  <c r="Z890" i="1" a="1"/>
  <c r="Z890" i="1" s="1"/>
  <c r="Z891" i="1" a="1"/>
  <c r="Z891" i="1" s="1"/>
  <c r="Z892" i="1" a="1"/>
  <c r="Z892" i="1" s="1"/>
  <c r="Z893" i="1" a="1"/>
  <c r="Z893" i="1" s="1"/>
  <c r="Z894" i="1" a="1"/>
  <c r="Z894" i="1" s="1"/>
  <c r="Z895" i="1" a="1"/>
  <c r="Z895" i="1" s="1"/>
  <c r="Z896" i="1" a="1"/>
  <c r="Z896" i="1" s="1"/>
  <c r="Z897" i="1" a="1"/>
  <c r="Z897" i="1" s="1"/>
  <c r="Z898" i="1" a="1"/>
  <c r="Z898" i="1" s="1"/>
  <c r="Z899" i="1" a="1"/>
  <c r="Z899" i="1" s="1"/>
  <c r="Z900" i="1" a="1"/>
  <c r="Z900" i="1" s="1"/>
  <c r="Z901" i="1" a="1"/>
  <c r="Z901" i="1" s="1"/>
  <c r="Z902" i="1" a="1"/>
  <c r="Z902" i="1" s="1"/>
  <c r="Z903" i="1" a="1"/>
  <c r="Z903" i="1" s="1"/>
  <c r="Z904" i="1" a="1"/>
  <c r="Z904" i="1" s="1"/>
  <c r="Z905" i="1" a="1"/>
  <c r="Z905" i="1" s="1"/>
  <c r="Z906" i="1" a="1"/>
  <c r="Z906" i="1" s="1"/>
  <c r="Z907" i="1" a="1"/>
  <c r="Z907" i="1" s="1"/>
  <c r="Z908" i="1" a="1"/>
  <c r="Z908" i="1" s="1"/>
  <c r="Z909" i="1" a="1"/>
  <c r="Z909" i="1" s="1"/>
  <c r="Z910" i="1" a="1"/>
  <c r="Z910" i="1" s="1"/>
  <c r="Z911" i="1" a="1"/>
  <c r="Z911" i="1" s="1"/>
  <c r="Z912" i="1" a="1"/>
  <c r="Z912" i="1" s="1"/>
  <c r="Z913" i="1" a="1"/>
  <c r="Z913" i="1" s="1"/>
  <c r="Z914" i="1" a="1"/>
  <c r="Z914" i="1" s="1"/>
  <c r="Z915" i="1" a="1"/>
  <c r="Z915" i="1" s="1"/>
  <c r="Z916" i="1" a="1"/>
  <c r="Z916" i="1" s="1"/>
  <c r="Z917" i="1" a="1"/>
  <c r="Z917" i="1" s="1"/>
  <c r="Z918" i="1" a="1"/>
  <c r="Z918" i="1" s="1"/>
  <c r="Z919" i="1" a="1"/>
  <c r="Z919" i="1" s="1"/>
  <c r="Z920" i="1" a="1"/>
  <c r="Z920" i="1" s="1"/>
  <c r="Z921" i="1" a="1"/>
  <c r="Z921" i="1" s="1"/>
  <c r="Z922" i="1" a="1"/>
  <c r="Z922" i="1" s="1"/>
  <c r="Z923" i="1" a="1"/>
  <c r="Z923" i="1" s="1"/>
  <c r="Z924" i="1" a="1"/>
  <c r="Z924" i="1" s="1"/>
  <c r="Z925" i="1" a="1"/>
  <c r="Z925" i="1" s="1"/>
  <c r="Z926" i="1" a="1"/>
  <c r="Z926" i="1" s="1"/>
  <c r="Z927" i="1" a="1"/>
  <c r="Z927" i="1" s="1"/>
  <c r="Z928" i="1" a="1"/>
  <c r="Z928" i="1" s="1"/>
  <c r="Z929" i="1" a="1"/>
  <c r="Z929" i="1" s="1"/>
  <c r="Z930" i="1" a="1"/>
  <c r="Z930" i="1" s="1"/>
  <c r="Z931" i="1" a="1"/>
  <c r="Z931" i="1" s="1"/>
  <c r="Z932" i="1" a="1"/>
  <c r="Z932" i="1" s="1"/>
  <c r="Z933" i="1" a="1"/>
  <c r="Z933" i="1" s="1"/>
  <c r="Z934" i="1" a="1"/>
  <c r="Z934" i="1" s="1"/>
  <c r="Z935" i="1" a="1"/>
  <c r="Z935" i="1" s="1"/>
  <c r="Z936" i="1" a="1"/>
  <c r="Z936" i="1" s="1"/>
  <c r="Z937" i="1" a="1"/>
  <c r="Z937" i="1" s="1"/>
  <c r="Z938" i="1" a="1"/>
  <c r="Z938" i="1" s="1"/>
  <c r="Z939" i="1" a="1"/>
  <c r="Z939" i="1" s="1"/>
  <c r="Z940" i="1" a="1"/>
  <c r="Z940" i="1" s="1"/>
  <c r="Z941" i="1" a="1"/>
  <c r="Z941" i="1" s="1"/>
  <c r="Z942" i="1" a="1"/>
  <c r="Z942" i="1" s="1"/>
  <c r="Z943" i="1" a="1"/>
  <c r="Z943" i="1" s="1"/>
  <c r="Z944" i="1" a="1"/>
  <c r="Z944" i="1" s="1"/>
  <c r="Z945" i="1" a="1"/>
  <c r="Z945" i="1" s="1"/>
  <c r="Z946" i="1" a="1"/>
  <c r="Z946" i="1" s="1"/>
  <c r="Z947" i="1" a="1"/>
  <c r="Z947" i="1" s="1"/>
  <c r="Z948" i="1" a="1"/>
  <c r="Z948" i="1" s="1"/>
  <c r="Z949" i="1" a="1"/>
  <c r="Z949" i="1" s="1"/>
  <c r="Z950" i="1" a="1"/>
  <c r="Z950" i="1" s="1"/>
  <c r="Z951" i="1" a="1"/>
  <c r="Z951" i="1" s="1"/>
  <c r="Z952" i="1" a="1"/>
  <c r="Z952" i="1" s="1"/>
  <c r="Z953" i="1" a="1"/>
  <c r="Z953" i="1" s="1"/>
  <c r="Z954" i="1" a="1"/>
  <c r="Z954" i="1" s="1"/>
  <c r="Z955" i="1" a="1"/>
  <c r="Z955" i="1" s="1"/>
  <c r="Z956" i="1" a="1"/>
  <c r="Z956" i="1" s="1"/>
  <c r="Z957" i="1" a="1"/>
  <c r="Z957" i="1" s="1"/>
  <c r="Z958" i="1" a="1"/>
  <c r="Z958" i="1" s="1"/>
  <c r="Z959" i="1" a="1"/>
  <c r="Z959" i="1" s="1"/>
  <c r="Z960" i="1" a="1"/>
  <c r="Z960" i="1" s="1"/>
  <c r="Z961" i="1" a="1"/>
  <c r="Z961" i="1" s="1"/>
  <c r="Z962" i="1" a="1"/>
  <c r="Z962" i="1" s="1"/>
  <c r="Z963" i="1" a="1"/>
  <c r="Z963" i="1" s="1"/>
  <c r="Z964" i="1" a="1"/>
  <c r="Z964" i="1" s="1"/>
  <c r="Z965" i="1" a="1"/>
  <c r="Z965" i="1" s="1"/>
  <c r="Z966" i="1" a="1"/>
  <c r="Z966" i="1" s="1"/>
  <c r="Z967" i="1" a="1"/>
  <c r="Z967" i="1" s="1"/>
  <c r="Z968" i="1" a="1"/>
  <c r="Z968" i="1" s="1"/>
  <c r="Z969" i="1" a="1"/>
  <c r="Z969" i="1" s="1"/>
  <c r="Z970" i="1" a="1"/>
  <c r="Z970" i="1" s="1"/>
  <c r="Z971" i="1" a="1"/>
  <c r="Z971" i="1" s="1"/>
  <c r="Z972" i="1" a="1"/>
  <c r="Z972" i="1" s="1"/>
  <c r="Z973" i="1" a="1"/>
  <c r="Z973" i="1" s="1"/>
  <c r="Z974" i="1" a="1"/>
  <c r="Z974" i="1" s="1"/>
  <c r="Z975" i="1" a="1"/>
  <c r="Z975" i="1" s="1"/>
  <c r="Z976" i="1" a="1"/>
  <c r="Z976" i="1" s="1"/>
  <c r="Z977" i="1" a="1"/>
  <c r="Z977" i="1" s="1"/>
  <c r="Z978" i="1" a="1"/>
  <c r="Z978" i="1" s="1"/>
  <c r="Z979" i="1" a="1"/>
  <c r="Z979" i="1" s="1"/>
  <c r="Z980" i="1" a="1"/>
  <c r="Z980" i="1" s="1"/>
  <c r="Z981" i="1" a="1"/>
  <c r="Z981" i="1" s="1"/>
  <c r="Z982" i="1" a="1"/>
  <c r="Z982" i="1" s="1"/>
  <c r="Z983" i="1" a="1"/>
  <c r="Z983" i="1" s="1"/>
  <c r="Z984" i="1" a="1"/>
  <c r="Z984" i="1" s="1"/>
  <c r="Z985" i="1" a="1"/>
  <c r="Z985" i="1" s="1"/>
  <c r="Z986" i="1" a="1"/>
  <c r="Z986" i="1" s="1"/>
  <c r="Z987" i="1" a="1"/>
  <c r="Z987" i="1" s="1"/>
  <c r="Z988" i="1" a="1"/>
  <c r="Z988" i="1" s="1"/>
  <c r="Z989" i="1" a="1"/>
  <c r="Z989" i="1" s="1"/>
  <c r="Z990" i="1" a="1"/>
  <c r="Z990" i="1" s="1"/>
  <c r="Z991" i="1" a="1"/>
  <c r="Z991" i="1" s="1"/>
  <c r="Z992" i="1" a="1"/>
  <c r="Z992" i="1" s="1"/>
  <c r="Z993" i="1" a="1"/>
  <c r="Z993" i="1" s="1"/>
  <c r="Z994" i="1" a="1"/>
  <c r="Z994" i="1" s="1"/>
  <c r="Z995" i="1" a="1"/>
  <c r="Z995" i="1" s="1"/>
  <c r="Z996" i="1" a="1"/>
  <c r="Z996" i="1" s="1"/>
  <c r="Z997" i="1" a="1"/>
  <c r="Z997" i="1" s="1"/>
  <c r="Z998" i="1" a="1"/>
  <c r="Z998" i="1" s="1"/>
  <c r="Z999" i="1" a="1"/>
  <c r="Z999" i="1" s="1"/>
  <c r="Z1000" i="1" a="1"/>
  <c r="Z1000" i="1" s="1"/>
  <c r="Z1001" i="1" a="1"/>
  <c r="Z1001" i="1" s="1"/>
  <c r="Z1002" i="1" a="1"/>
  <c r="Z1002" i="1" s="1"/>
  <c r="Z1003" i="1" a="1"/>
  <c r="Z1003" i="1" s="1"/>
  <c r="Z1004" i="1" a="1"/>
  <c r="Z1004" i="1" s="1"/>
  <c r="Z1005" i="1" a="1"/>
  <c r="Z1005" i="1" s="1"/>
  <c r="Z1006" i="1" a="1"/>
  <c r="Z1006" i="1" s="1"/>
  <c r="Z1007" i="1" a="1"/>
  <c r="Z1007" i="1" s="1"/>
  <c r="Z1008" i="1" a="1"/>
  <c r="Z1008" i="1" s="1"/>
  <c r="Z1009" i="1" a="1"/>
  <c r="Z1009" i="1" s="1"/>
  <c r="Z1010" i="1" a="1"/>
  <c r="Z1010" i="1" s="1"/>
  <c r="Z1011" i="1" a="1"/>
  <c r="Z1011" i="1" s="1"/>
  <c r="Z1012" i="1" a="1"/>
  <c r="Z1012" i="1" s="1"/>
  <c r="Z1013" i="1" a="1"/>
  <c r="Z1013" i="1" s="1"/>
  <c r="Z1014" i="1" a="1"/>
  <c r="Z1014" i="1" s="1"/>
  <c r="Z1015" i="1" a="1"/>
  <c r="Z1015" i="1" s="1"/>
  <c r="Z1016" i="1" a="1"/>
  <c r="Z1016" i="1" s="1"/>
  <c r="Z1017" i="1" a="1"/>
  <c r="Z1017" i="1" s="1"/>
  <c r="Z1018" i="1" a="1"/>
  <c r="Z1018" i="1" s="1"/>
  <c r="Z1019" i="1" a="1"/>
  <c r="Z1019" i="1" s="1"/>
  <c r="Z1020" i="1" a="1"/>
  <c r="Z1020" i="1" s="1"/>
  <c r="Z1021" i="1" a="1"/>
  <c r="Z1021" i="1" s="1"/>
  <c r="Z1022" i="1" a="1"/>
  <c r="Z1022" i="1" s="1"/>
  <c r="Z1023" i="1" a="1"/>
  <c r="Z1023" i="1" s="1"/>
  <c r="Z1024" i="1" a="1"/>
  <c r="Z1024" i="1" s="1"/>
  <c r="Z1025" i="1" a="1"/>
  <c r="Z1025" i="1" s="1"/>
  <c r="Z1026" i="1" a="1"/>
  <c r="Z1026" i="1" s="1"/>
  <c r="Z1027" i="1" a="1"/>
  <c r="Z1027" i="1" s="1"/>
  <c r="Z1028" i="1" a="1"/>
  <c r="Z1028" i="1" s="1"/>
  <c r="Z1029" i="1" a="1"/>
  <c r="Z1029" i="1" s="1"/>
  <c r="Z1030" i="1" a="1"/>
  <c r="Z1030" i="1" s="1"/>
  <c r="Z1031" i="1" a="1"/>
  <c r="Z1031" i="1" s="1"/>
  <c r="Z1032" i="1" a="1"/>
  <c r="Z1032" i="1" s="1"/>
  <c r="Z1033" i="1" a="1"/>
  <c r="Z1033" i="1" s="1"/>
  <c r="Z1034" i="1" a="1"/>
  <c r="Z1034" i="1" s="1"/>
  <c r="Z1035" i="1" a="1"/>
  <c r="Z1035" i="1" s="1"/>
  <c r="Z1036" i="1" a="1"/>
  <c r="Z1036" i="1" s="1"/>
  <c r="Z1037" i="1" a="1"/>
  <c r="Z1037" i="1" s="1"/>
  <c r="Z1038" i="1" a="1"/>
  <c r="Z1038" i="1" s="1"/>
  <c r="Z1039" i="1" a="1"/>
  <c r="Z1039" i="1" s="1"/>
  <c r="Z1040" i="1" a="1"/>
  <c r="Z1040" i="1" s="1"/>
  <c r="Z1041" i="1" a="1"/>
  <c r="Z1041" i="1" s="1"/>
  <c r="Z1042" i="1" a="1"/>
  <c r="Z1042" i="1" s="1"/>
  <c r="Z1043" i="1" a="1"/>
  <c r="Z1043" i="1" s="1"/>
  <c r="Z1044" i="1" a="1"/>
  <c r="Z1044" i="1" s="1"/>
  <c r="Z1045" i="1" a="1"/>
  <c r="Z1045" i="1" s="1"/>
  <c r="Z1046" i="1" a="1"/>
  <c r="Z1046" i="1" s="1"/>
  <c r="Z1047" i="1" a="1"/>
  <c r="Z1047" i="1" s="1"/>
  <c r="Z1048" i="1" a="1"/>
  <c r="Z1048" i="1" s="1"/>
  <c r="Z1049" i="1" a="1"/>
  <c r="Z1049" i="1" s="1"/>
  <c r="Z1050" i="1" a="1"/>
  <c r="Z1050" i="1" s="1"/>
  <c r="Z1051" i="1" a="1"/>
  <c r="Z1051" i="1" s="1"/>
  <c r="Z1052" i="1" a="1"/>
  <c r="Z1052" i="1" s="1"/>
  <c r="Z1053" i="1" a="1"/>
  <c r="Z1053" i="1" s="1"/>
  <c r="Z1054" i="1" a="1"/>
  <c r="Z1054" i="1" s="1"/>
  <c r="Z1055" i="1" a="1"/>
  <c r="Z1055" i="1" s="1"/>
  <c r="Z1056" i="1" a="1"/>
  <c r="Z1056" i="1" s="1"/>
  <c r="Z1057" i="1" a="1"/>
  <c r="Z1057" i="1" s="1"/>
  <c r="Z1058" i="1" a="1"/>
  <c r="Z1058" i="1" s="1"/>
  <c r="Z1059" i="1" a="1"/>
  <c r="Z1059" i="1" s="1"/>
  <c r="Z1060" i="1" a="1"/>
  <c r="Z1060" i="1" s="1"/>
  <c r="Z1061" i="1" a="1"/>
  <c r="Z1061" i="1" s="1"/>
  <c r="Z1062" i="1" a="1"/>
  <c r="Z1062" i="1" s="1"/>
  <c r="Z1063" i="1" a="1"/>
  <c r="Z1063" i="1" s="1"/>
  <c r="Z1064" i="1" a="1"/>
  <c r="Z1064" i="1" s="1"/>
  <c r="Z1065" i="1" a="1"/>
  <c r="Z1065" i="1" s="1"/>
  <c r="Z1066" i="1" a="1"/>
  <c r="Z1066" i="1" s="1"/>
  <c r="Z1067" i="1" a="1"/>
  <c r="Z1067" i="1" s="1"/>
  <c r="Z1068" i="1" a="1"/>
  <c r="Z1068" i="1" s="1"/>
  <c r="Z1069" i="1" a="1"/>
  <c r="Z1069" i="1" s="1"/>
  <c r="Z1070" i="1" a="1"/>
  <c r="Z1070" i="1" s="1"/>
  <c r="Z1071" i="1" a="1"/>
  <c r="Z1071" i="1" s="1"/>
  <c r="Z1072" i="1" a="1"/>
  <c r="Z1072" i="1" s="1"/>
  <c r="Z1073" i="1" a="1"/>
  <c r="Z1073" i="1" s="1"/>
  <c r="Z1074" i="1" a="1"/>
  <c r="Z1074" i="1" s="1"/>
  <c r="Z1075" i="1" a="1"/>
  <c r="Z1075" i="1" s="1"/>
  <c r="Z1076" i="1" a="1"/>
  <c r="Z1076" i="1" s="1"/>
  <c r="Z1077" i="1" a="1"/>
  <c r="Z1077" i="1" s="1"/>
  <c r="Z1078" i="1" a="1"/>
  <c r="Z1078" i="1" s="1"/>
  <c r="Z1079" i="1" a="1"/>
  <c r="Z1079" i="1" s="1"/>
  <c r="Z1080" i="1" a="1"/>
  <c r="Z1080" i="1" s="1"/>
  <c r="Z1081" i="1" a="1"/>
  <c r="Z1081" i="1" s="1"/>
  <c r="Z1082" i="1" a="1"/>
  <c r="Z1082" i="1" s="1"/>
  <c r="Z1083" i="1" a="1"/>
  <c r="Z1083" i="1" s="1"/>
  <c r="Z1084" i="1" a="1"/>
  <c r="Z1084" i="1" s="1"/>
  <c r="Z1085" i="1" a="1"/>
  <c r="Z1085" i="1" s="1"/>
  <c r="Z1086" i="1" a="1"/>
  <c r="Z1086" i="1" s="1"/>
  <c r="Z1087" i="1" a="1"/>
  <c r="Z1087" i="1" s="1"/>
  <c r="Z1088" i="1" a="1"/>
  <c r="Z1088" i="1" s="1"/>
  <c r="Z1089" i="1" a="1"/>
  <c r="Z1089" i="1" s="1"/>
  <c r="Z1090" i="1" a="1"/>
  <c r="Z1090" i="1" s="1"/>
  <c r="Z1091" i="1" a="1"/>
  <c r="Z1091" i="1" s="1"/>
  <c r="Z1092" i="1" a="1"/>
  <c r="Z1092" i="1" s="1"/>
  <c r="Z1093" i="1" a="1"/>
  <c r="Z1093" i="1" s="1"/>
  <c r="Z1094" i="1" a="1"/>
  <c r="Z1094" i="1" s="1"/>
  <c r="Z1095" i="1" a="1"/>
  <c r="Z1095" i="1" s="1"/>
  <c r="Z1096" i="1" a="1"/>
  <c r="Z1096" i="1" s="1"/>
  <c r="Z1097" i="1" a="1"/>
  <c r="Z1097" i="1" s="1"/>
  <c r="Z1098" i="1" a="1"/>
  <c r="Z1098" i="1" s="1"/>
  <c r="Z1099" i="1" a="1"/>
  <c r="Z1099" i="1" s="1"/>
  <c r="Z1100" i="1" a="1"/>
  <c r="Z1100" i="1" s="1"/>
  <c r="Z1101" i="1" a="1"/>
  <c r="Z1101" i="1" s="1"/>
  <c r="Z1102" i="1" a="1"/>
  <c r="Z1102" i="1" s="1"/>
  <c r="Z1103" i="1" a="1"/>
  <c r="Z1103" i="1" s="1"/>
  <c r="Z1104" i="1" a="1"/>
  <c r="Z1104" i="1" s="1"/>
  <c r="Z1105" i="1" a="1"/>
  <c r="Z1105" i="1" s="1"/>
  <c r="Z1106" i="1" a="1"/>
  <c r="Z1106" i="1" s="1"/>
  <c r="Z1107" i="1" a="1"/>
  <c r="Z1107" i="1" s="1"/>
  <c r="Z1108" i="1" a="1"/>
  <c r="Z1108" i="1" s="1"/>
  <c r="Z1109" i="1" a="1"/>
  <c r="Z1109" i="1" s="1"/>
  <c r="Z1110" i="1" a="1"/>
  <c r="Z1110" i="1" s="1"/>
  <c r="Z1111" i="1" a="1"/>
  <c r="Z1111" i="1" s="1"/>
  <c r="Z1112" i="1" a="1"/>
  <c r="Z1112" i="1" s="1"/>
  <c r="Z1113" i="1" a="1"/>
  <c r="Z1113" i="1" s="1"/>
  <c r="Z1114" i="1" a="1"/>
  <c r="Z1114" i="1" s="1"/>
  <c r="Z1115" i="1" a="1"/>
  <c r="Z1115" i="1" s="1"/>
  <c r="Z1116" i="1" a="1"/>
  <c r="Z1116" i="1" s="1"/>
  <c r="Z1117" i="1" a="1"/>
  <c r="Z1117" i="1" s="1"/>
  <c r="Z1118" i="1" a="1"/>
  <c r="Z1118" i="1" s="1"/>
  <c r="Z1119" i="1" a="1"/>
  <c r="Z1119" i="1" s="1"/>
  <c r="Z1120" i="1" a="1"/>
  <c r="Z1120" i="1" s="1"/>
  <c r="Z1121" i="1" a="1"/>
  <c r="Z1121" i="1" s="1"/>
  <c r="Z1122" i="1" a="1"/>
  <c r="Z1122" i="1" s="1"/>
  <c r="Z1123" i="1" a="1"/>
  <c r="Z1123" i="1" s="1"/>
  <c r="Z1124" i="1" a="1"/>
  <c r="Z1124" i="1" s="1"/>
  <c r="Z1125" i="1" a="1"/>
  <c r="Z1125" i="1" s="1"/>
  <c r="Z1126" i="1" a="1"/>
  <c r="Z1126" i="1" s="1"/>
  <c r="Z1127" i="1" a="1"/>
  <c r="Z1127" i="1" s="1"/>
  <c r="Z1128" i="1" a="1"/>
  <c r="Z1128" i="1" s="1"/>
  <c r="Z1129" i="1" a="1"/>
  <c r="Z1129" i="1" s="1"/>
  <c r="Z1130" i="1" a="1"/>
  <c r="Z1130" i="1" s="1"/>
  <c r="Z1131" i="1" a="1"/>
  <c r="Z1131" i="1" s="1"/>
  <c r="Z1132" i="1" a="1"/>
  <c r="Z1132" i="1" s="1"/>
  <c r="Z1133" i="1" a="1"/>
  <c r="Z1133" i="1" s="1"/>
  <c r="Z1134" i="1" a="1"/>
  <c r="Z1134" i="1" s="1"/>
  <c r="Z1135" i="1" a="1"/>
  <c r="Z1135" i="1" s="1"/>
  <c r="Z1136" i="1" a="1"/>
  <c r="Z1136" i="1" s="1"/>
  <c r="Z1137" i="1" a="1"/>
  <c r="Z1137" i="1" s="1"/>
  <c r="Z1138" i="1" a="1"/>
  <c r="Z1138" i="1" s="1"/>
  <c r="Z1139" i="1" a="1"/>
  <c r="Z1139" i="1" s="1"/>
  <c r="Z1140" i="1" a="1"/>
  <c r="Z1140" i="1" s="1"/>
  <c r="Z1141" i="1" a="1"/>
  <c r="Z1141" i="1" s="1"/>
  <c r="Z1142" i="1" a="1"/>
  <c r="Z1142" i="1" s="1"/>
  <c r="Z1143" i="1" a="1"/>
  <c r="Z1143" i="1" s="1"/>
  <c r="Z1144" i="1" a="1"/>
  <c r="Z1144" i="1" s="1"/>
  <c r="Z1145" i="1" a="1"/>
  <c r="Z1145" i="1" s="1"/>
  <c r="Z1146" i="1" a="1"/>
  <c r="Z1146" i="1" s="1"/>
  <c r="Z1147" i="1" a="1"/>
  <c r="Z1147" i="1" s="1"/>
  <c r="Z1148" i="1" a="1"/>
  <c r="Z1148" i="1" s="1"/>
  <c r="Z1149" i="1" a="1"/>
  <c r="Z1149" i="1" s="1"/>
  <c r="Z1150" i="1" a="1"/>
  <c r="Z1150" i="1" s="1"/>
  <c r="Z1151" i="1" a="1"/>
  <c r="Z1151" i="1" s="1"/>
  <c r="Z1152" i="1" a="1"/>
  <c r="Z1152" i="1" s="1"/>
  <c r="Z1153" i="1" a="1"/>
  <c r="Z1153" i="1" s="1"/>
  <c r="Z1154" i="1" a="1"/>
  <c r="Z1154" i="1" s="1"/>
  <c r="Z1155" i="1" a="1"/>
  <c r="Z1155" i="1" s="1"/>
  <c r="Z1156" i="1" a="1"/>
  <c r="Z1156" i="1" s="1"/>
  <c r="Z1157" i="1" a="1"/>
  <c r="Z1157" i="1" s="1"/>
  <c r="Z1158" i="1" a="1"/>
  <c r="Z1158" i="1" s="1"/>
  <c r="Z1159" i="1" a="1"/>
  <c r="Z1159" i="1" s="1"/>
  <c r="Z1160" i="1" a="1"/>
  <c r="Z1160" i="1" s="1"/>
  <c r="Z1161" i="1" a="1"/>
  <c r="Z1161" i="1" s="1"/>
  <c r="Z1162" i="1" a="1"/>
  <c r="Z1162" i="1" s="1"/>
  <c r="Z1163" i="1" a="1"/>
  <c r="Z1163" i="1" s="1"/>
  <c r="Z1164" i="1" a="1"/>
  <c r="Z1164" i="1" s="1"/>
  <c r="Z1165" i="1" a="1"/>
  <c r="Z1165" i="1" s="1"/>
  <c r="Z1166" i="1" a="1"/>
  <c r="Z1166" i="1" s="1"/>
  <c r="Z1167" i="1" a="1"/>
  <c r="Z1167" i="1" s="1"/>
  <c r="Z1168" i="1" a="1"/>
  <c r="Z1168" i="1" s="1"/>
  <c r="Z1169" i="1" a="1"/>
  <c r="Z1169" i="1" s="1"/>
  <c r="Z1170" i="1" a="1"/>
  <c r="Z1170" i="1" s="1"/>
  <c r="Z1171" i="1" a="1"/>
  <c r="Z1171" i="1" s="1"/>
  <c r="Z1172" i="1" a="1"/>
  <c r="Z1172" i="1" s="1"/>
  <c r="Z1173" i="1" a="1"/>
  <c r="Z1173" i="1" s="1"/>
  <c r="Z1174" i="1" a="1"/>
  <c r="Z1174" i="1" s="1"/>
  <c r="Z1175" i="1" a="1"/>
  <c r="Z1175" i="1" s="1"/>
  <c r="Z1176" i="1" a="1"/>
  <c r="Z1176" i="1" s="1"/>
  <c r="Z1177" i="1" a="1"/>
  <c r="Z1177" i="1" s="1"/>
  <c r="Z1178" i="1" a="1"/>
  <c r="Z1178" i="1" s="1"/>
  <c r="Z1179" i="1" a="1"/>
  <c r="Z1179" i="1" s="1"/>
  <c r="Z1180" i="1" a="1"/>
  <c r="Z1180" i="1" s="1"/>
  <c r="Z1181" i="1" a="1"/>
  <c r="Z1181" i="1" s="1"/>
  <c r="Z1182" i="1" a="1"/>
  <c r="Z1182" i="1" s="1"/>
  <c r="Z1183" i="1" a="1"/>
  <c r="Z1183" i="1" s="1"/>
  <c r="Z1184" i="1" a="1"/>
  <c r="Z1184" i="1" s="1"/>
  <c r="Z1185" i="1" a="1"/>
  <c r="Z1185" i="1" s="1"/>
  <c r="Z1186" i="1" a="1"/>
  <c r="Z1186" i="1" s="1"/>
  <c r="Z1187" i="1" a="1"/>
  <c r="Z1187" i="1" s="1"/>
  <c r="Z1188" i="1" a="1"/>
  <c r="Z1188" i="1" s="1"/>
  <c r="Z1189" i="1" a="1"/>
  <c r="Z1189" i="1" s="1"/>
  <c r="Z1190" i="1" a="1"/>
  <c r="Z1190" i="1" s="1"/>
  <c r="Z1191" i="1" a="1"/>
  <c r="Z1191" i="1" s="1"/>
  <c r="Z1192" i="1" a="1"/>
  <c r="Z1192" i="1" s="1"/>
  <c r="Z1193" i="1" a="1"/>
  <c r="Z1193" i="1" s="1"/>
  <c r="Z1194" i="1" a="1"/>
  <c r="Z1194" i="1" s="1"/>
  <c r="Z1195" i="1" a="1"/>
  <c r="Z1195" i="1" s="1"/>
  <c r="Z1196" i="1" a="1"/>
  <c r="Z1196" i="1" s="1"/>
  <c r="Z1197" i="1" a="1"/>
  <c r="Z1197" i="1" s="1"/>
  <c r="Z1198" i="1" a="1"/>
  <c r="Z1198" i="1" s="1"/>
  <c r="Z1199" i="1" a="1"/>
  <c r="Z1199" i="1" s="1"/>
  <c r="Z1200" i="1" a="1"/>
  <c r="Z1200" i="1" s="1"/>
  <c r="Z1201" i="1" a="1"/>
  <c r="Z1201" i="1" s="1"/>
  <c r="Z1202" i="1" a="1"/>
  <c r="Z1202" i="1" s="1"/>
  <c r="Z1203" i="1" a="1"/>
  <c r="Z1203" i="1" s="1"/>
  <c r="Z1204" i="1" a="1"/>
  <c r="Z1204" i="1" s="1"/>
  <c r="Z1205" i="1" a="1"/>
  <c r="Z1205" i="1" s="1"/>
  <c r="Z1206" i="1" a="1"/>
  <c r="Z1206" i="1" s="1"/>
  <c r="Z1207" i="1" a="1"/>
  <c r="Z1207" i="1" s="1"/>
  <c r="Z1208" i="1" a="1"/>
  <c r="Z1208" i="1" s="1"/>
  <c r="Z1209" i="1" a="1"/>
  <c r="Z1209" i="1" s="1"/>
  <c r="Z1210" i="1" a="1"/>
  <c r="Z1210" i="1" s="1"/>
  <c r="Z1211" i="1" a="1"/>
  <c r="Z1211" i="1" s="1"/>
  <c r="Z1212" i="1" a="1"/>
  <c r="Z1212" i="1" s="1"/>
  <c r="Z1213" i="1" a="1"/>
  <c r="Z1213" i="1" s="1"/>
  <c r="Z1214" i="1" a="1"/>
  <c r="Z1214" i="1" s="1"/>
  <c r="Z1215" i="1" a="1"/>
  <c r="Z1215" i="1" s="1"/>
  <c r="Z1216" i="1" a="1"/>
  <c r="Z1216" i="1" s="1"/>
  <c r="Z1217" i="1" a="1"/>
  <c r="Z1217" i="1" s="1"/>
  <c r="Z1218" i="1" a="1"/>
  <c r="Z1218" i="1" s="1"/>
  <c r="Z1219" i="1" a="1"/>
  <c r="Z1219" i="1" s="1"/>
  <c r="Z1220" i="1" a="1"/>
  <c r="Z1220" i="1" s="1"/>
  <c r="Z1221" i="1" a="1"/>
  <c r="Z1221" i="1" s="1"/>
  <c r="Z1222" i="1" a="1"/>
  <c r="Z1222" i="1" s="1"/>
  <c r="Z1223" i="1" a="1"/>
  <c r="Z1223" i="1" s="1"/>
  <c r="Z1224" i="1" a="1"/>
  <c r="Z1224" i="1" s="1"/>
  <c r="Z1225" i="1" a="1"/>
  <c r="Z1225" i="1" s="1"/>
  <c r="Z1226" i="1" a="1"/>
  <c r="Z1226" i="1" s="1"/>
  <c r="Z1227" i="1" a="1"/>
  <c r="Z1227" i="1" s="1"/>
  <c r="Z1228" i="1" a="1"/>
  <c r="Z1228" i="1" s="1"/>
  <c r="Z1229" i="1" a="1"/>
  <c r="Z1229" i="1" s="1"/>
  <c r="Z1230" i="1" a="1"/>
  <c r="Z1230" i="1" s="1"/>
  <c r="Z1231" i="1" a="1"/>
  <c r="Z1231" i="1" s="1"/>
  <c r="Z1232" i="1" a="1"/>
  <c r="Z1232" i="1" s="1"/>
  <c r="Z1233" i="1" a="1"/>
  <c r="Z1233" i="1" s="1"/>
  <c r="Z1234" i="1" a="1"/>
  <c r="Z1234" i="1" s="1"/>
  <c r="Z1235" i="1" a="1"/>
  <c r="Z1235" i="1" s="1"/>
  <c r="Z1236" i="1" a="1"/>
  <c r="Z1236" i="1" s="1"/>
  <c r="Z1237" i="1" a="1"/>
  <c r="Z1237" i="1" s="1"/>
  <c r="Z1238" i="1" a="1"/>
  <c r="Z1238" i="1" s="1"/>
  <c r="Z1239" i="1" a="1"/>
  <c r="Z1239" i="1" s="1"/>
  <c r="Z1240" i="1" a="1"/>
  <c r="Z1240" i="1" s="1"/>
  <c r="Z1241" i="1" a="1"/>
  <c r="Z1241" i="1" s="1"/>
  <c r="Z1242" i="1" a="1"/>
  <c r="Z1242" i="1" s="1"/>
  <c r="Z1243" i="1" a="1"/>
  <c r="Z1243" i="1" s="1"/>
  <c r="Z1244" i="1" a="1"/>
  <c r="Z1244" i="1" s="1"/>
  <c r="Z1245" i="1" a="1"/>
  <c r="Z1245" i="1" s="1"/>
  <c r="Z1246" i="1" a="1"/>
  <c r="Z1246" i="1" s="1"/>
  <c r="Z1247" i="1" a="1"/>
  <c r="Z1247" i="1" s="1"/>
  <c r="Z1248" i="1" a="1"/>
  <c r="Z1248" i="1" s="1"/>
  <c r="Z1249" i="1" a="1"/>
  <c r="Z1249" i="1" s="1"/>
  <c r="Z1250" i="1" a="1"/>
  <c r="Z1250" i="1" s="1"/>
  <c r="Z1251" i="1" a="1"/>
  <c r="Z1251" i="1" s="1"/>
  <c r="Z1252" i="1" a="1"/>
  <c r="Z1252" i="1" s="1"/>
  <c r="Z1253" i="1" a="1"/>
  <c r="Z1253" i="1" s="1"/>
  <c r="Z1254" i="1" a="1"/>
  <c r="Z1254" i="1" s="1"/>
  <c r="Z1255" i="1" a="1"/>
  <c r="Z1255" i="1" s="1"/>
  <c r="Z1256" i="1" a="1"/>
  <c r="Z1256" i="1" s="1"/>
  <c r="Z1257" i="1" a="1"/>
  <c r="Z1257" i="1" s="1"/>
  <c r="Z1258" i="1" a="1"/>
  <c r="Z1258" i="1" s="1"/>
  <c r="Z1259" i="1" a="1"/>
  <c r="Z1259" i="1" s="1"/>
  <c r="Z1260" i="1" a="1"/>
  <c r="Z1260" i="1" s="1"/>
  <c r="Z1261" i="1" a="1"/>
  <c r="Z1261" i="1" s="1"/>
  <c r="Z1262" i="1" a="1"/>
  <c r="Z1262" i="1" s="1"/>
  <c r="Z1263" i="1" a="1"/>
  <c r="Z1263" i="1" s="1"/>
  <c r="Z1264" i="1" a="1"/>
  <c r="Z1264" i="1" s="1"/>
  <c r="Z1265" i="1" a="1"/>
  <c r="Z1265" i="1" s="1"/>
  <c r="Z1266" i="1" a="1"/>
  <c r="Z1266" i="1" s="1"/>
  <c r="Z1267" i="1" a="1"/>
  <c r="Z1267" i="1" s="1"/>
  <c r="Z1268" i="1" a="1"/>
  <c r="Z1268" i="1" s="1"/>
  <c r="Z1269" i="1" a="1"/>
  <c r="Z1269" i="1" s="1"/>
  <c r="Z1270" i="1" a="1"/>
  <c r="Z1270" i="1" s="1"/>
  <c r="Z1271" i="1" a="1"/>
  <c r="Z1271" i="1" s="1"/>
  <c r="Z1272" i="1" a="1"/>
  <c r="Z1272" i="1" s="1"/>
  <c r="Z1273" i="1" a="1"/>
  <c r="Z1273" i="1" s="1"/>
  <c r="Z1274" i="1" a="1"/>
  <c r="Z1274" i="1" s="1"/>
  <c r="Z1275" i="1" a="1"/>
  <c r="Z1275" i="1" s="1"/>
  <c r="X1275" i="1"/>
  <c r="X1274" i="1"/>
  <c r="X1273" i="1"/>
  <c r="X1272" i="1"/>
  <c r="X1271" i="1"/>
  <c r="X1270" i="1"/>
  <c r="X1269" i="1"/>
  <c r="X1268" i="1"/>
  <c r="X1267" i="1"/>
  <c r="X1266" i="1"/>
  <c r="X1265" i="1"/>
  <c r="X1264" i="1"/>
  <c r="X1263" i="1"/>
  <c r="X1262" i="1"/>
  <c r="X1261" i="1"/>
  <c r="X1260" i="1"/>
  <c r="X1259" i="1"/>
  <c r="X1258" i="1"/>
  <c r="X1257" i="1"/>
  <c r="X1256" i="1"/>
  <c r="X1255" i="1"/>
  <c r="X1254" i="1"/>
  <c r="X1253" i="1"/>
  <c r="X1252" i="1"/>
  <c r="X1251" i="1"/>
  <c r="X1250" i="1"/>
  <c r="X1249" i="1"/>
  <c r="X1248" i="1"/>
  <c r="X1247" i="1"/>
  <c r="X1246" i="1"/>
  <c r="X1245" i="1"/>
  <c r="X1244" i="1"/>
  <c r="X1243" i="1"/>
  <c r="X1242" i="1"/>
  <c r="X1241" i="1"/>
  <c r="X1240" i="1"/>
  <c r="X1239" i="1"/>
  <c r="X1238" i="1"/>
  <c r="X1237" i="1"/>
  <c r="X1236" i="1"/>
  <c r="X1235" i="1"/>
  <c r="X1234" i="1"/>
  <c r="X1233" i="1"/>
  <c r="X1232" i="1"/>
  <c r="X1231" i="1"/>
  <c r="X1230" i="1"/>
  <c r="X1229" i="1"/>
  <c r="X1228" i="1"/>
  <c r="X1227" i="1"/>
  <c r="X1226" i="1"/>
  <c r="X1225" i="1"/>
  <c r="X1224" i="1"/>
  <c r="X1223" i="1"/>
  <c r="X1222" i="1"/>
  <c r="X1221" i="1"/>
  <c r="X1220" i="1"/>
  <c r="X1219" i="1"/>
  <c r="X1218" i="1"/>
  <c r="X1217" i="1"/>
  <c r="X1216" i="1"/>
  <c r="X1215" i="1"/>
  <c r="X1214" i="1"/>
  <c r="X1213" i="1"/>
  <c r="X1212" i="1"/>
  <c r="X1211" i="1"/>
  <c r="X1210" i="1"/>
  <c r="X1209" i="1"/>
  <c r="X1208" i="1"/>
  <c r="X1207" i="1"/>
  <c r="X1206" i="1"/>
  <c r="X1205" i="1"/>
  <c r="X1204" i="1"/>
  <c r="X1203" i="1"/>
  <c r="X1202" i="1"/>
  <c r="X1201" i="1"/>
  <c r="X1200" i="1"/>
  <c r="X1199" i="1"/>
  <c r="X1198" i="1"/>
  <c r="X1197" i="1"/>
  <c r="X1196" i="1"/>
  <c r="X1195" i="1"/>
  <c r="X1194" i="1"/>
  <c r="X1193" i="1"/>
  <c r="X1192" i="1"/>
  <c r="X1191" i="1"/>
  <c r="X1190" i="1"/>
  <c r="X1189" i="1"/>
  <c r="X1188" i="1"/>
  <c r="X1187" i="1"/>
  <c r="X1186" i="1"/>
  <c r="X1185" i="1"/>
  <c r="X1184" i="1"/>
  <c r="X1183" i="1"/>
  <c r="X1182" i="1"/>
  <c r="X1181" i="1"/>
  <c r="X1180" i="1"/>
  <c r="X1179" i="1"/>
  <c r="X1178" i="1"/>
  <c r="X1177" i="1"/>
  <c r="X1176" i="1"/>
  <c r="X1175" i="1"/>
  <c r="X1174" i="1"/>
  <c r="X1173" i="1"/>
  <c r="X1172" i="1"/>
  <c r="X1171" i="1"/>
  <c r="X1170" i="1"/>
  <c r="X1169" i="1"/>
  <c r="X1168" i="1"/>
  <c r="X1167" i="1"/>
  <c r="X1166" i="1"/>
  <c r="X1165" i="1"/>
  <c r="X1164" i="1"/>
  <c r="X1163" i="1"/>
  <c r="X1162" i="1"/>
  <c r="X1161" i="1"/>
  <c r="X1160" i="1"/>
  <c r="X1159" i="1"/>
  <c r="X1158" i="1"/>
  <c r="X1157" i="1"/>
  <c r="X1156" i="1"/>
  <c r="X1155" i="1"/>
  <c r="X1154" i="1"/>
  <c r="X1153" i="1"/>
  <c r="X1152" i="1"/>
  <c r="X1151" i="1"/>
  <c r="X1150" i="1"/>
  <c r="X1149" i="1"/>
  <c r="X1148" i="1"/>
  <c r="X1147" i="1"/>
  <c r="X1146" i="1"/>
  <c r="X1145" i="1"/>
  <c r="X1144" i="1"/>
  <c r="X1143" i="1"/>
  <c r="X1142" i="1"/>
  <c r="X1141" i="1"/>
  <c r="X1140" i="1"/>
  <c r="X1139" i="1"/>
  <c r="X1138" i="1"/>
  <c r="X1137" i="1"/>
  <c r="X1136" i="1"/>
  <c r="X1135" i="1"/>
  <c r="X1134" i="1"/>
  <c r="X1133" i="1"/>
  <c r="X1132" i="1"/>
  <c r="X1131" i="1"/>
  <c r="X1130" i="1"/>
  <c r="X1129" i="1"/>
  <c r="X1128" i="1"/>
  <c r="X1127" i="1"/>
  <c r="X1126" i="1"/>
  <c r="X1125" i="1"/>
  <c r="X1124" i="1"/>
  <c r="X1123" i="1"/>
  <c r="X1122" i="1"/>
  <c r="X1121" i="1"/>
  <c r="X1120" i="1"/>
  <c r="X1119" i="1"/>
  <c r="X1118" i="1"/>
  <c r="X1117" i="1"/>
  <c r="X1116" i="1"/>
  <c r="X1115" i="1"/>
  <c r="X1114" i="1"/>
  <c r="X1113" i="1"/>
  <c r="X1112" i="1"/>
  <c r="X1111" i="1"/>
  <c r="X1110" i="1"/>
  <c r="X1109" i="1"/>
  <c r="X1108" i="1"/>
  <c r="X1107" i="1"/>
  <c r="X1106" i="1"/>
  <c r="X1105" i="1"/>
  <c r="X1104" i="1"/>
  <c r="X1103" i="1"/>
  <c r="X1102" i="1"/>
  <c r="X1101" i="1"/>
  <c r="X1100" i="1"/>
  <c r="X1099" i="1"/>
  <c r="X1098" i="1"/>
  <c r="X1097" i="1"/>
  <c r="X1096" i="1"/>
  <c r="X1095" i="1"/>
  <c r="X1094" i="1"/>
  <c r="X1093" i="1"/>
  <c r="X1092" i="1"/>
  <c r="X1091" i="1"/>
  <c r="X1090" i="1"/>
  <c r="X1089" i="1"/>
  <c r="X1088" i="1"/>
  <c r="X1087" i="1"/>
  <c r="X1086" i="1"/>
  <c r="X1085" i="1"/>
  <c r="X1084" i="1"/>
  <c r="X1083" i="1"/>
  <c r="X1082" i="1"/>
  <c r="X1081" i="1"/>
  <c r="X1080" i="1"/>
  <c r="X1079" i="1"/>
  <c r="X1078" i="1"/>
  <c r="X1077" i="1"/>
  <c r="X1076" i="1"/>
  <c r="X1075" i="1"/>
  <c r="X1074" i="1"/>
  <c r="X1073" i="1"/>
  <c r="X1072" i="1"/>
  <c r="X1071" i="1"/>
  <c r="X1070" i="1"/>
  <c r="X1069" i="1"/>
  <c r="X1068" i="1"/>
  <c r="X1067" i="1"/>
  <c r="X1066" i="1"/>
  <c r="X1065" i="1"/>
  <c r="X1064" i="1"/>
  <c r="X1063" i="1"/>
  <c r="X1062" i="1"/>
  <c r="X1061" i="1"/>
  <c r="X1060" i="1"/>
  <c r="X1059" i="1"/>
  <c r="X1058" i="1"/>
  <c r="X1057" i="1"/>
  <c r="X1056" i="1"/>
  <c r="X1055" i="1"/>
  <c r="X1054" i="1"/>
  <c r="X1053" i="1"/>
  <c r="X1052" i="1"/>
  <c r="X1051" i="1"/>
  <c r="X1050" i="1"/>
  <c r="X1049" i="1"/>
  <c r="X1048" i="1"/>
  <c r="X1047" i="1"/>
  <c r="X1046" i="1"/>
  <c r="X1045" i="1"/>
  <c r="X1044" i="1"/>
  <c r="X1043" i="1"/>
  <c r="X1042" i="1"/>
  <c r="X1041" i="1"/>
  <c r="X1040" i="1"/>
  <c r="X1039" i="1"/>
  <c r="X1038" i="1"/>
  <c r="X1037" i="1"/>
  <c r="X1036" i="1"/>
  <c r="X1035" i="1"/>
  <c r="X1034" i="1"/>
  <c r="X1033" i="1"/>
  <c r="X1032" i="1"/>
  <c r="X1031" i="1"/>
  <c r="X1030" i="1"/>
  <c r="X1029" i="1"/>
  <c r="X1028" i="1"/>
  <c r="X1027" i="1"/>
  <c r="X1026" i="1"/>
  <c r="X1025" i="1"/>
  <c r="X1024" i="1"/>
  <c r="X1023" i="1"/>
  <c r="X1022" i="1"/>
  <c r="X1021" i="1"/>
  <c r="X1020" i="1"/>
  <c r="X1019" i="1"/>
  <c r="X1018" i="1"/>
  <c r="X1017" i="1"/>
  <c r="X1016" i="1"/>
  <c r="X1015" i="1"/>
  <c r="X1014" i="1"/>
  <c r="X1013" i="1"/>
  <c r="X1012" i="1"/>
  <c r="X1011" i="1"/>
  <c r="X1010" i="1"/>
  <c r="X1009" i="1"/>
  <c r="X1008" i="1"/>
  <c r="X1007" i="1"/>
  <c r="X1006" i="1"/>
  <c r="X1005" i="1"/>
  <c r="X1004" i="1"/>
  <c r="X1003" i="1"/>
  <c r="X1002" i="1"/>
  <c r="X1001" i="1"/>
  <c r="X1000" i="1"/>
  <c r="X999" i="1"/>
  <c r="X998" i="1"/>
  <c r="X997" i="1"/>
  <c r="X996" i="1"/>
  <c r="X995" i="1"/>
  <c r="X994" i="1"/>
  <c r="X993" i="1"/>
  <c r="X992" i="1"/>
  <c r="X991" i="1"/>
  <c r="X990" i="1"/>
  <c r="X989" i="1"/>
  <c r="X988" i="1"/>
  <c r="X987" i="1"/>
  <c r="X986" i="1"/>
  <c r="X985" i="1"/>
  <c r="X984" i="1"/>
  <c r="X983" i="1"/>
  <c r="X982" i="1"/>
  <c r="X981" i="1"/>
  <c r="X980" i="1"/>
  <c r="X979" i="1"/>
  <c r="X978" i="1"/>
  <c r="X977" i="1"/>
  <c r="X976" i="1"/>
  <c r="X975" i="1"/>
  <c r="X974" i="1"/>
  <c r="X973" i="1"/>
  <c r="X972" i="1"/>
  <c r="X971" i="1"/>
  <c r="X970" i="1"/>
  <c r="X969" i="1"/>
  <c r="X968" i="1"/>
  <c r="X967" i="1"/>
  <c r="X966" i="1"/>
  <c r="X965" i="1"/>
  <c r="X964" i="1"/>
  <c r="X963" i="1"/>
  <c r="X962" i="1"/>
  <c r="X961" i="1"/>
  <c r="X960" i="1"/>
  <c r="X959" i="1"/>
  <c r="X958" i="1"/>
  <c r="X957" i="1"/>
  <c r="X956" i="1"/>
  <c r="X955" i="1"/>
  <c r="X954" i="1"/>
  <c r="X953" i="1"/>
  <c r="X952" i="1"/>
  <c r="X951" i="1"/>
  <c r="X950" i="1"/>
  <c r="X949" i="1"/>
  <c r="X948" i="1"/>
  <c r="X947" i="1"/>
  <c r="X946" i="1"/>
  <c r="X945" i="1"/>
  <c r="X944" i="1"/>
  <c r="X943" i="1"/>
  <c r="X942" i="1"/>
  <c r="X941" i="1"/>
  <c r="X940" i="1"/>
  <c r="X939" i="1"/>
  <c r="X938" i="1"/>
  <c r="X937" i="1"/>
  <c r="X936" i="1"/>
  <c r="X935" i="1"/>
  <c r="X934" i="1"/>
  <c r="X933" i="1"/>
  <c r="X932" i="1"/>
  <c r="X931" i="1"/>
  <c r="X930" i="1"/>
  <c r="X929" i="1"/>
  <c r="X928" i="1"/>
  <c r="X927" i="1"/>
  <c r="X926" i="1"/>
  <c r="X925" i="1"/>
  <c r="X924" i="1"/>
  <c r="X923" i="1"/>
  <c r="X922" i="1"/>
  <c r="X921" i="1"/>
  <c r="X920" i="1"/>
  <c r="X919" i="1"/>
  <c r="X918" i="1"/>
  <c r="X917" i="1"/>
  <c r="X916" i="1"/>
  <c r="X915" i="1"/>
  <c r="X914" i="1"/>
  <c r="X913" i="1"/>
  <c r="X912" i="1"/>
  <c r="X911" i="1"/>
  <c r="X910" i="1"/>
  <c r="X909" i="1"/>
  <c r="X908" i="1"/>
  <c r="X907" i="1"/>
  <c r="X906" i="1"/>
  <c r="X905" i="1"/>
  <c r="X904" i="1"/>
  <c r="X903" i="1"/>
  <c r="X902" i="1"/>
  <c r="X901" i="1"/>
  <c r="X900" i="1"/>
  <c r="X899" i="1"/>
  <c r="X898" i="1"/>
  <c r="X897" i="1"/>
  <c r="X896" i="1"/>
  <c r="X895" i="1"/>
  <c r="X894" i="1"/>
  <c r="X893" i="1"/>
  <c r="X892" i="1"/>
  <c r="X891" i="1"/>
  <c r="X890" i="1"/>
  <c r="X889" i="1"/>
  <c r="X888" i="1"/>
  <c r="X887" i="1"/>
  <c r="X886" i="1"/>
  <c r="X885" i="1"/>
  <c r="X884" i="1"/>
  <c r="X883" i="1"/>
  <c r="X882" i="1"/>
  <c r="X881" i="1"/>
  <c r="X880" i="1"/>
  <c r="X879" i="1"/>
  <c r="X878" i="1"/>
  <c r="X877" i="1"/>
  <c r="X876" i="1"/>
  <c r="X875" i="1"/>
  <c r="X874" i="1"/>
  <c r="X873" i="1"/>
  <c r="X872" i="1"/>
  <c r="X871" i="1"/>
  <c r="X870" i="1"/>
  <c r="X869" i="1"/>
  <c r="X868" i="1"/>
  <c r="X867" i="1"/>
  <c r="X866" i="1"/>
  <c r="X865" i="1"/>
  <c r="X864" i="1"/>
  <c r="X863" i="1"/>
  <c r="X862" i="1"/>
  <c r="X861" i="1"/>
  <c r="X860" i="1"/>
  <c r="X859" i="1"/>
  <c r="X858" i="1"/>
  <c r="X857" i="1"/>
  <c r="X856" i="1"/>
  <c r="X855" i="1"/>
  <c r="X854" i="1"/>
  <c r="X853" i="1"/>
  <c r="X852" i="1"/>
  <c r="X851" i="1"/>
  <c r="X850" i="1"/>
  <c r="X849" i="1"/>
  <c r="X848" i="1"/>
  <c r="X847" i="1"/>
  <c r="X846" i="1"/>
  <c r="X845" i="1"/>
  <c r="X844" i="1"/>
  <c r="X843" i="1"/>
  <c r="X842" i="1"/>
  <c r="X841" i="1"/>
  <c r="X840" i="1"/>
  <c r="X839" i="1"/>
  <c r="X838" i="1"/>
  <c r="X837" i="1"/>
  <c r="X836" i="1"/>
  <c r="X835" i="1"/>
  <c r="X834" i="1"/>
  <c r="X833" i="1"/>
  <c r="X832" i="1"/>
  <c r="X831" i="1"/>
  <c r="X830" i="1"/>
  <c r="X829" i="1"/>
  <c r="X828" i="1"/>
  <c r="X827" i="1"/>
  <c r="X826" i="1"/>
  <c r="X825" i="1"/>
  <c r="X824" i="1"/>
  <c r="X823" i="1"/>
  <c r="X822" i="1"/>
  <c r="X821" i="1"/>
  <c r="X820" i="1"/>
  <c r="X819" i="1"/>
  <c r="X818" i="1"/>
  <c r="X817" i="1"/>
  <c r="X816" i="1"/>
  <c r="X815" i="1"/>
  <c r="X814" i="1"/>
  <c r="X813" i="1"/>
  <c r="X812" i="1"/>
  <c r="X811" i="1"/>
  <c r="X810" i="1"/>
  <c r="X809" i="1"/>
  <c r="X808" i="1"/>
  <c r="X807" i="1"/>
  <c r="X806" i="1"/>
  <c r="X805" i="1"/>
  <c r="X804" i="1"/>
  <c r="X803" i="1"/>
  <c r="X802" i="1"/>
  <c r="X801" i="1"/>
  <c r="X800" i="1"/>
  <c r="X799" i="1"/>
  <c r="X798" i="1"/>
  <c r="X797" i="1"/>
  <c r="X796" i="1"/>
  <c r="X795" i="1"/>
  <c r="X794" i="1"/>
  <c r="X793" i="1"/>
  <c r="X792" i="1"/>
  <c r="X791" i="1"/>
  <c r="X790" i="1"/>
  <c r="X789" i="1"/>
  <c r="X788" i="1"/>
  <c r="X787" i="1"/>
  <c r="X786" i="1"/>
  <c r="X785" i="1"/>
  <c r="X784" i="1"/>
  <c r="X783" i="1"/>
  <c r="X782" i="1"/>
  <c r="X781" i="1"/>
  <c r="X780" i="1"/>
  <c r="X779" i="1"/>
  <c r="X778" i="1"/>
  <c r="X777" i="1"/>
  <c r="X776" i="1"/>
  <c r="X775" i="1"/>
  <c r="X774" i="1"/>
  <c r="X773" i="1"/>
  <c r="X772" i="1"/>
  <c r="X771" i="1"/>
  <c r="X770" i="1"/>
  <c r="X769" i="1"/>
  <c r="X768" i="1"/>
  <c r="X767" i="1"/>
  <c r="X766" i="1"/>
  <c r="X765" i="1"/>
  <c r="X764" i="1"/>
  <c r="X763" i="1"/>
  <c r="X762" i="1"/>
  <c r="X761" i="1"/>
  <c r="X760" i="1"/>
  <c r="X759" i="1"/>
  <c r="X758" i="1"/>
  <c r="X757" i="1"/>
  <c r="X756" i="1"/>
  <c r="X755" i="1"/>
  <c r="X754" i="1"/>
  <c r="X753" i="1"/>
  <c r="X752" i="1"/>
  <c r="X751" i="1"/>
  <c r="X750" i="1"/>
  <c r="X749" i="1"/>
  <c r="X748" i="1"/>
  <c r="X747" i="1"/>
  <c r="X746" i="1"/>
  <c r="X745" i="1"/>
  <c r="X744" i="1"/>
  <c r="X743" i="1"/>
  <c r="X742" i="1"/>
  <c r="X741" i="1"/>
  <c r="X740" i="1"/>
  <c r="X739" i="1"/>
  <c r="X738" i="1"/>
  <c r="X737" i="1"/>
  <c r="X736" i="1"/>
  <c r="X735" i="1"/>
  <c r="X734" i="1"/>
  <c r="X733" i="1"/>
  <c r="X732" i="1"/>
  <c r="X731" i="1"/>
  <c r="X730" i="1"/>
  <c r="X729" i="1"/>
  <c r="X728" i="1"/>
  <c r="X727" i="1"/>
  <c r="X726" i="1"/>
  <c r="X725" i="1"/>
  <c r="X724" i="1"/>
  <c r="X723" i="1"/>
  <c r="X722" i="1"/>
  <c r="X721" i="1"/>
  <c r="X720" i="1"/>
  <c r="X719" i="1"/>
  <c r="X718" i="1"/>
  <c r="X717" i="1"/>
  <c r="X716" i="1"/>
  <c r="X715" i="1"/>
  <c r="X714" i="1"/>
  <c r="X713" i="1"/>
  <c r="X712" i="1"/>
  <c r="X711" i="1"/>
  <c r="X710" i="1"/>
  <c r="X709" i="1"/>
  <c r="X708" i="1"/>
  <c r="X707" i="1"/>
  <c r="X706" i="1"/>
  <c r="X705" i="1"/>
  <c r="X704" i="1"/>
  <c r="X703" i="1"/>
  <c r="X702" i="1"/>
  <c r="X701" i="1"/>
  <c r="X700" i="1"/>
  <c r="X699" i="1"/>
  <c r="X698" i="1"/>
  <c r="X697" i="1"/>
  <c r="X696" i="1"/>
  <c r="X695" i="1"/>
  <c r="X694" i="1"/>
  <c r="X693" i="1"/>
  <c r="X692" i="1"/>
  <c r="X691" i="1"/>
  <c r="X690" i="1"/>
  <c r="X689" i="1"/>
  <c r="X688" i="1"/>
  <c r="X687" i="1"/>
  <c r="X686" i="1"/>
  <c r="X685" i="1"/>
  <c r="X684" i="1"/>
  <c r="X683" i="1"/>
  <c r="X682" i="1"/>
  <c r="X681" i="1"/>
  <c r="X680" i="1"/>
  <c r="X679" i="1"/>
  <c r="X678" i="1"/>
  <c r="X677" i="1"/>
  <c r="X676" i="1"/>
  <c r="X675" i="1"/>
  <c r="X674" i="1"/>
  <c r="X673" i="1"/>
  <c r="X672" i="1"/>
  <c r="X671" i="1"/>
  <c r="X670" i="1"/>
  <c r="X669" i="1"/>
  <c r="X668" i="1"/>
  <c r="X667" i="1"/>
  <c r="X666" i="1"/>
  <c r="X665" i="1"/>
  <c r="X664" i="1"/>
  <c r="X663" i="1"/>
  <c r="X662" i="1"/>
  <c r="X661" i="1"/>
  <c r="X660" i="1"/>
  <c r="X659" i="1"/>
  <c r="X658" i="1"/>
  <c r="X657" i="1"/>
  <c r="X656" i="1"/>
  <c r="X655" i="1"/>
  <c r="X654" i="1"/>
  <c r="X653" i="1"/>
  <c r="X652" i="1"/>
  <c r="X651" i="1"/>
  <c r="X650" i="1"/>
  <c r="X649" i="1"/>
  <c r="X648" i="1"/>
  <c r="X647" i="1"/>
  <c r="X646" i="1"/>
  <c r="X645" i="1"/>
  <c r="X644" i="1"/>
  <c r="X643" i="1"/>
  <c r="X642" i="1"/>
  <c r="X641" i="1"/>
  <c r="X640" i="1"/>
  <c r="X639" i="1"/>
  <c r="X638" i="1"/>
  <c r="X637" i="1"/>
  <c r="X636" i="1"/>
  <c r="X635" i="1"/>
  <c r="X634" i="1"/>
  <c r="X633" i="1"/>
  <c r="X632" i="1"/>
  <c r="X631" i="1"/>
  <c r="X630" i="1"/>
  <c r="X629" i="1"/>
  <c r="X628" i="1"/>
  <c r="X627" i="1"/>
  <c r="X626" i="1"/>
  <c r="X625" i="1"/>
  <c r="X624" i="1"/>
  <c r="X623" i="1"/>
  <c r="X622" i="1"/>
  <c r="X621" i="1"/>
  <c r="X620" i="1"/>
  <c r="X619" i="1"/>
  <c r="X618" i="1"/>
  <c r="X617" i="1"/>
  <c r="X616" i="1"/>
  <c r="X615" i="1"/>
  <c r="X614" i="1"/>
  <c r="X613" i="1"/>
  <c r="X612" i="1"/>
  <c r="X611" i="1"/>
  <c r="X610" i="1"/>
  <c r="X609" i="1"/>
  <c r="X608" i="1"/>
  <c r="X607" i="1"/>
  <c r="X606" i="1"/>
  <c r="X605" i="1"/>
  <c r="X604" i="1"/>
  <c r="X603" i="1"/>
  <c r="X602" i="1"/>
  <c r="X601" i="1"/>
  <c r="X600" i="1"/>
  <c r="X599" i="1"/>
  <c r="X598" i="1"/>
  <c r="X597" i="1"/>
  <c r="X596" i="1"/>
  <c r="X595" i="1"/>
  <c r="X594" i="1"/>
  <c r="X593" i="1"/>
  <c r="X592" i="1"/>
  <c r="X591" i="1"/>
  <c r="X590" i="1"/>
  <c r="X589" i="1"/>
  <c r="X588" i="1"/>
  <c r="X587" i="1"/>
  <c r="X586" i="1"/>
  <c r="X585" i="1"/>
  <c r="X584" i="1"/>
  <c r="X583" i="1"/>
  <c r="X582" i="1"/>
  <c r="X581" i="1"/>
  <c r="X580" i="1"/>
  <c r="X579" i="1"/>
  <c r="X578" i="1"/>
  <c r="X577" i="1"/>
  <c r="X576" i="1"/>
  <c r="X575" i="1"/>
  <c r="X574" i="1"/>
  <c r="X573" i="1"/>
  <c r="X572" i="1"/>
  <c r="X571" i="1"/>
  <c r="X570" i="1"/>
  <c r="X569" i="1"/>
  <c r="X568" i="1"/>
  <c r="X567" i="1"/>
  <c r="X566" i="1"/>
  <c r="X565" i="1"/>
  <c r="X564" i="1"/>
  <c r="X563" i="1"/>
  <c r="X562" i="1"/>
  <c r="X561" i="1"/>
  <c r="X560" i="1"/>
  <c r="X559" i="1"/>
  <c r="X558" i="1"/>
  <c r="X557" i="1"/>
  <c r="X556" i="1"/>
  <c r="X555" i="1"/>
  <c r="X554" i="1"/>
  <c r="X553" i="1"/>
  <c r="X552" i="1"/>
  <c r="X551" i="1"/>
  <c r="X550" i="1"/>
  <c r="X549" i="1"/>
  <c r="X548" i="1"/>
  <c r="X547" i="1"/>
  <c r="X546" i="1"/>
  <c r="X545" i="1"/>
  <c r="X544" i="1"/>
  <c r="X543" i="1"/>
  <c r="X542" i="1"/>
  <c r="X541" i="1"/>
  <c r="X540" i="1"/>
  <c r="X539" i="1"/>
  <c r="X538" i="1"/>
  <c r="X537" i="1"/>
  <c r="X536" i="1"/>
  <c r="X535" i="1"/>
  <c r="X534" i="1"/>
  <c r="X533" i="1"/>
  <c r="X532" i="1"/>
  <c r="X531" i="1"/>
  <c r="X530" i="1"/>
  <c r="X529" i="1"/>
  <c r="X528" i="1"/>
  <c r="X527" i="1"/>
  <c r="X526" i="1"/>
  <c r="X525" i="1"/>
  <c r="X524" i="1"/>
  <c r="X523" i="1"/>
  <c r="X522" i="1"/>
  <c r="X521" i="1"/>
  <c r="X520" i="1"/>
  <c r="X519" i="1"/>
  <c r="X518" i="1"/>
  <c r="X517" i="1"/>
  <c r="X516" i="1"/>
  <c r="X515" i="1"/>
  <c r="X514" i="1"/>
  <c r="X513" i="1"/>
  <c r="X512" i="1"/>
  <c r="X511" i="1"/>
  <c r="X510" i="1"/>
  <c r="X509" i="1"/>
  <c r="X508" i="1"/>
  <c r="X507" i="1"/>
  <c r="X506" i="1"/>
  <c r="X505" i="1"/>
  <c r="X504" i="1"/>
  <c r="X503" i="1"/>
  <c r="X502" i="1"/>
  <c r="X501" i="1"/>
  <c r="X500" i="1"/>
  <c r="X499" i="1"/>
  <c r="X498" i="1"/>
  <c r="X497" i="1"/>
  <c r="X496" i="1"/>
  <c r="X495" i="1"/>
  <c r="X494" i="1"/>
  <c r="X493" i="1"/>
  <c r="X492" i="1"/>
  <c r="X491" i="1"/>
  <c r="X490" i="1"/>
  <c r="X489" i="1"/>
  <c r="X488" i="1"/>
  <c r="X487" i="1"/>
  <c r="X486" i="1"/>
  <c r="X485" i="1"/>
  <c r="X484" i="1"/>
  <c r="X483" i="1"/>
  <c r="X482" i="1"/>
  <c r="X481" i="1"/>
  <c r="X480" i="1"/>
  <c r="X479" i="1"/>
  <c r="X478" i="1"/>
  <c r="X477" i="1"/>
  <c r="X476" i="1"/>
  <c r="X475" i="1"/>
  <c r="X474" i="1"/>
  <c r="X473" i="1"/>
  <c r="X472" i="1"/>
  <c r="X471" i="1"/>
  <c r="X470" i="1"/>
  <c r="X469" i="1"/>
  <c r="X468" i="1"/>
  <c r="X467" i="1"/>
  <c r="X466" i="1"/>
  <c r="X465" i="1"/>
  <c r="X464" i="1"/>
  <c r="X463" i="1"/>
  <c r="X462" i="1"/>
  <c r="X461" i="1"/>
  <c r="X460" i="1"/>
  <c r="X459" i="1"/>
  <c r="X458" i="1"/>
  <c r="X457" i="1"/>
  <c r="X456" i="1"/>
  <c r="X455" i="1"/>
  <c r="X454" i="1"/>
  <c r="X453" i="1"/>
  <c r="X452" i="1"/>
  <c r="X451" i="1"/>
  <c r="X450" i="1"/>
  <c r="X449" i="1"/>
  <c r="X448" i="1"/>
  <c r="X447" i="1"/>
  <c r="X446" i="1"/>
  <c r="X445" i="1"/>
  <c r="X444" i="1"/>
  <c r="X443" i="1"/>
  <c r="X442" i="1"/>
  <c r="X441" i="1"/>
  <c r="X440" i="1"/>
  <c r="X439" i="1"/>
  <c r="X438" i="1"/>
  <c r="X437" i="1"/>
  <c r="X436" i="1"/>
  <c r="X435" i="1"/>
  <c r="X434" i="1"/>
  <c r="X433" i="1"/>
  <c r="X432" i="1"/>
  <c r="X431" i="1"/>
  <c r="X430" i="1"/>
  <c r="X429" i="1"/>
  <c r="X428" i="1"/>
  <c r="X427" i="1"/>
  <c r="X426" i="1"/>
  <c r="X425" i="1"/>
  <c r="X424" i="1"/>
  <c r="X423" i="1"/>
  <c r="X422" i="1"/>
  <c r="X421" i="1"/>
  <c r="X420" i="1"/>
  <c r="X419" i="1"/>
  <c r="X418" i="1"/>
  <c r="X417" i="1"/>
  <c r="X416" i="1"/>
  <c r="X415" i="1"/>
  <c r="X414" i="1"/>
  <c r="X413" i="1"/>
  <c r="X412" i="1"/>
  <c r="X411" i="1"/>
  <c r="X410" i="1"/>
  <c r="X409" i="1"/>
  <c r="X408" i="1"/>
  <c r="X407" i="1"/>
  <c r="X406" i="1"/>
  <c r="X405" i="1"/>
  <c r="X404" i="1"/>
  <c r="X403" i="1"/>
  <c r="X402" i="1"/>
  <c r="X401" i="1"/>
  <c r="X400" i="1"/>
  <c r="X399" i="1"/>
  <c r="X398" i="1"/>
  <c r="X397" i="1"/>
  <c r="X396" i="1"/>
  <c r="X395" i="1"/>
  <c r="X394" i="1"/>
  <c r="X393" i="1"/>
  <c r="X392" i="1"/>
  <c r="X391" i="1"/>
  <c r="X390" i="1"/>
  <c r="X389" i="1"/>
  <c r="X388" i="1"/>
  <c r="X387" i="1"/>
  <c r="X386" i="1"/>
  <c r="X385" i="1"/>
  <c r="X384" i="1"/>
  <c r="X383" i="1"/>
  <c r="X382" i="1"/>
  <c r="X381" i="1"/>
  <c r="X380" i="1"/>
  <c r="X379" i="1"/>
  <c r="X378" i="1"/>
  <c r="X377" i="1"/>
  <c r="X376" i="1"/>
  <c r="X375" i="1"/>
  <c r="X374" i="1"/>
  <c r="X373" i="1"/>
  <c r="X372" i="1"/>
  <c r="X371" i="1"/>
  <c r="X370" i="1"/>
  <c r="X369" i="1"/>
  <c r="X368" i="1"/>
  <c r="X367" i="1"/>
  <c r="X366" i="1"/>
  <c r="X365" i="1"/>
  <c r="X364" i="1"/>
  <c r="X363" i="1"/>
  <c r="X362" i="1"/>
  <c r="X361" i="1"/>
  <c r="X360" i="1"/>
  <c r="X359" i="1"/>
  <c r="X358" i="1"/>
  <c r="X357" i="1"/>
  <c r="X356" i="1"/>
  <c r="X355" i="1"/>
  <c r="X354" i="1"/>
  <c r="X353" i="1"/>
  <c r="X352" i="1"/>
  <c r="X351" i="1"/>
  <c r="X350" i="1"/>
  <c r="X349" i="1"/>
  <c r="X348" i="1"/>
  <c r="X347" i="1"/>
  <c r="X346" i="1"/>
  <c r="X345" i="1"/>
  <c r="X344" i="1"/>
  <c r="X343" i="1"/>
  <c r="X342" i="1"/>
  <c r="X341" i="1"/>
  <c r="X340" i="1"/>
  <c r="X339" i="1"/>
  <c r="X338" i="1"/>
  <c r="X337" i="1"/>
  <c r="X336" i="1"/>
  <c r="X335" i="1"/>
  <c r="X334" i="1"/>
  <c r="X333" i="1"/>
  <c r="X332" i="1"/>
  <c r="X331" i="1"/>
  <c r="X330" i="1"/>
  <c r="X329" i="1"/>
  <c r="X328" i="1"/>
  <c r="X327" i="1"/>
  <c r="X326" i="1"/>
  <c r="X325" i="1"/>
  <c r="X324" i="1"/>
  <c r="X323" i="1"/>
  <c r="X322" i="1"/>
  <c r="X321" i="1"/>
  <c r="X320" i="1"/>
  <c r="X319" i="1"/>
  <c r="X318" i="1"/>
  <c r="X317" i="1"/>
  <c r="X316" i="1"/>
  <c r="X315" i="1"/>
  <c r="X314" i="1"/>
  <c r="X313" i="1"/>
  <c r="X312" i="1"/>
  <c r="X311" i="1"/>
  <c r="X310" i="1"/>
  <c r="X309" i="1"/>
  <c r="X308" i="1"/>
  <c r="X307" i="1"/>
  <c r="X306" i="1"/>
  <c r="X305" i="1"/>
  <c r="X304" i="1"/>
  <c r="X303" i="1"/>
  <c r="X302" i="1"/>
  <c r="X301" i="1"/>
  <c r="X300" i="1"/>
  <c r="X299" i="1"/>
  <c r="X298" i="1"/>
  <c r="X297" i="1"/>
  <c r="X296" i="1"/>
  <c r="X295" i="1"/>
  <c r="X294" i="1"/>
  <c r="X293" i="1"/>
  <c r="X292" i="1"/>
  <c r="X291" i="1"/>
  <c r="X290" i="1"/>
  <c r="X289" i="1"/>
  <c r="X288" i="1"/>
  <c r="X287" i="1"/>
  <c r="X286" i="1"/>
  <c r="X285" i="1"/>
  <c r="X284" i="1"/>
  <c r="X283" i="1"/>
  <c r="X282" i="1"/>
  <c r="X281" i="1"/>
  <c r="X280" i="1"/>
  <c r="X279" i="1"/>
  <c r="X278" i="1"/>
  <c r="X277" i="1"/>
  <c r="X276" i="1"/>
  <c r="X275" i="1"/>
  <c r="X274" i="1"/>
  <c r="X273" i="1"/>
  <c r="X272" i="1"/>
  <c r="X271" i="1"/>
  <c r="X270" i="1"/>
  <c r="X269" i="1"/>
  <c r="X268" i="1"/>
  <c r="X267" i="1"/>
  <c r="X266" i="1"/>
  <c r="X265" i="1"/>
  <c r="X264" i="1"/>
  <c r="X263" i="1"/>
  <c r="X262" i="1"/>
  <c r="X261" i="1"/>
  <c r="X260" i="1"/>
  <c r="X259" i="1"/>
  <c r="X258" i="1"/>
  <c r="X257" i="1"/>
  <c r="X256" i="1"/>
  <c r="X255" i="1"/>
  <c r="X254" i="1"/>
  <c r="X253" i="1"/>
  <c r="X252" i="1"/>
  <c r="X251" i="1"/>
  <c r="X250" i="1"/>
  <c r="X249" i="1"/>
  <c r="X248" i="1"/>
  <c r="X247" i="1"/>
  <c r="X246" i="1"/>
  <c r="X245" i="1"/>
  <c r="X244" i="1"/>
  <c r="X243" i="1"/>
  <c r="X242" i="1"/>
  <c r="X241" i="1"/>
  <c r="X240" i="1"/>
  <c r="X239" i="1"/>
  <c r="X238" i="1"/>
  <c r="X237" i="1"/>
  <c r="X236" i="1"/>
  <c r="X235" i="1"/>
  <c r="X234" i="1"/>
  <c r="X233" i="1"/>
  <c r="X232" i="1"/>
  <c r="X231" i="1"/>
  <c r="X230" i="1"/>
  <c r="X229" i="1"/>
  <c r="X228" i="1"/>
  <c r="X227" i="1"/>
  <c r="X226" i="1"/>
  <c r="X225" i="1"/>
  <c r="X224" i="1"/>
  <c r="X223" i="1"/>
  <c r="X222" i="1"/>
  <c r="X221" i="1"/>
  <c r="X220" i="1"/>
  <c r="X219" i="1"/>
  <c r="X218" i="1"/>
  <c r="X217" i="1"/>
  <c r="X216" i="1"/>
  <c r="X215" i="1"/>
  <c r="X214" i="1"/>
  <c r="X213" i="1"/>
  <c r="X212" i="1"/>
  <c r="X211" i="1"/>
  <c r="X210" i="1"/>
  <c r="X209" i="1"/>
  <c r="X208" i="1"/>
  <c r="X207" i="1"/>
  <c r="X206" i="1"/>
  <c r="X205" i="1"/>
  <c r="X204" i="1"/>
  <c r="X203" i="1"/>
  <c r="X202" i="1"/>
  <c r="X201" i="1"/>
  <c r="X200" i="1"/>
  <c r="X199" i="1"/>
  <c r="X198" i="1"/>
  <c r="X197" i="1"/>
  <c r="X196" i="1"/>
  <c r="X195" i="1"/>
  <c r="X194" i="1"/>
  <c r="X193" i="1"/>
  <c r="X192" i="1"/>
  <c r="X191" i="1"/>
  <c r="X190" i="1"/>
  <c r="X189" i="1"/>
  <c r="X188" i="1"/>
  <c r="X187" i="1"/>
  <c r="X186" i="1"/>
  <c r="X185" i="1"/>
  <c r="X184" i="1"/>
  <c r="X183" i="1"/>
  <c r="X182" i="1"/>
  <c r="X181" i="1"/>
  <c r="X180" i="1"/>
  <c r="X179" i="1"/>
  <c r="X178" i="1"/>
  <c r="X177" i="1"/>
  <c r="X176" i="1"/>
  <c r="X175" i="1"/>
  <c r="X174" i="1"/>
  <c r="X173" i="1"/>
  <c r="X172" i="1"/>
  <c r="X171" i="1"/>
  <c r="X170" i="1"/>
  <c r="X169" i="1"/>
  <c r="X168" i="1"/>
  <c r="X167" i="1"/>
  <c r="X166" i="1"/>
  <c r="X165" i="1"/>
  <c r="X164" i="1"/>
  <c r="X163" i="1"/>
  <c r="X162" i="1"/>
  <c r="X161" i="1"/>
  <c r="X160" i="1"/>
  <c r="X159" i="1"/>
  <c r="X158" i="1"/>
  <c r="X157" i="1"/>
  <c r="X156" i="1"/>
  <c r="X155" i="1"/>
  <c r="X154" i="1"/>
  <c r="X153" i="1"/>
  <c r="X152" i="1"/>
  <c r="X151" i="1"/>
  <c r="X150" i="1"/>
  <c r="X149" i="1"/>
  <c r="X148" i="1"/>
  <c r="X147" i="1"/>
  <c r="X146" i="1"/>
  <c r="X145" i="1"/>
  <c r="X144" i="1"/>
  <c r="X143" i="1"/>
  <c r="X142" i="1"/>
  <c r="X141" i="1"/>
  <c r="X140" i="1"/>
  <c r="X139" i="1"/>
  <c r="X138" i="1"/>
  <c r="X137" i="1"/>
  <c r="X136" i="1"/>
  <c r="X135" i="1"/>
  <c r="X134" i="1"/>
  <c r="X133" i="1"/>
  <c r="X132" i="1"/>
  <c r="X131" i="1"/>
  <c r="X130" i="1"/>
  <c r="X129" i="1"/>
  <c r="X128" i="1"/>
  <c r="X127" i="1"/>
  <c r="X126" i="1"/>
  <c r="X125" i="1"/>
  <c r="X124" i="1"/>
  <c r="X123" i="1"/>
  <c r="X122" i="1"/>
  <c r="X121" i="1"/>
  <c r="X120" i="1"/>
  <c r="X119" i="1"/>
  <c r="X118" i="1"/>
  <c r="X117" i="1"/>
  <c r="X116" i="1"/>
  <c r="X115" i="1"/>
  <c r="X114" i="1"/>
  <c r="X113" i="1"/>
  <c r="X112" i="1"/>
  <c r="X111" i="1"/>
  <c r="X110" i="1"/>
  <c r="X109" i="1"/>
  <c r="X108" i="1"/>
  <c r="X107" i="1"/>
  <c r="X106" i="1"/>
  <c r="X105" i="1"/>
  <c r="X104" i="1"/>
  <c r="X103" i="1"/>
  <c r="X102" i="1"/>
  <c r="X101" i="1"/>
  <c r="X100" i="1"/>
  <c r="X99" i="1"/>
  <c r="X98" i="1"/>
  <c r="X97" i="1"/>
  <c r="X96" i="1"/>
  <c r="X95" i="1"/>
  <c r="X94" i="1"/>
  <c r="X93" i="1"/>
  <c r="X92" i="1"/>
  <c r="X91" i="1"/>
  <c r="X90" i="1"/>
  <c r="X89" i="1"/>
  <c r="X88" i="1"/>
  <c r="X87" i="1"/>
  <c r="X86" i="1"/>
  <c r="X85" i="1"/>
  <c r="X84" i="1"/>
  <c r="X83" i="1"/>
  <c r="X82" i="1"/>
  <c r="X81" i="1"/>
  <c r="X80" i="1"/>
  <c r="X79" i="1"/>
  <c r="X78" i="1"/>
  <c r="X77" i="1"/>
  <c r="X76" i="1"/>
  <c r="X75" i="1"/>
  <c r="X74" i="1"/>
  <c r="X73" i="1"/>
  <c r="X72" i="1"/>
  <c r="X71" i="1"/>
  <c r="X70" i="1"/>
  <c r="X69" i="1"/>
  <c r="X68" i="1"/>
  <c r="X67" i="1"/>
  <c r="X66" i="1"/>
  <c r="X65" i="1"/>
  <c r="X64" i="1"/>
  <c r="X63" i="1"/>
  <c r="X62" i="1"/>
  <c r="X61" i="1"/>
  <c r="X60" i="1"/>
  <c r="X59" i="1"/>
  <c r="X58" i="1"/>
  <c r="X57" i="1"/>
  <c r="X56" i="1"/>
  <c r="X55" i="1"/>
  <c r="X54" i="1"/>
  <c r="X53" i="1"/>
  <c r="X52" i="1"/>
  <c r="X51" i="1"/>
  <c r="X50" i="1"/>
  <c r="X49" i="1"/>
  <c r="X48" i="1"/>
  <c r="X47" i="1"/>
  <c r="X46" i="1"/>
  <c r="X45" i="1"/>
  <c r="X44" i="1"/>
  <c r="X43" i="1"/>
  <c r="X42" i="1"/>
  <c r="X41" i="1"/>
  <c r="X40" i="1"/>
  <c r="X39" i="1"/>
  <c r="X38" i="1"/>
  <c r="X37" i="1"/>
  <c r="X36" i="1"/>
  <c r="X35" i="1"/>
  <c r="X34" i="1"/>
  <c r="X33" i="1"/>
  <c r="X32" i="1"/>
  <c r="X31" i="1"/>
  <c r="X30" i="1"/>
  <c r="X29" i="1"/>
  <c r="X28" i="1"/>
  <c r="X27" i="1"/>
  <c r="X26" i="1"/>
  <c r="X25" i="1"/>
  <c r="X24" i="1"/>
  <c r="X23" i="1"/>
  <c r="X22" i="1"/>
  <c r="X21" i="1"/>
  <c r="X20" i="1"/>
  <c r="X19" i="1"/>
  <c r="X18" i="1"/>
  <c r="X17" i="1"/>
  <c r="X16" i="1"/>
  <c r="X15" i="1"/>
  <c r="X14" i="1"/>
  <c r="X13" i="1"/>
  <c r="X12" i="1"/>
  <c r="X11" i="1"/>
  <c r="X10" i="1"/>
  <c r="X9" i="1"/>
  <c r="X8" i="1"/>
  <c r="X7" i="1"/>
  <c r="X6" i="1"/>
  <c r="X5" i="1"/>
  <c r="X4" i="1"/>
  <c r="X3" i="1"/>
  <c r="A1" i="1"/>
  <c r="W400" i="1"/>
  <c r="W868" i="1"/>
  <c r="W1096" i="1"/>
  <c r="W351" i="1"/>
  <c r="W1043" i="1"/>
  <c r="W938" i="1"/>
  <c r="W11" i="1"/>
  <c r="W646" i="1"/>
  <c r="W593" i="1"/>
  <c r="W145" i="1"/>
  <c r="W529" i="1"/>
  <c r="W801" i="1"/>
  <c r="W1018" i="1"/>
  <c r="W807" i="1"/>
  <c r="W949" i="1"/>
  <c r="W349" i="1"/>
  <c r="W945" i="1"/>
  <c r="W651" i="1"/>
  <c r="W1206" i="1"/>
  <c r="W686" i="1"/>
  <c r="W263" i="1"/>
  <c r="W716" i="1"/>
  <c r="W1082" i="1"/>
  <c r="W91" i="1"/>
  <c r="W954" i="1"/>
  <c r="W16" i="1"/>
  <c r="W729" i="1"/>
  <c r="W826" i="1"/>
  <c r="W564" i="1"/>
  <c r="W456" i="1"/>
  <c r="W855" i="1"/>
  <c r="W576" i="1"/>
  <c r="W1045" i="1"/>
  <c r="W899" i="1"/>
  <c r="W1094" i="1"/>
  <c r="W680" i="1"/>
  <c r="W1214" i="1"/>
  <c r="W792" i="1"/>
  <c r="W1158" i="1"/>
  <c r="W1267" i="1"/>
  <c r="W1209" i="1"/>
  <c r="W317" i="1"/>
  <c r="W1014" i="1"/>
  <c r="W200" i="1"/>
  <c r="W536" i="1"/>
  <c r="W874" i="1"/>
  <c r="W718" i="1"/>
  <c r="W525" i="1"/>
  <c r="W44" i="1"/>
  <c r="W534" i="1"/>
  <c r="W12" i="1"/>
  <c r="W986" i="1"/>
  <c r="W61" i="1"/>
  <c r="W286" i="1"/>
  <c r="W606" i="1"/>
  <c r="W763" i="1"/>
  <c r="W1176" i="1"/>
  <c r="W37" i="1"/>
  <c r="W1260" i="1"/>
  <c r="W52" i="1"/>
  <c r="W359" i="1"/>
  <c r="W401" i="1"/>
  <c r="W511" i="1"/>
  <c r="W969" i="1"/>
  <c r="W892" i="1"/>
  <c r="W415" i="1"/>
  <c r="W253" i="1"/>
  <c r="W627" i="1"/>
  <c r="W326" i="1"/>
  <c r="W136" i="1"/>
  <c r="W980" i="1"/>
  <c r="W166" i="1"/>
  <c r="W493" i="1"/>
  <c r="W475" i="1"/>
  <c r="W1066" i="1"/>
  <c r="W1015" i="1"/>
  <c r="W291" i="1"/>
  <c r="W83" i="1"/>
  <c r="W1265" i="1"/>
  <c r="W117" i="1"/>
  <c r="W777" i="1"/>
  <c r="W1145" i="1"/>
  <c r="W129" i="1"/>
  <c r="W519" i="1"/>
  <c r="W114" i="1"/>
  <c r="W268" i="1"/>
  <c r="W764" i="1"/>
  <c r="W1038" i="1"/>
  <c r="W15" i="1"/>
  <c r="W192" i="1"/>
  <c r="W1181" i="1"/>
  <c r="W403" i="1"/>
  <c r="W280" i="1"/>
  <c r="W375" i="1"/>
  <c r="W611" i="1"/>
  <c r="W926" i="1"/>
  <c r="W392" i="1"/>
  <c r="W753" i="1"/>
  <c r="W1024" i="1"/>
  <c r="W336" i="1"/>
  <c r="W789" i="1"/>
  <c r="W823" i="1"/>
  <c r="W271" i="1"/>
  <c r="W425" i="1"/>
  <c r="W240" i="1"/>
  <c r="W471" i="1"/>
  <c r="W418" i="1"/>
  <c r="W148" i="1"/>
  <c r="W903" i="1"/>
  <c r="W156" i="1"/>
  <c r="W877" i="1"/>
  <c r="W333" i="1"/>
  <c r="W36" i="1"/>
  <c r="W822" i="1"/>
  <c r="W1193" i="1"/>
  <c r="W610" i="1"/>
  <c r="W264" i="1"/>
  <c r="W896" i="1"/>
  <c r="W860" i="1"/>
  <c r="W1016" i="1"/>
  <c r="W435" i="1"/>
  <c r="W372" i="1"/>
  <c r="W87" i="1"/>
  <c r="W870" i="1"/>
  <c r="W866" i="1"/>
  <c r="W1048" i="1"/>
  <c r="W507" i="1"/>
  <c r="W1236" i="1"/>
  <c r="W662" i="1"/>
  <c r="W850" i="1"/>
  <c r="W935" i="1"/>
  <c r="W420" i="1"/>
  <c r="W665" i="1"/>
  <c r="W1030" i="1"/>
  <c r="W649" i="1"/>
  <c r="W1140" i="1"/>
  <c r="W133" i="1"/>
  <c r="W1075" i="1"/>
  <c r="W590" i="1"/>
  <c r="W177" i="1"/>
  <c r="W878" i="1"/>
  <c r="W219" i="1"/>
  <c r="W218" i="1"/>
  <c r="W1175" i="1"/>
  <c r="W919" i="1"/>
  <c r="W647" i="1"/>
  <c r="W997" i="1"/>
  <c r="W205" i="1"/>
  <c r="W913" i="1"/>
  <c r="W687" i="1"/>
  <c r="W63" i="1"/>
  <c r="W51" i="1"/>
  <c r="W417" i="1"/>
  <c r="W555" i="1"/>
  <c r="W1141" i="1"/>
  <c r="W1010" i="1"/>
  <c r="W971" i="1"/>
  <c r="W1255" i="1"/>
  <c r="W1106" i="1"/>
  <c r="W689" i="1"/>
  <c r="W423" i="1"/>
  <c r="W947" i="1"/>
  <c r="W18" i="1"/>
  <c r="W1128" i="1"/>
  <c r="W162" i="1"/>
  <c r="W215" i="1"/>
  <c r="W1268" i="1"/>
  <c r="W97" i="1"/>
  <c r="W360" i="1"/>
  <c r="W542" i="1"/>
  <c r="W846" i="1"/>
  <c r="W746" i="1"/>
  <c r="W65" i="1"/>
  <c r="W1173" i="1"/>
  <c r="W760" i="1"/>
  <c r="W213" i="1"/>
  <c r="W233" i="1"/>
  <c r="W290" i="1"/>
  <c r="W515" i="1"/>
  <c r="W581" i="1"/>
  <c r="W1189" i="1"/>
  <c r="W884" i="1"/>
  <c r="W762" i="1"/>
  <c r="W902" i="1"/>
  <c r="W395" i="1"/>
  <c r="W561" i="1"/>
  <c r="W815" i="1"/>
  <c r="W161" i="1"/>
  <c r="W266" i="1"/>
  <c r="W558" i="1"/>
  <c r="W882" i="1"/>
  <c r="W490" i="1"/>
  <c r="W550" i="1"/>
  <c r="W1219" i="1"/>
  <c r="W1090" i="1"/>
  <c r="W1088" i="1"/>
  <c r="W897" i="1"/>
  <c r="W861" i="1"/>
  <c r="W89" i="1"/>
  <c r="W568" i="1"/>
  <c r="W443" i="1"/>
  <c r="W889" i="1"/>
  <c r="W886" i="1"/>
  <c r="W960" i="1"/>
  <c r="W727" i="1"/>
  <c r="W440" i="1"/>
  <c r="W601" i="1"/>
  <c r="W501" i="1"/>
  <c r="W783" i="1"/>
  <c r="W1057" i="1"/>
  <c r="W221" i="1"/>
  <c r="W320" i="1"/>
  <c r="W363" i="1"/>
  <c r="W813" i="1"/>
  <c r="W197" i="1"/>
  <c r="W839" i="1"/>
  <c r="W20" i="1"/>
  <c r="W441" i="1"/>
  <c r="W1017" i="1"/>
  <c r="W759" i="1"/>
  <c r="W1050" i="1"/>
  <c r="W1188" i="1"/>
  <c r="W656" i="1"/>
  <c r="W774" i="1"/>
  <c r="W427" i="1"/>
  <c r="W262" i="1"/>
  <c r="W784" i="1"/>
  <c r="W836" i="1"/>
  <c r="W1261" i="1"/>
  <c r="W1184" i="1"/>
  <c r="W965" i="1"/>
  <c r="W236" i="1"/>
  <c r="W941" i="1"/>
  <c r="W449" i="1"/>
  <c r="W131" i="1"/>
  <c r="W1019" i="1"/>
  <c r="W1112" i="1"/>
  <c r="W881" i="1"/>
  <c r="W274" i="1"/>
  <c r="W709" i="1"/>
  <c r="W244" i="1"/>
  <c r="W928" i="1"/>
  <c r="W223" i="1"/>
  <c r="W810" i="1"/>
  <c r="W629" i="1"/>
  <c r="W188" i="1"/>
  <c r="W794" i="1"/>
  <c r="W298" i="1"/>
  <c r="W485" i="1"/>
  <c r="W1004" i="1"/>
  <c r="W508" i="1"/>
  <c r="W481" i="1"/>
  <c r="W733" i="1"/>
  <c r="W773" i="1"/>
  <c r="W1049" i="1"/>
  <c r="W210" i="1"/>
  <c r="W586" i="1"/>
  <c r="W48" i="1"/>
  <c r="W234" i="1"/>
  <c r="W1208" i="1"/>
  <c r="W492" i="1"/>
  <c r="W1100" i="1"/>
  <c r="W446" i="1"/>
  <c r="W256" i="1"/>
  <c r="W482" i="1"/>
  <c r="W637" i="1"/>
  <c r="W931" i="1"/>
  <c r="W109" i="1"/>
  <c r="W728" i="1"/>
  <c r="W394" i="1"/>
  <c r="W1085" i="1"/>
  <c r="W473" i="1"/>
  <c r="W812" i="1"/>
  <c r="W1059" i="1"/>
  <c r="W380" i="1"/>
  <c r="W1111" i="1"/>
  <c r="W664" i="1"/>
  <c r="W321" i="1"/>
  <c r="W251" i="1"/>
  <c r="W921" i="1"/>
  <c r="W942" i="1"/>
  <c r="W184" i="1"/>
  <c r="W180" i="1"/>
  <c r="C16" i="39"/>
  <c r="W1037" i="1"/>
  <c r="W436" i="1"/>
  <c r="W35" i="1"/>
  <c r="W1218" i="1"/>
  <c r="W1169" i="1"/>
  <c r="W905" i="1"/>
  <c r="W1262" i="1"/>
  <c r="W100" i="1"/>
  <c r="W325" i="1"/>
  <c r="W563" i="1"/>
  <c r="W67" i="1"/>
  <c r="W432" i="1"/>
  <c r="W319" i="1"/>
  <c r="W820" i="1"/>
  <c r="W135" i="1"/>
  <c r="W697" i="1"/>
  <c r="W671" i="1"/>
  <c r="W81" i="1"/>
  <c r="W116" i="1"/>
  <c r="W741" i="1"/>
  <c r="W345" i="1"/>
  <c r="W1198" i="1"/>
  <c r="W42" i="1"/>
  <c r="W1170" i="1"/>
  <c r="W704" i="1"/>
  <c r="W909" i="1"/>
  <c r="W779" i="1"/>
  <c r="W523" i="1"/>
  <c r="W652" i="1"/>
  <c r="W658" i="1"/>
  <c r="W7" i="1"/>
  <c r="W1126" i="1"/>
  <c r="W560" i="1"/>
  <c r="W1007" i="1"/>
  <c r="W364" i="1"/>
  <c r="W715" i="1"/>
  <c r="W54" i="1"/>
  <c r="W1046" i="1"/>
  <c r="W1224" i="1"/>
  <c r="W574" i="1"/>
  <c r="W696" i="1"/>
  <c r="W714" i="1"/>
  <c r="W804" i="1"/>
  <c r="W871" i="1"/>
  <c r="W488" i="1"/>
  <c r="W340" i="1"/>
  <c r="W974" i="1"/>
  <c r="W1191" i="1"/>
  <c r="W1078" i="1"/>
  <c r="W681" i="1"/>
  <c r="W731" i="1"/>
  <c r="W204" i="1"/>
  <c r="W588" i="1"/>
  <c r="W898" i="1"/>
  <c r="W847" i="1"/>
  <c r="W660" i="1"/>
  <c r="W211" i="1"/>
  <c r="W754" i="1"/>
  <c r="W825" i="1"/>
  <c r="W299" i="1"/>
  <c r="W676" i="1"/>
  <c r="W599" i="1"/>
  <c r="W553" i="1"/>
  <c r="W505" i="1"/>
  <c r="W199" i="1"/>
  <c r="W1052" i="1"/>
  <c r="W474" i="1"/>
  <c r="W573" i="1"/>
  <c r="W330" i="1"/>
  <c r="W130" i="1"/>
  <c r="W72" i="1"/>
  <c r="W442" i="1"/>
  <c r="W257" i="1"/>
  <c r="W1263" i="1"/>
  <c r="W64" i="1"/>
  <c r="W666" i="1"/>
  <c r="W282" i="1"/>
  <c r="W793" i="1"/>
  <c r="W229" i="1"/>
  <c r="W94" i="1"/>
  <c r="W583" i="1"/>
  <c r="W888" i="1"/>
  <c r="W368" i="1"/>
  <c r="W1009" i="1"/>
  <c r="W269" i="1"/>
  <c r="W722" i="1"/>
  <c r="W273" i="1"/>
  <c r="W738" i="1"/>
  <c r="W1152" i="1"/>
  <c r="W549" i="1"/>
  <c r="W390" i="1"/>
  <c r="W207" i="1"/>
  <c r="W1157" i="1"/>
  <c r="W95" i="1"/>
  <c r="W735" i="1"/>
  <c r="W684" i="1"/>
  <c r="W50" i="1"/>
  <c r="W183" i="1"/>
  <c r="W720" i="1"/>
  <c r="W127" i="1"/>
  <c r="W108" i="1"/>
  <c r="W1172" i="1"/>
  <c r="W643" i="1"/>
  <c r="W988" i="1"/>
  <c r="W448" i="1"/>
  <c r="W692" i="1"/>
  <c r="W797" i="1"/>
  <c r="W623" i="1"/>
  <c r="W1068" i="1"/>
  <c r="W455" i="1"/>
  <c r="W212" i="1"/>
  <c r="W650" i="1"/>
  <c r="W384" i="1"/>
  <c r="W502" i="1"/>
  <c r="W1095" i="1"/>
  <c r="W214" i="1"/>
  <c r="W494" i="1"/>
  <c r="W973" i="1"/>
  <c r="W1234" i="1"/>
  <c r="W168" i="1"/>
  <c r="W693" i="1"/>
  <c r="W831" i="1"/>
  <c r="W993" i="1"/>
  <c r="W602" i="1"/>
  <c r="W695" i="1"/>
  <c r="W1249" i="1"/>
  <c r="W242" i="1"/>
  <c r="W123" i="1"/>
  <c r="W657" i="1"/>
  <c r="W1076" i="1"/>
  <c r="W1086" i="1"/>
  <c r="W592" i="1"/>
  <c r="W224" i="1"/>
  <c r="W230" i="1"/>
  <c r="W670" i="1"/>
  <c r="W487" i="1"/>
  <c r="W267" i="1"/>
  <c r="W621" i="1"/>
  <c r="W638" i="1"/>
  <c r="W1242" i="1"/>
  <c r="W946" i="1"/>
  <c r="W859" i="1"/>
  <c r="W134" i="1"/>
  <c r="W439" i="1"/>
  <c r="W5" i="1"/>
  <c r="W288" i="1"/>
  <c r="W901" i="1"/>
  <c r="W26" i="1"/>
  <c r="W1221" i="1"/>
  <c r="W989" i="1"/>
  <c r="W58" i="1"/>
  <c r="W677" i="1"/>
  <c r="W142" i="1"/>
  <c r="W466" i="1"/>
  <c r="W1182" i="1"/>
  <c r="W1031" i="1"/>
  <c r="W748" i="1"/>
  <c r="W389" i="1"/>
  <c r="W694" i="1"/>
  <c r="W833" i="1"/>
  <c r="W1120" i="1"/>
  <c r="W22" i="1"/>
  <c r="W275" i="1"/>
  <c r="W1135" i="1"/>
  <c r="W721" i="1"/>
  <c r="W80" i="1"/>
  <c r="W570" i="1"/>
  <c r="W235" i="1"/>
  <c r="W701" i="1"/>
  <c r="W992" i="1"/>
  <c r="W103" i="1"/>
  <c r="W943" i="1"/>
  <c r="W580" i="1"/>
  <c r="W1053" i="1"/>
  <c r="W463" i="1"/>
  <c r="W1237" i="1"/>
  <c r="W854" i="1"/>
  <c r="W641" i="1"/>
  <c r="W70" i="1"/>
  <c r="W790" i="1"/>
  <c r="W337" i="1"/>
  <c r="W933" i="1"/>
  <c r="W59" i="1"/>
  <c r="W314" i="1"/>
  <c r="W24" i="1"/>
  <c r="W1256" i="1"/>
  <c r="W1165" i="1"/>
  <c r="W1197" i="1"/>
  <c r="W1192" i="1"/>
  <c r="W1101" i="1"/>
  <c r="W1248" i="1"/>
  <c r="W151" i="1"/>
  <c r="W322" i="1"/>
  <c r="W1258" i="1"/>
  <c r="W1195" i="1"/>
  <c r="W883" i="1"/>
  <c r="W758" i="1"/>
  <c r="W90" i="1"/>
  <c r="W429" i="1"/>
  <c r="W1012" i="1"/>
  <c r="W562" i="1"/>
  <c r="W318" i="1"/>
  <c r="W778" i="1"/>
  <c r="W509" i="1"/>
  <c r="W736" i="1"/>
  <c r="W216" i="1"/>
  <c r="W139" i="1"/>
  <c r="W976" i="1"/>
  <c r="W808" i="1"/>
  <c r="W756" i="1"/>
  <c r="W626" i="1"/>
  <c r="W723" i="1"/>
  <c r="W785" i="1"/>
  <c r="W893" i="1"/>
  <c r="W653" i="1"/>
  <c r="W111" i="1"/>
  <c r="W765" i="1"/>
  <c r="W640" i="1"/>
  <c r="W479" i="1"/>
  <c r="W170" i="1"/>
  <c r="W922" i="1"/>
  <c r="W787" i="1"/>
  <c r="W354" i="1"/>
  <c r="W830" i="1"/>
  <c r="W849" i="1"/>
  <c r="W565" i="1"/>
  <c r="W908" i="1"/>
  <c r="W92" i="1"/>
  <c r="W405" i="1"/>
  <c r="W376" i="1"/>
  <c r="W113" i="1"/>
  <c r="W1084" i="1"/>
  <c r="W86" i="1"/>
  <c r="W467" i="1"/>
  <c r="W489" i="1"/>
  <c r="W163" i="1"/>
  <c r="W577" i="1"/>
  <c r="W387" i="1"/>
  <c r="W486" i="1"/>
  <c r="W824" i="1"/>
  <c r="W1168" i="1"/>
  <c r="W510" i="1"/>
  <c r="W178" i="1"/>
  <c r="W1072" i="1"/>
  <c r="W1174" i="1"/>
  <c r="W382" i="1"/>
  <c r="W579" i="1"/>
  <c r="W894" i="1"/>
  <c r="W3" i="1"/>
  <c r="W642" i="1"/>
  <c r="W711" i="1"/>
  <c r="W569" i="1"/>
  <c r="W970" i="1"/>
  <c r="W1028" i="1"/>
  <c r="W953" i="1"/>
  <c r="W1042" i="1"/>
  <c r="W1177" i="1"/>
  <c r="W1202" i="1"/>
  <c r="W79" i="1"/>
  <c r="W927" i="1"/>
  <c r="C15" i="39"/>
  <c r="W712" i="1"/>
  <c r="W278" i="1"/>
  <c r="W381" i="1"/>
  <c r="W1022" i="1"/>
  <c r="W608" i="1"/>
  <c r="W1133" i="1"/>
  <c r="W526" i="1"/>
  <c r="W950" i="1"/>
  <c r="W306" i="1"/>
  <c r="W414" i="1"/>
  <c r="W1039" i="1"/>
  <c r="W1161" i="1"/>
  <c r="W752" i="1"/>
  <c r="W520" i="1"/>
  <c r="W994" i="1"/>
  <c r="W918" i="1"/>
  <c r="W408" i="1"/>
  <c r="W605" i="1"/>
  <c r="W1210" i="1"/>
  <c r="W856" i="1"/>
  <c r="W477" i="1"/>
  <c r="W1127" i="1"/>
  <c r="W33" i="1"/>
  <c r="W775" i="1"/>
  <c r="W93" i="1"/>
  <c r="W227" i="1"/>
  <c r="W535" i="1"/>
  <c r="W1201" i="1"/>
  <c r="W209" i="1"/>
  <c r="W1044" i="1"/>
  <c r="W287" i="1"/>
  <c r="W101" i="1"/>
  <c r="W60" i="1"/>
  <c r="W1077" i="1"/>
  <c r="W203" i="1"/>
  <c r="W55" i="1"/>
  <c r="W323" i="1"/>
  <c r="W749" i="1"/>
  <c r="W934" i="1"/>
  <c r="W1215" i="1"/>
  <c r="W706" i="1"/>
  <c r="W556" i="1"/>
  <c r="W944" i="1"/>
  <c r="W1228" i="1"/>
  <c r="W157" i="1"/>
  <c r="W809" i="1"/>
  <c r="W1060" i="1"/>
  <c r="W939" i="1"/>
  <c r="W978" i="1"/>
  <c r="W757" i="1"/>
  <c r="W518" i="1"/>
  <c r="W724" i="1"/>
  <c r="W254" i="1"/>
  <c r="W596" i="1"/>
  <c r="W891" i="1"/>
  <c r="W398" i="1"/>
  <c r="W49" i="1"/>
  <c r="W780" i="1"/>
  <c r="W365" i="1"/>
  <c r="W513" i="1"/>
  <c r="W675" i="1"/>
  <c r="W202" i="1"/>
  <c r="W1166" i="1"/>
  <c r="W193" i="1"/>
  <c r="W639" i="1"/>
  <c r="W237" i="1"/>
  <c r="W838" i="1"/>
  <c r="W25" i="1"/>
  <c r="W402" i="1"/>
  <c r="W1245" i="1"/>
  <c r="W1093" i="1"/>
  <c r="W843" i="1"/>
  <c r="W732" i="1"/>
  <c r="W428" i="1"/>
  <c r="W228" i="1"/>
  <c r="W355" i="1"/>
  <c r="W279" i="1"/>
  <c r="W852" i="1"/>
  <c r="W672" i="1"/>
  <c r="W904" i="1"/>
  <c r="W719" i="1"/>
  <c r="W334" i="1"/>
  <c r="W799" i="1"/>
  <c r="W1027" i="1"/>
  <c r="W53" i="1"/>
  <c r="W737" i="1"/>
  <c r="W1003" i="1"/>
  <c r="W1226" i="1"/>
  <c r="W85" i="1"/>
  <c r="W46" i="1"/>
  <c r="W766" i="1"/>
  <c r="W172" i="1"/>
  <c r="W1190" i="1"/>
  <c r="W255" i="1"/>
  <c r="W841" i="1"/>
  <c r="W771" i="1"/>
  <c r="W457" i="1"/>
  <c r="W1070" i="1"/>
  <c r="W195" i="1"/>
  <c r="W191" i="1"/>
  <c r="W167" i="1"/>
  <c r="W982" i="1"/>
  <c r="W835" i="1"/>
  <c r="W635" i="1"/>
  <c r="W1207" i="1"/>
  <c r="W827" i="1"/>
  <c r="W1006" i="1"/>
  <c r="W900" i="1"/>
  <c r="W625" i="1"/>
  <c r="W444" i="1"/>
  <c r="W985" i="1"/>
  <c r="W858" i="1"/>
  <c r="W996" i="1"/>
  <c r="W725" i="1"/>
  <c r="W1092" i="1"/>
  <c r="W261" i="1"/>
  <c r="W685" i="1"/>
  <c r="W1047" i="1"/>
  <c r="W528" i="1"/>
  <c r="W936" i="1"/>
  <c r="W1178" i="1"/>
  <c r="W338" i="1"/>
  <c r="W458" i="1"/>
  <c r="W1026" i="1"/>
  <c r="W434" i="1"/>
  <c r="W1069" i="1"/>
  <c r="W912" i="1"/>
  <c r="W68" i="1"/>
  <c r="W331" i="1"/>
  <c r="W911" i="1"/>
  <c r="W751" i="1"/>
  <c r="W837" i="1"/>
  <c r="W840" i="1"/>
  <c r="W245" i="1"/>
  <c r="W1155" i="1"/>
  <c r="W998" i="1"/>
  <c r="W503" i="1"/>
  <c r="W975" i="1"/>
  <c r="W816" i="1"/>
  <c r="W678" i="1"/>
  <c r="W21" i="1"/>
  <c r="W159" i="1"/>
  <c r="W350" i="1"/>
  <c r="W422" i="1"/>
  <c r="W1271" i="1"/>
  <c r="W174" i="1"/>
  <c r="W285" i="1"/>
  <c r="W895" i="1"/>
  <c r="W745" i="1"/>
  <c r="W1129" i="1"/>
  <c r="W1002" i="1"/>
  <c r="W769" i="1"/>
  <c r="W925" i="1"/>
  <c r="W1023" i="1"/>
  <c r="W772" i="1"/>
  <c r="W88" i="1"/>
  <c r="W1164" i="1"/>
  <c r="W983" i="1"/>
  <c r="W1113" i="1"/>
  <c r="W618" i="1"/>
  <c r="W683" i="1"/>
  <c r="W682" i="1"/>
  <c r="W1204" i="1"/>
  <c r="W1063" i="1"/>
  <c r="W958" i="1"/>
  <c r="W124" i="1"/>
  <c r="W343" i="1"/>
  <c r="W371" i="1"/>
  <c r="W952" i="1"/>
  <c r="W1150" i="1"/>
  <c r="W800" i="1"/>
  <c r="W208" i="1"/>
  <c r="W1213" i="1"/>
  <c r="W834" i="1"/>
  <c r="W688" i="1"/>
  <c r="W867" i="1"/>
  <c r="W818" i="1"/>
  <c r="W582" i="1"/>
  <c r="W1186" i="1"/>
  <c r="W8" i="1"/>
  <c r="W45" i="1"/>
  <c r="W750" i="1"/>
  <c r="W1243" i="1"/>
  <c r="W1013" i="1"/>
  <c r="W102" i="1"/>
  <c r="W755" i="1"/>
  <c r="W370" i="1"/>
  <c r="W181" i="1"/>
  <c r="W497" i="1"/>
  <c r="W726" i="1"/>
  <c r="W149" i="1"/>
  <c r="W483" i="1"/>
  <c r="W512" i="1"/>
  <c r="W609" i="1"/>
  <c r="W173" i="1"/>
  <c r="W1239" i="1"/>
  <c r="W307" i="1"/>
  <c r="W853" i="1"/>
  <c r="W990" i="1"/>
  <c r="W1240" i="1"/>
  <c r="W1269" i="1"/>
  <c r="W531" i="1"/>
  <c r="W1244" i="1"/>
  <c r="W1246" i="1"/>
  <c r="W249" i="1"/>
  <c r="W311" i="1"/>
  <c r="W1087" i="1"/>
  <c r="W1142" i="1"/>
  <c r="W522" i="1"/>
  <c r="W1259" i="1"/>
  <c r="W734" i="1"/>
  <c r="W1156" i="1"/>
  <c r="W476" i="1"/>
  <c r="W29" i="1"/>
  <c r="W304" i="1"/>
  <c r="W864" i="1"/>
  <c r="W1035" i="1"/>
  <c r="W541" i="1"/>
  <c r="W1073" i="1"/>
  <c r="W284" i="1"/>
  <c r="W585" i="1"/>
  <c r="W620" i="1"/>
  <c r="W633" i="1"/>
  <c r="W814" i="1"/>
  <c r="W147" i="1"/>
  <c r="W559" i="1"/>
  <c r="W126" i="1"/>
  <c r="W283" i="1"/>
  <c r="W572" i="1"/>
  <c r="W1232" i="1"/>
  <c r="W1185" i="1"/>
  <c r="W514" i="1"/>
  <c r="W1132" i="1"/>
  <c r="W190" i="1"/>
  <c r="W144" i="1"/>
  <c r="W469" i="1"/>
  <c r="W10" i="1"/>
  <c r="W907" i="1"/>
  <c r="W373" i="1"/>
  <c r="W470" i="1"/>
  <c r="W538" i="1"/>
  <c r="W339" i="1"/>
  <c r="W74" i="1"/>
  <c r="W1058" i="1"/>
  <c r="W23" i="1"/>
  <c r="W628" i="1"/>
  <c r="W614" i="1"/>
  <c r="W247" i="1"/>
  <c r="W1147" i="1"/>
  <c r="W848" i="1"/>
  <c r="W1071" i="1"/>
  <c r="W1264" i="1"/>
  <c r="W603" i="1"/>
  <c r="W1138" i="1"/>
  <c r="W961" i="1"/>
  <c r="W171" i="1"/>
  <c r="W293" i="1"/>
  <c r="W122" i="1"/>
  <c r="W1089" i="1"/>
  <c r="W865" i="1"/>
  <c r="W619" i="1"/>
  <c r="W668" i="1"/>
  <c r="W744" i="1"/>
  <c r="W40" i="1"/>
  <c r="W798" i="1"/>
  <c r="W451" i="1"/>
  <c r="W118" i="1"/>
  <c r="W222" i="1"/>
  <c r="W346" i="1"/>
  <c r="W776" i="1"/>
  <c r="W1121" i="1"/>
  <c r="W106" i="1"/>
  <c r="W413" i="1"/>
  <c r="W615" i="1"/>
  <c r="W421" i="1"/>
  <c r="W1116" i="1"/>
  <c r="W876" i="1"/>
  <c r="W66" i="1"/>
  <c r="W869" i="1"/>
  <c r="W1137" i="1"/>
  <c r="W932" i="1"/>
  <c r="W703" i="1"/>
  <c r="W259" i="1"/>
  <c r="W1235" i="1"/>
  <c r="W154" i="1"/>
  <c r="W155" i="1"/>
  <c r="W75" i="1"/>
  <c r="W781" i="1"/>
  <c r="W972" i="1"/>
  <c r="W667" i="1"/>
  <c r="W179" i="1"/>
  <c r="W631" i="1"/>
  <c r="W146" i="1"/>
  <c r="W1238" i="1"/>
  <c r="W1109" i="1"/>
  <c r="W416" i="1"/>
  <c r="W76" i="1"/>
  <c r="W1160" i="1"/>
  <c r="W517" i="1"/>
  <c r="W1074" i="1"/>
  <c r="W1154" i="1"/>
  <c r="W630" i="1"/>
  <c r="W995" i="1"/>
  <c r="W57" i="1"/>
  <c r="W955" i="1"/>
  <c r="W6" i="1"/>
  <c r="W617" i="1"/>
  <c r="W1034" i="1"/>
  <c r="W600" i="1"/>
  <c r="W879" i="1"/>
  <c r="W1205" i="1"/>
  <c r="W169" i="1"/>
  <c r="W1008" i="1"/>
  <c r="W1103" i="1"/>
  <c r="W948" i="1"/>
  <c r="W332" i="1"/>
  <c r="W1083" i="1"/>
  <c r="W707" i="1"/>
  <c r="W1229" i="1"/>
  <c r="W231" i="1"/>
  <c r="W543" i="1"/>
  <c r="W121" i="1"/>
  <c r="W13" i="1"/>
  <c r="W454" i="1"/>
  <c r="W468" i="1"/>
  <c r="W821" i="1"/>
  <c r="W504" i="1"/>
  <c r="W153" i="1"/>
  <c r="W802" i="1"/>
  <c r="W1211" i="1"/>
  <c r="W150" i="1"/>
  <c r="W132" i="1"/>
  <c r="W1217" i="1"/>
  <c r="W674" i="1"/>
  <c r="W1025" i="1"/>
  <c r="W1266" i="1"/>
  <c r="W768" i="1"/>
  <c r="W730" i="1"/>
  <c r="W1153" i="1"/>
  <c r="W9" i="1"/>
  <c r="W47" i="1"/>
  <c r="W1005" i="1"/>
  <c r="W811" i="1"/>
  <c r="W786" i="1"/>
  <c r="W742" i="1"/>
  <c r="W1056" i="1"/>
  <c r="W923" i="1"/>
  <c r="W806" i="1"/>
  <c r="W817" i="1"/>
  <c r="W138" i="1"/>
  <c r="W348" i="1"/>
  <c r="W1105" i="1"/>
  <c r="W461" i="1"/>
  <c r="W491" i="1"/>
  <c r="W977" i="1"/>
  <c r="W243" i="1"/>
  <c r="W38" i="1"/>
  <c r="W645" i="1"/>
  <c r="W691" i="1"/>
  <c r="W1275" i="1"/>
  <c r="W152" i="1"/>
  <c r="W516" i="1"/>
  <c r="W700" i="1"/>
  <c r="W914" i="1"/>
  <c r="W294" i="1"/>
  <c r="W1272" i="1"/>
  <c r="W143" i="1"/>
  <c r="W34" i="1"/>
  <c r="W289" i="1"/>
  <c r="W238" i="1"/>
  <c r="W567" i="1"/>
  <c r="W99" i="1"/>
  <c r="W1148" i="1"/>
  <c r="W460" i="1"/>
  <c r="W1252" i="1"/>
  <c r="W447" i="1"/>
  <c r="W540" i="1"/>
  <c r="W313" i="1"/>
  <c r="W478" i="1"/>
  <c r="W857" i="1"/>
  <c r="W78" i="1"/>
  <c r="W566" i="1"/>
  <c r="W1250" i="1"/>
  <c r="W979" i="1"/>
  <c r="W141" i="1"/>
  <c r="W1064" i="1"/>
  <c r="W32" i="1"/>
  <c r="W557" i="1"/>
  <c r="W1091" i="1"/>
  <c r="W374" i="1"/>
  <c r="W396" i="1"/>
  <c r="W1000" i="1"/>
  <c r="W937" i="1"/>
  <c r="W551" i="1"/>
  <c r="W496" i="1"/>
  <c r="W851" i="1"/>
  <c r="W450" i="1"/>
  <c r="W62" i="1"/>
  <c r="W917" i="1"/>
  <c r="W890" i="1"/>
  <c r="V1" i="1"/>
  <c r="W379" i="1"/>
  <c r="W571" i="1"/>
  <c r="W176" i="1"/>
  <c r="W194" i="1"/>
  <c r="W612" i="1"/>
  <c r="W622" i="1"/>
  <c r="W362" i="1"/>
  <c r="W1041" i="1"/>
  <c r="W1194" i="1"/>
  <c r="W310" i="1"/>
  <c r="W966" i="1"/>
  <c r="W1230" i="1"/>
  <c r="W226" i="1"/>
  <c r="W739" i="1"/>
  <c r="W832" i="1"/>
  <c r="W1257" i="1"/>
  <c r="W327" i="1"/>
  <c r="W465" i="1"/>
  <c r="W56" i="1"/>
  <c r="W484" i="1"/>
  <c r="W1119" i="1"/>
  <c r="W186" i="1"/>
  <c r="W1143" i="1"/>
  <c r="W431" i="1"/>
  <c r="W19" i="1"/>
  <c r="W352" i="1"/>
  <c r="W1200" i="1"/>
  <c r="W915" i="1"/>
  <c r="W480" i="1"/>
  <c r="W28" i="1"/>
  <c r="W713" i="1"/>
  <c r="W248" i="1"/>
  <c r="W795" i="1"/>
  <c r="W1051" i="1"/>
  <c r="W383" i="1"/>
  <c r="W1220" i="1"/>
  <c r="W43" i="1"/>
  <c r="W1233" i="1"/>
  <c r="W584" i="1"/>
  <c r="W220" i="1"/>
  <c r="W426" i="1"/>
  <c r="W189" i="1"/>
  <c r="W673" i="1"/>
  <c r="W845" i="1"/>
  <c r="W1183" i="1"/>
  <c r="W335" i="1"/>
  <c r="W1203" i="1"/>
  <c r="W305" i="1"/>
  <c r="W1225" i="1"/>
  <c r="W1032" i="1"/>
  <c r="W232" i="1"/>
  <c r="W1151" i="1"/>
  <c r="W796" i="1"/>
  <c r="W1196" i="1"/>
  <c r="W344" i="1"/>
  <c r="W842" i="1"/>
  <c r="W829" i="1"/>
  <c r="W388" i="1"/>
  <c r="W433" i="1"/>
  <c r="W873" i="1"/>
  <c r="W1079" i="1"/>
  <c r="W296" i="1"/>
  <c r="W112" i="1"/>
  <c r="W412" i="1"/>
  <c r="W137" i="1"/>
  <c r="W708" i="1"/>
  <c r="W82" i="1"/>
  <c r="W1231" i="1"/>
  <c r="W187" i="1"/>
  <c r="W964" i="1"/>
  <c r="W930" i="1"/>
  <c r="W740" i="1"/>
  <c r="W1212" i="1"/>
  <c r="W1144" i="1"/>
  <c r="W770" i="1"/>
  <c r="W1061" i="1"/>
  <c r="W1054" i="1"/>
  <c r="W1270" i="1"/>
  <c r="W17" i="1"/>
  <c r="W1136" i="1"/>
  <c r="W1146" i="1"/>
  <c r="W679" i="1"/>
  <c r="W69" i="1"/>
  <c r="W655" i="1"/>
  <c r="W182" i="1"/>
  <c r="W241" i="1"/>
  <c r="W636" i="1"/>
  <c r="W828" i="1"/>
  <c r="W991" i="1"/>
  <c r="W803" i="1"/>
  <c r="W690" i="1"/>
  <c r="W984" i="1"/>
  <c r="W1273" i="1"/>
  <c r="W1227" i="1"/>
  <c r="W1124" i="1"/>
  <c r="W342" i="1"/>
  <c r="W597" i="1"/>
  <c r="W357" i="1"/>
  <c r="W981" i="1"/>
  <c r="W260" i="1"/>
  <c r="W788" i="1"/>
  <c r="W1099" i="1"/>
  <c r="W1020" i="1"/>
  <c r="W438" i="1"/>
  <c r="W295" i="1"/>
  <c r="W270" i="1"/>
  <c r="W987" i="1"/>
  <c r="W125" i="1"/>
  <c r="W747" i="1"/>
  <c r="W361" i="1"/>
  <c r="W940" i="1"/>
  <c r="W464" i="1"/>
  <c r="W1065" i="1"/>
  <c r="W887" i="1"/>
  <c r="W1216" i="1"/>
  <c r="W312" i="1"/>
  <c r="W1115" i="1"/>
  <c r="W309" i="1"/>
  <c r="W445" i="1"/>
  <c r="W377" i="1"/>
  <c r="W872" i="1"/>
  <c r="W743" i="1"/>
  <c r="W885" i="1"/>
  <c r="W616" i="1"/>
  <c r="W462" i="1"/>
  <c r="W158" i="1"/>
  <c r="W105" i="1"/>
  <c r="W1029" i="1"/>
  <c r="W1139" i="1"/>
  <c r="W1123" i="1"/>
  <c r="W767" i="1"/>
  <c r="W98" i="1"/>
  <c r="W1134" i="1"/>
  <c r="W1187" i="1"/>
  <c r="W498" i="1"/>
  <c r="W308" i="1"/>
  <c r="W1081" i="1"/>
  <c r="W705" i="1"/>
  <c r="W369" i="1"/>
  <c r="W217" i="1"/>
  <c r="W957" i="1"/>
  <c r="W589" i="1"/>
  <c r="W547" i="1"/>
  <c r="W301" i="1"/>
  <c r="W297" i="1"/>
  <c r="W397" i="1"/>
  <c r="W805" i="1"/>
  <c r="W1118" i="1"/>
  <c r="W1036" i="1"/>
  <c r="W378" i="1"/>
  <c r="W196" i="1"/>
  <c r="W607" i="1"/>
  <c r="W544" i="1"/>
  <c r="W404" i="1"/>
  <c r="W702" i="1"/>
  <c r="W96" i="1"/>
  <c r="W341" i="1"/>
  <c r="W968" i="1"/>
  <c r="W717" i="1"/>
  <c r="W14" i="1"/>
  <c r="W206" i="1"/>
  <c r="W644" i="1"/>
  <c r="W906" i="1"/>
  <c r="W407" i="1"/>
  <c r="W1117" i="1"/>
  <c r="W128" i="1"/>
  <c r="W437" i="1"/>
  <c r="W281" i="1"/>
  <c r="W698" i="1"/>
  <c r="W875" i="1"/>
  <c r="W1131" i="1"/>
  <c r="W920" i="1"/>
  <c r="W1167" i="1"/>
  <c r="W552" i="1"/>
  <c r="W554" i="1"/>
  <c r="W791" i="1"/>
  <c r="W1163" i="1"/>
  <c r="W115" i="1"/>
  <c r="W1179" i="1"/>
  <c r="W140" i="1"/>
  <c r="W624" i="1"/>
  <c r="W546" i="1"/>
  <c r="W1107" i="1"/>
  <c r="W347" i="1"/>
  <c r="W669" i="1"/>
  <c r="W1033" i="1"/>
  <c r="W1108" i="1"/>
  <c r="W594" i="1"/>
  <c r="W956" i="1"/>
  <c r="W962" i="1"/>
  <c r="W661" i="1"/>
  <c r="W453" i="1"/>
  <c r="W499" i="1"/>
  <c r="W292" i="1"/>
  <c r="W782" i="1"/>
  <c r="W41" i="1"/>
  <c r="W1055" i="1"/>
  <c r="W201" i="1"/>
  <c r="W654" i="1"/>
  <c r="W164" i="1"/>
  <c r="W1102" i="1"/>
  <c r="W386" i="1"/>
  <c r="W648" i="1"/>
  <c r="W1114" i="1"/>
  <c r="W107" i="1"/>
  <c r="W1110" i="1"/>
  <c r="W533" i="1"/>
  <c r="W452" i="1"/>
  <c r="W1130" i="1"/>
  <c r="W1253" i="1"/>
  <c r="W356" i="1"/>
  <c r="W30" i="1"/>
  <c r="W1247" i="1"/>
  <c r="W761" i="1"/>
  <c r="W527" i="1"/>
  <c r="W924" i="1"/>
  <c r="W328" i="1"/>
  <c r="W959" i="1"/>
  <c r="W104" i="1"/>
  <c r="W587" i="1"/>
  <c r="W302" i="1"/>
  <c r="W1021" i="1"/>
  <c r="W863" i="1"/>
  <c r="W409" i="1"/>
  <c r="W1067" i="1"/>
  <c r="W1001" i="1"/>
  <c r="W39" i="1"/>
  <c r="W1199" i="1"/>
  <c r="W272" i="1"/>
  <c r="W110" i="1"/>
  <c r="W862" i="1"/>
  <c r="W472" i="1"/>
  <c r="W545" i="1"/>
  <c r="W459" i="1"/>
  <c r="W239" i="1"/>
  <c r="W521" i="1"/>
  <c r="W634" i="1"/>
  <c r="W598" i="1"/>
  <c r="W1171" i="1"/>
  <c r="W1098" i="1"/>
  <c r="W4" i="1"/>
  <c r="W175" i="1"/>
  <c r="W419" i="1"/>
  <c r="W500" i="1"/>
  <c r="W530" i="1"/>
  <c r="W246" i="1"/>
  <c r="W353" i="1"/>
  <c r="W524" i="1"/>
  <c r="W548" i="1"/>
  <c r="W73" i="1"/>
  <c r="W27" i="1"/>
  <c r="W539" i="1"/>
  <c r="W410" i="1"/>
  <c r="W1097" i="1"/>
  <c r="W316" i="1"/>
  <c r="W1149" i="1"/>
  <c r="W424" i="1"/>
  <c r="W1080" i="1"/>
  <c r="W575" i="1"/>
  <c r="W276" i="1"/>
  <c r="W358" i="1"/>
  <c r="W165" i="1"/>
  <c r="W591" i="1"/>
  <c r="W1062" i="1"/>
  <c r="W699" i="1"/>
  <c r="W1125" i="1"/>
  <c r="W265" i="1"/>
  <c r="W71" i="1"/>
  <c r="W399" i="1"/>
  <c r="W951" i="1"/>
  <c r="W250" i="1"/>
  <c r="W31" i="1"/>
  <c r="W1251" i="1"/>
  <c r="W1241" i="1"/>
  <c r="W77" i="1"/>
  <c r="W1104" i="1"/>
  <c r="W844" i="1"/>
  <c r="W632" i="1"/>
  <c r="W1040" i="1"/>
  <c r="W1254" i="1"/>
  <c r="W659" i="1"/>
  <c r="W880" i="1"/>
  <c r="W366" i="1"/>
  <c r="W1223" i="1"/>
  <c r="W225" i="1"/>
  <c r="W1122" i="1"/>
  <c r="W393" i="1"/>
  <c r="W430" i="1"/>
  <c r="W119" i="1"/>
  <c r="W1222" i="1"/>
  <c r="W258" i="1"/>
  <c r="W999" i="1"/>
  <c r="W406" i="1"/>
  <c r="W532" i="1"/>
  <c r="W613" i="1"/>
  <c r="W663" i="1"/>
  <c r="W300" i="1"/>
  <c r="W963" i="1"/>
  <c r="W185" i="1"/>
  <c r="W595" i="1"/>
  <c r="W604" i="1"/>
  <c r="W1011" i="1"/>
  <c r="W120" i="1"/>
  <c r="W315" i="1"/>
  <c r="W160" i="1"/>
  <c r="W277" i="1"/>
  <c r="W329" i="1"/>
  <c r="W1162" i="1"/>
  <c r="W1159" i="1"/>
  <c r="W411" i="1"/>
  <c r="W252" i="1"/>
  <c r="W819" i="1"/>
  <c r="W967" i="1"/>
  <c r="W367" i="1"/>
  <c r="W1274" i="1"/>
  <c r="W710" i="1"/>
  <c r="W537" i="1"/>
  <c r="W303" i="1"/>
  <c r="W495" i="1"/>
  <c r="W1180" i="1"/>
  <c r="W506" i="1"/>
  <c r="W385" i="1"/>
  <c r="W391" i="1"/>
  <c r="W198" i="1"/>
  <c r="W578" i="1"/>
  <c r="W910" i="1"/>
  <c r="W929" i="1"/>
  <c r="W84" i="1"/>
  <c r="W324" i="1"/>
  <c r="W916" i="1"/>
  <c r="C13" i="39" l="1"/>
  <c r="C12" i="39"/>
  <c r="Q848" i="1"/>
  <c r="Q437" i="1"/>
  <c r="Q431" i="1"/>
  <c r="Q387" i="1"/>
  <c r="P1275" i="1"/>
  <c r="P1274" i="1"/>
  <c r="P1273" i="1"/>
  <c r="P1272" i="1"/>
  <c r="P1271" i="1"/>
  <c r="P1270" i="1"/>
  <c r="P1269" i="1"/>
  <c r="P1268" i="1"/>
  <c r="P1267" i="1"/>
  <c r="P1266" i="1"/>
  <c r="P1265" i="1"/>
  <c r="P1264" i="1"/>
  <c r="P1263" i="1"/>
  <c r="P1262" i="1"/>
  <c r="P1261" i="1"/>
  <c r="P1260" i="1"/>
  <c r="P1259" i="1"/>
  <c r="P1258" i="1"/>
  <c r="P1257" i="1"/>
  <c r="P1256" i="1"/>
  <c r="P1255" i="1"/>
  <c r="P1254" i="1"/>
  <c r="P1253" i="1"/>
  <c r="P1252" i="1"/>
  <c r="P1251" i="1"/>
  <c r="P1250" i="1"/>
  <c r="P1249" i="1"/>
  <c r="P1248" i="1"/>
  <c r="P1247" i="1"/>
  <c r="P1246" i="1"/>
  <c r="P1245" i="1"/>
  <c r="P1244" i="1"/>
  <c r="P1243" i="1"/>
  <c r="P1242" i="1"/>
  <c r="P1241" i="1"/>
  <c r="P1240" i="1"/>
  <c r="P1239" i="1"/>
  <c r="P1238" i="1"/>
  <c r="P1237" i="1"/>
  <c r="P1236" i="1"/>
  <c r="P1235" i="1"/>
  <c r="P1234" i="1"/>
  <c r="P1233" i="1"/>
  <c r="P1232" i="1"/>
  <c r="P1231" i="1"/>
  <c r="P1230" i="1"/>
  <c r="P1229" i="1"/>
  <c r="P1228" i="1"/>
  <c r="P1227" i="1"/>
  <c r="P1226" i="1"/>
  <c r="P1225" i="1"/>
  <c r="P1224" i="1"/>
  <c r="P1223" i="1"/>
  <c r="P1222" i="1"/>
  <c r="P1221" i="1"/>
  <c r="P1220" i="1"/>
  <c r="P1219" i="1"/>
  <c r="P1218" i="1"/>
  <c r="P1217" i="1"/>
  <c r="P1216" i="1"/>
  <c r="P1215" i="1"/>
  <c r="P1214" i="1"/>
  <c r="P1213" i="1"/>
  <c r="P1212" i="1"/>
  <c r="P1211" i="1"/>
  <c r="P1210" i="1"/>
  <c r="P1209" i="1"/>
  <c r="P1208" i="1"/>
  <c r="P1207" i="1"/>
  <c r="P1206" i="1"/>
  <c r="P1205" i="1"/>
  <c r="P1204" i="1"/>
  <c r="P1203" i="1"/>
  <c r="P1202" i="1"/>
  <c r="P1201" i="1"/>
  <c r="P1200" i="1"/>
  <c r="P1199" i="1"/>
  <c r="P1198" i="1"/>
  <c r="P1197" i="1"/>
  <c r="P1196" i="1"/>
  <c r="P1195" i="1"/>
  <c r="P1194" i="1"/>
  <c r="P1193" i="1"/>
  <c r="P1192" i="1"/>
  <c r="P1191" i="1"/>
  <c r="P1190" i="1"/>
  <c r="P1189" i="1"/>
  <c r="P1188" i="1"/>
  <c r="P1187" i="1"/>
  <c r="P1186" i="1"/>
  <c r="P1185" i="1"/>
  <c r="P1184" i="1"/>
  <c r="P1183" i="1"/>
  <c r="P1182" i="1"/>
  <c r="P1181" i="1"/>
  <c r="P1180" i="1"/>
  <c r="P1179" i="1"/>
  <c r="P1178" i="1"/>
  <c r="P1177" i="1"/>
  <c r="P1176" i="1"/>
  <c r="P1175" i="1"/>
  <c r="P1174" i="1"/>
  <c r="P1173" i="1"/>
  <c r="P1172" i="1"/>
  <c r="P1171" i="1"/>
  <c r="P1170" i="1"/>
  <c r="P1169" i="1"/>
  <c r="P1168" i="1"/>
  <c r="P1167" i="1"/>
  <c r="P1166" i="1"/>
  <c r="P1165" i="1"/>
  <c r="P1164" i="1"/>
  <c r="P1163" i="1"/>
  <c r="P1162" i="1"/>
  <c r="P1161" i="1"/>
  <c r="P1160" i="1"/>
  <c r="P1159" i="1"/>
  <c r="P1158" i="1"/>
  <c r="P1157" i="1"/>
  <c r="P1156" i="1"/>
  <c r="P1155" i="1"/>
  <c r="P1154" i="1"/>
  <c r="P1153" i="1"/>
  <c r="P1152" i="1"/>
  <c r="P1151" i="1"/>
  <c r="P1150" i="1"/>
  <c r="P1149" i="1"/>
  <c r="P1148" i="1"/>
  <c r="P1147" i="1"/>
  <c r="P1146" i="1"/>
  <c r="P1145" i="1"/>
  <c r="P1144" i="1"/>
  <c r="P1143" i="1"/>
  <c r="P1142" i="1"/>
  <c r="P1141" i="1"/>
  <c r="P1140" i="1"/>
  <c r="P1139" i="1"/>
  <c r="P1138" i="1"/>
  <c r="P1137" i="1"/>
  <c r="P1136" i="1"/>
  <c r="P1135" i="1"/>
  <c r="P1134" i="1"/>
  <c r="P1133" i="1"/>
  <c r="P1132" i="1"/>
  <c r="P1131" i="1"/>
  <c r="P1130" i="1"/>
  <c r="P1129" i="1"/>
  <c r="P1128" i="1"/>
  <c r="P1127" i="1"/>
  <c r="P1126" i="1"/>
  <c r="P1125" i="1"/>
  <c r="P1124" i="1"/>
  <c r="P1123" i="1"/>
  <c r="P1122" i="1"/>
  <c r="P1121" i="1"/>
  <c r="P1120" i="1"/>
  <c r="P1119" i="1"/>
  <c r="P1118" i="1"/>
  <c r="P1117" i="1"/>
  <c r="P1116" i="1"/>
  <c r="P1115" i="1"/>
  <c r="P1114" i="1"/>
  <c r="P1113" i="1"/>
  <c r="P1112" i="1"/>
  <c r="P1111" i="1"/>
  <c r="P1110" i="1"/>
  <c r="P1109" i="1"/>
  <c r="P1108" i="1"/>
  <c r="P1107" i="1"/>
  <c r="P1106" i="1"/>
  <c r="P1105" i="1"/>
  <c r="P1104" i="1"/>
  <c r="P1103" i="1"/>
  <c r="P1102" i="1"/>
  <c r="P1101" i="1"/>
  <c r="P1100" i="1"/>
  <c r="P1099" i="1"/>
  <c r="P1098" i="1"/>
  <c r="P1097" i="1"/>
  <c r="P1096" i="1"/>
  <c r="P1095" i="1"/>
  <c r="P1094" i="1"/>
  <c r="P1093" i="1"/>
  <c r="P1092" i="1"/>
  <c r="P1091" i="1"/>
  <c r="P1090" i="1"/>
  <c r="P1089" i="1"/>
  <c r="P1088" i="1"/>
  <c r="P1087" i="1"/>
  <c r="P1086" i="1"/>
  <c r="P1085" i="1"/>
  <c r="P1084" i="1"/>
  <c r="P1083" i="1"/>
  <c r="P1082" i="1"/>
  <c r="P1081" i="1"/>
  <c r="P1080" i="1"/>
  <c r="P1079" i="1"/>
  <c r="P1078" i="1"/>
  <c r="P1077" i="1"/>
  <c r="P1076" i="1"/>
  <c r="P1075" i="1"/>
  <c r="P1074" i="1"/>
  <c r="P1073" i="1"/>
  <c r="P1072" i="1"/>
  <c r="P1071" i="1"/>
  <c r="P1070" i="1"/>
  <c r="P1069" i="1"/>
  <c r="P1068" i="1"/>
  <c r="P1067" i="1"/>
  <c r="P1066" i="1"/>
  <c r="P1065" i="1"/>
  <c r="P1064" i="1"/>
  <c r="P1063" i="1"/>
  <c r="P1062" i="1"/>
  <c r="P1061" i="1"/>
  <c r="P1060" i="1"/>
  <c r="P1059" i="1"/>
  <c r="P1058" i="1"/>
  <c r="P1057" i="1"/>
  <c r="P1056" i="1"/>
  <c r="P1055" i="1"/>
  <c r="P1054" i="1"/>
  <c r="P1053" i="1"/>
  <c r="P1052" i="1"/>
  <c r="P1051" i="1"/>
  <c r="P1050" i="1"/>
  <c r="P1049" i="1"/>
  <c r="P1048" i="1"/>
  <c r="P1047" i="1"/>
  <c r="P1046" i="1"/>
  <c r="P1045" i="1"/>
  <c r="P1044" i="1"/>
  <c r="P1043" i="1"/>
  <c r="P1042" i="1"/>
  <c r="P1041" i="1"/>
  <c r="P1040" i="1"/>
  <c r="P1039" i="1"/>
  <c r="P1038" i="1"/>
  <c r="P1037" i="1"/>
  <c r="P1036" i="1"/>
  <c r="P1035" i="1"/>
  <c r="P1034" i="1"/>
  <c r="P1033" i="1"/>
  <c r="P1032" i="1"/>
  <c r="P1031" i="1"/>
  <c r="P1030" i="1"/>
  <c r="P1029" i="1"/>
  <c r="P1028" i="1"/>
  <c r="P1027" i="1"/>
  <c r="P1026" i="1"/>
  <c r="P1025" i="1"/>
  <c r="P1024" i="1"/>
  <c r="P1023" i="1"/>
  <c r="P1022" i="1"/>
  <c r="P1021" i="1"/>
  <c r="P1020" i="1"/>
  <c r="P1019" i="1"/>
  <c r="P1018" i="1"/>
  <c r="P1017" i="1"/>
  <c r="P1016" i="1"/>
  <c r="P1015" i="1"/>
  <c r="P1014" i="1"/>
  <c r="P1013" i="1"/>
  <c r="P1012" i="1"/>
  <c r="P1011" i="1"/>
  <c r="P1010" i="1"/>
  <c r="P1009" i="1"/>
  <c r="P1008" i="1"/>
  <c r="P1007" i="1"/>
  <c r="P1006" i="1"/>
  <c r="P1005" i="1"/>
  <c r="P1004" i="1"/>
  <c r="P1003" i="1"/>
  <c r="P1002" i="1"/>
  <c r="P1001" i="1"/>
  <c r="P1000" i="1"/>
  <c r="P999" i="1"/>
  <c r="P998" i="1"/>
  <c r="P997" i="1"/>
  <c r="P996" i="1"/>
  <c r="P995" i="1"/>
  <c r="P994" i="1"/>
  <c r="P993" i="1"/>
  <c r="P992" i="1"/>
  <c r="P991" i="1"/>
  <c r="P990" i="1"/>
  <c r="P989" i="1"/>
  <c r="P988" i="1"/>
  <c r="P987" i="1"/>
  <c r="P986" i="1"/>
  <c r="P985" i="1"/>
  <c r="P984" i="1"/>
  <c r="P983" i="1"/>
  <c r="P982" i="1"/>
  <c r="P981" i="1"/>
  <c r="P980" i="1"/>
  <c r="P979" i="1"/>
  <c r="P978" i="1"/>
  <c r="P977" i="1"/>
  <c r="P976" i="1"/>
  <c r="P975" i="1"/>
  <c r="P974" i="1"/>
  <c r="P973" i="1"/>
  <c r="P972" i="1"/>
  <c r="P971" i="1"/>
  <c r="P970" i="1"/>
  <c r="P969" i="1"/>
  <c r="P968" i="1"/>
  <c r="P967" i="1"/>
  <c r="P966" i="1"/>
  <c r="P965" i="1"/>
  <c r="P964" i="1"/>
  <c r="P963" i="1"/>
  <c r="P962" i="1"/>
  <c r="P961" i="1"/>
  <c r="P960" i="1"/>
  <c r="P959" i="1"/>
  <c r="P958" i="1"/>
  <c r="P957" i="1"/>
  <c r="P956" i="1"/>
  <c r="P955" i="1"/>
  <c r="P954" i="1"/>
  <c r="P953" i="1"/>
  <c r="P952" i="1"/>
  <c r="P951" i="1"/>
  <c r="P950" i="1"/>
  <c r="P949" i="1"/>
  <c r="P948" i="1"/>
  <c r="P947" i="1"/>
  <c r="P946" i="1"/>
  <c r="P945" i="1"/>
  <c r="P944" i="1"/>
  <c r="P943" i="1"/>
  <c r="P942" i="1"/>
  <c r="P941" i="1"/>
  <c r="P940" i="1"/>
  <c r="P939" i="1"/>
  <c r="P938" i="1"/>
  <c r="P937" i="1"/>
  <c r="P936" i="1"/>
  <c r="P935" i="1"/>
  <c r="P934" i="1"/>
  <c r="P933" i="1"/>
  <c r="P932" i="1"/>
  <c r="P931" i="1"/>
  <c r="P930" i="1"/>
  <c r="P929" i="1"/>
  <c r="P928" i="1"/>
  <c r="P927" i="1"/>
  <c r="P926" i="1"/>
  <c r="P925" i="1"/>
  <c r="P924" i="1"/>
  <c r="P923" i="1"/>
  <c r="P922" i="1"/>
  <c r="P921" i="1"/>
  <c r="P920" i="1"/>
  <c r="P919" i="1"/>
  <c r="P918" i="1"/>
  <c r="P917" i="1"/>
  <c r="P916" i="1"/>
  <c r="P915" i="1"/>
  <c r="P914" i="1"/>
  <c r="P913" i="1"/>
  <c r="P912" i="1"/>
  <c r="P911" i="1"/>
  <c r="P910" i="1"/>
  <c r="P909" i="1"/>
  <c r="P908" i="1"/>
  <c r="P907" i="1"/>
  <c r="P906" i="1"/>
  <c r="P905" i="1"/>
  <c r="P904" i="1"/>
  <c r="P903" i="1"/>
  <c r="P902" i="1"/>
  <c r="P901" i="1"/>
  <c r="P900" i="1"/>
  <c r="P899" i="1"/>
  <c r="P898" i="1"/>
  <c r="P897" i="1"/>
  <c r="P896" i="1"/>
  <c r="P895" i="1"/>
  <c r="P894" i="1"/>
  <c r="P893" i="1"/>
  <c r="P892" i="1"/>
  <c r="P891" i="1"/>
  <c r="P890" i="1"/>
  <c r="P889" i="1"/>
  <c r="P888" i="1"/>
  <c r="P887" i="1"/>
  <c r="P886" i="1"/>
  <c r="P885" i="1"/>
  <c r="P884" i="1"/>
  <c r="P883" i="1"/>
  <c r="P882" i="1"/>
  <c r="P881" i="1"/>
  <c r="P880" i="1"/>
  <c r="P879" i="1"/>
  <c r="P878" i="1"/>
  <c r="P877" i="1"/>
  <c r="P876" i="1"/>
  <c r="P875" i="1"/>
  <c r="P874" i="1"/>
  <c r="P873" i="1"/>
  <c r="P872" i="1"/>
  <c r="P871" i="1"/>
  <c r="P870" i="1"/>
  <c r="P869" i="1"/>
  <c r="P868" i="1"/>
  <c r="P867" i="1"/>
  <c r="P866" i="1"/>
  <c r="P865" i="1"/>
  <c r="P864" i="1"/>
  <c r="P863" i="1"/>
  <c r="P862" i="1"/>
  <c r="P861" i="1"/>
  <c r="P860" i="1"/>
  <c r="P859" i="1"/>
  <c r="P858" i="1"/>
  <c r="P857" i="1"/>
  <c r="P856" i="1"/>
  <c r="P855" i="1"/>
  <c r="P854" i="1"/>
  <c r="P853" i="1"/>
  <c r="P852" i="1"/>
  <c r="P851" i="1"/>
  <c r="P850" i="1"/>
  <c r="P849" i="1"/>
  <c r="P848" i="1"/>
  <c r="P847" i="1"/>
  <c r="P846" i="1"/>
  <c r="P845" i="1"/>
  <c r="P844" i="1"/>
  <c r="P843" i="1"/>
  <c r="P842" i="1"/>
  <c r="P841" i="1"/>
  <c r="P840" i="1"/>
  <c r="P839" i="1"/>
  <c r="P838" i="1"/>
  <c r="P837" i="1"/>
  <c r="P836" i="1"/>
  <c r="P835" i="1"/>
  <c r="P834" i="1"/>
  <c r="P833" i="1"/>
  <c r="P832" i="1"/>
  <c r="P831" i="1"/>
  <c r="P830" i="1"/>
  <c r="P829" i="1"/>
  <c r="P828" i="1"/>
  <c r="P827" i="1"/>
  <c r="P826" i="1"/>
  <c r="P825" i="1"/>
  <c r="P824" i="1"/>
  <c r="P823" i="1"/>
  <c r="P822" i="1"/>
  <c r="P821" i="1"/>
  <c r="P820" i="1"/>
  <c r="P819" i="1"/>
  <c r="P818" i="1"/>
  <c r="P817" i="1"/>
  <c r="P816" i="1"/>
  <c r="P815" i="1"/>
  <c r="P814" i="1"/>
  <c r="P813" i="1"/>
  <c r="P812" i="1"/>
  <c r="P811" i="1"/>
  <c r="P810" i="1"/>
  <c r="P809" i="1"/>
  <c r="P808" i="1"/>
  <c r="P807" i="1"/>
  <c r="P806" i="1"/>
  <c r="P805" i="1"/>
  <c r="P804" i="1"/>
  <c r="P803" i="1"/>
  <c r="P802" i="1"/>
  <c r="P801" i="1"/>
  <c r="P800" i="1"/>
  <c r="P799" i="1"/>
  <c r="P798" i="1"/>
  <c r="P797" i="1"/>
  <c r="P796" i="1"/>
  <c r="P795" i="1"/>
  <c r="P794" i="1"/>
  <c r="P793" i="1"/>
  <c r="P792" i="1"/>
  <c r="P791" i="1"/>
  <c r="P790" i="1"/>
  <c r="P789" i="1"/>
  <c r="P788" i="1"/>
  <c r="P787" i="1"/>
  <c r="P786" i="1"/>
  <c r="P785" i="1"/>
  <c r="P784" i="1"/>
  <c r="P783" i="1"/>
  <c r="P782" i="1"/>
  <c r="P781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T684" i="1" s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54" i="1"/>
  <c r="P653" i="1"/>
  <c r="P652" i="1"/>
  <c r="P651" i="1"/>
  <c r="P650" i="1"/>
  <c r="P649" i="1"/>
  <c r="P648" i="1"/>
  <c r="P647" i="1"/>
  <c r="P646" i="1"/>
  <c r="P645" i="1"/>
  <c r="P644" i="1"/>
  <c r="P643" i="1"/>
  <c r="P642" i="1"/>
  <c r="P641" i="1"/>
  <c r="P640" i="1"/>
  <c r="P639" i="1"/>
  <c r="P638" i="1"/>
  <c r="P637" i="1"/>
  <c r="P636" i="1"/>
  <c r="P635" i="1"/>
  <c r="P634" i="1"/>
  <c r="P633" i="1"/>
  <c r="P632" i="1"/>
  <c r="P631" i="1"/>
  <c r="P630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543" i="1"/>
  <c r="P542" i="1"/>
  <c r="P541" i="1"/>
  <c r="P540" i="1"/>
  <c r="P539" i="1"/>
  <c r="P538" i="1"/>
  <c r="P537" i="1"/>
  <c r="P536" i="1"/>
  <c r="P535" i="1"/>
  <c r="P534" i="1"/>
  <c r="P533" i="1"/>
  <c r="P532" i="1"/>
  <c r="P531" i="1"/>
  <c r="P530" i="1"/>
  <c r="P529" i="1"/>
  <c r="P528" i="1"/>
  <c r="P527" i="1"/>
  <c r="P526" i="1"/>
  <c r="P525" i="1"/>
  <c r="P524" i="1"/>
  <c r="P523" i="1"/>
  <c r="P522" i="1"/>
  <c r="P521" i="1"/>
  <c r="P520" i="1"/>
  <c r="P519" i="1"/>
  <c r="P518" i="1"/>
  <c r="P517" i="1"/>
  <c r="P516" i="1"/>
  <c r="P515" i="1"/>
  <c r="P514" i="1"/>
  <c r="P513" i="1"/>
  <c r="P512" i="1"/>
  <c r="P511" i="1"/>
  <c r="P510" i="1"/>
  <c r="P509" i="1"/>
  <c r="P508" i="1"/>
  <c r="P507" i="1"/>
  <c r="P506" i="1"/>
  <c r="P505" i="1"/>
  <c r="P504" i="1"/>
  <c r="P503" i="1"/>
  <c r="P502" i="1"/>
  <c r="P501" i="1"/>
  <c r="P500" i="1"/>
  <c r="P499" i="1"/>
  <c r="P498" i="1"/>
  <c r="P497" i="1"/>
  <c r="P496" i="1"/>
  <c r="P495" i="1"/>
  <c r="P494" i="1"/>
  <c r="P493" i="1"/>
  <c r="P492" i="1"/>
  <c r="P491" i="1"/>
  <c r="P490" i="1"/>
  <c r="P489" i="1"/>
  <c r="P488" i="1"/>
  <c r="P487" i="1"/>
  <c r="P486" i="1"/>
  <c r="P485" i="1"/>
  <c r="P484" i="1"/>
  <c r="P483" i="1"/>
  <c r="P482" i="1"/>
  <c r="P481" i="1"/>
  <c r="P480" i="1"/>
  <c r="P479" i="1"/>
  <c r="P478" i="1"/>
  <c r="P477" i="1"/>
  <c r="P476" i="1"/>
  <c r="P475" i="1"/>
  <c r="P474" i="1"/>
  <c r="P473" i="1"/>
  <c r="P472" i="1"/>
  <c r="P471" i="1"/>
  <c r="P470" i="1"/>
  <c r="P469" i="1"/>
  <c r="P468" i="1"/>
  <c r="P467" i="1"/>
  <c r="P466" i="1"/>
  <c r="P465" i="1"/>
  <c r="P464" i="1"/>
  <c r="P463" i="1"/>
  <c r="P462" i="1"/>
  <c r="P461" i="1"/>
  <c r="P460" i="1"/>
  <c r="P459" i="1"/>
  <c r="P458" i="1"/>
  <c r="P457" i="1"/>
  <c r="P456" i="1"/>
  <c r="P455" i="1"/>
  <c r="P454" i="1"/>
  <c r="P453" i="1"/>
  <c r="P452" i="1"/>
  <c r="P451" i="1"/>
  <c r="P450" i="1"/>
  <c r="P449" i="1"/>
  <c r="P448" i="1"/>
  <c r="P447" i="1"/>
  <c r="P446" i="1"/>
  <c r="P445" i="1"/>
  <c r="P444" i="1"/>
  <c r="P443" i="1"/>
  <c r="P442" i="1"/>
  <c r="P441" i="1"/>
  <c r="P440" i="1"/>
  <c r="P439" i="1"/>
  <c r="P438" i="1"/>
  <c r="P437" i="1"/>
  <c r="P436" i="1"/>
  <c r="P435" i="1"/>
  <c r="P434" i="1"/>
  <c r="P433" i="1"/>
  <c r="P432" i="1"/>
  <c r="P431" i="1"/>
  <c r="P430" i="1"/>
  <c r="P429" i="1"/>
  <c r="P428" i="1"/>
  <c r="P427" i="1"/>
  <c r="P426" i="1"/>
  <c r="P425" i="1"/>
  <c r="P424" i="1"/>
  <c r="P423" i="1"/>
  <c r="P422" i="1"/>
  <c r="P421" i="1"/>
  <c r="P420" i="1"/>
  <c r="P419" i="1"/>
  <c r="P418" i="1"/>
  <c r="P417" i="1"/>
  <c r="P416" i="1"/>
  <c r="P415" i="1"/>
  <c r="P414" i="1"/>
  <c r="P413" i="1"/>
  <c r="P412" i="1"/>
  <c r="P411" i="1"/>
  <c r="P410" i="1"/>
  <c r="P409" i="1"/>
  <c r="P408" i="1"/>
  <c r="P407" i="1"/>
  <c r="P406" i="1"/>
  <c r="P405" i="1"/>
  <c r="P404" i="1"/>
  <c r="P403" i="1"/>
  <c r="P402" i="1"/>
  <c r="P401" i="1"/>
  <c r="P400" i="1"/>
  <c r="P399" i="1"/>
  <c r="P398" i="1"/>
  <c r="P397" i="1"/>
  <c r="P396" i="1"/>
  <c r="P395" i="1"/>
  <c r="P394" i="1"/>
  <c r="P393" i="1"/>
  <c r="P392" i="1"/>
  <c r="P391" i="1"/>
  <c r="P390" i="1"/>
  <c r="P389" i="1"/>
  <c r="P388" i="1"/>
  <c r="P387" i="1"/>
  <c r="P386" i="1"/>
  <c r="P385" i="1"/>
  <c r="P384" i="1"/>
  <c r="P383" i="1"/>
  <c r="P382" i="1"/>
  <c r="P381" i="1"/>
  <c r="P380" i="1"/>
  <c r="P379" i="1"/>
  <c r="P378" i="1"/>
  <c r="P377" i="1"/>
  <c r="P376" i="1"/>
  <c r="P375" i="1"/>
  <c r="P374" i="1"/>
  <c r="P373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9" i="1"/>
  <c r="P298" i="1"/>
  <c r="P297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P279" i="1"/>
  <c r="P278" i="1"/>
  <c r="P277" i="1"/>
  <c r="P276" i="1"/>
  <c r="P275" i="1"/>
  <c r="P274" i="1"/>
  <c r="P273" i="1"/>
  <c r="P272" i="1"/>
  <c r="P271" i="1"/>
  <c r="P270" i="1"/>
  <c r="P269" i="1"/>
  <c r="P268" i="1"/>
  <c r="P267" i="1"/>
  <c r="P266" i="1"/>
  <c r="P265" i="1"/>
  <c r="P264" i="1"/>
  <c r="P263" i="1"/>
  <c r="P262" i="1"/>
  <c r="P261" i="1"/>
  <c r="P260" i="1"/>
  <c r="P259" i="1"/>
  <c r="P258" i="1"/>
  <c r="P257" i="1"/>
  <c r="P256" i="1"/>
  <c r="P255" i="1"/>
  <c r="P254" i="1"/>
  <c r="P253" i="1"/>
  <c r="P252" i="1"/>
  <c r="P251" i="1"/>
  <c r="P250" i="1"/>
  <c r="P249" i="1"/>
  <c r="P248" i="1"/>
  <c r="P247" i="1"/>
  <c r="P246" i="1"/>
  <c r="P245" i="1"/>
  <c r="P244" i="1"/>
  <c r="P243" i="1"/>
  <c r="P242" i="1"/>
  <c r="P241" i="1"/>
  <c r="P240" i="1"/>
  <c r="P239" i="1"/>
  <c r="P238" i="1"/>
  <c r="P237" i="1"/>
  <c r="P236" i="1"/>
  <c r="P235" i="1"/>
  <c r="P234" i="1"/>
  <c r="P233" i="1"/>
  <c r="P232" i="1"/>
  <c r="P231" i="1"/>
  <c r="P230" i="1"/>
  <c r="P229" i="1"/>
  <c r="P228" i="1"/>
  <c r="P227" i="1"/>
  <c r="P226" i="1"/>
  <c r="P225" i="1"/>
  <c r="P224" i="1"/>
  <c r="P223" i="1"/>
  <c r="P222" i="1"/>
  <c r="P221" i="1"/>
  <c r="P220" i="1"/>
  <c r="P219" i="1"/>
  <c r="P218" i="1"/>
  <c r="P217" i="1"/>
  <c r="P216" i="1"/>
  <c r="P215" i="1"/>
  <c r="P214" i="1"/>
  <c r="P213" i="1"/>
  <c r="P212" i="1"/>
  <c r="P211" i="1"/>
  <c r="P210" i="1"/>
  <c r="P209" i="1"/>
  <c r="P208" i="1"/>
  <c r="P207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P6" i="1"/>
  <c r="P5" i="1"/>
  <c r="P4" i="1"/>
  <c r="P3" i="1"/>
  <c r="L4" i="1"/>
  <c r="M4" i="1"/>
  <c r="R4" i="1" s="1"/>
  <c r="N4" i="1"/>
  <c r="Q4" i="1" s="1"/>
  <c r="O4" i="1"/>
  <c r="L5" i="1"/>
  <c r="M5" i="1"/>
  <c r="R5" i="1" s="1"/>
  <c r="N5" i="1"/>
  <c r="Q5" i="1" s="1"/>
  <c r="O5" i="1"/>
  <c r="L6" i="1"/>
  <c r="M6" i="1"/>
  <c r="R6" i="1" s="1"/>
  <c r="N6" i="1"/>
  <c r="Q6" i="1" s="1"/>
  <c r="O6" i="1"/>
  <c r="L7" i="1"/>
  <c r="M7" i="1"/>
  <c r="R7" i="1" s="1"/>
  <c r="N7" i="1"/>
  <c r="Q7" i="1" s="1"/>
  <c r="O7" i="1"/>
  <c r="L8" i="1"/>
  <c r="M8" i="1"/>
  <c r="R8" i="1" s="1"/>
  <c r="N8" i="1"/>
  <c r="Q8" i="1" s="1"/>
  <c r="O8" i="1"/>
  <c r="L9" i="1"/>
  <c r="M9" i="1"/>
  <c r="R9" i="1" s="1"/>
  <c r="N9" i="1"/>
  <c r="Q9" i="1" s="1"/>
  <c r="O9" i="1"/>
  <c r="L10" i="1"/>
  <c r="M10" i="1"/>
  <c r="R10" i="1" s="1"/>
  <c r="N10" i="1"/>
  <c r="Q10" i="1" s="1"/>
  <c r="O10" i="1"/>
  <c r="L11" i="1"/>
  <c r="M11" i="1"/>
  <c r="R11" i="1" s="1"/>
  <c r="N11" i="1"/>
  <c r="Q11" i="1" s="1"/>
  <c r="O11" i="1"/>
  <c r="L12" i="1"/>
  <c r="M12" i="1"/>
  <c r="R12" i="1" s="1"/>
  <c r="N12" i="1"/>
  <c r="Q12" i="1" s="1"/>
  <c r="O12" i="1"/>
  <c r="L13" i="1"/>
  <c r="M13" i="1"/>
  <c r="R13" i="1" s="1"/>
  <c r="N13" i="1"/>
  <c r="Q13" i="1" s="1"/>
  <c r="O13" i="1"/>
  <c r="L14" i="1"/>
  <c r="M14" i="1"/>
  <c r="R14" i="1" s="1"/>
  <c r="N14" i="1"/>
  <c r="Q14" i="1" s="1"/>
  <c r="O14" i="1"/>
  <c r="L15" i="1"/>
  <c r="M15" i="1"/>
  <c r="R15" i="1" s="1"/>
  <c r="N15" i="1"/>
  <c r="Q15" i="1" s="1"/>
  <c r="O15" i="1"/>
  <c r="L16" i="1"/>
  <c r="M16" i="1"/>
  <c r="R16" i="1" s="1"/>
  <c r="N16" i="1"/>
  <c r="Q16" i="1" s="1"/>
  <c r="O16" i="1"/>
  <c r="L17" i="1"/>
  <c r="M17" i="1"/>
  <c r="R17" i="1" s="1"/>
  <c r="N17" i="1"/>
  <c r="Q17" i="1" s="1"/>
  <c r="O17" i="1"/>
  <c r="L18" i="1"/>
  <c r="M18" i="1"/>
  <c r="R18" i="1" s="1"/>
  <c r="N18" i="1"/>
  <c r="Q18" i="1" s="1"/>
  <c r="O18" i="1"/>
  <c r="L19" i="1"/>
  <c r="M19" i="1"/>
  <c r="R19" i="1" s="1"/>
  <c r="N19" i="1"/>
  <c r="Q19" i="1" s="1"/>
  <c r="O19" i="1"/>
  <c r="L20" i="1"/>
  <c r="M20" i="1"/>
  <c r="R20" i="1" s="1"/>
  <c r="N20" i="1"/>
  <c r="Q20" i="1" s="1"/>
  <c r="O20" i="1"/>
  <c r="L21" i="1"/>
  <c r="M21" i="1"/>
  <c r="R21" i="1" s="1"/>
  <c r="N21" i="1"/>
  <c r="Q21" i="1" s="1"/>
  <c r="O21" i="1"/>
  <c r="L22" i="1"/>
  <c r="M22" i="1"/>
  <c r="R22" i="1" s="1"/>
  <c r="N22" i="1"/>
  <c r="Q22" i="1" s="1"/>
  <c r="O22" i="1"/>
  <c r="L23" i="1"/>
  <c r="M23" i="1"/>
  <c r="R23" i="1" s="1"/>
  <c r="N23" i="1"/>
  <c r="Q23" i="1" s="1"/>
  <c r="O23" i="1"/>
  <c r="L24" i="1"/>
  <c r="M24" i="1"/>
  <c r="R24" i="1" s="1"/>
  <c r="N24" i="1"/>
  <c r="Q24" i="1" s="1"/>
  <c r="O24" i="1"/>
  <c r="L25" i="1"/>
  <c r="M25" i="1"/>
  <c r="R25" i="1" s="1"/>
  <c r="N25" i="1"/>
  <c r="Q25" i="1" s="1"/>
  <c r="O25" i="1"/>
  <c r="L26" i="1"/>
  <c r="M26" i="1"/>
  <c r="R26" i="1" s="1"/>
  <c r="N26" i="1"/>
  <c r="Q26" i="1" s="1"/>
  <c r="O26" i="1"/>
  <c r="L27" i="1"/>
  <c r="M27" i="1"/>
  <c r="R27" i="1" s="1"/>
  <c r="N27" i="1"/>
  <c r="Q27" i="1" s="1"/>
  <c r="O27" i="1"/>
  <c r="L28" i="1"/>
  <c r="M28" i="1"/>
  <c r="R28" i="1" s="1"/>
  <c r="N28" i="1"/>
  <c r="Q28" i="1" s="1"/>
  <c r="O28" i="1"/>
  <c r="L29" i="1"/>
  <c r="M29" i="1"/>
  <c r="R29" i="1" s="1"/>
  <c r="N29" i="1"/>
  <c r="Q29" i="1" s="1"/>
  <c r="O29" i="1"/>
  <c r="L30" i="1"/>
  <c r="M30" i="1"/>
  <c r="R30" i="1" s="1"/>
  <c r="N30" i="1"/>
  <c r="Q30" i="1" s="1"/>
  <c r="O30" i="1"/>
  <c r="L31" i="1"/>
  <c r="M31" i="1"/>
  <c r="R31" i="1" s="1"/>
  <c r="N31" i="1"/>
  <c r="Q31" i="1" s="1"/>
  <c r="O31" i="1"/>
  <c r="L32" i="1"/>
  <c r="M32" i="1"/>
  <c r="R32" i="1" s="1"/>
  <c r="N32" i="1"/>
  <c r="Q32" i="1" s="1"/>
  <c r="O32" i="1"/>
  <c r="L33" i="1"/>
  <c r="M33" i="1"/>
  <c r="R33" i="1" s="1"/>
  <c r="N33" i="1"/>
  <c r="Q33" i="1" s="1"/>
  <c r="O33" i="1"/>
  <c r="L34" i="1"/>
  <c r="M34" i="1"/>
  <c r="R34" i="1" s="1"/>
  <c r="N34" i="1"/>
  <c r="Q34" i="1" s="1"/>
  <c r="O34" i="1"/>
  <c r="L35" i="1"/>
  <c r="M35" i="1"/>
  <c r="R35" i="1" s="1"/>
  <c r="N35" i="1"/>
  <c r="Q35" i="1" s="1"/>
  <c r="O35" i="1"/>
  <c r="L36" i="1"/>
  <c r="M36" i="1"/>
  <c r="R36" i="1" s="1"/>
  <c r="N36" i="1"/>
  <c r="Q36" i="1" s="1"/>
  <c r="O36" i="1"/>
  <c r="L37" i="1"/>
  <c r="M37" i="1"/>
  <c r="R37" i="1" s="1"/>
  <c r="N37" i="1"/>
  <c r="Q37" i="1" s="1"/>
  <c r="O37" i="1"/>
  <c r="L38" i="1"/>
  <c r="M38" i="1"/>
  <c r="R38" i="1" s="1"/>
  <c r="N38" i="1"/>
  <c r="Q38" i="1" s="1"/>
  <c r="O38" i="1"/>
  <c r="L39" i="1"/>
  <c r="M39" i="1"/>
  <c r="R39" i="1" s="1"/>
  <c r="N39" i="1"/>
  <c r="Q39" i="1" s="1"/>
  <c r="O39" i="1"/>
  <c r="L40" i="1"/>
  <c r="M40" i="1"/>
  <c r="R40" i="1" s="1"/>
  <c r="N40" i="1"/>
  <c r="Q40" i="1" s="1"/>
  <c r="O40" i="1"/>
  <c r="L41" i="1"/>
  <c r="M41" i="1"/>
  <c r="R41" i="1" s="1"/>
  <c r="N41" i="1"/>
  <c r="Q41" i="1" s="1"/>
  <c r="O41" i="1"/>
  <c r="L42" i="1"/>
  <c r="M42" i="1"/>
  <c r="R42" i="1" s="1"/>
  <c r="N42" i="1"/>
  <c r="Q42" i="1" s="1"/>
  <c r="O42" i="1"/>
  <c r="L43" i="1"/>
  <c r="M43" i="1"/>
  <c r="R43" i="1" s="1"/>
  <c r="N43" i="1"/>
  <c r="Q43" i="1" s="1"/>
  <c r="O43" i="1"/>
  <c r="L44" i="1"/>
  <c r="M44" i="1"/>
  <c r="R44" i="1" s="1"/>
  <c r="N44" i="1"/>
  <c r="Q44" i="1" s="1"/>
  <c r="O44" i="1"/>
  <c r="L45" i="1"/>
  <c r="M45" i="1"/>
  <c r="R45" i="1" s="1"/>
  <c r="N45" i="1"/>
  <c r="Q45" i="1" s="1"/>
  <c r="O45" i="1"/>
  <c r="L46" i="1"/>
  <c r="M46" i="1"/>
  <c r="R46" i="1" s="1"/>
  <c r="N46" i="1"/>
  <c r="Q46" i="1" s="1"/>
  <c r="O46" i="1"/>
  <c r="L47" i="1"/>
  <c r="M47" i="1"/>
  <c r="R47" i="1" s="1"/>
  <c r="N47" i="1"/>
  <c r="Q47" i="1" s="1"/>
  <c r="O47" i="1"/>
  <c r="L48" i="1"/>
  <c r="M48" i="1"/>
  <c r="R48" i="1" s="1"/>
  <c r="N48" i="1"/>
  <c r="Q48" i="1" s="1"/>
  <c r="O48" i="1"/>
  <c r="L49" i="1"/>
  <c r="M49" i="1"/>
  <c r="R49" i="1" s="1"/>
  <c r="N49" i="1"/>
  <c r="Q49" i="1" s="1"/>
  <c r="O49" i="1"/>
  <c r="L50" i="1"/>
  <c r="M50" i="1"/>
  <c r="R50" i="1" s="1"/>
  <c r="N50" i="1"/>
  <c r="Q50" i="1" s="1"/>
  <c r="O50" i="1"/>
  <c r="L51" i="1"/>
  <c r="M51" i="1"/>
  <c r="R51" i="1" s="1"/>
  <c r="N51" i="1"/>
  <c r="Q51" i="1" s="1"/>
  <c r="O51" i="1"/>
  <c r="L52" i="1"/>
  <c r="M52" i="1"/>
  <c r="R52" i="1" s="1"/>
  <c r="N52" i="1"/>
  <c r="Q52" i="1" s="1"/>
  <c r="O52" i="1"/>
  <c r="L53" i="1"/>
  <c r="M53" i="1"/>
  <c r="R53" i="1" s="1"/>
  <c r="N53" i="1"/>
  <c r="Q53" i="1" s="1"/>
  <c r="O53" i="1"/>
  <c r="L54" i="1"/>
  <c r="M54" i="1"/>
  <c r="R54" i="1" s="1"/>
  <c r="N54" i="1"/>
  <c r="Q54" i="1" s="1"/>
  <c r="O54" i="1"/>
  <c r="L55" i="1"/>
  <c r="M55" i="1"/>
  <c r="R55" i="1" s="1"/>
  <c r="N55" i="1"/>
  <c r="Q55" i="1" s="1"/>
  <c r="O55" i="1"/>
  <c r="L56" i="1"/>
  <c r="M56" i="1"/>
  <c r="R56" i="1" s="1"/>
  <c r="N56" i="1"/>
  <c r="Q56" i="1" s="1"/>
  <c r="O56" i="1"/>
  <c r="L57" i="1"/>
  <c r="M57" i="1"/>
  <c r="R57" i="1" s="1"/>
  <c r="N57" i="1"/>
  <c r="Q57" i="1" s="1"/>
  <c r="O57" i="1"/>
  <c r="L58" i="1"/>
  <c r="M58" i="1"/>
  <c r="R58" i="1" s="1"/>
  <c r="N58" i="1"/>
  <c r="Q58" i="1" s="1"/>
  <c r="O58" i="1"/>
  <c r="L59" i="1"/>
  <c r="M59" i="1"/>
  <c r="R59" i="1" s="1"/>
  <c r="N59" i="1"/>
  <c r="Q59" i="1" s="1"/>
  <c r="O59" i="1"/>
  <c r="L60" i="1"/>
  <c r="M60" i="1"/>
  <c r="R60" i="1" s="1"/>
  <c r="N60" i="1"/>
  <c r="Q60" i="1" s="1"/>
  <c r="O60" i="1"/>
  <c r="L61" i="1"/>
  <c r="M61" i="1"/>
  <c r="R61" i="1" s="1"/>
  <c r="N61" i="1"/>
  <c r="Q61" i="1" s="1"/>
  <c r="O61" i="1"/>
  <c r="L62" i="1"/>
  <c r="M62" i="1"/>
  <c r="R62" i="1" s="1"/>
  <c r="N62" i="1"/>
  <c r="Q62" i="1" s="1"/>
  <c r="O62" i="1"/>
  <c r="L63" i="1"/>
  <c r="M63" i="1"/>
  <c r="R63" i="1" s="1"/>
  <c r="N63" i="1"/>
  <c r="Q63" i="1" s="1"/>
  <c r="O63" i="1"/>
  <c r="L64" i="1"/>
  <c r="M64" i="1"/>
  <c r="R64" i="1" s="1"/>
  <c r="N64" i="1"/>
  <c r="Q64" i="1" s="1"/>
  <c r="O64" i="1"/>
  <c r="L65" i="1"/>
  <c r="M65" i="1"/>
  <c r="R65" i="1" s="1"/>
  <c r="N65" i="1"/>
  <c r="Q65" i="1" s="1"/>
  <c r="O65" i="1"/>
  <c r="L66" i="1"/>
  <c r="M66" i="1"/>
  <c r="R66" i="1" s="1"/>
  <c r="N66" i="1"/>
  <c r="Q66" i="1" s="1"/>
  <c r="O66" i="1"/>
  <c r="L67" i="1"/>
  <c r="M67" i="1"/>
  <c r="R67" i="1" s="1"/>
  <c r="N67" i="1"/>
  <c r="Q67" i="1" s="1"/>
  <c r="O67" i="1"/>
  <c r="L68" i="1"/>
  <c r="M68" i="1"/>
  <c r="R68" i="1" s="1"/>
  <c r="N68" i="1"/>
  <c r="Q68" i="1" s="1"/>
  <c r="O68" i="1"/>
  <c r="L69" i="1"/>
  <c r="M69" i="1"/>
  <c r="R69" i="1" s="1"/>
  <c r="N69" i="1"/>
  <c r="Q69" i="1" s="1"/>
  <c r="O69" i="1"/>
  <c r="L70" i="1"/>
  <c r="M70" i="1"/>
  <c r="R70" i="1" s="1"/>
  <c r="N70" i="1"/>
  <c r="Q70" i="1" s="1"/>
  <c r="O70" i="1"/>
  <c r="L71" i="1"/>
  <c r="M71" i="1"/>
  <c r="R71" i="1" s="1"/>
  <c r="N71" i="1"/>
  <c r="Q71" i="1" s="1"/>
  <c r="O71" i="1"/>
  <c r="L72" i="1"/>
  <c r="M72" i="1"/>
  <c r="R72" i="1" s="1"/>
  <c r="N72" i="1"/>
  <c r="Q72" i="1" s="1"/>
  <c r="O72" i="1"/>
  <c r="L73" i="1"/>
  <c r="M73" i="1"/>
  <c r="R73" i="1" s="1"/>
  <c r="N73" i="1"/>
  <c r="Q73" i="1" s="1"/>
  <c r="O73" i="1"/>
  <c r="L74" i="1"/>
  <c r="M74" i="1"/>
  <c r="R74" i="1" s="1"/>
  <c r="N74" i="1"/>
  <c r="Q74" i="1" s="1"/>
  <c r="O74" i="1"/>
  <c r="L75" i="1"/>
  <c r="M75" i="1"/>
  <c r="R75" i="1" s="1"/>
  <c r="N75" i="1"/>
  <c r="Q75" i="1" s="1"/>
  <c r="O75" i="1"/>
  <c r="L76" i="1"/>
  <c r="M76" i="1"/>
  <c r="R76" i="1" s="1"/>
  <c r="N76" i="1"/>
  <c r="Q76" i="1" s="1"/>
  <c r="O76" i="1"/>
  <c r="L77" i="1"/>
  <c r="M77" i="1"/>
  <c r="R77" i="1" s="1"/>
  <c r="N77" i="1"/>
  <c r="Q77" i="1" s="1"/>
  <c r="O77" i="1"/>
  <c r="L78" i="1"/>
  <c r="M78" i="1"/>
  <c r="R78" i="1" s="1"/>
  <c r="N78" i="1"/>
  <c r="Q78" i="1" s="1"/>
  <c r="O78" i="1"/>
  <c r="L79" i="1"/>
  <c r="M79" i="1"/>
  <c r="R79" i="1" s="1"/>
  <c r="N79" i="1"/>
  <c r="Q79" i="1" s="1"/>
  <c r="O79" i="1"/>
  <c r="L80" i="1"/>
  <c r="M80" i="1"/>
  <c r="R80" i="1" s="1"/>
  <c r="N80" i="1"/>
  <c r="Q80" i="1" s="1"/>
  <c r="O80" i="1"/>
  <c r="L81" i="1"/>
  <c r="M81" i="1"/>
  <c r="R81" i="1" s="1"/>
  <c r="N81" i="1"/>
  <c r="Q81" i="1" s="1"/>
  <c r="O81" i="1"/>
  <c r="L82" i="1"/>
  <c r="M82" i="1"/>
  <c r="R82" i="1" s="1"/>
  <c r="N82" i="1"/>
  <c r="Q82" i="1" s="1"/>
  <c r="O82" i="1"/>
  <c r="L83" i="1"/>
  <c r="M83" i="1"/>
  <c r="R83" i="1" s="1"/>
  <c r="N83" i="1"/>
  <c r="Q83" i="1" s="1"/>
  <c r="O83" i="1"/>
  <c r="L84" i="1"/>
  <c r="M84" i="1"/>
  <c r="R84" i="1" s="1"/>
  <c r="N84" i="1"/>
  <c r="Q84" i="1" s="1"/>
  <c r="O84" i="1"/>
  <c r="L85" i="1"/>
  <c r="M85" i="1"/>
  <c r="R85" i="1" s="1"/>
  <c r="N85" i="1"/>
  <c r="Q85" i="1" s="1"/>
  <c r="O85" i="1"/>
  <c r="L86" i="1"/>
  <c r="M86" i="1"/>
  <c r="R86" i="1" s="1"/>
  <c r="N86" i="1"/>
  <c r="Q86" i="1" s="1"/>
  <c r="O86" i="1"/>
  <c r="L87" i="1"/>
  <c r="M87" i="1"/>
  <c r="R87" i="1" s="1"/>
  <c r="N87" i="1"/>
  <c r="Q87" i="1" s="1"/>
  <c r="O87" i="1"/>
  <c r="L88" i="1"/>
  <c r="M88" i="1"/>
  <c r="R88" i="1" s="1"/>
  <c r="N88" i="1"/>
  <c r="Q88" i="1" s="1"/>
  <c r="O88" i="1"/>
  <c r="L89" i="1"/>
  <c r="M89" i="1"/>
  <c r="R89" i="1" s="1"/>
  <c r="N89" i="1"/>
  <c r="Q89" i="1" s="1"/>
  <c r="O89" i="1"/>
  <c r="L90" i="1"/>
  <c r="M90" i="1"/>
  <c r="R90" i="1" s="1"/>
  <c r="N90" i="1"/>
  <c r="Q90" i="1" s="1"/>
  <c r="O90" i="1"/>
  <c r="L91" i="1"/>
  <c r="M91" i="1"/>
  <c r="R91" i="1" s="1"/>
  <c r="N91" i="1"/>
  <c r="Q91" i="1" s="1"/>
  <c r="O91" i="1"/>
  <c r="L92" i="1"/>
  <c r="M92" i="1"/>
  <c r="R92" i="1" s="1"/>
  <c r="N92" i="1"/>
  <c r="Q92" i="1" s="1"/>
  <c r="O92" i="1"/>
  <c r="L93" i="1"/>
  <c r="M93" i="1"/>
  <c r="R93" i="1" s="1"/>
  <c r="N93" i="1"/>
  <c r="Q93" i="1" s="1"/>
  <c r="O93" i="1"/>
  <c r="L94" i="1"/>
  <c r="M94" i="1"/>
  <c r="R94" i="1" s="1"/>
  <c r="N94" i="1"/>
  <c r="Q94" i="1" s="1"/>
  <c r="O94" i="1"/>
  <c r="L95" i="1"/>
  <c r="M95" i="1"/>
  <c r="R95" i="1" s="1"/>
  <c r="N95" i="1"/>
  <c r="Q95" i="1" s="1"/>
  <c r="O95" i="1"/>
  <c r="L96" i="1"/>
  <c r="M96" i="1"/>
  <c r="R96" i="1" s="1"/>
  <c r="N96" i="1"/>
  <c r="Q96" i="1" s="1"/>
  <c r="O96" i="1"/>
  <c r="L97" i="1"/>
  <c r="M97" i="1"/>
  <c r="R97" i="1" s="1"/>
  <c r="N97" i="1"/>
  <c r="Q97" i="1" s="1"/>
  <c r="O97" i="1"/>
  <c r="L98" i="1"/>
  <c r="M98" i="1"/>
  <c r="R98" i="1" s="1"/>
  <c r="N98" i="1"/>
  <c r="Q98" i="1" s="1"/>
  <c r="O98" i="1"/>
  <c r="L99" i="1"/>
  <c r="M99" i="1"/>
  <c r="R99" i="1" s="1"/>
  <c r="N99" i="1"/>
  <c r="Q99" i="1" s="1"/>
  <c r="O99" i="1"/>
  <c r="L100" i="1"/>
  <c r="M100" i="1"/>
  <c r="R100" i="1" s="1"/>
  <c r="N100" i="1"/>
  <c r="Q100" i="1" s="1"/>
  <c r="O100" i="1"/>
  <c r="L101" i="1"/>
  <c r="M101" i="1"/>
  <c r="R101" i="1" s="1"/>
  <c r="N101" i="1"/>
  <c r="Q101" i="1" s="1"/>
  <c r="O101" i="1"/>
  <c r="L102" i="1"/>
  <c r="M102" i="1"/>
  <c r="R102" i="1" s="1"/>
  <c r="S102" i="1" s="1"/>
  <c r="N102" i="1"/>
  <c r="Q102" i="1" s="1"/>
  <c r="O102" i="1"/>
  <c r="L103" i="1"/>
  <c r="M103" i="1"/>
  <c r="R103" i="1" s="1"/>
  <c r="N103" i="1"/>
  <c r="Q103" i="1" s="1"/>
  <c r="O103" i="1"/>
  <c r="L104" i="1"/>
  <c r="M104" i="1"/>
  <c r="R104" i="1" s="1"/>
  <c r="N104" i="1"/>
  <c r="Q104" i="1" s="1"/>
  <c r="O104" i="1"/>
  <c r="L105" i="1"/>
  <c r="M105" i="1"/>
  <c r="R105" i="1" s="1"/>
  <c r="N105" i="1"/>
  <c r="Q105" i="1" s="1"/>
  <c r="O105" i="1"/>
  <c r="L106" i="1"/>
  <c r="M106" i="1"/>
  <c r="R106" i="1" s="1"/>
  <c r="N106" i="1"/>
  <c r="Q106" i="1" s="1"/>
  <c r="O106" i="1"/>
  <c r="L107" i="1"/>
  <c r="M107" i="1"/>
  <c r="R107" i="1" s="1"/>
  <c r="N107" i="1"/>
  <c r="Q107" i="1" s="1"/>
  <c r="O107" i="1"/>
  <c r="L108" i="1"/>
  <c r="M108" i="1"/>
  <c r="R108" i="1" s="1"/>
  <c r="N108" i="1"/>
  <c r="Q108" i="1" s="1"/>
  <c r="O108" i="1"/>
  <c r="L109" i="1"/>
  <c r="M109" i="1"/>
  <c r="R109" i="1" s="1"/>
  <c r="N109" i="1"/>
  <c r="Q109" i="1" s="1"/>
  <c r="O109" i="1"/>
  <c r="L110" i="1"/>
  <c r="M110" i="1"/>
  <c r="R110" i="1" s="1"/>
  <c r="N110" i="1"/>
  <c r="Q110" i="1" s="1"/>
  <c r="O110" i="1"/>
  <c r="L111" i="1"/>
  <c r="M111" i="1"/>
  <c r="R111" i="1" s="1"/>
  <c r="N111" i="1"/>
  <c r="Q111" i="1" s="1"/>
  <c r="O111" i="1"/>
  <c r="L112" i="1"/>
  <c r="M112" i="1"/>
  <c r="R112" i="1" s="1"/>
  <c r="N112" i="1"/>
  <c r="Q112" i="1" s="1"/>
  <c r="O112" i="1"/>
  <c r="L113" i="1"/>
  <c r="M113" i="1"/>
  <c r="R113" i="1" s="1"/>
  <c r="N113" i="1"/>
  <c r="Q113" i="1" s="1"/>
  <c r="O113" i="1"/>
  <c r="L114" i="1"/>
  <c r="M114" i="1"/>
  <c r="R114" i="1" s="1"/>
  <c r="N114" i="1"/>
  <c r="Q114" i="1" s="1"/>
  <c r="O114" i="1"/>
  <c r="L115" i="1"/>
  <c r="M115" i="1"/>
  <c r="R115" i="1" s="1"/>
  <c r="N115" i="1"/>
  <c r="Q115" i="1" s="1"/>
  <c r="O115" i="1"/>
  <c r="L116" i="1"/>
  <c r="M116" i="1"/>
  <c r="R116" i="1" s="1"/>
  <c r="N116" i="1"/>
  <c r="Q116" i="1" s="1"/>
  <c r="O116" i="1"/>
  <c r="L117" i="1"/>
  <c r="M117" i="1"/>
  <c r="R117" i="1" s="1"/>
  <c r="N117" i="1"/>
  <c r="Q117" i="1" s="1"/>
  <c r="O117" i="1"/>
  <c r="L118" i="1"/>
  <c r="M118" i="1"/>
  <c r="R118" i="1" s="1"/>
  <c r="N118" i="1"/>
  <c r="Q118" i="1" s="1"/>
  <c r="O118" i="1"/>
  <c r="L119" i="1"/>
  <c r="M119" i="1"/>
  <c r="R119" i="1" s="1"/>
  <c r="N119" i="1"/>
  <c r="Q119" i="1" s="1"/>
  <c r="O119" i="1"/>
  <c r="L120" i="1"/>
  <c r="M120" i="1"/>
  <c r="R120" i="1" s="1"/>
  <c r="N120" i="1"/>
  <c r="Q120" i="1" s="1"/>
  <c r="O120" i="1"/>
  <c r="L121" i="1"/>
  <c r="M121" i="1"/>
  <c r="R121" i="1" s="1"/>
  <c r="N121" i="1"/>
  <c r="Q121" i="1" s="1"/>
  <c r="O121" i="1"/>
  <c r="L122" i="1"/>
  <c r="M122" i="1"/>
  <c r="R122" i="1" s="1"/>
  <c r="N122" i="1"/>
  <c r="Q122" i="1" s="1"/>
  <c r="O122" i="1"/>
  <c r="L123" i="1"/>
  <c r="M123" i="1"/>
  <c r="R123" i="1" s="1"/>
  <c r="N123" i="1"/>
  <c r="Q123" i="1" s="1"/>
  <c r="O123" i="1"/>
  <c r="L124" i="1"/>
  <c r="M124" i="1"/>
  <c r="R124" i="1" s="1"/>
  <c r="N124" i="1"/>
  <c r="Q124" i="1" s="1"/>
  <c r="O124" i="1"/>
  <c r="L125" i="1"/>
  <c r="M125" i="1"/>
  <c r="R125" i="1" s="1"/>
  <c r="N125" i="1"/>
  <c r="Q125" i="1" s="1"/>
  <c r="O125" i="1"/>
  <c r="L126" i="1"/>
  <c r="M126" i="1"/>
  <c r="R126" i="1" s="1"/>
  <c r="N126" i="1"/>
  <c r="Q126" i="1" s="1"/>
  <c r="O126" i="1"/>
  <c r="L127" i="1"/>
  <c r="M127" i="1"/>
  <c r="R127" i="1" s="1"/>
  <c r="N127" i="1"/>
  <c r="Q127" i="1" s="1"/>
  <c r="O127" i="1"/>
  <c r="L128" i="1"/>
  <c r="M128" i="1"/>
  <c r="R128" i="1" s="1"/>
  <c r="N128" i="1"/>
  <c r="Q128" i="1" s="1"/>
  <c r="O128" i="1"/>
  <c r="L129" i="1"/>
  <c r="M129" i="1"/>
  <c r="R129" i="1" s="1"/>
  <c r="N129" i="1"/>
  <c r="Q129" i="1" s="1"/>
  <c r="O129" i="1"/>
  <c r="L130" i="1"/>
  <c r="M130" i="1"/>
  <c r="R130" i="1" s="1"/>
  <c r="N130" i="1"/>
  <c r="Q130" i="1" s="1"/>
  <c r="O130" i="1"/>
  <c r="L131" i="1"/>
  <c r="M131" i="1"/>
  <c r="R131" i="1" s="1"/>
  <c r="N131" i="1"/>
  <c r="Q131" i="1" s="1"/>
  <c r="O131" i="1"/>
  <c r="L132" i="1"/>
  <c r="M132" i="1"/>
  <c r="R132" i="1" s="1"/>
  <c r="N132" i="1"/>
  <c r="Q132" i="1" s="1"/>
  <c r="O132" i="1"/>
  <c r="L133" i="1"/>
  <c r="M133" i="1"/>
  <c r="R133" i="1" s="1"/>
  <c r="N133" i="1"/>
  <c r="Q133" i="1" s="1"/>
  <c r="O133" i="1"/>
  <c r="L134" i="1"/>
  <c r="M134" i="1"/>
  <c r="R134" i="1" s="1"/>
  <c r="N134" i="1"/>
  <c r="Q134" i="1" s="1"/>
  <c r="O134" i="1"/>
  <c r="L135" i="1"/>
  <c r="M135" i="1"/>
  <c r="R135" i="1" s="1"/>
  <c r="N135" i="1"/>
  <c r="Q135" i="1" s="1"/>
  <c r="O135" i="1"/>
  <c r="L136" i="1"/>
  <c r="M136" i="1"/>
  <c r="R136" i="1" s="1"/>
  <c r="N136" i="1"/>
  <c r="Q136" i="1" s="1"/>
  <c r="O136" i="1"/>
  <c r="L137" i="1"/>
  <c r="M137" i="1"/>
  <c r="R137" i="1" s="1"/>
  <c r="N137" i="1"/>
  <c r="Q137" i="1" s="1"/>
  <c r="O137" i="1"/>
  <c r="L138" i="1"/>
  <c r="M138" i="1"/>
  <c r="R138" i="1" s="1"/>
  <c r="N138" i="1"/>
  <c r="Q138" i="1" s="1"/>
  <c r="O138" i="1"/>
  <c r="L139" i="1"/>
  <c r="M139" i="1"/>
  <c r="R139" i="1" s="1"/>
  <c r="N139" i="1"/>
  <c r="Q139" i="1" s="1"/>
  <c r="O139" i="1"/>
  <c r="L140" i="1"/>
  <c r="M140" i="1"/>
  <c r="R140" i="1" s="1"/>
  <c r="N140" i="1"/>
  <c r="Q140" i="1" s="1"/>
  <c r="O140" i="1"/>
  <c r="L141" i="1"/>
  <c r="M141" i="1"/>
  <c r="R141" i="1" s="1"/>
  <c r="N141" i="1"/>
  <c r="Q141" i="1" s="1"/>
  <c r="O141" i="1"/>
  <c r="L142" i="1"/>
  <c r="M142" i="1"/>
  <c r="R142" i="1" s="1"/>
  <c r="N142" i="1"/>
  <c r="Q142" i="1" s="1"/>
  <c r="O142" i="1"/>
  <c r="L143" i="1"/>
  <c r="M143" i="1"/>
  <c r="R143" i="1" s="1"/>
  <c r="N143" i="1"/>
  <c r="Q143" i="1" s="1"/>
  <c r="O143" i="1"/>
  <c r="L144" i="1"/>
  <c r="M144" i="1"/>
  <c r="R144" i="1" s="1"/>
  <c r="N144" i="1"/>
  <c r="Q144" i="1" s="1"/>
  <c r="O144" i="1"/>
  <c r="L145" i="1"/>
  <c r="M145" i="1"/>
  <c r="R145" i="1" s="1"/>
  <c r="N145" i="1"/>
  <c r="Q145" i="1" s="1"/>
  <c r="O145" i="1"/>
  <c r="L146" i="1"/>
  <c r="M146" i="1"/>
  <c r="R146" i="1" s="1"/>
  <c r="N146" i="1"/>
  <c r="Q146" i="1" s="1"/>
  <c r="O146" i="1"/>
  <c r="L147" i="1"/>
  <c r="M147" i="1"/>
  <c r="R147" i="1" s="1"/>
  <c r="N147" i="1"/>
  <c r="Q147" i="1" s="1"/>
  <c r="O147" i="1"/>
  <c r="L148" i="1"/>
  <c r="M148" i="1"/>
  <c r="R148" i="1" s="1"/>
  <c r="N148" i="1"/>
  <c r="Q148" i="1" s="1"/>
  <c r="O148" i="1"/>
  <c r="L149" i="1"/>
  <c r="M149" i="1"/>
  <c r="R149" i="1" s="1"/>
  <c r="N149" i="1"/>
  <c r="Q149" i="1" s="1"/>
  <c r="O149" i="1"/>
  <c r="L150" i="1"/>
  <c r="M150" i="1"/>
  <c r="R150" i="1" s="1"/>
  <c r="N150" i="1"/>
  <c r="Q150" i="1" s="1"/>
  <c r="O150" i="1"/>
  <c r="L151" i="1"/>
  <c r="M151" i="1"/>
  <c r="R151" i="1" s="1"/>
  <c r="N151" i="1"/>
  <c r="Q151" i="1" s="1"/>
  <c r="O151" i="1"/>
  <c r="L152" i="1"/>
  <c r="M152" i="1"/>
  <c r="R152" i="1" s="1"/>
  <c r="N152" i="1"/>
  <c r="Q152" i="1" s="1"/>
  <c r="O152" i="1"/>
  <c r="L153" i="1"/>
  <c r="M153" i="1"/>
  <c r="R153" i="1" s="1"/>
  <c r="N153" i="1"/>
  <c r="Q153" i="1" s="1"/>
  <c r="O153" i="1"/>
  <c r="L154" i="1"/>
  <c r="M154" i="1"/>
  <c r="R154" i="1" s="1"/>
  <c r="N154" i="1"/>
  <c r="Q154" i="1" s="1"/>
  <c r="O154" i="1"/>
  <c r="L155" i="1"/>
  <c r="M155" i="1"/>
  <c r="R155" i="1" s="1"/>
  <c r="N155" i="1"/>
  <c r="Q155" i="1" s="1"/>
  <c r="O155" i="1"/>
  <c r="L156" i="1"/>
  <c r="M156" i="1"/>
  <c r="R156" i="1" s="1"/>
  <c r="N156" i="1"/>
  <c r="Q156" i="1" s="1"/>
  <c r="O156" i="1"/>
  <c r="L157" i="1"/>
  <c r="M157" i="1"/>
  <c r="R157" i="1" s="1"/>
  <c r="N157" i="1"/>
  <c r="Q157" i="1" s="1"/>
  <c r="O157" i="1"/>
  <c r="L158" i="1"/>
  <c r="M158" i="1"/>
  <c r="R158" i="1" s="1"/>
  <c r="N158" i="1"/>
  <c r="Q158" i="1" s="1"/>
  <c r="O158" i="1"/>
  <c r="L159" i="1"/>
  <c r="M159" i="1"/>
  <c r="R159" i="1" s="1"/>
  <c r="N159" i="1"/>
  <c r="Q159" i="1" s="1"/>
  <c r="O159" i="1"/>
  <c r="L160" i="1"/>
  <c r="M160" i="1"/>
  <c r="R160" i="1" s="1"/>
  <c r="N160" i="1"/>
  <c r="Q160" i="1" s="1"/>
  <c r="O160" i="1"/>
  <c r="L161" i="1"/>
  <c r="M161" i="1"/>
  <c r="R161" i="1" s="1"/>
  <c r="N161" i="1"/>
  <c r="Q161" i="1" s="1"/>
  <c r="O161" i="1"/>
  <c r="L162" i="1"/>
  <c r="M162" i="1"/>
  <c r="R162" i="1" s="1"/>
  <c r="N162" i="1"/>
  <c r="Q162" i="1" s="1"/>
  <c r="O162" i="1"/>
  <c r="L163" i="1"/>
  <c r="M163" i="1"/>
  <c r="R163" i="1" s="1"/>
  <c r="N163" i="1"/>
  <c r="Q163" i="1" s="1"/>
  <c r="O163" i="1"/>
  <c r="L164" i="1"/>
  <c r="M164" i="1"/>
  <c r="R164" i="1" s="1"/>
  <c r="N164" i="1"/>
  <c r="Q164" i="1" s="1"/>
  <c r="O164" i="1"/>
  <c r="L165" i="1"/>
  <c r="M165" i="1"/>
  <c r="R165" i="1" s="1"/>
  <c r="N165" i="1"/>
  <c r="Q165" i="1" s="1"/>
  <c r="O165" i="1"/>
  <c r="L166" i="1"/>
  <c r="M166" i="1"/>
  <c r="R166" i="1" s="1"/>
  <c r="N166" i="1"/>
  <c r="Q166" i="1" s="1"/>
  <c r="O166" i="1"/>
  <c r="L167" i="1"/>
  <c r="M167" i="1"/>
  <c r="R167" i="1" s="1"/>
  <c r="N167" i="1"/>
  <c r="Q167" i="1" s="1"/>
  <c r="O167" i="1"/>
  <c r="L168" i="1"/>
  <c r="M168" i="1"/>
  <c r="R168" i="1" s="1"/>
  <c r="N168" i="1"/>
  <c r="Q168" i="1" s="1"/>
  <c r="O168" i="1"/>
  <c r="L169" i="1"/>
  <c r="M169" i="1"/>
  <c r="R169" i="1" s="1"/>
  <c r="N169" i="1"/>
  <c r="Q169" i="1" s="1"/>
  <c r="O169" i="1"/>
  <c r="L170" i="1"/>
  <c r="M170" i="1"/>
  <c r="R170" i="1" s="1"/>
  <c r="N170" i="1"/>
  <c r="Q170" i="1" s="1"/>
  <c r="O170" i="1"/>
  <c r="L171" i="1"/>
  <c r="M171" i="1"/>
  <c r="R171" i="1" s="1"/>
  <c r="N171" i="1"/>
  <c r="Q171" i="1" s="1"/>
  <c r="O171" i="1"/>
  <c r="L172" i="1"/>
  <c r="M172" i="1"/>
  <c r="R172" i="1" s="1"/>
  <c r="N172" i="1"/>
  <c r="Q172" i="1" s="1"/>
  <c r="O172" i="1"/>
  <c r="L173" i="1"/>
  <c r="M173" i="1"/>
  <c r="R173" i="1" s="1"/>
  <c r="N173" i="1"/>
  <c r="Q173" i="1" s="1"/>
  <c r="O173" i="1"/>
  <c r="L174" i="1"/>
  <c r="M174" i="1"/>
  <c r="R174" i="1" s="1"/>
  <c r="N174" i="1"/>
  <c r="Q174" i="1" s="1"/>
  <c r="O174" i="1"/>
  <c r="L175" i="1"/>
  <c r="M175" i="1"/>
  <c r="R175" i="1" s="1"/>
  <c r="N175" i="1"/>
  <c r="Q175" i="1" s="1"/>
  <c r="O175" i="1"/>
  <c r="L176" i="1"/>
  <c r="M176" i="1"/>
  <c r="R176" i="1" s="1"/>
  <c r="N176" i="1"/>
  <c r="Q176" i="1" s="1"/>
  <c r="O176" i="1"/>
  <c r="L177" i="1"/>
  <c r="M177" i="1"/>
  <c r="R177" i="1" s="1"/>
  <c r="N177" i="1"/>
  <c r="Q177" i="1" s="1"/>
  <c r="O177" i="1"/>
  <c r="L178" i="1"/>
  <c r="M178" i="1"/>
  <c r="R178" i="1" s="1"/>
  <c r="N178" i="1"/>
  <c r="Q178" i="1" s="1"/>
  <c r="O178" i="1"/>
  <c r="L179" i="1"/>
  <c r="M179" i="1"/>
  <c r="R179" i="1" s="1"/>
  <c r="N179" i="1"/>
  <c r="Q179" i="1" s="1"/>
  <c r="O179" i="1"/>
  <c r="L180" i="1"/>
  <c r="M180" i="1"/>
  <c r="R180" i="1" s="1"/>
  <c r="N180" i="1"/>
  <c r="Q180" i="1" s="1"/>
  <c r="O180" i="1"/>
  <c r="L181" i="1"/>
  <c r="M181" i="1"/>
  <c r="R181" i="1" s="1"/>
  <c r="N181" i="1"/>
  <c r="Q181" i="1" s="1"/>
  <c r="O181" i="1"/>
  <c r="L182" i="1"/>
  <c r="M182" i="1"/>
  <c r="R182" i="1" s="1"/>
  <c r="N182" i="1"/>
  <c r="Q182" i="1" s="1"/>
  <c r="O182" i="1"/>
  <c r="L183" i="1"/>
  <c r="M183" i="1"/>
  <c r="R183" i="1" s="1"/>
  <c r="N183" i="1"/>
  <c r="Q183" i="1" s="1"/>
  <c r="O183" i="1"/>
  <c r="L184" i="1"/>
  <c r="M184" i="1"/>
  <c r="R184" i="1" s="1"/>
  <c r="N184" i="1"/>
  <c r="Q184" i="1" s="1"/>
  <c r="O184" i="1"/>
  <c r="L185" i="1"/>
  <c r="M185" i="1"/>
  <c r="R185" i="1" s="1"/>
  <c r="N185" i="1"/>
  <c r="Q185" i="1" s="1"/>
  <c r="O185" i="1"/>
  <c r="L186" i="1"/>
  <c r="M186" i="1"/>
  <c r="R186" i="1" s="1"/>
  <c r="N186" i="1"/>
  <c r="Q186" i="1" s="1"/>
  <c r="O186" i="1"/>
  <c r="L187" i="1"/>
  <c r="M187" i="1"/>
  <c r="R187" i="1" s="1"/>
  <c r="N187" i="1"/>
  <c r="Q187" i="1" s="1"/>
  <c r="O187" i="1"/>
  <c r="L188" i="1"/>
  <c r="M188" i="1"/>
  <c r="R188" i="1" s="1"/>
  <c r="N188" i="1"/>
  <c r="Q188" i="1" s="1"/>
  <c r="O188" i="1"/>
  <c r="L189" i="1"/>
  <c r="M189" i="1"/>
  <c r="R189" i="1" s="1"/>
  <c r="N189" i="1"/>
  <c r="Q189" i="1" s="1"/>
  <c r="O189" i="1"/>
  <c r="L190" i="1"/>
  <c r="M190" i="1"/>
  <c r="R190" i="1" s="1"/>
  <c r="N190" i="1"/>
  <c r="Q190" i="1" s="1"/>
  <c r="O190" i="1"/>
  <c r="L191" i="1"/>
  <c r="M191" i="1"/>
  <c r="R191" i="1" s="1"/>
  <c r="N191" i="1"/>
  <c r="Q191" i="1" s="1"/>
  <c r="O191" i="1"/>
  <c r="L192" i="1"/>
  <c r="M192" i="1"/>
  <c r="R192" i="1" s="1"/>
  <c r="N192" i="1"/>
  <c r="Q192" i="1" s="1"/>
  <c r="O192" i="1"/>
  <c r="L193" i="1"/>
  <c r="M193" i="1"/>
  <c r="R193" i="1" s="1"/>
  <c r="N193" i="1"/>
  <c r="Q193" i="1" s="1"/>
  <c r="O193" i="1"/>
  <c r="L194" i="1"/>
  <c r="M194" i="1"/>
  <c r="R194" i="1" s="1"/>
  <c r="N194" i="1"/>
  <c r="Q194" i="1" s="1"/>
  <c r="O194" i="1"/>
  <c r="L195" i="1"/>
  <c r="M195" i="1"/>
  <c r="R195" i="1" s="1"/>
  <c r="N195" i="1"/>
  <c r="Q195" i="1" s="1"/>
  <c r="O195" i="1"/>
  <c r="L196" i="1"/>
  <c r="M196" i="1"/>
  <c r="R196" i="1" s="1"/>
  <c r="N196" i="1"/>
  <c r="Q196" i="1" s="1"/>
  <c r="O196" i="1"/>
  <c r="L197" i="1"/>
  <c r="M197" i="1"/>
  <c r="R197" i="1" s="1"/>
  <c r="N197" i="1"/>
  <c r="Q197" i="1" s="1"/>
  <c r="O197" i="1"/>
  <c r="L198" i="1"/>
  <c r="M198" i="1"/>
  <c r="R198" i="1" s="1"/>
  <c r="N198" i="1"/>
  <c r="Q198" i="1" s="1"/>
  <c r="O198" i="1"/>
  <c r="L199" i="1"/>
  <c r="M199" i="1"/>
  <c r="R199" i="1" s="1"/>
  <c r="N199" i="1"/>
  <c r="Q199" i="1" s="1"/>
  <c r="O199" i="1"/>
  <c r="L200" i="1"/>
  <c r="M200" i="1"/>
  <c r="R200" i="1" s="1"/>
  <c r="N200" i="1"/>
  <c r="Q200" i="1" s="1"/>
  <c r="O200" i="1"/>
  <c r="L201" i="1"/>
  <c r="M201" i="1"/>
  <c r="R201" i="1" s="1"/>
  <c r="N201" i="1"/>
  <c r="Q201" i="1" s="1"/>
  <c r="O201" i="1"/>
  <c r="L202" i="1"/>
  <c r="M202" i="1"/>
  <c r="R202" i="1" s="1"/>
  <c r="N202" i="1"/>
  <c r="Q202" i="1" s="1"/>
  <c r="O202" i="1"/>
  <c r="L203" i="1"/>
  <c r="M203" i="1"/>
  <c r="R203" i="1" s="1"/>
  <c r="N203" i="1"/>
  <c r="Q203" i="1" s="1"/>
  <c r="O203" i="1"/>
  <c r="L204" i="1"/>
  <c r="M204" i="1"/>
  <c r="R204" i="1" s="1"/>
  <c r="N204" i="1"/>
  <c r="Q204" i="1" s="1"/>
  <c r="O204" i="1"/>
  <c r="L205" i="1"/>
  <c r="M205" i="1"/>
  <c r="R205" i="1" s="1"/>
  <c r="N205" i="1"/>
  <c r="Q205" i="1" s="1"/>
  <c r="O205" i="1"/>
  <c r="L206" i="1"/>
  <c r="M206" i="1"/>
  <c r="R206" i="1" s="1"/>
  <c r="N206" i="1"/>
  <c r="Q206" i="1" s="1"/>
  <c r="O206" i="1"/>
  <c r="L207" i="1"/>
  <c r="M207" i="1"/>
  <c r="R207" i="1" s="1"/>
  <c r="N207" i="1"/>
  <c r="Q207" i="1" s="1"/>
  <c r="O207" i="1"/>
  <c r="L208" i="1"/>
  <c r="M208" i="1"/>
  <c r="R208" i="1" s="1"/>
  <c r="N208" i="1"/>
  <c r="Q208" i="1" s="1"/>
  <c r="O208" i="1"/>
  <c r="L209" i="1"/>
  <c r="M209" i="1"/>
  <c r="R209" i="1" s="1"/>
  <c r="N209" i="1"/>
  <c r="Q209" i="1" s="1"/>
  <c r="O209" i="1"/>
  <c r="L210" i="1"/>
  <c r="M210" i="1"/>
  <c r="R210" i="1" s="1"/>
  <c r="N210" i="1"/>
  <c r="Q210" i="1" s="1"/>
  <c r="O210" i="1"/>
  <c r="L211" i="1"/>
  <c r="M211" i="1"/>
  <c r="R211" i="1" s="1"/>
  <c r="N211" i="1"/>
  <c r="Q211" i="1" s="1"/>
  <c r="O211" i="1"/>
  <c r="L212" i="1"/>
  <c r="M212" i="1"/>
  <c r="R212" i="1" s="1"/>
  <c r="N212" i="1"/>
  <c r="Q212" i="1" s="1"/>
  <c r="O212" i="1"/>
  <c r="L213" i="1"/>
  <c r="M213" i="1"/>
  <c r="R213" i="1" s="1"/>
  <c r="N213" i="1"/>
  <c r="Q213" i="1" s="1"/>
  <c r="O213" i="1"/>
  <c r="L214" i="1"/>
  <c r="M214" i="1"/>
  <c r="R214" i="1" s="1"/>
  <c r="N214" i="1"/>
  <c r="Q214" i="1" s="1"/>
  <c r="O214" i="1"/>
  <c r="L215" i="1"/>
  <c r="M215" i="1"/>
  <c r="R215" i="1" s="1"/>
  <c r="N215" i="1"/>
  <c r="Q215" i="1" s="1"/>
  <c r="O215" i="1"/>
  <c r="L216" i="1"/>
  <c r="M216" i="1"/>
  <c r="R216" i="1" s="1"/>
  <c r="N216" i="1"/>
  <c r="Q216" i="1" s="1"/>
  <c r="O216" i="1"/>
  <c r="L217" i="1"/>
  <c r="M217" i="1"/>
  <c r="R217" i="1" s="1"/>
  <c r="N217" i="1"/>
  <c r="Q217" i="1" s="1"/>
  <c r="O217" i="1"/>
  <c r="L218" i="1"/>
  <c r="M218" i="1"/>
  <c r="R218" i="1" s="1"/>
  <c r="N218" i="1"/>
  <c r="Q218" i="1" s="1"/>
  <c r="O218" i="1"/>
  <c r="L219" i="1"/>
  <c r="M219" i="1"/>
  <c r="R219" i="1" s="1"/>
  <c r="N219" i="1"/>
  <c r="Q219" i="1" s="1"/>
  <c r="O219" i="1"/>
  <c r="L220" i="1"/>
  <c r="M220" i="1"/>
  <c r="R220" i="1" s="1"/>
  <c r="N220" i="1"/>
  <c r="Q220" i="1" s="1"/>
  <c r="O220" i="1"/>
  <c r="L221" i="1"/>
  <c r="M221" i="1"/>
  <c r="R221" i="1" s="1"/>
  <c r="N221" i="1"/>
  <c r="Q221" i="1" s="1"/>
  <c r="O221" i="1"/>
  <c r="L222" i="1"/>
  <c r="M222" i="1"/>
  <c r="R222" i="1" s="1"/>
  <c r="N222" i="1"/>
  <c r="Q222" i="1" s="1"/>
  <c r="O222" i="1"/>
  <c r="L223" i="1"/>
  <c r="M223" i="1"/>
  <c r="R223" i="1" s="1"/>
  <c r="N223" i="1"/>
  <c r="Q223" i="1" s="1"/>
  <c r="O223" i="1"/>
  <c r="L224" i="1"/>
  <c r="M224" i="1"/>
  <c r="R224" i="1" s="1"/>
  <c r="N224" i="1"/>
  <c r="Q224" i="1" s="1"/>
  <c r="O224" i="1"/>
  <c r="L225" i="1"/>
  <c r="M225" i="1"/>
  <c r="R225" i="1" s="1"/>
  <c r="N225" i="1"/>
  <c r="Q225" i="1" s="1"/>
  <c r="O225" i="1"/>
  <c r="L226" i="1"/>
  <c r="M226" i="1"/>
  <c r="R226" i="1" s="1"/>
  <c r="N226" i="1"/>
  <c r="Q226" i="1" s="1"/>
  <c r="O226" i="1"/>
  <c r="L227" i="1"/>
  <c r="M227" i="1"/>
  <c r="R227" i="1" s="1"/>
  <c r="N227" i="1"/>
  <c r="Q227" i="1" s="1"/>
  <c r="O227" i="1"/>
  <c r="L228" i="1"/>
  <c r="M228" i="1"/>
  <c r="R228" i="1" s="1"/>
  <c r="N228" i="1"/>
  <c r="Q228" i="1" s="1"/>
  <c r="O228" i="1"/>
  <c r="L229" i="1"/>
  <c r="M229" i="1"/>
  <c r="R229" i="1" s="1"/>
  <c r="N229" i="1"/>
  <c r="Q229" i="1" s="1"/>
  <c r="O229" i="1"/>
  <c r="L230" i="1"/>
  <c r="M230" i="1"/>
  <c r="R230" i="1" s="1"/>
  <c r="N230" i="1"/>
  <c r="Q230" i="1" s="1"/>
  <c r="O230" i="1"/>
  <c r="L231" i="1"/>
  <c r="M231" i="1"/>
  <c r="R231" i="1" s="1"/>
  <c r="N231" i="1"/>
  <c r="Q231" i="1" s="1"/>
  <c r="O231" i="1"/>
  <c r="L232" i="1"/>
  <c r="M232" i="1"/>
  <c r="R232" i="1" s="1"/>
  <c r="N232" i="1"/>
  <c r="Q232" i="1" s="1"/>
  <c r="O232" i="1"/>
  <c r="L233" i="1"/>
  <c r="M233" i="1"/>
  <c r="R233" i="1" s="1"/>
  <c r="N233" i="1"/>
  <c r="Q233" i="1" s="1"/>
  <c r="O233" i="1"/>
  <c r="L234" i="1"/>
  <c r="M234" i="1"/>
  <c r="R234" i="1" s="1"/>
  <c r="N234" i="1"/>
  <c r="Q234" i="1" s="1"/>
  <c r="O234" i="1"/>
  <c r="L235" i="1"/>
  <c r="M235" i="1"/>
  <c r="R235" i="1" s="1"/>
  <c r="N235" i="1"/>
  <c r="Q235" i="1" s="1"/>
  <c r="O235" i="1"/>
  <c r="L236" i="1"/>
  <c r="M236" i="1"/>
  <c r="R236" i="1" s="1"/>
  <c r="N236" i="1"/>
  <c r="Q236" i="1" s="1"/>
  <c r="O236" i="1"/>
  <c r="L237" i="1"/>
  <c r="M237" i="1"/>
  <c r="R237" i="1" s="1"/>
  <c r="N237" i="1"/>
  <c r="Q237" i="1" s="1"/>
  <c r="O237" i="1"/>
  <c r="L238" i="1"/>
  <c r="M238" i="1"/>
  <c r="R238" i="1" s="1"/>
  <c r="N238" i="1"/>
  <c r="Q238" i="1" s="1"/>
  <c r="O238" i="1"/>
  <c r="L239" i="1"/>
  <c r="M239" i="1"/>
  <c r="R239" i="1" s="1"/>
  <c r="N239" i="1"/>
  <c r="Q239" i="1" s="1"/>
  <c r="O239" i="1"/>
  <c r="L240" i="1"/>
  <c r="M240" i="1"/>
  <c r="R240" i="1" s="1"/>
  <c r="N240" i="1"/>
  <c r="Q240" i="1" s="1"/>
  <c r="O240" i="1"/>
  <c r="L241" i="1"/>
  <c r="M241" i="1"/>
  <c r="R241" i="1" s="1"/>
  <c r="N241" i="1"/>
  <c r="Q241" i="1" s="1"/>
  <c r="O241" i="1"/>
  <c r="L242" i="1"/>
  <c r="M242" i="1"/>
  <c r="R242" i="1" s="1"/>
  <c r="N242" i="1"/>
  <c r="Q242" i="1" s="1"/>
  <c r="O242" i="1"/>
  <c r="L243" i="1"/>
  <c r="M243" i="1"/>
  <c r="R243" i="1" s="1"/>
  <c r="N243" i="1"/>
  <c r="Q243" i="1" s="1"/>
  <c r="O243" i="1"/>
  <c r="L244" i="1"/>
  <c r="M244" i="1"/>
  <c r="R244" i="1" s="1"/>
  <c r="N244" i="1"/>
  <c r="Q244" i="1" s="1"/>
  <c r="O244" i="1"/>
  <c r="L245" i="1"/>
  <c r="M245" i="1"/>
  <c r="R245" i="1" s="1"/>
  <c r="N245" i="1"/>
  <c r="Q245" i="1" s="1"/>
  <c r="O245" i="1"/>
  <c r="L246" i="1"/>
  <c r="M246" i="1"/>
  <c r="R246" i="1" s="1"/>
  <c r="N246" i="1"/>
  <c r="Q246" i="1" s="1"/>
  <c r="O246" i="1"/>
  <c r="L247" i="1"/>
  <c r="M247" i="1"/>
  <c r="R247" i="1" s="1"/>
  <c r="N247" i="1"/>
  <c r="Q247" i="1" s="1"/>
  <c r="O247" i="1"/>
  <c r="L248" i="1"/>
  <c r="M248" i="1"/>
  <c r="R248" i="1" s="1"/>
  <c r="U248" i="1" s="1"/>
  <c r="N248" i="1"/>
  <c r="Q248" i="1" s="1"/>
  <c r="O248" i="1"/>
  <c r="L249" i="1"/>
  <c r="M249" i="1"/>
  <c r="R249" i="1" s="1"/>
  <c r="N249" i="1"/>
  <c r="Q249" i="1" s="1"/>
  <c r="O249" i="1"/>
  <c r="L250" i="1"/>
  <c r="M250" i="1"/>
  <c r="R250" i="1" s="1"/>
  <c r="N250" i="1"/>
  <c r="Q250" i="1" s="1"/>
  <c r="O250" i="1"/>
  <c r="L251" i="1"/>
  <c r="M251" i="1"/>
  <c r="R251" i="1" s="1"/>
  <c r="N251" i="1"/>
  <c r="Q251" i="1" s="1"/>
  <c r="O251" i="1"/>
  <c r="L252" i="1"/>
  <c r="M252" i="1"/>
  <c r="R252" i="1" s="1"/>
  <c r="N252" i="1"/>
  <c r="Q252" i="1" s="1"/>
  <c r="O252" i="1"/>
  <c r="L253" i="1"/>
  <c r="M253" i="1"/>
  <c r="R253" i="1" s="1"/>
  <c r="N253" i="1"/>
  <c r="Q253" i="1" s="1"/>
  <c r="O253" i="1"/>
  <c r="L254" i="1"/>
  <c r="M254" i="1"/>
  <c r="R254" i="1" s="1"/>
  <c r="N254" i="1"/>
  <c r="Q254" i="1" s="1"/>
  <c r="O254" i="1"/>
  <c r="L255" i="1"/>
  <c r="M255" i="1"/>
  <c r="R255" i="1" s="1"/>
  <c r="N255" i="1"/>
  <c r="Q255" i="1" s="1"/>
  <c r="O255" i="1"/>
  <c r="L256" i="1"/>
  <c r="M256" i="1"/>
  <c r="R256" i="1" s="1"/>
  <c r="N256" i="1"/>
  <c r="Q256" i="1" s="1"/>
  <c r="O256" i="1"/>
  <c r="L257" i="1"/>
  <c r="M257" i="1"/>
  <c r="R257" i="1" s="1"/>
  <c r="N257" i="1"/>
  <c r="Q257" i="1" s="1"/>
  <c r="O257" i="1"/>
  <c r="L258" i="1"/>
  <c r="M258" i="1"/>
  <c r="R258" i="1" s="1"/>
  <c r="N258" i="1"/>
  <c r="Q258" i="1" s="1"/>
  <c r="O258" i="1"/>
  <c r="L259" i="1"/>
  <c r="M259" i="1"/>
  <c r="R259" i="1" s="1"/>
  <c r="N259" i="1"/>
  <c r="Q259" i="1" s="1"/>
  <c r="O259" i="1"/>
  <c r="L260" i="1"/>
  <c r="M260" i="1"/>
  <c r="R260" i="1" s="1"/>
  <c r="N260" i="1"/>
  <c r="Q260" i="1" s="1"/>
  <c r="O260" i="1"/>
  <c r="L261" i="1"/>
  <c r="M261" i="1"/>
  <c r="R261" i="1" s="1"/>
  <c r="N261" i="1"/>
  <c r="Q261" i="1" s="1"/>
  <c r="O261" i="1"/>
  <c r="L262" i="1"/>
  <c r="M262" i="1"/>
  <c r="R262" i="1" s="1"/>
  <c r="N262" i="1"/>
  <c r="Q262" i="1" s="1"/>
  <c r="O262" i="1"/>
  <c r="L263" i="1"/>
  <c r="M263" i="1"/>
  <c r="R263" i="1" s="1"/>
  <c r="N263" i="1"/>
  <c r="Q263" i="1" s="1"/>
  <c r="O263" i="1"/>
  <c r="L264" i="1"/>
  <c r="M264" i="1"/>
  <c r="R264" i="1" s="1"/>
  <c r="N264" i="1"/>
  <c r="Q264" i="1" s="1"/>
  <c r="O264" i="1"/>
  <c r="L265" i="1"/>
  <c r="M265" i="1"/>
  <c r="R265" i="1" s="1"/>
  <c r="N265" i="1"/>
  <c r="Q265" i="1" s="1"/>
  <c r="O265" i="1"/>
  <c r="L266" i="1"/>
  <c r="M266" i="1"/>
  <c r="R266" i="1" s="1"/>
  <c r="N266" i="1"/>
  <c r="Q266" i="1" s="1"/>
  <c r="O266" i="1"/>
  <c r="L267" i="1"/>
  <c r="M267" i="1"/>
  <c r="R267" i="1" s="1"/>
  <c r="N267" i="1"/>
  <c r="Q267" i="1" s="1"/>
  <c r="O267" i="1"/>
  <c r="L268" i="1"/>
  <c r="M268" i="1"/>
  <c r="R268" i="1" s="1"/>
  <c r="N268" i="1"/>
  <c r="Q268" i="1" s="1"/>
  <c r="O268" i="1"/>
  <c r="L269" i="1"/>
  <c r="M269" i="1"/>
  <c r="R269" i="1" s="1"/>
  <c r="N269" i="1"/>
  <c r="Q269" i="1" s="1"/>
  <c r="O269" i="1"/>
  <c r="L270" i="1"/>
  <c r="M270" i="1"/>
  <c r="R270" i="1" s="1"/>
  <c r="N270" i="1"/>
  <c r="Q270" i="1" s="1"/>
  <c r="O270" i="1"/>
  <c r="L271" i="1"/>
  <c r="M271" i="1"/>
  <c r="R271" i="1" s="1"/>
  <c r="N271" i="1"/>
  <c r="Q271" i="1" s="1"/>
  <c r="O271" i="1"/>
  <c r="L272" i="1"/>
  <c r="M272" i="1"/>
  <c r="R272" i="1" s="1"/>
  <c r="N272" i="1"/>
  <c r="Q272" i="1" s="1"/>
  <c r="O272" i="1"/>
  <c r="L273" i="1"/>
  <c r="M273" i="1"/>
  <c r="R273" i="1" s="1"/>
  <c r="N273" i="1"/>
  <c r="Q273" i="1" s="1"/>
  <c r="O273" i="1"/>
  <c r="L274" i="1"/>
  <c r="M274" i="1"/>
  <c r="R274" i="1" s="1"/>
  <c r="N274" i="1"/>
  <c r="Q274" i="1" s="1"/>
  <c r="O274" i="1"/>
  <c r="L275" i="1"/>
  <c r="M275" i="1"/>
  <c r="R275" i="1" s="1"/>
  <c r="N275" i="1"/>
  <c r="Q275" i="1" s="1"/>
  <c r="O275" i="1"/>
  <c r="L276" i="1"/>
  <c r="M276" i="1"/>
  <c r="R276" i="1" s="1"/>
  <c r="N276" i="1"/>
  <c r="Q276" i="1" s="1"/>
  <c r="O276" i="1"/>
  <c r="L277" i="1"/>
  <c r="M277" i="1"/>
  <c r="R277" i="1" s="1"/>
  <c r="N277" i="1"/>
  <c r="Q277" i="1" s="1"/>
  <c r="O277" i="1"/>
  <c r="L278" i="1"/>
  <c r="M278" i="1"/>
  <c r="R278" i="1" s="1"/>
  <c r="N278" i="1"/>
  <c r="Q278" i="1" s="1"/>
  <c r="O278" i="1"/>
  <c r="L279" i="1"/>
  <c r="M279" i="1"/>
  <c r="R279" i="1" s="1"/>
  <c r="N279" i="1"/>
  <c r="Q279" i="1" s="1"/>
  <c r="O279" i="1"/>
  <c r="L280" i="1"/>
  <c r="M280" i="1"/>
  <c r="R280" i="1" s="1"/>
  <c r="N280" i="1"/>
  <c r="Q280" i="1" s="1"/>
  <c r="O280" i="1"/>
  <c r="L281" i="1"/>
  <c r="M281" i="1"/>
  <c r="R281" i="1" s="1"/>
  <c r="N281" i="1"/>
  <c r="Q281" i="1" s="1"/>
  <c r="O281" i="1"/>
  <c r="L282" i="1"/>
  <c r="M282" i="1"/>
  <c r="R282" i="1" s="1"/>
  <c r="N282" i="1"/>
  <c r="Q282" i="1" s="1"/>
  <c r="O282" i="1"/>
  <c r="L283" i="1"/>
  <c r="M283" i="1"/>
  <c r="R283" i="1" s="1"/>
  <c r="N283" i="1"/>
  <c r="Q283" i="1" s="1"/>
  <c r="O283" i="1"/>
  <c r="L284" i="1"/>
  <c r="M284" i="1"/>
  <c r="R284" i="1" s="1"/>
  <c r="N284" i="1"/>
  <c r="Q284" i="1" s="1"/>
  <c r="O284" i="1"/>
  <c r="L285" i="1"/>
  <c r="M285" i="1"/>
  <c r="R285" i="1" s="1"/>
  <c r="N285" i="1"/>
  <c r="Q285" i="1" s="1"/>
  <c r="O285" i="1"/>
  <c r="L286" i="1"/>
  <c r="M286" i="1"/>
  <c r="R286" i="1" s="1"/>
  <c r="N286" i="1"/>
  <c r="Q286" i="1" s="1"/>
  <c r="O286" i="1"/>
  <c r="L287" i="1"/>
  <c r="M287" i="1"/>
  <c r="R287" i="1" s="1"/>
  <c r="N287" i="1"/>
  <c r="Q287" i="1" s="1"/>
  <c r="O287" i="1"/>
  <c r="L288" i="1"/>
  <c r="M288" i="1"/>
  <c r="R288" i="1" s="1"/>
  <c r="N288" i="1"/>
  <c r="Q288" i="1" s="1"/>
  <c r="O288" i="1"/>
  <c r="L289" i="1"/>
  <c r="M289" i="1"/>
  <c r="R289" i="1" s="1"/>
  <c r="N289" i="1"/>
  <c r="Q289" i="1" s="1"/>
  <c r="O289" i="1"/>
  <c r="L290" i="1"/>
  <c r="M290" i="1"/>
  <c r="R290" i="1" s="1"/>
  <c r="N290" i="1"/>
  <c r="Q290" i="1" s="1"/>
  <c r="O290" i="1"/>
  <c r="L291" i="1"/>
  <c r="M291" i="1"/>
  <c r="R291" i="1" s="1"/>
  <c r="N291" i="1"/>
  <c r="Q291" i="1" s="1"/>
  <c r="O291" i="1"/>
  <c r="L292" i="1"/>
  <c r="M292" i="1"/>
  <c r="R292" i="1" s="1"/>
  <c r="N292" i="1"/>
  <c r="Q292" i="1" s="1"/>
  <c r="O292" i="1"/>
  <c r="L293" i="1"/>
  <c r="M293" i="1"/>
  <c r="R293" i="1" s="1"/>
  <c r="N293" i="1"/>
  <c r="Q293" i="1" s="1"/>
  <c r="O293" i="1"/>
  <c r="L294" i="1"/>
  <c r="M294" i="1"/>
  <c r="R294" i="1" s="1"/>
  <c r="N294" i="1"/>
  <c r="Q294" i="1" s="1"/>
  <c r="O294" i="1"/>
  <c r="L295" i="1"/>
  <c r="M295" i="1"/>
  <c r="R295" i="1" s="1"/>
  <c r="N295" i="1"/>
  <c r="Q295" i="1" s="1"/>
  <c r="O295" i="1"/>
  <c r="L296" i="1"/>
  <c r="M296" i="1"/>
  <c r="R296" i="1" s="1"/>
  <c r="N296" i="1"/>
  <c r="Q296" i="1" s="1"/>
  <c r="O296" i="1"/>
  <c r="L297" i="1"/>
  <c r="M297" i="1"/>
  <c r="R297" i="1" s="1"/>
  <c r="N297" i="1"/>
  <c r="Q297" i="1" s="1"/>
  <c r="O297" i="1"/>
  <c r="L298" i="1"/>
  <c r="M298" i="1"/>
  <c r="R298" i="1" s="1"/>
  <c r="N298" i="1"/>
  <c r="Q298" i="1" s="1"/>
  <c r="O298" i="1"/>
  <c r="L299" i="1"/>
  <c r="M299" i="1"/>
  <c r="R299" i="1" s="1"/>
  <c r="N299" i="1"/>
  <c r="Q299" i="1" s="1"/>
  <c r="O299" i="1"/>
  <c r="L300" i="1"/>
  <c r="M300" i="1"/>
  <c r="R300" i="1" s="1"/>
  <c r="N300" i="1"/>
  <c r="Q300" i="1" s="1"/>
  <c r="O300" i="1"/>
  <c r="L301" i="1"/>
  <c r="M301" i="1"/>
  <c r="R301" i="1" s="1"/>
  <c r="N301" i="1"/>
  <c r="Q301" i="1" s="1"/>
  <c r="O301" i="1"/>
  <c r="L302" i="1"/>
  <c r="M302" i="1"/>
  <c r="R302" i="1" s="1"/>
  <c r="N302" i="1"/>
  <c r="Q302" i="1" s="1"/>
  <c r="O302" i="1"/>
  <c r="L303" i="1"/>
  <c r="M303" i="1"/>
  <c r="R303" i="1" s="1"/>
  <c r="N303" i="1"/>
  <c r="Q303" i="1" s="1"/>
  <c r="O303" i="1"/>
  <c r="L304" i="1"/>
  <c r="M304" i="1"/>
  <c r="R304" i="1" s="1"/>
  <c r="N304" i="1"/>
  <c r="Q304" i="1" s="1"/>
  <c r="O304" i="1"/>
  <c r="L305" i="1"/>
  <c r="M305" i="1"/>
  <c r="R305" i="1" s="1"/>
  <c r="N305" i="1"/>
  <c r="Q305" i="1" s="1"/>
  <c r="O305" i="1"/>
  <c r="L306" i="1"/>
  <c r="M306" i="1"/>
  <c r="R306" i="1" s="1"/>
  <c r="N306" i="1"/>
  <c r="Q306" i="1" s="1"/>
  <c r="O306" i="1"/>
  <c r="L307" i="1"/>
  <c r="M307" i="1"/>
  <c r="R307" i="1" s="1"/>
  <c r="N307" i="1"/>
  <c r="Q307" i="1" s="1"/>
  <c r="O307" i="1"/>
  <c r="L308" i="1"/>
  <c r="M308" i="1"/>
  <c r="R308" i="1" s="1"/>
  <c r="N308" i="1"/>
  <c r="Q308" i="1" s="1"/>
  <c r="O308" i="1"/>
  <c r="L309" i="1"/>
  <c r="M309" i="1"/>
  <c r="R309" i="1" s="1"/>
  <c r="N309" i="1"/>
  <c r="Q309" i="1" s="1"/>
  <c r="O309" i="1"/>
  <c r="L310" i="1"/>
  <c r="M310" i="1"/>
  <c r="R310" i="1" s="1"/>
  <c r="N310" i="1"/>
  <c r="Q310" i="1" s="1"/>
  <c r="O310" i="1"/>
  <c r="L311" i="1"/>
  <c r="M311" i="1"/>
  <c r="R311" i="1" s="1"/>
  <c r="N311" i="1"/>
  <c r="Q311" i="1" s="1"/>
  <c r="O311" i="1"/>
  <c r="L312" i="1"/>
  <c r="M312" i="1"/>
  <c r="R312" i="1" s="1"/>
  <c r="N312" i="1"/>
  <c r="Q312" i="1" s="1"/>
  <c r="O312" i="1"/>
  <c r="L313" i="1"/>
  <c r="M313" i="1"/>
  <c r="R313" i="1" s="1"/>
  <c r="N313" i="1"/>
  <c r="Q313" i="1" s="1"/>
  <c r="O313" i="1"/>
  <c r="L314" i="1"/>
  <c r="M314" i="1"/>
  <c r="R314" i="1" s="1"/>
  <c r="N314" i="1"/>
  <c r="Q314" i="1" s="1"/>
  <c r="O314" i="1"/>
  <c r="L315" i="1"/>
  <c r="M315" i="1"/>
  <c r="R315" i="1" s="1"/>
  <c r="N315" i="1"/>
  <c r="Q315" i="1" s="1"/>
  <c r="O315" i="1"/>
  <c r="L316" i="1"/>
  <c r="M316" i="1"/>
  <c r="R316" i="1" s="1"/>
  <c r="N316" i="1"/>
  <c r="Q316" i="1" s="1"/>
  <c r="O316" i="1"/>
  <c r="L317" i="1"/>
  <c r="M317" i="1"/>
  <c r="R317" i="1" s="1"/>
  <c r="N317" i="1"/>
  <c r="Q317" i="1" s="1"/>
  <c r="O317" i="1"/>
  <c r="L318" i="1"/>
  <c r="M318" i="1"/>
  <c r="R318" i="1" s="1"/>
  <c r="N318" i="1"/>
  <c r="Q318" i="1" s="1"/>
  <c r="O318" i="1"/>
  <c r="L319" i="1"/>
  <c r="M319" i="1"/>
  <c r="R319" i="1" s="1"/>
  <c r="N319" i="1"/>
  <c r="Q319" i="1" s="1"/>
  <c r="O319" i="1"/>
  <c r="L320" i="1"/>
  <c r="M320" i="1"/>
  <c r="R320" i="1" s="1"/>
  <c r="N320" i="1"/>
  <c r="Q320" i="1" s="1"/>
  <c r="O320" i="1"/>
  <c r="L321" i="1"/>
  <c r="M321" i="1"/>
  <c r="R321" i="1" s="1"/>
  <c r="N321" i="1"/>
  <c r="Q321" i="1" s="1"/>
  <c r="O321" i="1"/>
  <c r="L322" i="1"/>
  <c r="M322" i="1"/>
  <c r="R322" i="1" s="1"/>
  <c r="N322" i="1"/>
  <c r="Q322" i="1" s="1"/>
  <c r="O322" i="1"/>
  <c r="L323" i="1"/>
  <c r="M323" i="1"/>
  <c r="R323" i="1" s="1"/>
  <c r="N323" i="1"/>
  <c r="Q323" i="1" s="1"/>
  <c r="O323" i="1"/>
  <c r="L324" i="1"/>
  <c r="M324" i="1"/>
  <c r="R324" i="1" s="1"/>
  <c r="N324" i="1"/>
  <c r="Q324" i="1" s="1"/>
  <c r="O324" i="1"/>
  <c r="L325" i="1"/>
  <c r="M325" i="1"/>
  <c r="R325" i="1" s="1"/>
  <c r="N325" i="1"/>
  <c r="Q325" i="1" s="1"/>
  <c r="O325" i="1"/>
  <c r="L326" i="1"/>
  <c r="M326" i="1"/>
  <c r="R326" i="1" s="1"/>
  <c r="N326" i="1"/>
  <c r="Q326" i="1" s="1"/>
  <c r="O326" i="1"/>
  <c r="L327" i="1"/>
  <c r="M327" i="1"/>
  <c r="R327" i="1" s="1"/>
  <c r="N327" i="1"/>
  <c r="Q327" i="1" s="1"/>
  <c r="O327" i="1"/>
  <c r="L328" i="1"/>
  <c r="M328" i="1"/>
  <c r="R328" i="1" s="1"/>
  <c r="N328" i="1"/>
  <c r="Q328" i="1" s="1"/>
  <c r="O328" i="1"/>
  <c r="L329" i="1"/>
  <c r="M329" i="1"/>
  <c r="R329" i="1" s="1"/>
  <c r="N329" i="1"/>
  <c r="Q329" i="1" s="1"/>
  <c r="O329" i="1"/>
  <c r="L330" i="1"/>
  <c r="M330" i="1"/>
  <c r="R330" i="1" s="1"/>
  <c r="N330" i="1"/>
  <c r="Q330" i="1" s="1"/>
  <c r="O330" i="1"/>
  <c r="L331" i="1"/>
  <c r="M331" i="1"/>
  <c r="R331" i="1" s="1"/>
  <c r="N331" i="1"/>
  <c r="Q331" i="1" s="1"/>
  <c r="O331" i="1"/>
  <c r="L332" i="1"/>
  <c r="M332" i="1"/>
  <c r="R332" i="1" s="1"/>
  <c r="N332" i="1"/>
  <c r="Q332" i="1" s="1"/>
  <c r="O332" i="1"/>
  <c r="L333" i="1"/>
  <c r="M333" i="1"/>
  <c r="R333" i="1" s="1"/>
  <c r="N333" i="1"/>
  <c r="Q333" i="1" s="1"/>
  <c r="O333" i="1"/>
  <c r="L334" i="1"/>
  <c r="M334" i="1"/>
  <c r="R334" i="1" s="1"/>
  <c r="N334" i="1"/>
  <c r="Q334" i="1" s="1"/>
  <c r="O334" i="1"/>
  <c r="L335" i="1"/>
  <c r="M335" i="1"/>
  <c r="R335" i="1" s="1"/>
  <c r="N335" i="1"/>
  <c r="Q335" i="1" s="1"/>
  <c r="O335" i="1"/>
  <c r="L336" i="1"/>
  <c r="M336" i="1"/>
  <c r="R336" i="1" s="1"/>
  <c r="N336" i="1"/>
  <c r="Q336" i="1" s="1"/>
  <c r="O336" i="1"/>
  <c r="L337" i="1"/>
  <c r="M337" i="1"/>
  <c r="R337" i="1" s="1"/>
  <c r="N337" i="1"/>
  <c r="Q337" i="1" s="1"/>
  <c r="O337" i="1"/>
  <c r="L338" i="1"/>
  <c r="M338" i="1"/>
  <c r="R338" i="1" s="1"/>
  <c r="N338" i="1"/>
  <c r="Q338" i="1" s="1"/>
  <c r="O338" i="1"/>
  <c r="L339" i="1"/>
  <c r="M339" i="1"/>
  <c r="R339" i="1" s="1"/>
  <c r="N339" i="1"/>
  <c r="Q339" i="1" s="1"/>
  <c r="O339" i="1"/>
  <c r="L340" i="1"/>
  <c r="M340" i="1"/>
  <c r="R340" i="1" s="1"/>
  <c r="N340" i="1"/>
  <c r="Q340" i="1" s="1"/>
  <c r="O340" i="1"/>
  <c r="L341" i="1"/>
  <c r="M341" i="1"/>
  <c r="R341" i="1" s="1"/>
  <c r="N341" i="1"/>
  <c r="Q341" i="1" s="1"/>
  <c r="O341" i="1"/>
  <c r="L342" i="1"/>
  <c r="M342" i="1"/>
  <c r="R342" i="1" s="1"/>
  <c r="N342" i="1"/>
  <c r="Q342" i="1" s="1"/>
  <c r="O342" i="1"/>
  <c r="L343" i="1"/>
  <c r="M343" i="1"/>
  <c r="R343" i="1" s="1"/>
  <c r="N343" i="1"/>
  <c r="Q343" i="1" s="1"/>
  <c r="O343" i="1"/>
  <c r="L344" i="1"/>
  <c r="M344" i="1"/>
  <c r="R344" i="1" s="1"/>
  <c r="N344" i="1"/>
  <c r="Q344" i="1" s="1"/>
  <c r="O344" i="1"/>
  <c r="L345" i="1"/>
  <c r="M345" i="1"/>
  <c r="R345" i="1" s="1"/>
  <c r="N345" i="1"/>
  <c r="Q345" i="1" s="1"/>
  <c r="O345" i="1"/>
  <c r="L346" i="1"/>
  <c r="M346" i="1"/>
  <c r="R346" i="1" s="1"/>
  <c r="N346" i="1"/>
  <c r="Q346" i="1" s="1"/>
  <c r="O346" i="1"/>
  <c r="L347" i="1"/>
  <c r="M347" i="1"/>
  <c r="R347" i="1" s="1"/>
  <c r="N347" i="1"/>
  <c r="Q347" i="1" s="1"/>
  <c r="O347" i="1"/>
  <c r="L348" i="1"/>
  <c r="M348" i="1"/>
  <c r="R348" i="1" s="1"/>
  <c r="N348" i="1"/>
  <c r="Q348" i="1" s="1"/>
  <c r="O348" i="1"/>
  <c r="L349" i="1"/>
  <c r="M349" i="1"/>
  <c r="R349" i="1" s="1"/>
  <c r="N349" i="1"/>
  <c r="Q349" i="1" s="1"/>
  <c r="O349" i="1"/>
  <c r="L350" i="1"/>
  <c r="M350" i="1"/>
  <c r="R350" i="1" s="1"/>
  <c r="N350" i="1"/>
  <c r="Q350" i="1" s="1"/>
  <c r="O350" i="1"/>
  <c r="L351" i="1"/>
  <c r="M351" i="1"/>
  <c r="R351" i="1" s="1"/>
  <c r="N351" i="1"/>
  <c r="Q351" i="1" s="1"/>
  <c r="O351" i="1"/>
  <c r="L352" i="1"/>
  <c r="M352" i="1"/>
  <c r="R352" i="1" s="1"/>
  <c r="N352" i="1"/>
  <c r="Q352" i="1" s="1"/>
  <c r="O352" i="1"/>
  <c r="L353" i="1"/>
  <c r="M353" i="1"/>
  <c r="R353" i="1" s="1"/>
  <c r="N353" i="1"/>
  <c r="Q353" i="1" s="1"/>
  <c r="O353" i="1"/>
  <c r="L354" i="1"/>
  <c r="M354" i="1"/>
  <c r="R354" i="1" s="1"/>
  <c r="N354" i="1"/>
  <c r="Q354" i="1" s="1"/>
  <c r="O354" i="1"/>
  <c r="L355" i="1"/>
  <c r="M355" i="1"/>
  <c r="R355" i="1" s="1"/>
  <c r="N355" i="1"/>
  <c r="Q355" i="1" s="1"/>
  <c r="O355" i="1"/>
  <c r="L356" i="1"/>
  <c r="M356" i="1"/>
  <c r="R356" i="1" s="1"/>
  <c r="N356" i="1"/>
  <c r="Q356" i="1" s="1"/>
  <c r="O356" i="1"/>
  <c r="L357" i="1"/>
  <c r="M357" i="1"/>
  <c r="R357" i="1" s="1"/>
  <c r="N357" i="1"/>
  <c r="Q357" i="1" s="1"/>
  <c r="O357" i="1"/>
  <c r="L358" i="1"/>
  <c r="M358" i="1"/>
  <c r="R358" i="1" s="1"/>
  <c r="N358" i="1"/>
  <c r="Q358" i="1" s="1"/>
  <c r="O358" i="1"/>
  <c r="L359" i="1"/>
  <c r="M359" i="1"/>
  <c r="R359" i="1" s="1"/>
  <c r="N359" i="1"/>
  <c r="Q359" i="1" s="1"/>
  <c r="O359" i="1"/>
  <c r="L360" i="1"/>
  <c r="M360" i="1"/>
  <c r="R360" i="1" s="1"/>
  <c r="N360" i="1"/>
  <c r="Q360" i="1" s="1"/>
  <c r="O360" i="1"/>
  <c r="L361" i="1"/>
  <c r="M361" i="1"/>
  <c r="R361" i="1" s="1"/>
  <c r="N361" i="1"/>
  <c r="Q361" i="1" s="1"/>
  <c r="O361" i="1"/>
  <c r="L362" i="1"/>
  <c r="M362" i="1"/>
  <c r="R362" i="1" s="1"/>
  <c r="N362" i="1"/>
  <c r="Q362" i="1" s="1"/>
  <c r="O362" i="1"/>
  <c r="L363" i="1"/>
  <c r="M363" i="1"/>
  <c r="R363" i="1" s="1"/>
  <c r="N363" i="1"/>
  <c r="Q363" i="1" s="1"/>
  <c r="O363" i="1"/>
  <c r="L364" i="1"/>
  <c r="M364" i="1"/>
  <c r="R364" i="1" s="1"/>
  <c r="N364" i="1"/>
  <c r="Q364" i="1" s="1"/>
  <c r="O364" i="1"/>
  <c r="L365" i="1"/>
  <c r="M365" i="1"/>
  <c r="R365" i="1" s="1"/>
  <c r="N365" i="1"/>
  <c r="Q365" i="1" s="1"/>
  <c r="O365" i="1"/>
  <c r="L366" i="1"/>
  <c r="M366" i="1"/>
  <c r="R366" i="1" s="1"/>
  <c r="N366" i="1"/>
  <c r="Q366" i="1" s="1"/>
  <c r="O366" i="1"/>
  <c r="L367" i="1"/>
  <c r="M367" i="1"/>
  <c r="R367" i="1" s="1"/>
  <c r="N367" i="1"/>
  <c r="Q367" i="1" s="1"/>
  <c r="O367" i="1"/>
  <c r="L368" i="1"/>
  <c r="M368" i="1"/>
  <c r="R368" i="1" s="1"/>
  <c r="N368" i="1"/>
  <c r="Q368" i="1" s="1"/>
  <c r="O368" i="1"/>
  <c r="L369" i="1"/>
  <c r="M369" i="1"/>
  <c r="R369" i="1" s="1"/>
  <c r="N369" i="1"/>
  <c r="Q369" i="1" s="1"/>
  <c r="O369" i="1"/>
  <c r="L370" i="1"/>
  <c r="M370" i="1"/>
  <c r="R370" i="1" s="1"/>
  <c r="N370" i="1"/>
  <c r="Q370" i="1" s="1"/>
  <c r="O370" i="1"/>
  <c r="L371" i="1"/>
  <c r="M371" i="1"/>
  <c r="R371" i="1" s="1"/>
  <c r="N371" i="1"/>
  <c r="Q371" i="1" s="1"/>
  <c r="O371" i="1"/>
  <c r="L372" i="1"/>
  <c r="M372" i="1"/>
  <c r="R372" i="1" s="1"/>
  <c r="N372" i="1"/>
  <c r="Q372" i="1" s="1"/>
  <c r="O372" i="1"/>
  <c r="L373" i="1"/>
  <c r="M373" i="1"/>
  <c r="R373" i="1" s="1"/>
  <c r="N373" i="1"/>
  <c r="Q373" i="1" s="1"/>
  <c r="O373" i="1"/>
  <c r="L374" i="1"/>
  <c r="M374" i="1"/>
  <c r="R374" i="1" s="1"/>
  <c r="N374" i="1"/>
  <c r="Q374" i="1" s="1"/>
  <c r="O374" i="1"/>
  <c r="L375" i="1"/>
  <c r="M375" i="1"/>
  <c r="R375" i="1" s="1"/>
  <c r="N375" i="1"/>
  <c r="Q375" i="1" s="1"/>
  <c r="O375" i="1"/>
  <c r="L376" i="1"/>
  <c r="M376" i="1"/>
  <c r="R376" i="1" s="1"/>
  <c r="N376" i="1"/>
  <c r="Q376" i="1" s="1"/>
  <c r="O376" i="1"/>
  <c r="L377" i="1"/>
  <c r="M377" i="1"/>
  <c r="R377" i="1" s="1"/>
  <c r="N377" i="1"/>
  <c r="Q377" i="1" s="1"/>
  <c r="O377" i="1"/>
  <c r="L378" i="1"/>
  <c r="M378" i="1"/>
  <c r="R378" i="1" s="1"/>
  <c r="N378" i="1"/>
  <c r="Q378" i="1" s="1"/>
  <c r="O378" i="1"/>
  <c r="L379" i="1"/>
  <c r="M379" i="1"/>
  <c r="R379" i="1" s="1"/>
  <c r="N379" i="1"/>
  <c r="Q379" i="1" s="1"/>
  <c r="O379" i="1"/>
  <c r="L380" i="1"/>
  <c r="M380" i="1"/>
  <c r="R380" i="1" s="1"/>
  <c r="N380" i="1"/>
  <c r="Q380" i="1" s="1"/>
  <c r="O380" i="1"/>
  <c r="L381" i="1"/>
  <c r="M381" i="1"/>
  <c r="R381" i="1" s="1"/>
  <c r="N381" i="1"/>
  <c r="Q381" i="1" s="1"/>
  <c r="O381" i="1"/>
  <c r="L382" i="1"/>
  <c r="M382" i="1"/>
  <c r="R382" i="1" s="1"/>
  <c r="N382" i="1"/>
  <c r="Q382" i="1" s="1"/>
  <c r="O382" i="1"/>
  <c r="L383" i="1"/>
  <c r="M383" i="1"/>
  <c r="R383" i="1" s="1"/>
  <c r="N383" i="1"/>
  <c r="Q383" i="1" s="1"/>
  <c r="O383" i="1"/>
  <c r="L384" i="1"/>
  <c r="M384" i="1"/>
  <c r="R384" i="1" s="1"/>
  <c r="N384" i="1"/>
  <c r="Q384" i="1" s="1"/>
  <c r="O384" i="1"/>
  <c r="L385" i="1"/>
  <c r="M385" i="1"/>
  <c r="R385" i="1" s="1"/>
  <c r="N385" i="1"/>
  <c r="Q385" i="1" s="1"/>
  <c r="O385" i="1"/>
  <c r="L386" i="1"/>
  <c r="M386" i="1"/>
  <c r="R386" i="1" s="1"/>
  <c r="N386" i="1"/>
  <c r="Q386" i="1" s="1"/>
  <c r="O386" i="1"/>
  <c r="L387" i="1"/>
  <c r="M387" i="1"/>
  <c r="R387" i="1" s="1"/>
  <c r="N387" i="1"/>
  <c r="O387" i="1"/>
  <c r="L388" i="1"/>
  <c r="M388" i="1"/>
  <c r="R388" i="1" s="1"/>
  <c r="N388" i="1"/>
  <c r="Q388" i="1" s="1"/>
  <c r="O388" i="1"/>
  <c r="L389" i="1"/>
  <c r="M389" i="1"/>
  <c r="R389" i="1" s="1"/>
  <c r="N389" i="1"/>
  <c r="Q389" i="1" s="1"/>
  <c r="O389" i="1"/>
  <c r="L390" i="1"/>
  <c r="M390" i="1"/>
  <c r="R390" i="1" s="1"/>
  <c r="N390" i="1"/>
  <c r="Q390" i="1" s="1"/>
  <c r="O390" i="1"/>
  <c r="L391" i="1"/>
  <c r="M391" i="1"/>
  <c r="R391" i="1" s="1"/>
  <c r="N391" i="1"/>
  <c r="Q391" i="1" s="1"/>
  <c r="O391" i="1"/>
  <c r="L392" i="1"/>
  <c r="M392" i="1"/>
  <c r="R392" i="1" s="1"/>
  <c r="N392" i="1"/>
  <c r="Q392" i="1" s="1"/>
  <c r="O392" i="1"/>
  <c r="L393" i="1"/>
  <c r="M393" i="1"/>
  <c r="R393" i="1" s="1"/>
  <c r="N393" i="1"/>
  <c r="Q393" i="1" s="1"/>
  <c r="O393" i="1"/>
  <c r="L394" i="1"/>
  <c r="M394" i="1"/>
  <c r="R394" i="1" s="1"/>
  <c r="N394" i="1"/>
  <c r="Q394" i="1" s="1"/>
  <c r="O394" i="1"/>
  <c r="L395" i="1"/>
  <c r="M395" i="1"/>
  <c r="R395" i="1" s="1"/>
  <c r="N395" i="1"/>
  <c r="Q395" i="1" s="1"/>
  <c r="O395" i="1"/>
  <c r="L396" i="1"/>
  <c r="M396" i="1"/>
  <c r="R396" i="1" s="1"/>
  <c r="N396" i="1"/>
  <c r="Q396" i="1" s="1"/>
  <c r="O396" i="1"/>
  <c r="L397" i="1"/>
  <c r="M397" i="1"/>
  <c r="R397" i="1" s="1"/>
  <c r="N397" i="1"/>
  <c r="Q397" i="1" s="1"/>
  <c r="O397" i="1"/>
  <c r="L398" i="1"/>
  <c r="M398" i="1"/>
  <c r="R398" i="1" s="1"/>
  <c r="N398" i="1"/>
  <c r="Q398" i="1" s="1"/>
  <c r="O398" i="1"/>
  <c r="L399" i="1"/>
  <c r="M399" i="1"/>
  <c r="R399" i="1" s="1"/>
  <c r="N399" i="1"/>
  <c r="Q399" i="1" s="1"/>
  <c r="O399" i="1"/>
  <c r="L400" i="1"/>
  <c r="M400" i="1"/>
  <c r="R400" i="1" s="1"/>
  <c r="N400" i="1"/>
  <c r="Q400" i="1" s="1"/>
  <c r="O400" i="1"/>
  <c r="L401" i="1"/>
  <c r="M401" i="1"/>
  <c r="R401" i="1" s="1"/>
  <c r="N401" i="1"/>
  <c r="Q401" i="1" s="1"/>
  <c r="O401" i="1"/>
  <c r="L402" i="1"/>
  <c r="M402" i="1"/>
  <c r="R402" i="1" s="1"/>
  <c r="N402" i="1"/>
  <c r="Q402" i="1" s="1"/>
  <c r="O402" i="1"/>
  <c r="L403" i="1"/>
  <c r="M403" i="1"/>
  <c r="R403" i="1" s="1"/>
  <c r="N403" i="1"/>
  <c r="Q403" i="1" s="1"/>
  <c r="O403" i="1"/>
  <c r="L404" i="1"/>
  <c r="M404" i="1"/>
  <c r="R404" i="1" s="1"/>
  <c r="U404" i="1" s="1"/>
  <c r="N404" i="1"/>
  <c r="Q404" i="1" s="1"/>
  <c r="O404" i="1"/>
  <c r="L405" i="1"/>
  <c r="M405" i="1"/>
  <c r="R405" i="1" s="1"/>
  <c r="N405" i="1"/>
  <c r="Q405" i="1" s="1"/>
  <c r="O405" i="1"/>
  <c r="L406" i="1"/>
  <c r="M406" i="1"/>
  <c r="R406" i="1" s="1"/>
  <c r="N406" i="1"/>
  <c r="Q406" i="1" s="1"/>
  <c r="O406" i="1"/>
  <c r="L407" i="1"/>
  <c r="M407" i="1"/>
  <c r="R407" i="1" s="1"/>
  <c r="N407" i="1"/>
  <c r="Q407" i="1" s="1"/>
  <c r="O407" i="1"/>
  <c r="L408" i="1"/>
  <c r="M408" i="1"/>
  <c r="R408" i="1" s="1"/>
  <c r="N408" i="1"/>
  <c r="Q408" i="1" s="1"/>
  <c r="O408" i="1"/>
  <c r="L409" i="1"/>
  <c r="M409" i="1"/>
  <c r="R409" i="1" s="1"/>
  <c r="N409" i="1"/>
  <c r="Q409" i="1" s="1"/>
  <c r="O409" i="1"/>
  <c r="L410" i="1"/>
  <c r="M410" i="1"/>
  <c r="R410" i="1" s="1"/>
  <c r="N410" i="1"/>
  <c r="Q410" i="1" s="1"/>
  <c r="O410" i="1"/>
  <c r="L411" i="1"/>
  <c r="M411" i="1"/>
  <c r="R411" i="1" s="1"/>
  <c r="N411" i="1"/>
  <c r="Q411" i="1" s="1"/>
  <c r="O411" i="1"/>
  <c r="L412" i="1"/>
  <c r="M412" i="1"/>
  <c r="R412" i="1" s="1"/>
  <c r="N412" i="1"/>
  <c r="Q412" i="1" s="1"/>
  <c r="O412" i="1"/>
  <c r="L413" i="1"/>
  <c r="M413" i="1"/>
  <c r="R413" i="1" s="1"/>
  <c r="N413" i="1"/>
  <c r="Q413" i="1" s="1"/>
  <c r="O413" i="1"/>
  <c r="L414" i="1"/>
  <c r="M414" i="1"/>
  <c r="R414" i="1" s="1"/>
  <c r="N414" i="1"/>
  <c r="Q414" i="1" s="1"/>
  <c r="O414" i="1"/>
  <c r="L415" i="1"/>
  <c r="M415" i="1"/>
  <c r="R415" i="1" s="1"/>
  <c r="N415" i="1"/>
  <c r="Q415" i="1" s="1"/>
  <c r="O415" i="1"/>
  <c r="L416" i="1"/>
  <c r="M416" i="1"/>
  <c r="R416" i="1" s="1"/>
  <c r="N416" i="1"/>
  <c r="Q416" i="1" s="1"/>
  <c r="O416" i="1"/>
  <c r="L417" i="1"/>
  <c r="M417" i="1"/>
  <c r="R417" i="1" s="1"/>
  <c r="N417" i="1"/>
  <c r="Q417" i="1" s="1"/>
  <c r="O417" i="1"/>
  <c r="L418" i="1"/>
  <c r="M418" i="1"/>
  <c r="R418" i="1" s="1"/>
  <c r="N418" i="1"/>
  <c r="Q418" i="1" s="1"/>
  <c r="O418" i="1"/>
  <c r="L419" i="1"/>
  <c r="M419" i="1"/>
  <c r="R419" i="1" s="1"/>
  <c r="N419" i="1"/>
  <c r="Q419" i="1" s="1"/>
  <c r="O419" i="1"/>
  <c r="L420" i="1"/>
  <c r="M420" i="1"/>
  <c r="R420" i="1" s="1"/>
  <c r="N420" i="1"/>
  <c r="Q420" i="1" s="1"/>
  <c r="O420" i="1"/>
  <c r="L421" i="1"/>
  <c r="M421" i="1"/>
  <c r="R421" i="1" s="1"/>
  <c r="N421" i="1"/>
  <c r="Q421" i="1" s="1"/>
  <c r="O421" i="1"/>
  <c r="L422" i="1"/>
  <c r="M422" i="1"/>
  <c r="R422" i="1" s="1"/>
  <c r="N422" i="1"/>
  <c r="Q422" i="1" s="1"/>
  <c r="O422" i="1"/>
  <c r="L423" i="1"/>
  <c r="M423" i="1"/>
  <c r="R423" i="1" s="1"/>
  <c r="N423" i="1"/>
  <c r="Q423" i="1" s="1"/>
  <c r="O423" i="1"/>
  <c r="L424" i="1"/>
  <c r="M424" i="1"/>
  <c r="R424" i="1" s="1"/>
  <c r="N424" i="1"/>
  <c r="Q424" i="1" s="1"/>
  <c r="O424" i="1"/>
  <c r="L425" i="1"/>
  <c r="M425" i="1"/>
  <c r="R425" i="1" s="1"/>
  <c r="N425" i="1"/>
  <c r="Q425" i="1" s="1"/>
  <c r="O425" i="1"/>
  <c r="L426" i="1"/>
  <c r="M426" i="1"/>
  <c r="R426" i="1" s="1"/>
  <c r="N426" i="1"/>
  <c r="Q426" i="1" s="1"/>
  <c r="O426" i="1"/>
  <c r="L427" i="1"/>
  <c r="M427" i="1"/>
  <c r="R427" i="1" s="1"/>
  <c r="N427" i="1"/>
  <c r="Q427" i="1" s="1"/>
  <c r="O427" i="1"/>
  <c r="L428" i="1"/>
  <c r="M428" i="1"/>
  <c r="R428" i="1" s="1"/>
  <c r="N428" i="1"/>
  <c r="Q428" i="1" s="1"/>
  <c r="O428" i="1"/>
  <c r="L429" i="1"/>
  <c r="M429" i="1"/>
  <c r="R429" i="1" s="1"/>
  <c r="N429" i="1"/>
  <c r="Q429" i="1" s="1"/>
  <c r="O429" i="1"/>
  <c r="L430" i="1"/>
  <c r="M430" i="1"/>
  <c r="R430" i="1" s="1"/>
  <c r="N430" i="1"/>
  <c r="Q430" i="1" s="1"/>
  <c r="O430" i="1"/>
  <c r="L431" i="1"/>
  <c r="M431" i="1"/>
  <c r="R431" i="1" s="1"/>
  <c r="N431" i="1"/>
  <c r="O431" i="1"/>
  <c r="L432" i="1"/>
  <c r="M432" i="1"/>
  <c r="R432" i="1" s="1"/>
  <c r="N432" i="1"/>
  <c r="Q432" i="1" s="1"/>
  <c r="O432" i="1"/>
  <c r="L433" i="1"/>
  <c r="M433" i="1"/>
  <c r="R433" i="1" s="1"/>
  <c r="N433" i="1"/>
  <c r="Q433" i="1" s="1"/>
  <c r="O433" i="1"/>
  <c r="L434" i="1"/>
  <c r="M434" i="1"/>
  <c r="R434" i="1" s="1"/>
  <c r="N434" i="1"/>
  <c r="Q434" i="1" s="1"/>
  <c r="O434" i="1"/>
  <c r="L435" i="1"/>
  <c r="M435" i="1"/>
  <c r="R435" i="1" s="1"/>
  <c r="N435" i="1"/>
  <c r="Q435" i="1" s="1"/>
  <c r="O435" i="1"/>
  <c r="L436" i="1"/>
  <c r="M436" i="1"/>
  <c r="R436" i="1" s="1"/>
  <c r="N436" i="1"/>
  <c r="Q436" i="1" s="1"/>
  <c r="O436" i="1"/>
  <c r="L437" i="1"/>
  <c r="M437" i="1"/>
  <c r="R437" i="1" s="1"/>
  <c r="N437" i="1"/>
  <c r="O437" i="1"/>
  <c r="L438" i="1"/>
  <c r="M438" i="1"/>
  <c r="R438" i="1" s="1"/>
  <c r="N438" i="1"/>
  <c r="Q438" i="1" s="1"/>
  <c r="O438" i="1"/>
  <c r="L439" i="1"/>
  <c r="M439" i="1"/>
  <c r="R439" i="1" s="1"/>
  <c r="N439" i="1"/>
  <c r="Q439" i="1" s="1"/>
  <c r="O439" i="1"/>
  <c r="L440" i="1"/>
  <c r="M440" i="1"/>
  <c r="R440" i="1" s="1"/>
  <c r="N440" i="1"/>
  <c r="Q440" i="1" s="1"/>
  <c r="O440" i="1"/>
  <c r="L441" i="1"/>
  <c r="M441" i="1"/>
  <c r="R441" i="1" s="1"/>
  <c r="N441" i="1"/>
  <c r="Q441" i="1" s="1"/>
  <c r="O441" i="1"/>
  <c r="L442" i="1"/>
  <c r="M442" i="1"/>
  <c r="R442" i="1" s="1"/>
  <c r="N442" i="1"/>
  <c r="Q442" i="1" s="1"/>
  <c r="O442" i="1"/>
  <c r="L443" i="1"/>
  <c r="M443" i="1"/>
  <c r="R443" i="1" s="1"/>
  <c r="N443" i="1"/>
  <c r="Q443" i="1" s="1"/>
  <c r="O443" i="1"/>
  <c r="L444" i="1"/>
  <c r="M444" i="1"/>
  <c r="R444" i="1" s="1"/>
  <c r="N444" i="1"/>
  <c r="Q444" i="1" s="1"/>
  <c r="O444" i="1"/>
  <c r="L445" i="1"/>
  <c r="M445" i="1"/>
  <c r="R445" i="1" s="1"/>
  <c r="N445" i="1"/>
  <c r="Q445" i="1" s="1"/>
  <c r="O445" i="1"/>
  <c r="L446" i="1"/>
  <c r="M446" i="1"/>
  <c r="R446" i="1" s="1"/>
  <c r="N446" i="1"/>
  <c r="Q446" i="1" s="1"/>
  <c r="O446" i="1"/>
  <c r="L447" i="1"/>
  <c r="M447" i="1"/>
  <c r="R447" i="1" s="1"/>
  <c r="N447" i="1"/>
  <c r="Q447" i="1" s="1"/>
  <c r="O447" i="1"/>
  <c r="L448" i="1"/>
  <c r="M448" i="1"/>
  <c r="R448" i="1" s="1"/>
  <c r="N448" i="1"/>
  <c r="Q448" i="1" s="1"/>
  <c r="O448" i="1"/>
  <c r="L449" i="1"/>
  <c r="M449" i="1"/>
  <c r="R449" i="1" s="1"/>
  <c r="N449" i="1"/>
  <c r="Q449" i="1" s="1"/>
  <c r="O449" i="1"/>
  <c r="L450" i="1"/>
  <c r="M450" i="1"/>
  <c r="R450" i="1" s="1"/>
  <c r="N450" i="1"/>
  <c r="Q450" i="1" s="1"/>
  <c r="O450" i="1"/>
  <c r="L451" i="1"/>
  <c r="M451" i="1"/>
  <c r="R451" i="1" s="1"/>
  <c r="N451" i="1"/>
  <c r="Q451" i="1" s="1"/>
  <c r="O451" i="1"/>
  <c r="L452" i="1"/>
  <c r="M452" i="1"/>
  <c r="R452" i="1" s="1"/>
  <c r="N452" i="1"/>
  <c r="Q452" i="1" s="1"/>
  <c r="O452" i="1"/>
  <c r="L453" i="1"/>
  <c r="M453" i="1"/>
  <c r="R453" i="1" s="1"/>
  <c r="N453" i="1"/>
  <c r="Q453" i="1" s="1"/>
  <c r="O453" i="1"/>
  <c r="L454" i="1"/>
  <c r="M454" i="1"/>
  <c r="R454" i="1" s="1"/>
  <c r="N454" i="1"/>
  <c r="Q454" i="1" s="1"/>
  <c r="O454" i="1"/>
  <c r="L455" i="1"/>
  <c r="M455" i="1"/>
  <c r="R455" i="1" s="1"/>
  <c r="N455" i="1"/>
  <c r="Q455" i="1" s="1"/>
  <c r="O455" i="1"/>
  <c r="L456" i="1"/>
  <c r="M456" i="1"/>
  <c r="R456" i="1" s="1"/>
  <c r="N456" i="1"/>
  <c r="Q456" i="1" s="1"/>
  <c r="O456" i="1"/>
  <c r="L457" i="1"/>
  <c r="M457" i="1"/>
  <c r="R457" i="1" s="1"/>
  <c r="N457" i="1"/>
  <c r="Q457" i="1" s="1"/>
  <c r="O457" i="1"/>
  <c r="L458" i="1"/>
  <c r="M458" i="1"/>
  <c r="R458" i="1" s="1"/>
  <c r="N458" i="1"/>
  <c r="Q458" i="1" s="1"/>
  <c r="O458" i="1"/>
  <c r="L459" i="1"/>
  <c r="M459" i="1"/>
  <c r="R459" i="1" s="1"/>
  <c r="N459" i="1"/>
  <c r="Q459" i="1" s="1"/>
  <c r="O459" i="1"/>
  <c r="L460" i="1"/>
  <c r="M460" i="1"/>
  <c r="R460" i="1" s="1"/>
  <c r="N460" i="1"/>
  <c r="Q460" i="1" s="1"/>
  <c r="O460" i="1"/>
  <c r="L461" i="1"/>
  <c r="M461" i="1"/>
  <c r="R461" i="1" s="1"/>
  <c r="N461" i="1"/>
  <c r="Q461" i="1" s="1"/>
  <c r="O461" i="1"/>
  <c r="L462" i="1"/>
  <c r="M462" i="1"/>
  <c r="R462" i="1" s="1"/>
  <c r="N462" i="1"/>
  <c r="Q462" i="1" s="1"/>
  <c r="O462" i="1"/>
  <c r="L463" i="1"/>
  <c r="M463" i="1"/>
  <c r="R463" i="1" s="1"/>
  <c r="N463" i="1"/>
  <c r="Q463" i="1" s="1"/>
  <c r="O463" i="1"/>
  <c r="L464" i="1"/>
  <c r="M464" i="1"/>
  <c r="R464" i="1" s="1"/>
  <c r="N464" i="1"/>
  <c r="Q464" i="1" s="1"/>
  <c r="O464" i="1"/>
  <c r="L465" i="1"/>
  <c r="M465" i="1"/>
  <c r="R465" i="1" s="1"/>
  <c r="N465" i="1"/>
  <c r="Q465" i="1" s="1"/>
  <c r="O465" i="1"/>
  <c r="L466" i="1"/>
  <c r="M466" i="1"/>
  <c r="R466" i="1" s="1"/>
  <c r="N466" i="1"/>
  <c r="Q466" i="1" s="1"/>
  <c r="O466" i="1"/>
  <c r="L467" i="1"/>
  <c r="M467" i="1"/>
  <c r="R467" i="1" s="1"/>
  <c r="N467" i="1"/>
  <c r="Q467" i="1" s="1"/>
  <c r="O467" i="1"/>
  <c r="L468" i="1"/>
  <c r="M468" i="1"/>
  <c r="R468" i="1" s="1"/>
  <c r="N468" i="1"/>
  <c r="Q468" i="1" s="1"/>
  <c r="O468" i="1"/>
  <c r="L469" i="1"/>
  <c r="M469" i="1"/>
  <c r="R469" i="1" s="1"/>
  <c r="N469" i="1"/>
  <c r="Q469" i="1" s="1"/>
  <c r="O469" i="1"/>
  <c r="L470" i="1"/>
  <c r="M470" i="1"/>
  <c r="R470" i="1" s="1"/>
  <c r="N470" i="1"/>
  <c r="Q470" i="1" s="1"/>
  <c r="O470" i="1"/>
  <c r="L471" i="1"/>
  <c r="M471" i="1"/>
  <c r="R471" i="1" s="1"/>
  <c r="N471" i="1"/>
  <c r="Q471" i="1" s="1"/>
  <c r="O471" i="1"/>
  <c r="L472" i="1"/>
  <c r="M472" i="1"/>
  <c r="R472" i="1" s="1"/>
  <c r="N472" i="1"/>
  <c r="Q472" i="1" s="1"/>
  <c r="O472" i="1"/>
  <c r="L473" i="1"/>
  <c r="M473" i="1"/>
  <c r="R473" i="1" s="1"/>
  <c r="N473" i="1"/>
  <c r="Q473" i="1" s="1"/>
  <c r="O473" i="1"/>
  <c r="L474" i="1"/>
  <c r="M474" i="1"/>
  <c r="R474" i="1" s="1"/>
  <c r="N474" i="1"/>
  <c r="Q474" i="1" s="1"/>
  <c r="O474" i="1"/>
  <c r="L475" i="1"/>
  <c r="M475" i="1"/>
  <c r="R475" i="1" s="1"/>
  <c r="N475" i="1"/>
  <c r="Q475" i="1" s="1"/>
  <c r="O475" i="1"/>
  <c r="L476" i="1"/>
  <c r="M476" i="1"/>
  <c r="R476" i="1" s="1"/>
  <c r="N476" i="1"/>
  <c r="Q476" i="1" s="1"/>
  <c r="O476" i="1"/>
  <c r="L477" i="1"/>
  <c r="M477" i="1"/>
  <c r="R477" i="1" s="1"/>
  <c r="N477" i="1"/>
  <c r="Q477" i="1" s="1"/>
  <c r="O477" i="1"/>
  <c r="L478" i="1"/>
  <c r="M478" i="1"/>
  <c r="R478" i="1" s="1"/>
  <c r="N478" i="1"/>
  <c r="Q478" i="1" s="1"/>
  <c r="O478" i="1"/>
  <c r="L479" i="1"/>
  <c r="M479" i="1"/>
  <c r="R479" i="1" s="1"/>
  <c r="N479" i="1"/>
  <c r="Q479" i="1" s="1"/>
  <c r="O479" i="1"/>
  <c r="L480" i="1"/>
  <c r="M480" i="1"/>
  <c r="R480" i="1" s="1"/>
  <c r="N480" i="1"/>
  <c r="Q480" i="1" s="1"/>
  <c r="O480" i="1"/>
  <c r="L481" i="1"/>
  <c r="M481" i="1"/>
  <c r="R481" i="1" s="1"/>
  <c r="N481" i="1"/>
  <c r="Q481" i="1" s="1"/>
  <c r="O481" i="1"/>
  <c r="L482" i="1"/>
  <c r="M482" i="1"/>
  <c r="R482" i="1" s="1"/>
  <c r="N482" i="1"/>
  <c r="Q482" i="1" s="1"/>
  <c r="O482" i="1"/>
  <c r="L483" i="1"/>
  <c r="M483" i="1"/>
  <c r="R483" i="1" s="1"/>
  <c r="N483" i="1"/>
  <c r="Q483" i="1" s="1"/>
  <c r="O483" i="1"/>
  <c r="L484" i="1"/>
  <c r="M484" i="1"/>
  <c r="R484" i="1" s="1"/>
  <c r="N484" i="1"/>
  <c r="Q484" i="1" s="1"/>
  <c r="O484" i="1"/>
  <c r="L485" i="1"/>
  <c r="M485" i="1"/>
  <c r="R485" i="1" s="1"/>
  <c r="N485" i="1"/>
  <c r="Q485" i="1" s="1"/>
  <c r="O485" i="1"/>
  <c r="L486" i="1"/>
  <c r="M486" i="1"/>
  <c r="R486" i="1" s="1"/>
  <c r="N486" i="1"/>
  <c r="Q486" i="1" s="1"/>
  <c r="O486" i="1"/>
  <c r="L487" i="1"/>
  <c r="M487" i="1"/>
  <c r="R487" i="1" s="1"/>
  <c r="N487" i="1"/>
  <c r="Q487" i="1" s="1"/>
  <c r="O487" i="1"/>
  <c r="L488" i="1"/>
  <c r="M488" i="1"/>
  <c r="R488" i="1" s="1"/>
  <c r="N488" i="1"/>
  <c r="Q488" i="1" s="1"/>
  <c r="O488" i="1"/>
  <c r="L489" i="1"/>
  <c r="M489" i="1"/>
  <c r="R489" i="1" s="1"/>
  <c r="N489" i="1"/>
  <c r="Q489" i="1" s="1"/>
  <c r="O489" i="1"/>
  <c r="L490" i="1"/>
  <c r="M490" i="1"/>
  <c r="R490" i="1" s="1"/>
  <c r="N490" i="1"/>
  <c r="Q490" i="1" s="1"/>
  <c r="O490" i="1"/>
  <c r="L491" i="1"/>
  <c r="M491" i="1"/>
  <c r="R491" i="1" s="1"/>
  <c r="N491" i="1"/>
  <c r="Q491" i="1" s="1"/>
  <c r="O491" i="1"/>
  <c r="L492" i="1"/>
  <c r="M492" i="1"/>
  <c r="R492" i="1" s="1"/>
  <c r="N492" i="1"/>
  <c r="Q492" i="1" s="1"/>
  <c r="O492" i="1"/>
  <c r="L493" i="1"/>
  <c r="M493" i="1"/>
  <c r="R493" i="1" s="1"/>
  <c r="N493" i="1"/>
  <c r="Q493" i="1" s="1"/>
  <c r="O493" i="1"/>
  <c r="L494" i="1"/>
  <c r="M494" i="1"/>
  <c r="R494" i="1" s="1"/>
  <c r="N494" i="1"/>
  <c r="Q494" i="1" s="1"/>
  <c r="O494" i="1"/>
  <c r="L495" i="1"/>
  <c r="M495" i="1"/>
  <c r="R495" i="1" s="1"/>
  <c r="N495" i="1"/>
  <c r="Q495" i="1" s="1"/>
  <c r="O495" i="1"/>
  <c r="L496" i="1"/>
  <c r="M496" i="1"/>
  <c r="R496" i="1" s="1"/>
  <c r="N496" i="1"/>
  <c r="Q496" i="1" s="1"/>
  <c r="O496" i="1"/>
  <c r="L497" i="1"/>
  <c r="M497" i="1"/>
  <c r="R497" i="1" s="1"/>
  <c r="N497" i="1"/>
  <c r="Q497" i="1" s="1"/>
  <c r="O497" i="1"/>
  <c r="L498" i="1"/>
  <c r="M498" i="1"/>
  <c r="R498" i="1" s="1"/>
  <c r="N498" i="1"/>
  <c r="Q498" i="1" s="1"/>
  <c r="O498" i="1"/>
  <c r="L499" i="1"/>
  <c r="M499" i="1"/>
  <c r="R499" i="1" s="1"/>
  <c r="N499" i="1"/>
  <c r="Q499" i="1" s="1"/>
  <c r="O499" i="1"/>
  <c r="L500" i="1"/>
  <c r="M500" i="1"/>
  <c r="R500" i="1" s="1"/>
  <c r="N500" i="1"/>
  <c r="Q500" i="1" s="1"/>
  <c r="O500" i="1"/>
  <c r="L501" i="1"/>
  <c r="M501" i="1"/>
  <c r="R501" i="1" s="1"/>
  <c r="N501" i="1"/>
  <c r="Q501" i="1" s="1"/>
  <c r="O501" i="1"/>
  <c r="L502" i="1"/>
  <c r="M502" i="1"/>
  <c r="R502" i="1" s="1"/>
  <c r="N502" i="1"/>
  <c r="Q502" i="1" s="1"/>
  <c r="O502" i="1"/>
  <c r="L503" i="1"/>
  <c r="M503" i="1"/>
  <c r="R503" i="1" s="1"/>
  <c r="N503" i="1"/>
  <c r="Q503" i="1" s="1"/>
  <c r="O503" i="1"/>
  <c r="L504" i="1"/>
  <c r="M504" i="1"/>
  <c r="R504" i="1" s="1"/>
  <c r="N504" i="1"/>
  <c r="Q504" i="1" s="1"/>
  <c r="O504" i="1"/>
  <c r="L505" i="1"/>
  <c r="M505" i="1"/>
  <c r="R505" i="1" s="1"/>
  <c r="N505" i="1"/>
  <c r="Q505" i="1" s="1"/>
  <c r="O505" i="1"/>
  <c r="L506" i="1"/>
  <c r="M506" i="1"/>
  <c r="R506" i="1" s="1"/>
  <c r="N506" i="1"/>
  <c r="Q506" i="1" s="1"/>
  <c r="O506" i="1"/>
  <c r="L507" i="1"/>
  <c r="M507" i="1"/>
  <c r="R507" i="1" s="1"/>
  <c r="N507" i="1"/>
  <c r="Q507" i="1" s="1"/>
  <c r="O507" i="1"/>
  <c r="L508" i="1"/>
  <c r="M508" i="1"/>
  <c r="R508" i="1" s="1"/>
  <c r="N508" i="1"/>
  <c r="Q508" i="1" s="1"/>
  <c r="O508" i="1"/>
  <c r="L509" i="1"/>
  <c r="M509" i="1"/>
  <c r="R509" i="1" s="1"/>
  <c r="N509" i="1"/>
  <c r="Q509" i="1" s="1"/>
  <c r="O509" i="1"/>
  <c r="L510" i="1"/>
  <c r="M510" i="1"/>
  <c r="R510" i="1" s="1"/>
  <c r="N510" i="1"/>
  <c r="Q510" i="1" s="1"/>
  <c r="O510" i="1"/>
  <c r="L511" i="1"/>
  <c r="M511" i="1"/>
  <c r="R511" i="1" s="1"/>
  <c r="N511" i="1"/>
  <c r="Q511" i="1" s="1"/>
  <c r="O511" i="1"/>
  <c r="L512" i="1"/>
  <c r="M512" i="1"/>
  <c r="R512" i="1" s="1"/>
  <c r="N512" i="1"/>
  <c r="Q512" i="1" s="1"/>
  <c r="O512" i="1"/>
  <c r="L513" i="1"/>
  <c r="M513" i="1"/>
  <c r="R513" i="1" s="1"/>
  <c r="N513" i="1"/>
  <c r="Q513" i="1" s="1"/>
  <c r="O513" i="1"/>
  <c r="L514" i="1"/>
  <c r="M514" i="1"/>
  <c r="R514" i="1" s="1"/>
  <c r="N514" i="1"/>
  <c r="Q514" i="1" s="1"/>
  <c r="O514" i="1"/>
  <c r="L515" i="1"/>
  <c r="M515" i="1"/>
  <c r="R515" i="1" s="1"/>
  <c r="N515" i="1"/>
  <c r="Q515" i="1" s="1"/>
  <c r="O515" i="1"/>
  <c r="L516" i="1"/>
  <c r="M516" i="1"/>
  <c r="R516" i="1" s="1"/>
  <c r="N516" i="1"/>
  <c r="Q516" i="1" s="1"/>
  <c r="O516" i="1"/>
  <c r="L517" i="1"/>
  <c r="M517" i="1"/>
  <c r="R517" i="1" s="1"/>
  <c r="N517" i="1"/>
  <c r="Q517" i="1" s="1"/>
  <c r="O517" i="1"/>
  <c r="L518" i="1"/>
  <c r="M518" i="1"/>
  <c r="R518" i="1" s="1"/>
  <c r="N518" i="1"/>
  <c r="Q518" i="1" s="1"/>
  <c r="O518" i="1"/>
  <c r="L519" i="1"/>
  <c r="M519" i="1"/>
  <c r="R519" i="1" s="1"/>
  <c r="N519" i="1"/>
  <c r="Q519" i="1" s="1"/>
  <c r="O519" i="1"/>
  <c r="L520" i="1"/>
  <c r="M520" i="1"/>
  <c r="R520" i="1" s="1"/>
  <c r="N520" i="1"/>
  <c r="Q520" i="1" s="1"/>
  <c r="O520" i="1"/>
  <c r="L521" i="1"/>
  <c r="M521" i="1"/>
  <c r="R521" i="1" s="1"/>
  <c r="N521" i="1"/>
  <c r="Q521" i="1" s="1"/>
  <c r="O521" i="1"/>
  <c r="L522" i="1"/>
  <c r="M522" i="1"/>
  <c r="R522" i="1" s="1"/>
  <c r="N522" i="1"/>
  <c r="Q522" i="1" s="1"/>
  <c r="O522" i="1"/>
  <c r="L523" i="1"/>
  <c r="M523" i="1"/>
  <c r="R523" i="1" s="1"/>
  <c r="N523" i="1"/>
  <c r="Q523" i="1" s="1"/>
  <c r="O523" i="1"/>
  <c r="L524" i="1"/>
  <c r="M524" i="1"/>
  <c r="R524" i="1" s="1"/>
  <c r="N524" i="1"/>
  <c r="Q524" i="1" s="1"/>
  <c r="O524" i="1"/>
  <c r="L525" i="1"/>
  <c r="M525" i="1"/>
  <c r="R525" i="1" s="1"/>
  <c r="N525" i="1"/>
  <c r="Q525" i="1" s="1"/>
  <c r="O525" i="1"/>
  <c r="L526" i="1"/>
  <c r="M526" i="1"/>
  <c r="R526" i="1" s="1"/>
  <c r="N526" i="1"/>
  <c r="Q526" i="1" s="1"/>
  <c r="O526" i="1"/>
  <c r="L527" i="1"/>
  <c r="M527" i="1"/>
  <c r="R527" i="1" s="1"/>
  <c r="N527" i="1"/>
  <c r="Q527" i="1" s="1"/>
  <c r="O527" i="1"/>
  <c r="L528" i="1"/>
  <c r="M528" i="1"/>
  <c r="R528" i="1" s="1"/>
  <c r="N528" i="1"/>
  <c r="Q528" i="1" s="1"/>
  <c r="O528" i="1"/>
  <c r="L529" i="1"/>
  <c r="M529" i="1"/>
  <c r="R529" i="1" s="1"/>
  <c r="N529" i="1"/>
  <c r="Q529" i="1" s="1"/>
  <c r="O529" i="1"/>
  <c r="L530" i="1"/>
  <c r="M530" i="1"/>
  <c r="R530" i="1" s="1"/>
  <c r="N530" i="1"/>
  <c r="Q530" i="1" s="1"/>
  <c r="O530" i="1"/>
  <c r="L531" i="1"/>
  <c r="M531" i="1"/>
  <c r="R531" i="1" s="1"/>
  <c r="N531" i="1"/>
  <c r="Q531" i="1" s="1"/>
  <c r="O531" i="1"/>
  <c r="L532" i="1"/>
  <c r="M532" i="1"/>
  <c r="R532" i="1" s="1"/>
  <c r="N532" i="1"/>
  <c r="Q532" i="1" s="1"/>
  <c r="O532" i="1"/>
  <c r="L533" i="1"/>
  <c r="M533" i="1"/>
  <c r="R533" i="1" s="1"/>
  <c r="N533" i="1"/>
  <c r="Q533" i="1" s="1"/>
  <c r="O533" i="1"/>
  <c r="L534" i="1"/>
  <c r="M534" i="1"/>
  <c r="R534" i="1" s="1"/>
  <c r="N534" i="1"/>
  <c r="Q534" i="1" s="1"/>
  <c r="O534" i="1"/>
  <c r="L535" i="1"/>
  <c r="M535" i="1"/>
  <c r="R535" i="1" s="1"/>
  <c r="N535" i="1"/>
  <c r="Q535" i="1" s="1"/>
  <c r="O535" i="1"/>
  <c r="L536" i="1"/>
  <c r="M536" i="1"/>
  <c r="R536" i="1" s="1"/>
  <c r="N536" i="1"/>
  <c r="Q536" i="1" s="1"/>
  <c r="O536" i="1"/>
  <c r="L537" i="1"/>
  <c r="M537" i="1"/>
  <c r="R537" i="1" s="1"/>
  <c r="N537" i="1"/>
  <c r="Q537" i="1" s="1"/>
  <c r="O537" i="1"/>
  <c r="L538" i="1"/>
  <c r="M538" i="1"/>
  <c r="R538" i="1" s="1"/>
  <c r="N538" i="1"/>
  <c r="Q538" i="1" s="1"/>
  <c r="O538" i="1"/>
  <c r="L539" i="1"/>
  <c r="M539" i="1"/>
  <c r="R539" i="1" s="1"/>
  <c r="N539" i="1"/>
  <c r="Q539" i="1" s="1"/>
  <c r="O539" i="1"/>
  <c r="L540" i="1"/>
  <c r="M540" i="1"/>
  <c r="R540" i="1" s="1"/>
  <c r="N540" i="1"/>
  <c r="Q540" i="1" s="1"/>
  <c r="O540" i="1"/>
  <c r="L541" i="1"/>
  <c r="M541" i="1"/>
  <c r="R541" i="1" s="1"/>
  <c r="N541" i="1"/>
  <c r="Q541" i="1" s="1"/>
  <c r="O541" i="1"/>
  <c r="L542" i="1"/>
  <c r="M542" i="1"/>
  <c r="R542" i="1" s="1"/>
  <c r="N542" i="1"/>
  <c r="Q542" i="1" s="1"/>
  <c r="O542" i="1"/>
  <c r="L543" i="1"/>
  <c r="M543" i="1"/>
  <c r="R543" i="1" s="1"/>
  <c r="N543" i="1"/>
  <c r="Q543" i="1" s="1"/>
  <c r="O543" i="1"/>
  <c r="L544" i="1"/>
  <c r="M544" i="1"/>
  <c r="R544" i="1" s="1"/>
  <c r="N544" i="1"/>
  <c r="Q544" i="1" s="1"/>
  <c r="O544" i="1"/>
  <c r="L545" i="1"/>
  <c r="M545" i="1"/>
  <c r="R545" i="1" s="1"/>
  <c r="N545" i="1"/>
  <c r="Q545" i="1" s="1"/>
  <c r="O545" i="1"/>
  <c r="L546" i="1"/>
  <c r="M546" i="1"/>
  <c r="R546" i="1" s="1"/>
  <c r="N546" i="1"/>
  <c r="Q546" i="1" s="1"/>
  <c r="O546" i="1"/>
  <c r="L547" i="1"/>
  <c r="M547" i="1"/>
  <c r="R547" i="1" s="1"/>
  <c r="N547" i="1"/>
  <c r="Q547" i="1" s="1"/>
  <c r="O547" i="1"/>
  <c r="L548" i="1"/>
  <c r="M548" i="1"/>
  <c r="R548" i="1" s="1"/>
  <c r="N548" i="1"/>
  <c r="Q548" i="1" s="1"/>
  <c r="O548" i="1"/>
  <c r="L549" i="1"/>
  <c r="M549" i="1"/>
  <c r="R549" i="1" s="1"/>
  <c r="N549" i="1"/>
  <c r="Q549" i="1" s="1"/>
  <c r="O549" i="1"/>
  <c r="L550" i="1"/>
  <c r="M550" i="1"/>
  <c r="R550" i="1" s="1"/>
  <c r="N550" i="1"/>
  <c r="Q550" i="1" s="1"/>
  <c r="O550" i="1"/>
  <c r="L551" i="1"/>
  <c r="M551" i="1"/>
  <c r="R551" i="1" s="1"/>
  <c r="N551" i="1"/>
  <c r="Q551" i="1" s="1"/>
  <c r="O551" i="1"/>
  <c r="L552" i="1"/>
  <c r="M552" i="1"/>
  <c r="R552" i="1" s="1"/>
  <c r="N552" i="1"/>
  <c r="Q552" i="1" s="1"/>
  <c r="O552" i="1"/>
  <c r="L553" i="1"/>
  <c r="M553" i="1"/>
  <c r="R553" i="1" s="1"/>
  <c r="N553" i="1"/>
  <c r="Q553" i="1" s="1"/>
  <c r="O553" i="1"/>
  <c r="L554" i="1"/>
  <c r="M554" i="1"/>
  <c r="R554" i="1" s="1"/>
  <c r="N554" i="1"/>
  <c r="Q554" i="1" s="1"/>
  <c r="O554" i="1"/>
  <c r="L555" i="1"/>
  <c r="M555" i="1"/>
  <c r="R555" i="1" s="1"/>
  <c r="N555" i="1"/>
  <c r="Q555" i="1" s="1"/>
  <c r="O555" i="1"/>
  <c r="L556" i="1"/>
  <c r="M556" i="1"/>
  <c r="R556" i="1" s="1"/>
  <c r="N556" i="1"/>
  <c r="Q556" i="1" s="1"/>
  <c r="O556" i="1"/>
  <c r="L557" i="1"/>
  <c r="M557" i="1"/>
  <c r="R557" i="1" s="1"/>
  <c r="N557" i="1"/>
  <c r="Q557" i="1" s="1"/>
  <c r="O557" i="1"/>
  <c r="L558" i="1"/>
  <c r="M558" i="1"/>
  <c r="R558" i="1" s="1"/>
  <c r="N558" i="1"/>
  <c r="Q558" i="1" s="1"/>
  <c r="O558" i="1"/>
  <c r="L559" i="1"/>
  <c r="M559" i="1"/>
  <c r="R559" i="1" s="1"/>
  <c r="N559" i="1"/>
  <c r="Q559" i="1" s="1"/>
  <c r="O559" i="1"/>
  <c r="L560" i="1"/>
  <c r="M560" i="1"/>
  <c r="R560" i="1" s="1"/>
  <c r="N560" i="1"/>
  <c r="Q560" i="1" s="1"/>
  <c r="O560" i="1"/>
  <c r="L561" i="1"/>
  <c r="M561" i="1"/>
  <c r="R561" i="1" s="1"/>
  <c r="N561" i="1"/>
  <c r="Q561" i="1" s="1"/>
  <c r="O561" i="1"/>
  <c r="L562" i="1"/>
  <c r="M562" i="1"/>
  <c r="R562" i="1" s="1"/>
  <c r="N562" i="1"/>
  <c r="Q562" i="1" s="1"/>
  <c r="O562" i="1"/>
  <c r="L563" i="1"/>
  <c r="M563" i="1"/>
  <c r="R563" i="1" s="1"/>
  <c r="N563" i="1"/>
  <c r="Q563" i="1" s="1"/>
  <c r="O563" i="1"/>
  <c r="L564" i="1"/>
  <c r="M564" i="1"/>
  <c r="R564" i="1" s="1"/>
  <c r="N564" i="1"/>
  <c r="Q564" i="1" s="1"/>
  <c r="O564" i="1"/>
  <c r="L565" i="1"/>
  <c r="M565" i="1"/>
  <c r="R565" i="1" s="1"/>
  <c r="N565" i="1"/>
  <c r="Q565" i="1" s="1"/>
  <c r="O565" i="1"/>
  <c r="L566" i="1"/>
  <c r="M566" i="1"/>
  <c r="R566" i="1" s="1"/>
  <c r="N566" i="1"/>
  <c r="Q566" i="1" s="1"/>
  <c r="O566" i="1"/>
  <c r="L567" i="1"/>
  <c r="M567" i="1"/>
  <c r="R567" i="1" s="1"/>
  <c r="N567" i="1"/>
  <c r="Q567" i="1" s="1"/>
  <c r="O567" i="1"/>
  <c r="L568" i="1"/>
  <c r="M568" i="1"/>
  <c r="R568" i="1" s="1"/>
  <c r="N568" i="1"/>
  <c r="Q568" i="1" s="1"/>
  <c r="O568" i="1"/>
  <c r="L569" i="1"/>
  <c r="M569" i="1"/>
  <c r="R569" i="1" s="1"/>
  <c r="N569" i="1"/>
  <c r="Q569" i="1" s="1"/>
  <c r="O569" i="1"/>
  <c r="L570" i="1"/>
  <c r="M570" i="1"/>
  <c r="R570" i="1" s="1"/>
  <c r="N570" i="1"/>
  <c r="Q570" i="1" s="1"/>
  <c r="O570" i="1"/>
  <c r="L571" i="1"/>
  <c r="M571" i="1"/>
  <c r="R571" i="1" s="1"/>
  <c r="N571" i="1"/>
  <c r="Q571" i="1" s="1"/>
  <c r="O571" i="1"/>
  <c r="L572" i="1"/>
  <c r="M572" i="1"/>
  <c r="R572" i="1" s="1"/>
  <c r="N572" i="1"/>
  <c r="Q572" i="1" s="1"/>
  <c r="O572" i="1"/>
  <c r="L573" i="1"/>
  <c r="M573" i="1"/>
  <c r="R573" i="1" s="1"/>
  <c r="N573" i="1"/>
  <c r="Q573" i="1" s="1"/>
  <c r="O573" i="1"/>
  <c r="L574" i="1"/>
  <c r="M574" i="1"/>
  <c r="R574" i="1" s="1"/>
  <c r="N574" i="1"/>
  <c r="Q574" i="1" s="1"/>
  <c r="O574" i="1"/>
  <c r="L575" i="1"/>
  <c r="M575" i="1"/>
  <c r="R575" i="1" s="1"/>
  <c r="N575" i="1"/>
  <c r="Q575" i="1" s="1"/>
  <c r="O575" i="1"/>
  <c r="L576" i="1"/>
  <c r="M576" i="1"/>
  <c r="R576" i="1" s="1"/>
  <c r="N576" i="1"/>
  <c r="Q576" i="1" s="1"/>
  <c r="O576" i="1"/>
  <c r="L577" i="1"/>
  <c r="M577" i="1"/>
  <c r="R577" i="1" s="1"/>
  <c r="N577" i="1"/>
  <c r="Q577" i="1" s="1"/>
  <c r="O577" i="1"/>
  <c r="L578" i="1"/>
  <c r="M578" i="1"/>
  <c r="R578" i="1" s="1"/>
  <c r="N578" i="1"/>
  <c r="Q578" i="1" s="1"/>
  <c r="O578" i="1"/>
  <c r="L579" i="1"/>
  <c r="M579" i="1"/>
  <c r="R579" i="1" s="1"/>
  <c r="N579" i="1"/>
  <c r="Q579" i="1" s="1"/>
  <c r="O579" i="1"/>
  <c r="L580" i="1"/>
  <c r="M580" i="1"/>
  <c r="R580" i="1" s="1"/>
  <c r="N580" i="1"/>
  <c r="Q580" i="1" s="1"/>
  <c r="O580" i="1"/>
  <c r="L581" i="1"/>
  <c r="M581" i="1"/>
  <c r="R581" i="1" s="1"/>
  <c r="N581" i="1"/>
  <c r="Q581" i="1" s="1"/>
  <c r="O581" i="1"/>
  <c r="L582" i="1"/>
  <c r="M582" i="1"/>
  <c r="R582" i="1" s="1"/>
  <c r="N582" i="1"/>
  <c r="Q582" i="1" s="1"/>
  <c r="O582" i="1"/>
  <c r="L583" i="1"/>
  <c r="M583" i="1"/>
  <c r="R583" i="1" s="1"/>
  <c r="N583" i="1"/>
  <c r="Q583" i="1" s="1"/>
  <c r="O583" i="1"/>
  <c r="L584" i="1"/>
  <c r="M584" i="1"/>
  <c r="R584" i="1" s="1"/>
  <c r="N584" i="1"/>
  <c r="Q584" i="1" s="1"/>
  <c r="O584" i="1"/>
  <c r="L585" i="1"/>
  <c r="M585" i="1"/>
  <c r="R585" i="1" s="1"/>
  <c r="N585" i="1"/>
  <c r="Q585" i="1" s="1"/>
  <c r="O585" i="1"/>
  <c r="L586" i="1"/>
  <c r="M586" i="1"/>
  <c r="R586" i="1" s="1"/>
  <c r="N586" i="1"/>
  <c r="Q586" i="1" s="1"/>
  <c r="O586" i="1"/>
  <c r="L587" i="1"/>
  <c r="M587" i="1"/>
  <c r="R587" i="1" s="1"/>
  <c r="N587" i="1"/>
  <c r="Q587" i="1" s="1"/>
  <c r="O587" i="1"/>
  <c r="L588" i="1"/>
  <c r="M588" i="1"/>
  <c r="R588" i="1" s="1"/>
  <c r="N588" i="1"/>
  <c r="Q588" i="1" s="1"/>
  <c r="O588" i="1"/>
  <c r="L589" i="1"/>
  <c r="M589" i="1"/>
  <c r="R589" i="1" s="1"/>
  <c r="N589" i="1"/>
  <c r="Q589" i="1" s="1"/>
  <c r="O589" i="1"/>
  <c r="L590" i="1"/>
  <c r="M590" i="1"/>
  <c r="R590" i="1" s="1"/>
  <c r="N590" i="1"/>
  <c r="Q590" i="1" s="1"/>
  <c r="O590" i="1"/>
  <c r="L591" i="1"/>
  <c r="M591" i="1"/>
  <c r="R591" i="1" s="1"/>
  <c r="N591" i="1"/>
  <c r="Q591" i="1" s="1"/>
  <c r="O591" i="1"/>
  <c r="L592" i="1"/>
  <c r="M592" i="1"/>
  <c r="R592" i="1" s="1"/>
  <c r="N592" i="1"/>
  <c r="Q592" i="1" s="1"/>
  <c r="O592" i="1"/>
  <c r="L593" i="1"/>
  <c r="M593" i="1"/>
  <c r="R593" i="1" s="1"/>
  <c r="N593" i="1"/>
  <c r="Q593" i="1" s="1"/>
  <c r="O593" i="1"/>
  <c r="L594" i="1"/>
  <c r="M594" i="1"/>
  <c r="R594" i="1" s="1"/>
  <c r="N594" i="1"/>
  <c r="Q594" i="1" s="1"/>
  <c r="O594" i="1"/>
  <c r="L595" i="1"/>
  <c r="M595" i="1"/>
  <c r="R595" i="1" s="1"/>
  <c r="N595" i="1"/>
  <c r="Q595" i="1" s="1"/>
  <c r="O595" i="1"/>
  <c r="L596" i="1"/>
  <c r="M596" i="1"/>
  <c r="R596" i="1" s="1"/>
  <c r="N596" i="1"/>
  <c r="Q596" i="1" s="1"/>
  <c r="O596" i="1"/>
  <c r="L597" i="1"/>
  <c r="M597" i="1"/>
  <c r="R597" i="1" s="1"/>
  <c r="N597" i="1"/>
  <c r="Q597" i="1" s="1"/>
  <c r="O597" i="1"/>
  <c r="L598" i="1"/>
  <c r="M598" i="1"/>
  <c r="R598" i="1" s="1"/>
  <c r="N598" i="1"/>
  <c r="Q598" i="1" s="1"/>
  <c r="O598" i="1"/>
  <c r="L599" i="1"/>
  <c r="M599" i="1"/>
  <c r="R599" i="1" s="1"/>
  <c r="N599" i="1"/>
  <c r="Q599" i="1" s="1"/>
  <c r="O599" i="1"/>
  <c r="L600" i="1"/>
  <c r="M600" i="1"/>
  <c r="R600" i="1" s="1"/>
  <c r="N600" i="1"/>
  <c r="Q600" i="1" s="1"/>
  <c r="O600" i="1"/>
  <c r="L601" i="1"/>
  <c r="M601" i="1"/>
  <c r="R601" i="1" s="1"/>
  <c r="N601" i="1"/>
  <c r="Q601" i="1" s="1"/>
  <c r="O601" i="1"/>
  <c r="L602" i="1"/>
  <c r="M602" i="1"/>
  <c r="R602" i="1" s="1"/>
  <c r="N602" i="1"/>
  <c r="Q602" i="1" s="1"/>
  <c r="O602" i="1"/>
  <c r="L603" i="1"/>
  <c r="M603" i="1"/>
  <c r="R603" i="1" s="1"/>
  <c r="N603" i="1"/>
  <c r="Q603" i="1" s="1"/>
  <c r="O603" i="1"/>
  <c r="L604" i="1"/>
  <c r="M604" i="1"/>
  <c r="R604" i="1" s="1"/>
  <c r="N604" i="1"/>
  <c r="Q604" i="1" s="1"/>
  <c r="O604" i="1"/>
  <c r="L605" i="1"/>
  <c r="M605" i="1"/>
  <c r="R605" i="1" s="1"/>
  <c r="N605" i="1"/>
  <c r="Q605" i="1" s="1"/>
  <c r="O605" i="1"/>
  <c r="L606" i="1"/>
  <c r="M606" i="1"/>
  <c r="R606" i="1" s="1"/>
  <c r="N606" i="1"/>
  <c r="Q606" i="1" s="1"/>
  <c r="O606" i="1"/>
  <c r="L607" i="1"/>
  <c r="M607" i="1"/>
  <c r="R607" i="1" s="1"/>
  <c r="N607" i="1"/>
  <c r="Q607" i="1" s="1"/>
  <c r="O607" i="1"/>
  <c r="L608" i="1"/>
  <c r="M608" i="1"/>
  <c r="R608" i="1" s="1"/>
  <c r="N608" i="1"/>
  <c r="Q608" i="1" s="1"/>
  <c r="O608" i="1"/>
  <c r="L609" i="1"/>
  <c r="M609" i="1"/>
  <c r="R609" i="1" s="1"/>
  <c r="N609" i="1"/>
  <c r="Q609" i="1" s="1"/>
  <c r="O609" i="1"/>
  <c r="L610" i="1"/>
  <c r="M610" i="1"/>
  <c r="R610" i="1" s="1"/>
  <c r="N610" i="1"/>
  <c r="Q610" i="1" s="1"/>
  <c r="O610" i="1"/>
  <c r="L611" i="1"/>
  <c r="M611" i="1"/>
  <c r="R611" i="1" s="1"/>
  <c r="N611" i="1"/>
  <c r="Q611" i="1" s="1"/>
  <c r="O611" i="1"/>
  <c r="L612" i="1"/>
  <c r="M612" i="1"/>
  <c r="R612" i="1" s="1"/>
  <c r="N612" i="1"/>
  <c r="Q612" i="1" s="1"/>
  <c r="O612" i="1"/>
  <c r="L613" i="1"/>
  <c r="M613" i="1"/>
  <c r="R613" i="1" s="1"/>
  <c r="N613" i="1"/>
  <c r="Q613" i="1" s="1"/>
  <c r="O613" i="1"/>
  <c r="L614" i="1"/>
  <c r="M614" i="1"/>
  <c r="R614" i="1" s="1"/>
  <c r="N614" i="1"/>
  <c r="Q614" i="1" s="1"/>
  <c r="O614" i="1"/>
  <c r="L615" i="1"/>
  <c r="M615" i="1"/>
  <c r="R615" i="1" s="1"/>
  <c r="N615" i="1"/>
  <c r="Q615" i="1" s="1"/>
  <c r="O615" i="1"/>
  <c r="L616" i="1"/>
  <c r="M616" i="1"/>
  <c r="R616" i="1" s="1"/>
  <c r="N616" i="1"/>
  <c r="Q616" i="1" s="1"/>
  <c r="O616" i="1"/>
  <c r="L617" i="1"/>
  <c r="M617" i="1"/>
  <c r="R617" i="1" s="1"/>
  <c r="N617" i="1"/>
  <c r="Q617" i="1" s="1"/>
  <c r="O617" i="1"/>
  <c r="L618" i="1"/>
  <c r="M618" i="1"/>
  <c r="R618" i="1" s="1"/>
  <c r="N618" i="1"/>
  <c r="Q618" i="1" s="1"/>
  <c r="O618" i="1"/>
  <c r="L619" i="1"/>
  <c r="M619" i="1"/>
  <c r="R619" i="1" s="1"/>
  <c r="N619" i="1"/>
  <c r="Q619" i="1" s="1"/>
  <c r="O619" i="1"/>
  <c r="L620" i="1"/>
  <c r="M620" i="1"/>
  <c r="R620" i="1" s="1"/>
  <c r="N620" i="1"/>
  <c r="Q620" i="1" s="1"/>
  <c r="O620" i="1"/>
  <c r="L621" i="1"/>
  <c r="M621" i="1"/>
  <c r="R621" i="1" s="1"/>
  <c r="N621" i="1"/>
  <c r="Q621" i="1" s="1"/>
  <c r="O621" i="1"/>
  <c r="L622" i="1"/>
  <c r="M622" i="1"/>
  <c r="R622" i="1" s="1"/>
  <c r="N622" i="1"/>
  <c r="Q622" i="1" s="1"/>
  <c r="O622" i="1"/>
  <c r="L623" i="1"/>
  <c r="M623" i="1"/>
  <c r="R623" i="1" s="1"/>
  <c r="N623" i="1"/>
  <c r="Q623" i="1" s="1"/>
  <c r="O623" i="1"/>
  <c r="L624" i="1"/>
  <c r="M624" i="1"/>
  <c r="R624" i="1" s="1"/>
  <c r="N624" i="1"/>
  <c r="Q624" i="1" s="1"/>
  <c r="O624" i="1"/>
  <c r="L625" i="1"/>
  <c r="M625" i="1"/>
  <c r="R625" i="1" s="1"/>
  <c r="N625" i="1"/>
  <c r="Q625" i="1" s="1"/>
  <c r="O625" i="1"/>
  <c r="L626" i="1"/>
  <c r="M626" i="1"/>
  <c r="R626" i="1" s="1"/>
  <c r="N626" i="1"/>
  <c r="Q626" i="1" s="1"/>
  <c r="O626" i="1"/>
  <c r="L627" i="1"/>
  <c r="M627" i="1"/>
  <c r="R627" i="1" s="1"/>
  <c r="N627" i="1"/>
  <c r="Q627" i="1" s="1"/>
  <c r="O627" i="1"/>
  <c r="L628" i="1"/>
  <c r="M628" i="1"/>
  <c r="R628" i="1" s="1"/>
  <c r="N628" i="1"/>
  <c r="Q628" i="1" s="1"/>
  <c r="O628" i="1"/>
  <c r="L629" i="1"/>
  <c r="M629" i="1"/>
  <c r="R629" i="1" s="1"/>
  <c r="N629" i="1"/>
  <c r="Q629" i="1" s="1"/>
  <c r="O629" i="1"/>
  <c r="L630" i="1"/>
  <c r="M630" i="1"/>
  <c r="R630" i="1" s="1"/>
  <c r="N630" i="1"/>
  <c r="Q630" i="1" s="1"/>
  <c r="O630" i="1"/>
  <c r="L631" i="1"/>
  <c r="M631" i="1"/>
  <c r="R631" i="1" s="1"/>
  <c r="N631" i="1"/>
  <c r="Q631" i="1" s="1"/>
  <c r="O631" i="1"/>
  <c r="L632" i="1"/>
  <c r="M632" i="1"/>
  <c r="R632" i="1" s="1"/>
  <c r="N632" i="1"/>
  <c r="Q632" i="1" s="1"/>
  <c r="O632" i="1"/>
  <c r="L633" i="1"/>
  <c r="M633" i="1"/>
  <c r="R633" i="1" s="1"/>
  <c r="N633" i="1"/>
  <c r="Q633" i="1" s="1"/>
  <c r="O633" i="1"/>
  <c r="L634" i="1"/>
  <c r="M634" i="1"/>
  <c r="R634" i="1" s="1"/>
  <c r="N634" i="1"/>
  <c r="Q634" i="1" s="1"/>
  <c r="O634" i="1"/>
  <c r="L635" i="1"/>
  <c r="M635" i="1"/>
  <c r="R635" i="1" s="1"/>
  <c r="N635" i="1"/>
  <c r="Q635" i="1" s="1"/>
  <c r="O635" i="1"/>
  <c r="L636" i="1"/>
  <c r="M636" i="1"/>
  <c r="R636" i="1" s="1"/>
  <c r="N636" i="1"/>
  <c r="Q636" i="1" s="1"/>
  <c r="O636" i="1"/>
  <c r="L637" i="1"/>
  <c r="M637" i="1"/>
  <c r="R637" i="1" s="1"/>
  <c r="N637" i="1"/>
  <c r="Q637" i="1" s="1"/>
  <c r="O637" i="1"/>
  <c r="L638" i="1"/>
  <c r="M638" i="1"/>
  <c r="R638" i="1" s="1"/>
  <c r="N638" i="1"/>
  <c r="Q638" i="1" s="1"/>
  <c r="O638" i="1"/>
  <c r="L639" i="1"/>
  <c r="M639" i="1"/>
  <c r="R639" i="1" s="1"/>
  <c r="N639" i="1"/>
  <c r="Q639" i="1" s="1"/>
  <c r="O639" i="1"/>
  <c r="L640" i="1"/>
  <c r="M640" i="1"/>
  <c r="R640" i="1" s="1"/>
  <c r="N640" i="1"/>
  <c r="Q640" i="1" s="1"/>
  <c r="O640" i="1"/>
  <c r="L641" i="1"/>
  <c r="M641" i="1"/>
  <c r="R641" i="1" s="1"/>
  <c r="N641" i="1"/>
  <c r="Q641" i="1" s="1"/>
  <c r="O641" i="1"/>
  <c r="L642" i="1"/>
  <c r="M642" i="1"/>
  <c r="R642" i="1" s="1"/>
  <c r="N642" i="1"/>
  <c r="Q642" i="1" s="1"/>
  <c r="O642" i="1"/>
  <c r="L643" i="1"/>
  <c r="M643" i="1"/>
  <c r="R643" i="1" s="1"/>
  <c r="N643" i="1"/>
  <c r="Q643" i="1" s="1"/>
  <c r="O643" i="1"/>
  <c r="L644" i="1"/>
  <c r="M644" i="1"/>
  <c r="R644" i="1" s="1"/>
  <c r="N644" i="1"/>
  <c r="Q644" i="1" s="1"/>
  <c r="O644" i="1"/>
  <c r="L645" i="1"/>
  <c r="M645" i="1"/>
  <c r="R645" i="1" s="1"/>
  <c r="N645" i="1"/>
  <c r="Q645" i="1" s="1"/>
  <c r="O645" i="1"/>
  <c r="L646" i="1"/>
  <c r="M646" i="1"/>
  <c r="R646" i="1" s="1"/>
  <c r="N646" i="1"/>
  <c r="Q646" i="1" s="1"/>
  <c r="O646" i="1"/>
  <c r="L647" i="1"/>
  <c r="M647" i="1"/>
  <c r="R647" i="1" s="1"/>
  <c r="N647" i="1"/>
  <c r="Q647" i="1" s="1"/>
  <c r="O647" i="1"/>
  <c r="L648" i="1"/>
  <c r="M648" i="1"/>
  <c r="R648" i="1" s="1"/>
  <c r="N648" i="1"/>
  <c r="Q648" i="1" s="1"/>
  <c r="O648" i="1"/>
  <c r="L649" i="1"/>
  <c r="M649" i="1"/>
  <c r="R649" i="1" s="1"/>
  <c r="N649" i="1"/>
  <c r="Q649" i="1" s="1"/>
  <c r="O649" i="1"/>
  <c r="L650" i="1"/>
  <c r="M650" i="1"/>
  <c r="R650" i="1" s="1"/>
  <c r="N650" i="1"/>
  <c r="Q650" i="1" s="1"/>
  <c r="O650" i="1"/>
  <c r="L651" i="1"/>
  <c r="M651" i="1"/>
  <c r="R651" i="1" s="1"/>
  <c r="N651" i="1"/>
  <c r="Q651" i="1" s="1"/>
  <c r="O651" i="1"/>
  <c r="L652" i="1"/>
  <c r="M652" i="1"/>
  <c r="R652" i="1" s="1"/>
  <c r="N652" i="1"/>
  <c r="Q652" i="1" s="1"/>
  <c r="O652" i="1"/>
  <c r="L653" i="1"/>
  <c r="M653" i="1"/>
  <c r="R653" i="1" s="1"/>
  <c r="N653" i="1"/>
  <c r="Q653" i="1" s="1"/>
  <c r="O653" i="1"/>
  <c r="L654" i="1"/>
  <c r="M654" i="1"/>
  <c r="R654" i="1" s="1"/>
  <c r="N654" i="1"/>
  <c r="Q654" i="1" s="1"/>
  <c r="O654" i="1"/>
  <c r="L655" i="1"/>
  <c r="M655" i="1"/>
  <c r="R655" i="1" s="1"/>
  <c r="N655" i="1"/>
  <c r="Q655" i="1" s="1"/>
  <c r="O655" i="1"/>
  <c r="L656" i="1"/>
  <c r="M656" i="1"/>
  <c r="R656" i="1" s="1"/>
  <c r="N656" i="1"/>
  <c r="Q656" i="1" s="1"/>
  <c r="O656" i="1"/>
  <c r="L657" i="1"/>
  <c r="M657" i="1"/>
  <c r="R657" i="1" s="1"/>
  <c r="N657" i="1"/>
  <c r="Q657" i="1" s="1"/>
  <c r="O657" i="1"/>
  <c r="L658" i="1"/>
  <c r="M658" i="1"/>
  <c r="R658" i="1" s="1"/>
  <c r="N658" i="1"/>
  <c r="Q658" i="1" s="1"/>
  <c r="O658" i="1"/>
  <c r="L659" i="1"/>
  <c r="M659" i="1"/>
  <c r="R659" i="1" s="1"/>
  <c r="N659" i="1"/>
  <c r="Q659" i="1" s="1"/>
  <c r="O659" i="1"/>
  <c r="L660" i="1"/>
  <c r="M660" i="1"/>
  <c r="R660" i="1" s="1"/>
  <c r="N660" i="1"/>
  <c r="Q660" i="1" s="1"/>
  <c r="O660" i="1"/>
  <c r="L661" i="1"/>
  <c r="M661" i="1"/>
  <c r="R661" i="1" s="1"/>
  <c r="N661" i="1"/>
  <c r="Q661" i="1" s="1"/>
  <c r="O661" i="1"/>
  <c r="L662" i="1"/>
  <c r="M662" i="1"/>
  <c r="R662" i="1" s="1"/>
  <c r="N662" i="1"/>
  <c r="Q662" i="1" s="1"/>
  <c r="O662" i="1"/>
  <c r="L663" i="1"/>
  <c r="M663" i="1"/>
  <c r="R663" i="1" s="1"/>
  <c r="N663" i="1"/>
  <c r="Q663" i="1" s="1"/>
  <c r="O663" i="1"/>
  <c r="L664" i="1"/>
  <c r="M664" i="1"/>
  <c r="R664" i="1" s="1"/>
  <c r="N664" i="1"/>
  <c r="Q664" i="1" s="1"/>
  <c r="O664" i="1"/>
  <c r="L665" i="1"/>
  <c r="M665" i="1"/>
  <c r="R665" i="1" s="1"/>
  <c r="N665" i="1"/>
  <c r="Q665" i="1" s="1"/>
  <c r="O665" i="1"/>
  <c r="L666" i="1"/>
  <c r="M666" i="1"/>
  <c r="R666" i="1" s="1"/>
  <c r="N666" i="1"/>
  <c r="Q666" i="1" s="1"/>
  <c r="O666" i="1"/>
  <c r="L667" i="1"/>
  <c r="M667" i="1"/>
  <c r="R667" i="1" s="1"/>
  <c r="N667" i="1"/>
  <c r="Q667" i="1" s="1"/>
  <c r="O667" i="1"/>
  <c r="L668" i="1"/>
  <c r="M668" i="1"/>
  <c r="R668" i="1" s="1"/>
  <c r="N668" i="1"/>
  <c r="Q668" i="1" s="1"/>
  <c r="O668" i="1"/>
  <c r="L669" i="1"/>
  <c r="M669" i="1"/>
  <c r="R669" i="1" s="1"/>
  <c r="N669" i="1"/>
  <c r="Q669" i="1" s="1"/>
  <c r="O669" i="1"/>
  <c r="L670" i="1"/>
  <c r="M670" i="1"/>
  <c r="R670" i="1" s="1"/>
  <c r="N670" i="1"/>
  <c r="Q670" i="1" s="1"/>
  <c r="O670" i="1"/>
  <c r="L671" i="1"/>
  <c r="M671" i="1"/>
  <c r="R671" i="1" s="1"/>
  <c r="N671" i="1"/>
  <c r="Q671" i="1" s="1"/>
  <c r="O671" i="1"/>
  <c r="L672" i="1"/>
  <c r="M672" i="1"/>
  <c r="R672" i="1" s="1"/>
  <c r="N672" i="1"/>
  <c r="Q672" i="1" s="1"/>
  <c r="O672" i="1"/>
  <c r="L673" i="1"/>
  <c r="M673" i="1"/>
  <c r="R673" i="1" s="1"/>
  <c r="N673" i="1"/>
  <c r="Q673" i="1" s="1"/>
  <c r="O673" i="1"/>
  <c r="L674" i="1"/>
  <c r="M674" i="1"/>
  <c r="R674" i="1" s="1"/>
  <c r="N674" i="1"/>
  <c r="Q674" i="1" s="1"/>
  <c r="O674" i="1"/>
  <c r="L675" i="1"/>
  <c r="M675" i="1"/>
  <c r="R675" i="1" s="1"/>
  <c r="N675" i="1"/>
  <c r="Q675" i="1" s="1"/>
  <c r="O675" i="1"/>
  <c r="L676" i="1"/>
  <c r="M676" i="1"/>
  <c r="R676" i="1" s="1"/>
  <c r="N676" i="1"/>
  <c r="Q676" i="1" s="1"/>
  <c r="O676" i="1"/>
  <c r="L677" i="1"/>
  <c r="M677" i="1"/>
  <c r="R677" i="1" s="1"/>
  <c r="N677" i="1"/>
  <c r="Q677" i="1" s="1"/>
  <c r="O677" i="1"/>
  <c r="L678" i="1"/>
  <c r="M678" i="1"/>
  <c r="R678" i="1" s="1"/>
  <c r="N678" i="1"/>
  <c r="Q678" i="1" s="1"/>
  <c r="O678" i="1"/>
  <c r="L679" i="1"/>
  <c r="M679" i="1"/>
  <c r="R679" i="1" s="1"/>
  <c r="N679" i="1"/>
  <c r="Q679" i="1" s="1"/>
  <c r="O679" i="1"/>
  <c r="L680" i="1"/>
  <c r="M680" i="1"/>
  <c r="R680" i="1" s="1"/>
  <c r="N680" i="1"/>
  <c r="Q680" i="1" s="1"/>
  <c r="O680" i="1"/>
  <c r="L681" i="1"/>
  <c r="M681" i="1"/>
  <c r="R681" i="1" s="1"/>
  <c r="N681" i="1"/>
  <c r="Q681" i="1" s="1"/>
  <c r="O681" i="1"/>
  <c r="L682" i="1"/>
  <c r="M682" i="1"/>
  <c r="R682" i="1" s="1"/>
  <c r="N682" i="1"/>
  <c r="Q682" i="1" s="1"/>
  <c r="O682" i="1"/>
  <c r="L683" i="1"/>
  <c r="M683" i="1"/>
  <c r="R683" i="1" s="1"/>
  <c r="N683" i="1"/>
  <c r="Q683" i="1" s="1"/>
  <c r="O683" i="1"/>
  <c r="L684" i="1"/>
  <c r="M684" i="1"/>
  <c r="R684" i="1" s="1"/>
  <c r="N684" i="1"/>
  <c r="Q684" i="1" s="1"/>
  <c r="O684" i="1"/>
  <c r="L685" i="1"/>
  <c r="M685" i="1"/>
  <c r="R685" i="1" s="1"/>
  <c r="N685" i="1"/>
  <c r="Q685" i="1" s="1"/>
  <c r="O685" i="1"/>
  <c r="L686" i="1"/>
  <c r="M686" i="1"/>
  <c r="R686" i="1" s="1"/>
  <c r="N686" i="1"/>
  <c r="Q686" i="1" s="1"/>
  <c r="O686" i="1"/>
  <c r="L687" i="1"/>
  <c r="M687" i="1"/>
  <c r="R687" i="1" s="1"/>
  <c r="N687" i="1"/>
  <c r="Q687" i="1" s="1"/>
  <c r="O687" i="1"/>
  <c r="L688" i="1"/>
  <c r="M688" i="1"/>
  <c r="R688" i="1" s="1"/>
  <c r="N688" i="1"/>
  <c r="Q688" i="1" s="1"/>
  <c r="O688" i="1"/>
  <c r="L689" i="1"/>
  <c r="M689" i="1"/>
  <c r="R689" i="1" s="1"/>
  <c r="N689" i="1"/>
  <c r="Q689" i="1" s="1"/>
  <c r="O689" i="1"/>
  <c r="L690" i="1"/>
  <c r="M690" i="1"/>
  <c r="R690" i="1" s="1"/>
  <c r="N690" i="1"/>
  <c r="Q690" i="1" s="1"/>
  <c r="O690" i="1"/>
  <c r="L691" i="1"/>
  <c r="M691" i="1"/>
  <c r="R691" i="1" s="1"/>
  <c r="N691" i="1"/>
  <c r="Q691" i="1" s="1"/>
  <c r="O691" i="1"/>
  <c r="L692" i="1"/>
  <c r="M692" i="1"/>
  <c r="R692" i="1" s="1"/>
  <c r="N692" i="1"/>
  <c r="Q692" i="1" s="1"/>
  <c r="O692" i="1"/>
  <c r="L693" i="1"/>
  <c r="M693" i="1"/>
  <c r="R693" i="1" s="1"/>
  <c r="N693" i="1"/>
  <c r="Q693" i="1" s="1"/>
  <c r="O693" i="1"/>
  <c r="L694" i="1"/>
  <c r="M694" i="1"/>
  <c r="R694" i="1" s="1"/>
  <c r="N694" i="1"/>
  <c r="Q694" i="1" s="1"/>
  <c r="O694" i="1"/>
  <c r="L695" i="1"/>
  <c r="M695" i="1"/>
  <c r="R695" i="1" s="1"/>
  <c r="N695" i="1"/>
  <c r="Q695" i="1" s="1"/>
  <c r="O695" i="1"/>
  <c r="L696" i="1"/>
  <c r="M696" i="1"/>
  <c r="R696" i="1" s="1"/>
  <c r="N696" i="1"/>
  <c r="Q696" i="1" s="1"/>
  <c r="O696" i="1"/>
  <c r="L697" i="1"/>
  <c r="M697" i="1"/>
  <c r="R697" i="1" s="1"/>
  <c r="N697" i="1"/>
  <c r="Q697" i="1" s="1"/>
  <c r="O697" i="1"/>
  <c r="L698" i="1"/>
  <c r="M698" i="1"/>
  <c r="R698" i="1" s="1"/>
  <c r="N698" i="1"/>
  <c r="Q698" i="1" s="1"/>
  <c r="O698" i="1"/>
  <c r="L699" i="1"/>
  <c r="M699" i="1"/>
  <c r="R699" i="1" s="1"/>
  <c r="N699" i="1"/>
  <c r="Q699" i="1" s="1"/>
  <c r="O699" i="1"/>
  <c r="L700" i="1"/>
  <c r="M700" i="1"/>
  <c r="R700" i="1" s="1"/>
  <c r="N700" i="1"/>
  <c r="Q700" i="1" s="1"/>
  <c r="O700" i="1"/>
  <c r="L701" i="1"/>
  <c r="M701" i="1"/>
  <c r="R701" i="1" s="1"/>
  <c r="N701" i="1"/>
  <c r="Q701" i="1" s="1"/>
  <c r="O701" i="1"/>
  <c r="L702" i="1"/>
  <c r="M702" i="1"/>
  <c r="R702" i="1" s="1"/>
  <c r="N702" i="1"/>
  <c r="Q702" i="1" s="1"/>
  <c r="O702" i="1"/>
  <c r="L703" i="1"/>
  <c r="M703" i="1"/>
  <c r="R703" i="1" s="1"/>
  <c r="N703" i="1"/>
  <c r="Q703" i="1" s="1"/>
  <c r="O703" i="1"/>
  <c r="L704" i="1"/>
  <c r="M704" i="1"/>
  <c r="R704" i="1" s="1"/>
  <c r="N704" i="1"/>
  <c r="Q704" i="1" s="1"/>
  <c r="O704" i="1"/>
  <c r="L705" i="1"/>
  <c r="M705" i="1"/>
  <c r="R705" i="1" s="1"/>
  <c r="N705" i="1"/>
  <c r="Q705" i="1" s="1"/>
  <c r="O705" i="1"/>
  <c r="L706" i="1"/>
  <c r="M706" i="1"/>
  <c r="R706" i="1" s="1"/>
  <c r="N706" i="1"/>
  <c r="Q706" i="1" s="1"/>
  <c r="O706" i="1"/>
  <c r="L707" i="1"/>
  <c r="M707" i="1"/>
  <c r="R707" i="1" s="1"/>
  <c r="N707" i="1"/>
  <c r="Q707" i="1" s="1"/>
  <c r="O707" i="1"/>
  <c r="L708" i="1"/>
  <c r="M708" i="1"/>
  <c r="R708" i="1" s="1"/>
  <c r="N708" i="1"/>
  <c r="Q708" i="1" s="1"/>
  <c r="O708" i="1"/>
  <c r="L709" i="1"/>
  <c r="M709" i="1"/>
  <c r="R709" i="1" s="1"/>
  <c r="N709" i="1"/>
  <c r="Q709" i="1" s="1"/>
  <c r="O709" i="1"/>
  <c r="L710" i="1"/>
  <c r="M710" i="1"/>
  <c r="R710" i="1" s="1"/>
  <c r="N710" i="1"/>
  <c r="Q710" i="1" s="1"/>
  <c r="O710" i="1"/>
  <c r="L711" i="1"/>
  <c r="M711" i="1"/>
  <c r="R711" i="1" s="1"/>
  <c r="N711" i="1"/>
  <c r="Q711" i="1" s="1"/>
  <c r="O711" i="1"/>
  <c r="L712" i="1"/>
  <c r="M712" i="1"/>
  <c r="R712" i="1" s="1"/>
  <c r="N712" i="1"/>
  <c r="Q712" i="1" s="1"/>
  <c r="O712" i="1"/>
  <c r="L713" i="1"/>
  <c r="M713" i="1"/>
  <c r="R713" i="1" s="1"/>
  <c r="N713" i="1"/>
  <c r="Q713" i="1" s="1"/>
  <c r="O713" i="1"/>
  <c r="L714" i="1"/>
  <c r="M714" i="1"/>
  <c r="R714" i="1" s="1"/>
  <c r="N714" i="1"/>
  <c r="Q714" i="1" s="1"/>
  <c r="O714" i="1"/>
  <c r="L715" i="1"/>
  <c r="M715" i="1"/>
  <c r="R715" i="1" s="1"/>
  <c r="N715" i="1"/>
  <c r="Q715" i="1" s="1"/>
  <c r="O715" i="1"/>
  <c r="L716" i="1"/>
  <c r="M716" i="1"/>
  <c r="R716" i="1" s="1"/>
  <c r="N716" i="1"/>
  <c r="Q716" i="1" s="1"/>
  <c r="O716" i="1"/>
  <c r="L717" i="1"/>
  <c r="M717" i="1"/>
  <c r="R717" i="1" s="1"/>
  <c r="N717" i="1"/>
  <c r="Q717" i="1" s="1"/>
  <c r="O717" i="1"/>
  <c r="L718" i="1"/>
  <c r="M718" i="1"/>
  <c r="R718" i="1" s="1"/>
  <c r="N718" i="1"/>
  <c r="Q718" i="1" s="1"/>
  <c r="O718" i="1"/>
  <c r="L719" i="1"/>
  <c r="M719" i="1"/>
  <c r="R719" i="1" s="1"/>
  <c r="N719" i="1"/>
  <c r="Q719" i="1" s="1"/>
  <c r="O719" i="1"/>
  <c r="L720" i="1"/>
  <c r="M720" i="1"/>
  <c r="R720" i="1" s="1"/>
  <c r="N720" i="1"/>
  <c r="Q720" i="1" s="1"/>
  <c r="O720" i="1"/>
  <c r="L721" i="1"/>
  <c r="M721" i="1"/>
  <c r="R721" i="1" s="1"/>
  <c r="N721" i="1"/>
  <c r="Q721" i="1" s="1"/>
  <c r="O721" i="1"/>
  <c r="L722" i="1"/>
  <c r="M722" i="1"/>
  <c r="R722" i="1" s="1"/>
  <c r="N722" i="1"/>
  <c r="Q722" i="1" s="1"/>
  <c r="O722" i="1"/>
  <c r="L723" i="1"/>
  <c r="M723" i="1"/>
  <c r="R723" i="1" s="1"/>
  <c r="N723" i="1"/>
  <c r="Q723" i="1" s="1"/>
  <c r="O723" i="1"/>
  <c r="L724" i="1"/>
  <c r="M724" i="1"/>
  <c r="R724" i="1" s="1"/>
  <c r="N724" i="1"/>
  <c r="Q724" i="1" s="1"/>
  <c r="O724" i="1"/>
  <c r="L725" i="1"/>
  <c r="M725" i="1"/>
  <c r="R725" i="1" s="1"/>
  <c r="N725" i="1"/>
  <c r="Q725" i="1" s="1"/>
  <c r="O725" i="1"/>
  <c r="L726" i="1"/>
  <c r="M726" i="1"/>
  <c r="R726" i="1" s="1"/>
  <c r="N726" i="1"/>
  <c r="Q726" i="1" s="1"/>
  <c r="O726" i="1"/>
  <c r="L727" i="1"/>
  <c r="M727" i="1"/>
  <c r="R727" i="1" s="1"/>
  <c r="N727" i="1"/>
  <c r="Q727" i="1" s="1"/>
  <c r="O727" i="1"/>
  <c r="L728" i="1"/>
  <c r="M728" i="1"/>
  <c r="R728" i="1" s="1"/>
  <c r="N728" i="1"/>
  <c r="Q728" i="1" s="1"/>
  <c r="O728" i="1"/>
  <c r="L729" i="1"/>
  <c r="M729" i="1"/>
  <c r="R729" i="1" s="1"/>
  <c r="N729" i="1"/>
  <c r="Q729" i="1" s="1"/>
  <c r="O729" i="1"/>
  <c r="L730" i="1"/>
  <c r="M730" i="1"/>
  <c r="R730" i="1" s="1"/>
  <c r="N730" i="1"/>
  <c r="Q730" i="1" s="1"/>
  <c r="O730" i="1"/>
  <c r="L731" i="1"/>
  <c r="M731" i="1"/>
  <c r="R731" i="1" s="1"/>
  <c r="N731" i="1"/>
  <c r="Q731" i="1" s="1"/>
  <c r="O731" i="1"/>
  <c r="L732" i="1"/>
  <c r="M732" i="1"/>
  <c r="R732" i="1" s="1"/>
  <c r="N732" i="1"/>
  <c r="Q732" i="1" s="1"/>
  <c r="O732" i="1"/>
  <c r="L733" i="1"/>
  <c r="M733" i="1"/>
  <c r="R733" i="1" s="1"/>
  <c r="N733" i="1"/>
  <c r="Q733" i="1" s="1"/>
  <c r="O733" i="1"/>
  <c r="L734" i="1"/>
  <c r="M734" i="1"/>
  <c r="R734" i="1" s="1"/>
  <c r="N734" i="1"/>
  <c r="Q734" i="1" s="1"/>
  <c r="O734" i="1"/>
  <c r="L735" i="1"/>
  <c r="M735" i="1"/>
  <c r="R735" i="1" s="1"/>
  <c r="N735" i="1"/>
  <c r="Q735" i="1" s="1"/>
  <c r="O735" i="1"/>
  <c r="L736" i="1"/>
  <c r="M736" i="1"/>
  <c r="R736" i="1" s="1"/>
  <c r="N736" i="1"/>
  <c r="Q736" i="1" s="1"/>
  <c r="O736" i="1"/>
  <c r="L737" i="1"/>
  <c r="M737" i="1"/>
  <c r="R737" i="1" s="1"/>
  <c r="N737" i="1"/>
  <c r="Q737" i="1" s="1"/>
  <c r="O737" i="1"/>
  <c r="L738" i="1"/>
  <c r="M738" i="1"/>
  <c r="R738" i="1" s="1"/>
  <c r="N738" i="1"/>
  <c r="Q738" i="1" s="1"/>
  <c r="O738" i="1"/>
  <c r="L739" i="1"/>
  <c r="M739" i="1"/>
  <c r="R739" i="1" s="1"/>
  <c r="N739" i="1"/>
  <c r="Q739" i="1" s="1"/>
  <c r="O739" i="1"/>
  <c r="L740" i="1"/>
  <c r="M740" i="1"/>
  <c r="R740" i="1" s="1"/>
  <c r="N740" i="1"/>
  <c r="Q740" i="1" s="1"/>
  <c r="O740" i="1"/>
  <c r="L741" i="1"/>
  <c r="M741" i="1"/>
  <c r="R741" i="1" s="1"/>
  <c r="N741" i="1"/>
  <c r="Q741" i="1" s="1"/>
  <c r="O741" i="1"/>
  <c r="L742" i="1"/>
  <c r="M742" i="1"/>
  <c r="R742" i="1" s="1"/>
  <c r="N742" i="1"/>
  <c r="Q742" i="1" s="1"/>
  <c r="O742" i="1"/>
  <c r="L743" i="1"/>
  <c r="M743" i="1"/>
  <c r="R743" i="1" s="1"/>
  <c r="N743" i="1"/>
  <c r="Q743" i="1" s="1"/>
  <c r="O743" i="1"/>
  <c r="L744" i="1"/>
  <c r="M744" i="1"/>
  <c r="R744" i="1" s="1"/>
  <c r="N744" i="1"/>
  <c r="Q744" i="1" s="1"/>
  <c r="O744" i="1"/>
  <c r="L745" i="1"/>
  <c r="M745" i="1"/>
  <c r="R745" i="1" s="1"/>
  <c r="N745" i="1"/>
  <c r="Q745" i="1" s="1"/>
  <c r="O745" i="1"/>
  <c r="L746" i="1"/>
  <c r="M746" i="1"/>
  <c r="R746" i="1" s="1"/>
  <c r="N746" i="1"/>
  <c r="Q746" i="1" s="1"/>
  <c r="O746" i="1"/>
  <c r="L747" i="1"/>
  <c r="M747" i="1"/>
  <c r="R747" i="1" s="1"/>
  <c r="N747" i="1"/>
  <c r="Q747" i="1" s="1"/>
  <c r="O747" i="1"/>
  <c r="L748" i="1"/>
  <c r="M748" i="1"/>
  <c r="R748" i="1" s="1"/>
  <c r="N748" i="1"/>
  <c r="Q748" i="1" s="1"/>
  <c r="O748" i="1"/>
  <c r="L749" i="1"/>
  <c r="M749" i="1"/>
  <c r="R749" i="1" s="1"/>
  <c r="N749" i="1"/>
  <c r="Q749" i="1" s="1"/>
  <c r="O749" i="1"/>
  <c r="L750" i="1"/>
  <c r="M750" i="1"/>
  <c r="R750" i="1" s="1"/>
  <c r="N750" i="1"/>
  <c r="Q750" i="1" s="1"/>
  <c r="O750" i="1"/>
  <c r="L751" i="1"/>
  <c r="M751" i="1"/>
  <c r="R751" i="1" s="1"/>
  <c r="N751" i="1"/>
  <c r="Q751" i="1" s="1"/>
  <c r="O751" i="1"/>
  <c r="L752" i="1"/>
  <c r="M752" i="1"/>
  <c r="R752" i="1" s="1"/>
  <c r="N752" i="1"/>
  <c r="Q752" i="1" s="1"/>
  <c r="O752" i="1"/>
  <c r="L753" i="1"/>
  <c r="M753" i="1"/>
  <c r="R753" i="1" s="1"/>
  <c r="N753" i="1"/>
  <c r="Q753" i="1" s="1"/>
  <c r="O753" i="1"/>
  <c r="L754" i="1"/>
  <c r="M754" i="1"/>
  <c r="R754" i="1" s="1"/>
  <c r="N754" i="1"/>
  <c r="Q754" i="1" s="1"/>
  <c r="O754" i="1"/>
  <c r="L755" i="1"/>
  <c r="M755" i="1"/>
  <c r="R755" i="1" s="1"/>
  <c r="N755" i="1"/>
  <c r="Q755" i="1" s="1"/>
  <c r="O755" i="1"/>
  <c r="L756" i="1"/>
  <c r="M756" i="1"/>
  <c r="R756" i="1" s="1"/>
  <c r="N756" i="1"/>
  <c r="Q756" i="1" s="1"/>
  <c r="O756" i="1"/>
  <c r="L757" i="1"/>
  <c r="M757" i="1"/>
  <c r="R757" i="1" s="1"/>
  <c r="N757" i="1"/>
  <c r="Q757" i="1" s="1"/>
  <c r="O757" i="1"/>
  <c r="L758" i="1"/>
  <c r="M758" i="1"/>
  <c r="R758" i="1" s="1"/>
  <c r="N758" i="1"/>
  <c r="Q758" i="1" s="1"/>
  <c r="O758" i="1"/>
  <c r="L759" i="1"/>
  <c r="M759" i="1"/>
  <c r="R759" i="1" s="1"/>
  <c r="N759" i="1"/>
  <c r="Q759" i="1" s="1"/>
  <c r="O759" i="1"/>
  <c r="L760" i="1"/>
  <c r="M760" i="1"/>
  <c r="R760" i="1" s="1"/>
  <c r="N760" i="1"/>
  <c r="Q760" i="1" s="1"/>
  <c r="O760" i="1"/>
  <c r="L761" i="1"/>
  <c r="M761" i="1"/>
  <c r="R761" i="1" s="1"/>
  <c r="N761" i="1"/>
  <c r="Q761" i="1" s="1"/>
  <c r="O761" i="1"/>
  <c r="L762" i="1"/>
  <c r="M762" i="1"/>
  <c r="R762" i="1" s="1"/>
  <c r="N762" i="1"/>
  <c r="Q762" i="1" s="1"/>
  <c r="O762" i="1"/>
  <c r="L763" i="1"/>
  <c r="M763" i="1"/>
  <c r="R763" i="1" s="1"/>
  <c r="N763" i="1"/>
  <c r="Q763" i="1" s="1"/>
  <c r="O763" i="1"/>
  <c r="L764" i="1"/>
  <c r="M764" i="1"/>
  <c r="R764" i="1" s="1"/>
  <c r="N764" i="1"/>
  <c r="Q764" i="1" s="1"/>
  <c r="O764" i="1"/>
  <c r="L765" i="1"/>
  <c r="M765" i="1"/>
  <c r="R765" i="1" s="1"/>
  <c r="N765" i="1"/>
  <c r="Q765" i="1" s="1"/>
  <c r="O765" i="1"/>
  <c r="L766" i="1"/>
  <c r="M766" i="1"/>
  <c r="R766" i="1" s="1"/>
  <c r="N766" i="1"/>
  <c r="Q766" i="1" s="1"/>
  <c r="O766" i="1"/>
  <c r="L767" i="1"/>
  <c r="M767" i="1"/>
  <c r="R767" i="1" s="1"/>
  <c r="N767" i="1"/>
  <c r="Q767" i="1" s="1"/>
  <c r="O767" i="1"/>
  <c r="L768" i="1"/>
  <c r="M768" i="1"/>
  <c r="R768" i="1" s="1"/>
  <c r="N768" i="1"/>
  <c r="Q768" i="1" s="1"/>
  <c r="O768" i="1"/>
  <c r="L769" i="1"/>
  <c r="M769" i="1"/>
  <c r="R769" i="1" s="1"/>
  <c r="N769" i="1"/>
  <c r="Q769" i="1" s="1"/>
  <c r="O769" i="1"/>
  <c r="L770" i="1"/>
  <c r="M770" i="1"/>
  <c r="R770" i="1" s="1"/>
  <c r="N770" i="1"/>
  <c r="Q770" i="1" s="1"/>
  <c r="O770" i="1"/>
  <c r="L771" i="1"/>
  <c r="M771" i="1"/>
  <c r="R771" i="1" s="1"/>
  <c r="N771" i="1"/>
  <c r="Q771" i="1" s="1"/>
  <c r="O771" i="1"/>
  <c r="L772" i="1"/>
  <c r="M772" i="1"/>
  <c r="R772" i="1" s="1"/>
  <c r="N772" i="1"/>
  <c r="Q772" i="1" s="1"/>
  <c r="O772" i="1"/>
  <c r="L773" i="1"/>
  <c r="M773" i="1"/>
  <c r="R773" i="1" s="1"/>
  <c r="N773" i="1"/>
  <c r="Q773" i="1" s="1"/>
  <c r="O773" i="1"/>
  <c r="L774" i="1"/>
  <c r="M774" i="1"/>
  <c r="R774" i="1" s="1"/>
  <c r="N774" i="1"/>
  <c r="Q774" i="1" s="1"/>
  <c r="O774" i="1"/>
  <c r="L775" i="1"/>
  <c r="M775" i="1"/>
  <c r="R775" i="1" s="1"/>
  <c r="N775" i="1"/>
  <c r="Q775" i="1" s="1"/>
  <c r="O775" i="1"/>
  <c r="L776" i="1"/>
  <c r="M776" i="1"/>
  <c r="R776" i="1" s="1"/>
  <c r="N776" i="1"/>
  <c r="Q776" i="1" s="1"/>
  <c r="O776" i="1"/>
  <c r="L777" i="1"/>
  <c r="M777" i="1"/>
  <c r="R777" i="1" s="1"/>
  <c r="N777" i="1"/>
  <c r="Q777" i="1" s="1"/>
  <c r="O777" i="1"/>
  <c r="L778" i="1"/>
  <c r="M778" i="1"/>
  <c r="R778" i="1" s="1"/>
  <c r="N778" i="1"/>
  <c r="Q778" i="1" s="1"/>
  <c r="O778" i="1"/>
  <c r="L779" i="1"/>
  <c r="M779" i="1"/>
  <c r="R779" i="1" s="1"/>
  <c r="N779" i="1"/>
  <c r="Q779" i="1" s="1"/>
  <c r="O779" i="1"/>
  <c r="L780" i="1"/>
  <c r="M780" i="1"/>
  <c r="R780" i="1" s="1"/>
  <c r="N780" i="1"/>
  <c r="Q780" i="1" s="1"/>
  <c r="O780" i="1"/>
  <c r="L781" i="1"/>
  <c r="M781" i="1"/>
  <c r="R781" i="1" s="1"/>
  <c r="N781" i="1"/>
  <c r="Q781" i="1" s="1"/>
  <c r="O781" i="1"/>
  <c r="L782" i="1"/>
  <c r="M782" i="1"/>
  <c r="R782" i="1" s="1"/>
  <c r="N782" i="1"/>
  <c r="Q782" i="1" s="1"/>
  <c r="O782" i="1"/>
  <c r="L783" i="1"/>
  <c r="M783" i="1"/>
  <c r="R783" i="1" s="1"/>
  <c r="N783" i="1"/>
  <c r="Q783" i="1" s="1"/>
  <c r="O783" i="1"/>
  <c r="L784" i="1"/>
  <c r="M784" i="1"/>
  <c r="R784" i="1" s="1"/>
  <c r="N784" i="1"/>
  <c r="Q784" i="1" s="1"/>
  <c r="O784" i="1"/>
  <c r="L785" i="1"/>
  <c r="M785" i="1"/>
  <c r="R785" i="1" s="1"/>
  <c r="N785" i="1"/>
  <c r="Q785" i="1" s="1"/>
  <c r="O785" i="1"/>
  <c r="L786" i="1"/>
  <c r="M786" i="1"/>
  <c r="R786" i="1" s="1"/>
  <c r="N786" i="1"/>
  <c r="Q786" i="1" s="1"/>
  <c r="O786" i="1"/>
  <c r="L787" i="1"/>
  <c r="M787" i="1"/>
  <c r="R787" i="1" s="1"/>
  <c r="N787" i="1"/>
  <c r="Q787" i="1" s="1"/>
  <c r="O787" i="1"/>
  <c r="L788" i="1"/>
  <c r="M788" i="1"/>
  <c r="R788" i="1" s="1"/>
  <c r="N788" i="1"/>
  <c r="Q788" i="1" s="1"/>
  <c r="O788" i="1"/>
  <c r="L789" i="1"/>
  <c r="M789" i="1"/>
  <c r="R789" i="1" s="1"/>
  <c r="N789" i="1"/>
  <c r="Q789" i="1" s="1"/>
  <c r="O789" i="1"/>
  <c r="L790" i="1"/>
  <c r="M790" i="1"/>
  <c r="R790" i="1" s="1"/>
  <c r="N790" i="1"/>
  <c r="Q790" i="1" s="1"/>
  <c r="O790" i="1"/>
  <c r="L791" i="1"/>
  <c r="M791" i="1"/>
  <c r="R791" i="1" s="1"/>
  <c r="N791" i="1"/>
  <c r="Q791" i="1" s="1"/>
  <c r="O791" i="1"/>
  <c r="L792" i="1"/>
  <c r="M792" i="1"/>
  <c r="R792" i="1" s="1"/>
  <c r="N792" i="1"/>
  <c r="Q792" i="1" s="1"/>
  <c r="O792" i="1"/>
  <c r="L793" i="1"/>
  <c r="M793" i="1"/>
  <c r="R793" i="1" s="1"/>
  <c r="N793" i="1"/>
  <c r="Q793" i="1" s="1"/>
  <c r="O793" i="1"/>
  <c r="L794" i="1"/>
  <c r="M794" i="1"/>
  <c r="R794" i="1" s="1"/>
  <c r="N794" i="1"/>
  <c r="Q794" i="1" s="1"/>
  <c r="O794" i="1"/>
  <c r="L795" i="1"/>
  <c r="M795" i="1"/>
  <c r="R795" i="1" s="1"/>
  <c r="N795" i="1"/>
  <c r="Q795" i="1" s="1"/>
  <c r="O795" i="1"/>
  <c r="L796" i="1"/>
  <c r="M796" i="1"/>
  <c r="R796" i="1" s="1"/>
  <c r="N796" i="1"/>
  <c r="Q796" i="1" s="1"/>
  <c r="O796" i="1"/>
  <c r="L797" i="1"/>
  <c r="M797" i="1"/>
  <c r="R797" i="1" s="1"/>
  <c r="N797" i="1"/>
  <c r="Q797" i="1" s="1"/>
  <c r="O797" i="1"/>
  <c r="L798" i="1"/>
  <c r="M798" i="1"/>
  <c r="R798" i="1" s="1"/>
  <c r="N798" i="1"/>
  <c r="Q798" i="1" s="1"/>
  <c r="O798" i="1"/>
  <c r="L799" i="1"/>
  <c r="M799" i="1"/>
  <c r="R799" i="1" s="1"/>
  <c r="N799" i="1"/>
  <c r="Q799" i="1" s="1"/>
  <c r="O799" i="1"/>
  <c r="L800" i="1"/>
  <c r="M800" i="1"/>
  <c r="R800" i="1" s="1"/>
  <c r="N800" i="1"/>
  <c r="Q800" i="1" s="1"/>
  <c r="O800" i="1"/>
  <c r="L801" i="1"/>
  <c r="M801" i="1"/>
  <c r="R801" i="1" s="1"/>
  <c r="N801" i="1"/>
  <c r="Q801" i="1" s="1"/>
  <c r="O801" i="1"/>
  <c r="L802" i="1"/>
  <c r="M802" i="1"/>
  <c r="R802" i="1" s="1"/>
  <c r="N802" i="1"/>
  <c r="Q802" i="1" s="1"/>
  <c r="O802" i="1"/>
  <c r="L803" i="1"/>
  <c r="M803" i="1"/>
  <c r="R803" i="1" s="1"/>
  <c r="N803" i="1"/>
  <c r="Q803" i="1" s="1"/>
  <c r="O803" i="1"/>
  <c r="L804" i="1"/>
  <c r="M804" i="1"/>
  <c r="R804" i="1" s="1"/>
  <c r="N804" i="1"/>
  <c r="Q804" i="1" s="1"/>
  <c r="O804" i="1"/>
  <c r="L805" i="1"/>
  <c r="M805" i="1"/>
  <c r="R805" i="1" s="1"/>
  <c r="N805" i="1"/>
  <c r="Q805" i="1" s="1"/>
  <c r="O805" i="1"/>
  <c r="L806" i="1"/>
  <c r="M806" i="1"/>
  <c r="R806" i="1" s="1"/>
  <c r="N806" i="1"/>
  <c r="Q806" i="1" s="1"/>
  <c r="O806" i="1"/>
  <c r="L807" i="1"/>
  <c r="M807" i="1"/>
  <c r="R807" i="1" s="1"/>
  <c r="N807" i="1"/>
  <c r="Q807" i="1" s="1"/>
  <c r="O807" i="1"/>
  <c r="L808" i="1"/>
  <c r="M808" i="1"/>
  <c r="R808" i="1" s="1"/>
  <c r="N808" i="1"/>
  <c r="Q808" i="1" s="1"/>
  <c r="O808" i="1"/>
  <c r="L809" i="1"/>
  <c r="M809" i="1"/>
  <c r="R809" i="1" s="1"/>
  <c r="N809" i="1"/>
  <c r="Q809" i="1" s="1"/>
  <c r="O809" i="1"/>
  <c r="L810" i="1"/>
  <c r="M810" i="1"/>
  <c r="R810" i="1" s="1"/>
  <c r="N810" i="1"/>
  <c r="Q810" i="1" s="1"/>
  <c r="O810" i="1"/>
  <c r="L811" i="1"/>
  <c r="M811" i="1"/>
  <c r="R811" i="1" s="1"/>
  <c r="N811" i="1"/>
  <c r="Q811" i="1" s="1"/>
  <c r="O811" i="1"/>
  <c r="L812" i="1"/>
  <c r="M812" i="1"/>
  <c r="R812" i="1" s="1"/>
  <c r="N812" i="1"/>
  <c r="Q812" i="1" s="1"/>
  <c r="O812" i="1"/>
  <c r="L813" i="1"/>
  <c r="M813" i="1"/>
  <c r="R813" i="1" s="1"/>
  <c r="N813" i="1"/>
  <c r="Q813" i="1" s="1"/>
  <c r="O813" i="1"/>
  <c r="L814" i="1"/>
  <c r="M814" i="1"/>
  <c r="R814" i="1" s="1"/>
  <c r="N814" i="1"/>
  <c r="Q814" i="1" s="1"/>
  <c r="O814" i="1"/>
  <c r="L815" i="1"/>
  <c r="M815" i="1"/>
  <c r="R815" i="1" s="1"/>
  <c r="N815" i="1"/>
  <c r="Q815" i="1" s="1"/>
  <c r="O815" i="1"/>
  <c r="L816" i="1"/>
  <c r="M816" i="1"/>
  <c r="R816" i="1" s="1"/>
  <c r="N816" i="1"/>
  <c r="Q816" i="1" s="1"/>
  <c r="O816" i="1"/>
  <c r="L817" i="1"/>
  <c r="M817" i="1"/>
  <c r="R817" i="1" s="1"/>
  <c r="N817" i="1"/>
  <c r="Q817" i="1" s="1"/>
  <c r="O817" i="1"/>
  <c r="L818" i="1"/>
  <c r="M818" i="1"/>
  <c r="R818" i="1" s="1"/>
  <c r="N818" i="1"/>
  <c r="Q818" i="1" s="1"/>
  <c r="O818" i="1"/>
  <c r="L819" i="1"/>
  <c r="M819" i="1"/>
  <c r="R819" i="1" s="1"/>
  <c r="N819" i="1"/>
  <c r="Q819" i="1" s="1"/>
  <c r="O819" i="1"/>
  <c r="L820" i="1"/>
  <c r="M820" i="1"/>
  <c r="R820" i="1" s="1"/>
  <c r="N820" i="1"/>
  <c r="Q820" i="1" s="1"/>
  <c r="O820" i="1"/>
  <c r="L821" i="1"/>
  <c r="M821" i="1"/>
  <c r="R821" i="1" s="1"/>
  <c r="N821" i="1"/>
  <c r="Q821" i="1" s="1"/>
  <c r="O821" i="1"/>
  <c r="L822" i="1"/>
  <c r="M822" i="1"/>
  <c r="R822" i="1" s="1"/>
  <c r="N822" i="1"/>
  <c r="Q822" i="1" s="1"/>
  <c r="O822" i="1"/>
  <c r="L823" i="1"/>
  <c r="M823" i="1"/>
  <c r="R823" i="1" s="1"/>
  <c r="N823" i="1"/>
  <c r="Q823" i="1" s="1"/>
  <c r="O823" i="1"/>
  <c r="L824" i="1"/>
  <c r="M824" i="1"/>
  <c r="R824" i="1" s="1"/>
  <c r="N824" i="1"/>
  <c r="Q824" i="1" s="1"/>
  <c r="O824" i="1"/>
  <c r="L825" i="1"/>
  <c r="M825" i="1"/>
  <c r="R825" i="1" s="1"/>
  <c r="N825" i="1"/>
  <c r="Q825" i="1" s="1"/>
  <c r="O825" i="1"/>
  <c r="L826" i="1"/>
  <c r="M826" i="1"/>
  <c r="R826" i="1" s="1"/>
  <c r="N826" i="1"/>
  <c r="Q826" i="1" s="1"/>
  <c r="O826" i="1"/>
  <c r="L827" i="1"/>
  <c r="M827" i="1"/>
  <c r="R827" i="1" s="1"/>
  <c r="N827" i="1"/>
  <c r="Q827" i="1" s="1"/>
  <c r="O827" i="1"/>
  <c r="L828" i="1"/>
  <c r="M828" i="1"/>
  <c r="R828" i="1" s="1"/>
  <c r="N828" i="1"/>
  <c r="Q828" i="1" s="1"/>
  <c r="O828" i="1"/>
  <c r="L829" i="1"/>
  <c r="M829" i="1"/>
  <c r="R829" i="1" s="1"/>
  <c r="N829" i="1"/>
  <c r="Q829" i="1" s="1"/>
  <c r="O829" i="1"/>
  <c r="L830" i="1"/>
  <c r="M830" i="1"/>
  <c r="R830" i="1" s="1"/>
  <c r="N830" i="1"/>
  <c r="Q830" i="1" s="1"/>
  <c r="O830" i="1"/>
  <c r="L831" i="1"/>
  <c r="M831" i="1"/>
  <c r="R831" i="1" s="1"/>
  <c r="N831" i="1"/>
  <c r="Q831" i="1" s="1"/>
  <c r="O831" i="1"/>
  <c r="L832" i="1"/>
  <c r="M832" i="1"/>
  <c r="R832" i="1" s="1"/>
  <c r="N832" i="1"/>
  <c r="Q832" i="1" s="1"/>
  <c r="O832" i="1"/>
  <c r="L833" i="1"/>
  <c r="M833" i="1"/>
  <c r="R833" i="1" s="1"/>
  <c r="N833" i="1"/>
  <c r="Q833" i="1" s="1"/>
  <c r="O833" i="1"/>
  <c r="L834" i="1"/>
  <c r="M834" i="1"/>
  <c r="R834" i="1" s="1"/>
  <c r="N834" i="1"/>
  <c r="Q834" i="1" s="1"/>
  <c r="O834" i="1"/>
  <c r="L835" i="1"/>
  <c r="M835" i="1"/>
  <c r="R835" i="1" s="1"/>
  <c r="N835" i="1"/>
  <c r="Q835" i="1" s="1"/>
  <c r="O835" i="1"/>
  <c r="L836" i="1"/>
  <c r="M836" i="1"/>
  <c r="R836" i="1" s="1"/>
  <c r="N836" i="1"/>
  <c r="Q836" i="1" s="1"/>
  <c r="O836" i="1"/>
  <c r="L837" i="1"/>
  <c r="M837" i="1"/>
  <c r="R837" i="1" s="1"/>
  <c r="N837" i="1"/>
  <c r="Q837" i="1" s="1"/>
  <c r="O837" i="1"/>
  <c r="L838" i="1"/>
  <c r="M838" i="1"/>
  <c r="R838" i="1" s="1"/>
  <c r="N838" i="1"/>
  <c r="Q838" i="1" s="1"/>
  <c r="O838" i="1"/>
  <c r="L839" i="1"/>
  <c r="M839" i="1"/>
  <c r="R839" i="1" s="1"/>
  <c r="N839" i="1"/>
  <c r="Q839" i="1" s="1"/>
  <c r="O839" i="1"/>
  <c r="L840" i="1"/>
  <c r="M840" i="1"/>
  <c r="R840" i="1" s="1"/>
  <c r="N840" i="1"/>
  <c r="Q840" i="1" s="1"/>
  <c r="O840" i="1"/>
  <c r="L841" i="1"/>
  <c r="M841" i="1"/>
  <c r="R841" i="1" s="1"/>
  <c r="N841" i="1"/>
  <c r="Q841" i="1" s="1"/>
  <c r="O841" i="1"/>
  <c r="L842" i="1"/>
  <c r="M842" i="1"/>
  <c r="R842" i="1" s="1"/>
  <c r="N842" i="1"/>
  <c r="Q842" i="1" s="1"/>
  <c r="O842" i="1"/>
  <c r="L843" i="1"/>
  <c r="M843" i="1"/>
  <c r="R843" i="1" s="1"/>
  <c r="N843" i="1"/>
  <c r="Q843" i="1" s="1"/>
  <c r="O843" i="1"/>
  <c r="L844" i="1"/>
  <c r="M844" i="1"/>
  <c r="R844" i="1" s="1"/>
  <c r="N844" i="1"/>
  <c r="Q844" i="1" s="1"/>
  <c r="O844" i="1"/>
  <c r="L845" i="1"/>
  <c r="M845" i="1"/>
  <c r="R845" i="1" s="1"/>
  <c r="N845" i="1"/>
  <c r="Q845" i="1" s="1"/>
  <c r="O845" i="1"/>
  <c r="L846" i="1"/>
  <c r="M846" i="1"/>
  <c r="R846" i="1" s="1"/>
  <c r="N846" i="1"/>
  <c r="Q846" i="1" s="1"/>
  <c r="O846" i="1"/>
  <c r="L847" i="1"/>
  <c r="M847" i="1"/>
  <c r="R847" i="1" s="1"/>
  <c r="N847" i="1"/>
  <c r="Q847" i="1" s="1"/>
  <c r="O847" i="1"/>
  <c r="L848" i="1"/>
  <c r="M848" i="1"/>
  <c r="R848" i="1" s="1"/>
  <c r="N848" i="1"/>
  <c r="O848" i="1"/>
  <c r="L849" i="1"/>
  <c r="M849" i="1"/>
  <c r="R849" i="1" s="1"/>
  <c r="N849" i="1"/>
  <c r="Q849" i="1" s="1"/>
  <c r="O849" i="1"/>
  <c r="L850" i="1"/>
  <c r="M850" i="1"/>
  <c r="R850" i="1" s="1"/>
  <c r="N850" i="1"/>
  <c r="Q850" i="1" s="1"/>
  <c r="O850" i="1"/>
  <c r="L851" i="1"/>
  <c r="M851" i="1"/>
  <c r="R851" i="1" s="1"/>
  <c r="N851" i="1"/>
  <c r="Q851" i="1" s="1"/>
  <c r="O851" i="1"/>
  <c r="L852" i="1"/>
  <c r="M852" i="1"/>
  <c r="R852" i="1" s="1"/>
  <c r="N852" i="1"/>
  <c r="Q852" i="1" s="1"/>
  <c r="O852" i="1"/>
  <c r="L853" i="1"/>
  <c r="M853" i="1"/>
  <c r="R853" i="1" s="1"/>
  <c r="N853" i="1"/>
  <c r="Q853" i="1" s="1"/>
  <c r="O853" i="1"/>
  <c r="L854" i="1"/>
  <c r="M854" i="1"/>
  <c r="R854" i="1" s="1"/>
  <c r="N854" i="1"/>
  <c r="Q854" i="1" s="1"/>
  <c r="O854" i="1"/>
  <c r="L855" i="1"/>
  <c r="M855" i="1"/>
  <c r="R855" i="1" s="1"/>
  <c r="N855" i="1"/>
  <c r="Q855" i="1" s="1"/>
  <c r="O855" i="1"/>
  <c r="L856" i="1"/>
  <c r="M856" i="1"/>
  <c r="R856" i="1" s="1"/>
  <c r="N856" i="1"/>
  <c r="Q856" i="1" s="1"/>
  <c r="O856" i="1"/>
  <c r="L857" i="1"/>
  <c r="M857" i="1"/>
  <c r="R857" i="1" s="1"/>
  <c r="N857" i="1"/>
  <c r="Q857" i="1" s="1"/>
  <c r="O857" i="1"/>
  <c r="L858" i="1"/>
  <c r="M858" i="1"/>
  <c r="R858" i="1" s="1"/>
  <c r="N858" i="1"/>
  <c r="Q858" i="1" s="1"/>
  <c r="O858" i="1"/>
  <c r="L859" i="1"/>
  <c r="M859" i="1"/>
  <c r="R859" i="1" s="1"/>
  <c r="N859" i="1"/>
  <c r="Q859" i="1" s="1"/>
  <c r="O859" i="1"/>
  <c r="L860" i="1"/>
  <c r="M860" i="1"/>
  <c r="R860" i="1" s="1"/>
  <c r="N860" i="1"/>
  <c r="Q860" i="1" s="1"/>
  <c r="O860" i="1"/>
  <c r="L861" i="1"/>
  <c r="M861" i="1"/>
  <c r="R861" i="1" s="1"/>
  <c r="N861" i="1"/>
  <c r="Q861" i="1" s="1"/>
  <c r="O861" i="1"/>
  <c r="L862" i="1"/>
  <c r="M862" i="1"/>
  <c r="R862" i="1" s="1"/>
  <c r="N862" i="1"/>
  <c r="Q862" i="1" s="1"/>
  <c r="O862" i="1"/>
  <c r="L863" i="1"/>
  <c r="M863" i="1"/>
  <c r="R863" i="1" s="1"/>
  <c r="N863" i="1"/>
  <c r="Q863" i="1" s="1"/>
  <c r="O863" i="1"/>
  <c r="L864" i="1"/>
  <c r="M864" i="1"/>
  <c r="R864" i="1" s="1"/>
  <c r="N864" i="1"/>
  <c r="Q864" i="1" s="1"/>
  <c r="O864" i="1"/>
  <c r="L865" i="1"/>
  <c r="M865" i="1"/>
  <c r="R865" i="1" s="1"/>
  <c r="N865" i="1"/>
  <c r="Q865" i="1" s="1"/>
  <c r="O865" i="1"/>
  <c r="L866" i="1"/>
  <c r="M866" i="1"/>
  <c r="R866" i="1" s="1"/>
  <c r="N866" i="1"/>
  <c r="Q866" i="1" s="1"/>
  <c r="O866" i="1"/>
  <c r="L867" i="1"/>
  <c r="M867" i="1"/>
  <c r="R867" i="1" s="1"/>
  <c r="N867" i="1"/>
  <c r="Q867" i="1" s="1"/>
  <c r="O867" i="1"/>
  <c r="L868" i="1"/>
  <c r="M868" i="1"/>
  <c r="R868" i="1" s="1"/>
  <c r="N868" i="1"/>
  <c r="Q868" i="1" s="1"/>
  <c r="O868" i="1"/>
  <c r="L869" i="1"/>
  <c r="M869" i="1"/>
  <c r="R869" i="1" s="1"/>
  <c r="N869" i="1"/>
  <c r="Q869" i="1" s="1"/>
  <c r="O869" i="1"/>
  <c r="L870" i="1"/>
  <c r="M870" i="1"/>
  <c r="R870" i="1" s="1"/>
  <c r="N870" i="1"/>
  <c r="Q870" i="1" s="1"/>
  <c r="O870" i="1"/>
  <c r="L871" i="1"/>
  <c r="M871" i="1"/>
  <c r="R871" i="1" s="1"/>
  <c r="N871" i="1"/>
  <c r="Q871" i="1" s="1"/>
  <c r="O871" i="1"/>
  <c r="L872" i="1"/>
  <c r="M872" i="1"/>
  <c r="R872" i="1" s="1"/>
  <c r="N872" i="1"/>
  <c r="Q872" i="1" s="1"/>
  <c r="O872" i="1"/>
  <c r="L873" i="1"/>
  <c r="M873" i="1"/>
  <c r="R873" i="1" s="1"/>
  <c r="N873" i="1"/>
  <c r="Q873" i="1" s="1"/>
  <c r="O873" i="1"/>
  <c r="L874" i="1"/>
  <c r="M874" i="1"/>
  <c r="R874" i="1" s="1"/>
  <c r="N874" i="1"/>
  <c r="Q874" i="1" s="1"/>
  <c r="O874" i="1"/>
  <c r="L875" i="1"/>
  <c r="M875" i="1"/>
  <c r="R875" i="1" s="1"/>
  <c r="N875" i="1"/>
  <c r="Q875" i="1" s="1"/>
  <c r="O875" i="1"/>
  <c r="L876" i="1"/>
  <c r="M876" i="1"/>
  <c r="R876" i="1" s="1"/>
  <c r="N876" i="1"/>
  <c r="Q876" i="1" s="1"/>
  <c r="O876" i="1"/>
  <c r="L877" i="1"/>
  <c r="M877" i="1"/>
  <c r="R877" i="1" s="1"/>
  <c r="N877" i="1"/>
  <c r="Q877" i="1" s="1"/>
  <c r="O877" i="1"/>
  <c r="L878" i="1"/>
  <c r="M878" i="1"/>
  <c r="R878" i="1" s="1"/>
  <c r="N878" i="1"/>
  <c r="Q878" i="1" s="1"/>
  <c r="O878" i="1"/>
  <c r="L879" i="1"/>
  <c r="M879" i="1"/>
  <c r="R879" i="1" s="1"/>
  <c r="N879" i="1"/>
  <c r="Q879" i="1" s="1"/>
  <c r="O879" i="1"/>
  <c r="L880" i="1"/>
  <c r="M880" i="1"/>
  <c r="R880" i="1" s="1"/>
  <c r="N880" i="1"/>
  <c r="Q880" i="1" s="1"/>
  <c r="O880" i="1"/>
  <c r="L881" i="1"/>
  <c r="M881" i="1"/>
  <c r="R881" i="1" s="1"/>
  <c r="N881" i="1"/>
  <c r="Q881" i="1" s="1"/>
  <c r="O881" i="1"/>
  <c r="L882" i="1"/>
  <c r="M882" i="1"/>
  <c r="R882" i="1" s="1"/>
  <c r="S882" i="1" s="1"/>
  <c r="N882" i="1"/>
  <c r="Q882" i="1" s="1"/>
  <c r="O882" i="1"/>
  <c r="L883" i="1"/>
  <c r="M883" i="1"/>
  <c r="R883" i="1" s="1"/>
  <c r="N883" i="1"/>
  <c r="Q883" i="1" s="1"/>
  <c r="O883" i="1"/>
  <c r="L884" i="1"/>
  <c r="M884" i="1"/>
  <c r="R884" i="1" s="1"/>
  <c r="N884" i="1"/>
  <c r="Q884" i="1" s="1"/>
  <c r="O884" i="1"/>
  <c r="L885" i="1"/>
  <c r="M885" i="1"/>
  <c r="R885" i="1" s="1"/>
  <c r="N885" i="1"/>
  <c r="Q885" i="1" s="1"/>
  <c r="O885" i="1"/>
  <c r="L886" i="1"/>
  <c r="M886" i="1"/>
  <c r="R886" i="1" s="1"/>
  <c r="N886" i="1"/>
  <c r="Q886" i="1" s="1"/>
  <c r="O886" i="1"/>
  <c r="L887" i="1"/>
  <c r="M887" i="1"/>
  <c r="R887" i="1" s="1"/>
  <c r="N887" i="1"/>
  <c r="Q887" i="1" s="1"/>
  <c r="O887" i="1"/>
  <c r="L888" i="1"/>
  <c r="M888" i="1"/>
  <c r="R888" i="1" s="1"/>
  <c r="N888" i="1"/>
  <c r="Q888" i="1" s="1"/>
  <c r="O888" i="1"/>
  <c r="L889" i="1"/>
  <c r="M889" i="1"/>
  <c r="R889" i="1" s="1"/>
  <c r="N889" i="1"/>
  <c r="Q889" i="1" s="1"/>
  <c r="O889" i="1"/>
  <c r="L890" i="1"/>
  <c r="M890" i="1"/>
  <c r="R890" i="1" s="1"/>
  <c r="N890" i="1"/>
  <c r="Q890" i="1" s="1"/>
  <c r="O890" i="1"/>
  <c r="L891" i="1"/>
  <c r="M891" i="1"/>
  <c r="R891" i="1" s="1"/>
  <c r="N891" i="1"/>
  <c r="Q891" i="1" s="1"/>
  <c r="O891" i="1"/>
  <c r="L892" i="1"/>
  <c r="M892" i="1"/>
  <c r="R892" i="1" s="1"/>
  <c r="N892" i="1"/>
  <c r="Q892" i="1" s="1"/>
  <c r="O892" i="1"/>
  <c r="L893" i="1"/>
  <c r="M893" i="1"/>
  <c r="R893" i="1" s="1"/>
  <c r="N893" i="1"/>
  <c r="Q893" i="1" s="1"/>
  <c r="O893" i="1"/>
  <c r="L894" i="1"/>
  <c r="M894" i="1"/>
  <c r="R894" i="1" s="1"/>
  <c r="N894" i="1"/>
  <c r="Q894" i="1" s="1"/>
  <c r="O894" i="1"/>
  <c r="L895" i="1"/>
  <c r="M895" i="1"/>
  <c r="R895" i="1" s="1"/>
  <c r="N895" i="1"/>
  <c r="Q895" i="1" s="1"/>
  <c r="O895" i="1"/>
  <c r="L896" i="1"/>
  <c r="M896" i="1"/>
  <c r="R896" i="1" s="1"/>
  <c r="N896" i="1"/>
  <c r="Q896" i="1" s="1"/>
  <c r="O896" i="1"/>
  <c r="L897" i="1"/>
  <c r="M897" i="1"/>
  <c r="R897" i="1" s="1"/>
  <c r="N897" i="1"/>
  <c r="Q897" i="1" s="1"/>
  <c r="O897" i="1"/>
  <c r="L898" i="1"/>
  <c r="M898" i="1"/>
  <c r="R898" i="1" s="1"/>
  <c r="N898" i="1"/>
  <c r="Q898" i="1" s="1"/>
  <c r="O898" i="1"/>
  <c r="L899" i="1"/>
  <c r="M899" i="1"/>
  <c r="R899" i="1" s="1"/>
  <c r="N899" i="1"/>
  <c r="Q899" i="1" s="1"/>
  <c r="O899" i="1"/>
  <c r="L900" i="1"/>
  <c r="M900" i="1"/>
  <c r="R900" i="1" s="1"/>
  <c r="N900" i="1"/>
  <c r="Q900" i="1" s="1"/>
  <c r="O900" i="1"/>
  <c r="L901" i="1"/>
  <c r="M901" i="1"/>
  <c r="R901" i="1" s="1"/>
  <c r="N901" i="1"/>
  <c r="Q901" i="1" s="1"/>
  <c r="O901" i="1"/>
  <c r="L902" i="1"/>
  <c r="M902" i="1"/>
  <c r="R902" i="1" s="1"/>
  <c r="N902" i="1"/>
  <c r="Q902" i="1" s="1"/>
  <c r="O902" i="1"/>
  <c r="L903" i="1"/>
  <c r="M903" i="1"/>
  <c r="R903" i="1" s="1"/>
  <c r="N903" i="1"/>
  <c r="Q903" i="1" s="1"/>
  <c r="O903" i="1"/>
  <c r="L904" i="1"/>
  <c r="M904" i="1"/>
  <c r="R904" i="1" s="1"/>
  <c r="N904" i="1"/>
  <c r="Q904" i="1" s="1"/>
  <c r="O904" i="1"/>
  <c r="L905" i="1"/>
  <c r="M905" i="1"/>
  <c r="R905" i="1" s="1"/>
  <c r="N905" i="1"/>
  <c r="Q905" i="1" s="1"/>
  <c r="O905" i="1"/>
  <c r="L906" i="1"/>
  <c r="M906" i="1"/>
  <c r="R906" i="1" s="1"/>
  <c r="N906" i="1"/>
  <c r="Q906" i="1" s="1"/>
  <c r="O906" i="1"/>
  <c r="L907" i="1"/>
  <c r="M907" i="1"/>
  <c r="R907" i="1" s="1"/>
  <c r="N907" i="1"/>
  <c r="Q907" i="1" s="1"/>
  <c r="O907" i="1"/>
  <c r="L908" i="1"/>
  <c r="M908" i="1"/>
  <c r="R908" i="1" s="1"/>
  <c r="N908" i="1"/>
  <c r="Q908" i="1" s="1"/>
  <c r="O908" i="1"/>
  <c r="L909" i="1"/>
  <c r="M909" i="1"/>
  <c r="R909" i="1" s="1"/>
  <c r="N909" i="1"/>
  <c r="Q909" i="1" s="1"/>
  <c r="O909" i="1"/>
  <c r="L910" i="1"/>
  <c r="M910" i="1"/>
  <c r="R910" i="1" s="1"/>
  <c r="N910" i="1"/>
  <c r="Q910" i="1" s="1"/>
  <c r="O910" i="1"/>
  <c r="L911" i="1"/>
  <c r="M911" i="1"/>
  <c r="R911" i="1" s="1"/>
  <c r="N911" i="1"/>
  <c r="Q911" i="1" s="1"/>
  <c r="O911" i="1"/>
  <c r="L912" i="1"/>
  <c r="M912" i="1"/>
  <c r="R912" i="1" s="1"/>
  <c r="N912" i="1"/>
  <c r="Q912" i="1" s="1"/>
  <c r="O912" i="1"/>
  <c r="L913" i="1"/>
  <c r="M913" i="1"/>
  <c r="R913" i="1" s="1"/>
  <c r="N913" i="1"/>
  <c r="Q913" i="1" s="1"/>
  <c r="O913" i="1"/>
  <c r="L914" i="1"/>
  <c r="M914" i="1"/>
  <c r="R914" i="1" s="1"/>
  <c r="N914" i="1"/>
  <c r="Q914" i="1" s="1"/>
  <c r="O914" i="1"/>
  <c r="L915" i="1"/>
  <c r="M915" i="1"/>
  <c r="R915" i="1" s="1"/>
  <c r="N915" i="1"/>
  <c r="Q915" i="1" s="1"/>
  <c r="O915" i="1"/>
  <c r="L916" i="1"/>
  <c r="M916" i="1"/>
  <c r="R916" i="1" s="1"/>
  <c r="N916" i="1"/>
  <c r="Q916" i="1" s="1"/>
  <c r="O916" i="1"/>
  <c r="L917" i="1"/>
  <c r="M917" i="1"/>
  <c r="R917" i="1" s="1"/>
  <c r="N917" i="1"/>
  <c r="Q917" i="1" s="1"/>
  <c r="O917" i="1"/>
  <c r="L918" i="1"/>
  <c r="M918" i="1"/>
  <c r="R918" i="1" s="1"/>
  <c r="N918" i="1"/>
  <c r="Q918" i="1" s="1"/>
  <c r="O918" i="1"/>
  <c r="L919" i="1"/>
  <c r="M919" i="1"/>
  <c r="R919" i="1" s="1"/>
  <c r="N919" i="1"/>
  <c r="Q919" i="1" s="1"/>
  <c r="O919" i="1"/>
  <c r="L920" i="1"/>
  <c r="M920" i="1"/>
  <c r="R920" i="1" s="1"/>
  <c r="N920" i="1"/>
  <c r="Q920" i="1" s="1"/>
  <c r="O920" i="1"/>
  <c r="L921" i="1"/>
  <c r="M921" i="1"/>
  <c r="R921" i="1" s="1"/>
  <c r="N921" i="1"/>
  <c r="Q921" i="1" s="1"/>
  <c r="O921" i="1"/>
  <c r="L922" i="1"/>
  <c r="M922" i="1"/>
  <c r="R922" i="1" s="1"/>
  <c r="N922" i="1"/>
  <c r="Q922" i="1" s="1"/>
  <c r="O922" i="1"/>
  <c r="L923" i="1"/>
  <c r="M923" i="1"/>
  <c r="R923" i="1" s="1"/>
  <c r="N923" i="1"/>
  <c r="Q923" i="1" s="1"/>
  <c r="O923" i="1"/>
  <c r="L924" i="1"/>
  <c r="M924" i="1"/>
  <c r="R924" i="1" s="1"/>
  <c r="N924" i="1"/>
  <c r="Q924" i="1" s="1"/>
  <c r="O924" i="1"/>
  <c r="L925" i="1"/>
  <c r="M925" i="1"/>
  <c r="R925" i="1" s="1"/>
  <c r="N925" i="1"/>
  <c r="Q925" i="1" s="1"/>
  <c r="O925" i="1"/>
  <c r="L926" i="1"/>
  <c r="M926" i="1"/>
  <c r="R926" i="1" s="1"/>
  <c r="N926" i="1"/>
  <c r="Q926" i="1" s="1"/>
  <c r="O926" i="1"/>
  <c r="L927" i="1"/>
  <c r="M927" i="1"/>
  <c r="R927" i="1" s="1"/>
  <c r="N927" i="1"/>
  <c r="Q927" i="1" s="1"/>
  <c r="O927" i="1"/>
  <c r="L928" i="1"/>
  <c r="M928" i="1"/>
  <c r="R928" i="1" s="1"/>
  <c r="N928" i="1"/>
  <c r="Q928" i="1" s="1"/>
  <c r="O928" i="1"/>
  <c r="L929" i="1"/>
  <c r="M929" i="1"/>
  <c r="R929" i="1" s="1"/>
  <c r="N929" i="1"/>
  <c r="Q929" i="1" s="1"/>
  <c r="O929" i="1"/>
  <c r="L930" i="1"/>
  <c r="M930" i="1"/>
  <c r="R930" i="1" s="1"/>
  <c r="N930" i="1"/>
  <c r="Q930" i="1" s="1"/>
  <c r="O930" i="1"/>
  <c r="L931" i="1"/>
  <c r="M931" i="1"/>
  <c r="R931" i="1" s="1"/>
  <c r="N931" i="1"/>
  <c r="Q931" i="1" s="1"/>
  <c r="O931" i="1"/>
  <c r="L932" i="1"/>
  <c r="M932" i="1"/>
  <c r="R932" i="1" s="1"/>
  <c r="N932" i="1"/>
  <c r="Q932" i="1" s="1"/>
  <c r="O932" i="1"/>
  <c r="L933" i="1"/>
  <c r="M933" i="1"/>
  <c r="R933" i="1" s="1"/>
  <c r="N933" i="1"/>
  <c r="Q933" i="1" s="1"/>
  <c r="O933" i="1"/>
  <c r="L934" i="1"/>
  <c r="M934" i="1"/>
  <c r="R934" i="1" s="1"/>
  <c r="N934" i="1"/>
  <c r="Q934" i="1" s="1"/>
  <c r="O934" i="1"/>
  <c r="L935" i="1"/>
  <c r="M935" i="1"/>
  <c r="R935" i="1" s="1"/>
  <c r="N935" i="1"/>
  <c r="Q935" i="1" s="1"/>
  <c r="O935" i="1"/>
  <c r="L936" i="1"/>
  <c r="M936" i="1"/>
  <c r="R936" i="1" s="1"/>
  <c r="N936" i="1"/>
  <c r="Q936" i="1" s="1"/>
  <c r="O936" i="1"/>
  <c r="L937" i="1"/>
  <c r="M937" i="1"/>
  <c r="R937" i="1" s="1"/>
  <c r="N937" i="1"/>
  <c r="Q937" i="1" s="1"/>
  <c r="O937" i="1"/>
  <c r="L938" i="1"/>
  <c r="M938" i="1"/>
  <c r="R938" i="1" s="1"/>
  <c r="N938" i="1"/>
  <c r="Q938" i="1" s="1"/>
  <c r="O938" i="1"/>
  <c r="L939" i="1"/>
  <c r="M939" i="1"/>
  <c r="R939" i="1" s="1"/>
  <c r="N939" i="1"/>
  <c r="Q939" i="1" s="1"/>
  <c r="O939" i="1"/>
  <c r="L940" i="1"/>
  <c r="M940" i="1"/>
  <c r="R940" i="1" s="1"/>
  <c r="N940" i="1"/>
  <c r="Q940" i="1" s="1"/>
  <c r="O940" i="1"/>
  <c r="L941" i="1"/>
  <c r="M941" i="1"/>
  <c r="R941" i="1" s="1"/>
  <c r="N941" i="1"/>
  <c r="Q941" i="1" s="1"/>
  <c r="O941" i="1"/>
  <c r="L942" i="1"/>
  <c r="M942" i="1"/>
  <c r="R942" i="1" s="1"/>
  <c r="N942" i="1"/>
  <c r="Q942" i="1" s="1"/>
  <c r="O942" i="1"/>
  <c r="L943" i="1"/>
  <c r="M943" i="1"/>
  <c r="R943" i="1" s="1"/>
  <c r="N943" i="1"/>
  <c r="Q943" i="1" s="1"/>
  <c r="O943" i="1"/>
  <c r="L944" i="1"/>
  <c r="M944" i="1"/>
  <c r="R944" i="1" s="1"/>
  <c r="N944" i="1"/>
  <c r="Q944" i="1" s="1"/>
  <c r="O944" i="1"/>
  <c r="L945" i="1"/>
  <c r="M945" i="1"/>
  <c r="R945" i="1" s="1"/>
  <c r="N945" i="1"/>
  <c r="Q945" i="1" s="1"/>
  <c r="O945" i="1"/>
  <c r="L946" i="1"/>
  <c r="M946" i="1"/>
  <c r="R946" i="1" s="1"/>
  <c r="N946" i="1"/>
  <c r="Q946" i="1" s="1"/>
  <c r="O946" i="1"/>
  <c r="L947" i="1"/>
  <c r="M947" i="1"/>
  <c r="R947" i="1" s="1"/>
  <c r="N947" i="1"/>
  <c r="Q947" i="1" s="1"/>
  <c r="O947" i="1"/>
  <c r="L948" i="1"/>
  <c r="M948" i="1"/>
  <c r="R948" i="1" s="1"/>
  <c r="N948" i="1"/>
  <c r="Q948" i="1" s="1"/>
  <c r="O948" i="1"/>
  <c r="L949" i="1"/>
  <c r="M949" i="1"/>
  <c r="R949" i="1" s="1"/>
  <c r="N949" i="1"/>
  <c r="Q949" i="1" s="1"/>
  <c r="O949" i="1"/>
  <c r="L950" i="1"/>
  <c r="M950" i="1"/>
  <c r="R950" i="1" s="1"/>
  <c r="N950" i="1"/>
  <c r="Q950" i="1" s="1"/>
  <c r="O950" i="1"/>
  <c r="L951" i="1"/>
  <c r="M951" i="1"/>
  <c r="R951" i="1" s="1"/>
  <c r="N951" i="1"/>
  <c r="Q951" i="1" s="1"/>
  <c r="O951" i="1"/>
  <c r="L952" i="1"/>
  <c r="M952" i="1"/>
  <c r="R952" i="1" s="1"/>
  <c r="N952" i="1"/>
  <c r="Q952" i="1" s="1"/>
  <c r="O952" i="1"/>
  <c r="L953" i="1"/>
  <c r="M953" i="1"/>
  <c r="R953" i="1" s="1"/>
  <c r="N953" i="1"/>
  <c r="Q953" i="1" s="1"/>
  <c r="O953" i="1"/>
  <c r="L954" i="1"/>
  <c r="M954" i="1"/>
  <c r="R954" i="1" s="1"/>
  <c r="N954" i="1"/>
  <c r="Q954" i="1" s="1"/>
  <c r="O954" i="1"/>
  <c r="L955" i="1"/>
  <c r="M955" i="1"/>
  <c r="R955" i="1" s="1"/>
  <c r="N955" i="1"/>
  <c r="Q955" i="1" s="1"/>
  <c r="O955" i="1"/>
  <c r="L956" i="1"/>
  <c r="M956" i="1"/>
  <c r="R956" i="1" s="1"/>
  <c r="N956" i="1"/>
  <c r="Q956" i="1" s="1"/>
  <c r="O956" i="1"/>
  <c r="L957" i="1"/>
  <c r="M957" i="1"/>
  <c r="R957" i="1" s="1"/>
  <c r="N957" i="1"/>
  <c r="Q957" i="1" s="1"/>
  <c r="O957" i="1"/>
  <c r="L958" i="1"/>
  <c r="M958" i="1"/>
  <c r="R958" i="1" s="1"/>
  <c r="N958" i="1"/>
  <c r="Q958" i="1" s="1"/>
  <c r="O958" i="1"/>
  <c r="L959" i="1"/>
  <c r="M959" i="1"/>
  <c r="R959" i="1" s="1"/>
  <c r="N959" i="1"/>
  <c r="Q959" i="1" s="1"/>
  <c r="O959" i="1"/>
  <c r="L960" i="1"/>
  <c r="M960" i="1"/>
  <c r="R960" i="1" s="1"/>
  <c r="N960" i="1"/>
  <c r="Q960" i="1" s="1"/>
  <c r="O960" i="1"/>
  <c r="L961" i="1"/>
  <c r="M961" i="1"/>
  <c r="R961" i="1" s="1"/>
  <c r="N961" i="1"/>
  <c r="Q961" i="1" s="1"/>
  <c r="O961" i="1"/>
  <c r="L962" i="1"/>
  <c r="M962" i="1"/>
  <c r="R962" i="1" s="1"/>
  <c r="N962" i="1"/>
  <c r="Q962" i="1" s="1"/>
  <c r="O962" i="1"/>
  <c r="L963" i="1"/>
  <c r="M963" i="1"/>
  <c r="R963" i="1" s="1"/>
  <c r="N963" i="1"/>
  <c r="Q963" i="1" s="1"/>
  <c r="O963" i="1"/>
  <c r="L964" i="1"/>
  <c r="M964" i="1"/>
  <c r="R964" i="1" s="1"/>
  <c r="N964" i="1"/>
  <c r="Q964" i="1" s="1"/>
  <c r="O964" i="1"/>
  <c r="L965" i="1"/>
  <c r="M965" i="1"/>
  <c r="R965" i="1" s="1"/>
  <c r="N965" i="1"/>
  <c r="Q965" i="1" s="1"/>
  <c r="O965" i="1"/>
  <c r="L966" i="1"/>
  <c r="M966" i="1"/>
  <c r="R966" i="1" s="1"/>
  <c r="N966" i="1"/>
  <c r="Q966" i="1" s="1"/>
  <c r="O966" i="1"/>
  <c r="L967" i="1"/>
  <c r="M967" i="1"/>
  <c r="R967" i="1" s="1"/>
  <c r="N967" i="1"/>
  <c r="Q967" i="1" s="1"/>
  <c r="O967" i="1"/>
  <c r="L968" i="1"/>
  <c r="M968" i="1"/>
  <c r="R968" i="1" s="1"/>
  <c r="N968" i="1"/>
  <c r="Q968" i="1" s="1"/>
  <c r="O968" i="1"/>
  <c r="L969" i="1"/>
  <c r="M969" i="1"/>
  <c r="R969" i="1" s="1"/>
  <c r="N969" i="1"/>
  <c r="Q969" i="1" s="1"/>
  <c r="O969" i="1"/>
  <c r="L970" i="1"/>
  <c r="M970" i="1"/>
  <c r="R970" i="1" s="1"/>
  <c r="N970" i="1"/>
  <c r="Q970" i="1" s="1"/>
  <c r="O970" i="1"/>
  <c r="L971" i="1"/>
  <c r="M971" i="1"/>
  <c r="R971" i="1" s="1"/>
  <c r="N971" i="1"/>
  <c r="Q971" i="1" s="1"/>
  <c r="O971" i="1"/>
  <c r="L972" i="1"/>
  <c r="M972" i="1"/>
  <c r="R972" i="1" s="1"/>
  <c r="N972" i="1"/>
  <c r="Q972" i="1" s="1"/>
  <c r="O972" i="1"/>
  <c r="L973" i="1"/>
  <c r="M973" i="1"/>
  <c r="R973" i="1" s="1"/>
  <c r="N973" i="1"/>
  <c r="Q973" i="1" s="1"/>
  <c r="O973" i="1"/>
  <c r="L974" i="1"/>
  <c r="M974" i="1"/>
  <c r="R974" i="1" s="1"/>
  <c r="N974" i="1"/>
  <c r="Q974" i="1" s="1"/>
  <c r="O974" i="1"/>
  <c r="L975" i="1"/>
  <c r="M975" i="1"/>
  <c r="R975" i="1" s="1"/>
  <c r="N975" i="1"/>
  <c r="Q975" i="1" s="1"/>
  <c r="O975" i="1"/>
  <c r="L976" i="1"/>
  <c r="M976" i="1"/>
  <c r="R976" i="1" s="1"/>
  <c r="N976" i="1"/>
  <c r="Q976" i="1" s="1"/>
  <c r="O976" i="1"/>
  <c r="L977" i="1"/>
  <c r="M977" i="1"/>
  <c r="R977" i="1" s="1"/>
  <c r="N977" i="1"/>
  <c r="Q977" i="1" s="1"/>
  <c r="O977" i="1"/>
  <c r="L978" i="1"/>
  <c r="M978" i="1"/>
  <c r="R978" i="1" s="1"/>
  <c r="N978" i="1"/>
  <c r="Q978" i="1" s="1"/>
  <c r="O978" i="1"/>
  <c r="L979" i="1"/>
  <c r="M979" i="1"/>
  <c r="R979" i="1" s="1"/>
  <c r="N979" i="1"/>
  <c r="Q979" i="1" s="1"/>
  <c r="O979" i="1"/>
  <c r="L980" i="1"/>
  <c r="M980" i="1"/>
  <c r="R980" i="1" s="1"/>
  <c r="N980" i="1"/>
  <c r="Q980" i="1" s="1"/>
  <c r="O980" i="1"/>
  <c r="L981" i="1"/>
  <c r="M981" i="1"/>
  <c r="R981" i="1" s="1"/>
  <c r="N981" i="1"/>
  <c r="Q981" i="1" s="1"/>
  <c r="O981" i="1"/>
  <c r="L982" i="1"/>
  <c r="M982" i="1"/>
  <c r="R982" i="1" s="1"/>
  <c r="N982" i="1"/>
  <c r="Q982" i="1" s="1"/>
  <c r="O982" i="1"/>
  <c r="L983" i="1"/>
  <c r="M983" i="1"/>
  <c r="R983" i="1" s="1"/>
  <c r="N983" i="1"/>
  <c r="Q983" i="1" s="1"/>
  <c r="O983" i="1"/>
  <c r="L984" i="1"/>
  <c r="M984" i="1"/>
  <c r="R984" i="1" s="1"/>
  <c r="N984" i="1"/>
  <c r="Q984" i="1" s="1"/>
  <c r="O984" i="1"/>
  <c r="L985" i="1"/>
  <c r="M985" i="1"/>
  <c r="R985" i="1" s="1"/>
  <c r="N985" i="1"/>
  <c r="Q985" i="1" s="1"/>
  <c r="O985" i="1"/>
  <c r="L986" i="1"/>
  <c r="M986" i="1"/>
  <c r="R986" i="1" s="1"/>
  <c r="N986" i="1"/>
  <c r="Q986" i="1" s="1"/>
  <c r="O986" i="1"/>
  <c r="L987" i="1"/>
  <c r="M987" i="1"/>
  <c r="R987" i="1" s="1"/>
  <c r="N987" i="1"/>
  <c r="Q987" i="1" s="1"/>
  <c r="O987" i="1"/>
  <c r="L988" i="1"/>
  <c r="M988" i="1"/>
  <c r="R988" i="1" s="1"/>
  <c r="N988" i="1"/>
  <c r="Q988" i="1" s="1"/>
  <c r="O988" i="1"/>
  <c r="L989" i="1"/>
  <c r="M989" i="1"/>
  <c r="R989" i="1" s="1"/>
  <c r="N989" i="1"/>
  <c r="Q989" i="1" s="1"/>
  <c r="O989" i="1"/>
  <c r="L990" i="1"/>
  <c r="M990" i="1"/>
  <c r="R990" i="1" s="1"/>
  <c r="N990" i="1"/>
  <c r="Q990" i="1" s="1"/>
  <c r="O990" i="1"/>
  <c r="L991" i="1"/>
  <c r="M991" i="1"/>
  <c r="R991" i="1" s="1"/>
  <c r="N991" i="1"/>
  <c r="Q991" i="1" s="1"/>
  <c r="O991" i="1"/>
  <c r="L992" i="1"/>
  <c r="M992" i="1"/>
  <c r="R992" i="1" s="1"/>
  <c r="N992" i="1"/>
  <c r="Q992" i="1" s="1"/>
  <c r="O992" i="1"/>
  <c r="L993" i="1"/>
  <c r="M993" i="1"/>
  <c r="R993" i="1" s="1"/>
  <c r="N993" i="1"/>
  <c r="Q993" i="1" s="1"/>
  <c r="O993" i="1"/>
  <c r="L994" i="1"/>
  <c r="M994" i="1"/>
  <c r="R994" i="1" s="1"/>
  <c r="N994" i="1"/>
  <c r="Q994" i="1" s="1"/>
  <c r="O994" i="1"/>
  <c r="L995" i="1"/>
  <c r="M995" i="1"/>
  <c r="R995" i="1" s="1"/>
  <c r="N995" i="1"/>
  <c r="Q995" i="1" s="1"/>
  <c r="O995" i="1"/>
  <c r="L996" i="1"/>
  <c r="M996" i="1"/>
  <c r="R996" i="1" s="1"/>
  <c r="N996" i="1"/>
  <c r="Q996" i="1" s="1"/>
  <c r="O996" i="1"/>
  <c r="L997" i="1"/>
  <c r="M997" i="1"/>
  <c r="R997" i="1" s="1"/>
  <c r="N997" i="1"/>
  <c r="Q997" i="1" s="1"/>
  <c r="O997" i="1"/>
  <c r="L998" i="1"/>
  <c r="M998" i="1"/>
  <c r="R998" i="1" s="1"/>
  <c r="N998" i="1"/>
  <c r="Q998" i="1" s="1"/>
  <c r="O998" i="1"/>
  <c r="L999" i="1"/>
  <c r="M999" i="1"/>
  <c r="R999" i="1" s="1"/>
  <c r="N999" i="1"/>
  <c r="Q999" i="1" s="1"/>
  <c r="O999" i="1"/>
  <c r="L1000" i="1"/>
  <c r="M1000" i="1"/>
  <c r="R1000" i="1" s="1"/>
  <c r="N1000" i="1"/>
  <c r="Q1000" i="1" s="1"/>
  <c r="O1000" i="1"/>
  <c r="L1001" i="1"/>
  <c r="M1001" i="1"/>
  <c r="R1001" i="1" s="1"/>
  <c r="N1001" i="1"/>
  <c r="Q1001" i="1" s="1"/>
  <c r="O1001" i="1"/>
  <c r="L1002" i="1"/>
  <c r="M1002" i="1"/>
  <c r="R1002" i="1" s="1"/>
  <c r="N1002" i="1"/>
  <c r="Q1002" i="1" s="1"/>
  <c r="O1002" i="1"/>
  <c r="L1003" i="1"/>
  <c r="M1003" i="1"/>
  <c r="R1003" i="1" s="1"/>
  <c r="N1003" i="1"/>
  <c r="Q1003" i="1" s="1"/>
  <c r="O1003" i="1"/>
  <c r="L1004" i="1"/>
  <c r="M1004" i="1"/>
  <c r="R1004" i="1" s="1"/>
  <c r="N1004" i="1"/>
  <c r="Q1004" i="1" s="1"/>
  <c r="O1004" i="1"/>
  <c r="L1005" i="1"/>
  <c r="M1005" i="1"/>
  <c r="R1005" i="1" s="1"/>
  <c r="N1005" i="1"/>
  <c r="Q1005" i="1" s="1"/>
  <c r="O1005" i="1"/>
  <c r="L1006" i="1"/>
  <c r="M1006" i="1"/>
  <c r="R1006" i="1" s="1"/>
  <c r="N1006" i="1"/>
  <c r="Q1006" i="1" s="1"/>
  <c r="O1006" i="1"/>
  <c r="L1007" i="1"/>
  <c r="M1007" i="1"/>
  <c r="R1007" i="1" s="1"/>
  <c r="N1007" i="1"/>
  <c r="Q1007" i="1" s="1"/>
  <c r="O1007" i="1"/>
  <c r="L1008" i="1"/>
  <c r="M1008" i="1"/>
  <c r="R1008" i="1" s="1"/>
  <c r="N1008" i="1"/>
  <c r="Q1008" i="1" s="1"/>
  <c r="O1008" i="1"/>
  <c r="L1009" i="1"/>
  <c r="M1009" i="1"/>
  <c r="R1009" i="1" s="1"/>
  <c r="N1009" i="1"/>
  <c r="Q1009" i="1" s="1"/>
  <c r="O1009" i="1"/>
  <c r="L1010" i="1"/>
  <c r="M1010" i="1"/>
  <c r="R1010" i="1" s="1"/>
  <c r="N1010" i="1"/>
  <c r="Q1010" i="1" s="1"/>
  <c r="O1010" i="1"/>
  <c r="L1011" i="1"/>
  <c r="M1011" i="1"/>
  <c r="R1011" i="1" s="1"/>
  <c r="N1011" i="1"/>
  <c r="Q1011" i="1" s="1"/>
  <c r="O1011" i="1"/>
  <c r="L1012" i="1"/>
  <c r="M1012" i="1"/>
  <c r="R1012" i="1" s="1"/>
  <c r="N1012" i="1"/>
  <c r="Q1012" i="1" s="1"/>
  <c r="O1012" i="1"/>
  <c r="L1013" i="1"/>
  <c r="M1013" i="1"/>
  <c r="R1013" i="1" s="1"/>
  <c r="N1013" i="1"/>
  <c r="Q1013" i="1" s="1"/>
  <c r="O1013" i="1"/>
  <c r="L1014" i="1"/>
  <c r="M1014" i="1"/>
  <c r="R1014" i="1" s="1"/>
  <c r="N1014" i="1"/>
  <c r="Q1014" i="1" s="1"/>
  <c r="O1014" i="1"/>
  <c r="L1015" i="1"/>
  <c r="M1015" i="1"/>
  <c r="R1015" i="1" s="1"/>
  <c r="N1015" i="1"/>
  <c r="Q1015" i="1" s="1"/>
  <c r="O1015" i="1"/>
  <c r="L1016" i="1"/>
  <c r="M1016" i="1"/>
  <c r="R1016" i="1" s="1"/>
  <c r="N1016" i="1"/>
  <c r="Q1016" i="1" s="1"/>
  <c r="O1016" i="1"/>
  <c r="L1017" i="1"/>
  <c r="M1017" i="1"/>
  <c r="R1017" i="1" s="1"/>
  <c r="N1017" i="1"/>
  <c r="Q1017" i="1" s="1"/>
  <c r="O1017" i="1"/>
  <c r="L1018" i="1"/>
  <c r="M1018" i="1"/>
  <c r="R1018" i="1" s="1"/>
  <c r="N1018" i="1"/>
  <c r="Q1018" i="1" s="1"/>
  <c r="O1018" i="1"/>
  <c r="L1019" i="1"/>
  <c r="M1019" i="1"/>
  <c r="R1019" i="1" s="1"/>
  <c r="N1019" i="1"/>
  <c r="Q1019" i="1" s="1"/>
  <c r="O1019" i="1"/>
  <c r="L1020" i="1"/>
  <c r="M1020" i="1"/>
  <c r="R1020" i="1" s="1"/>
  <c r="N1020" i="1"/>
  <c r="Q1020" i="1" s="1"/>
  <c r="O1020" i="1"/>
  <c r="L1021" i="1"/>
  <c r="M1021" i="1"/>
  <c r="R1021" i="1" s="1"/>
  <c r="N1021" i="1"/>
  <c r="Q1021" i="1" s="1"/>
  <c r="O1021" i="1"/>
  <c r="L1022" i="1"/>
  <c r="M1022" i="1"/>
  <c r="R1022" i="1" s="1"/>
  <c r="N1022" i="1"/>
  <c r="Q1022" i="1" s="1"/>
  <c r="O1022" i="1"/>
  <c r="L1023" i="1"/>
  <c r="M1023" i="1"/>
  <c r="R1023" i="1" s="1"/>
  <c r="N1023" i="1"/>
  <c r="Q1023" i="1" s="1"/>
  <c r="O1023" i="1"/>
  <c r="L1024" i="1"/>
  <c r="M1024" i="1"/>
  <c r="R1024" i="1" s="1"/>
  <c r="N1024" i="1"/>
  <c r="Q1024" i="1" s="1"/>
  <c r="O1024" i="1"/>
  <c r="L1025" i="1"/>
  <c r="M1025" i="1"/>
  <c r="R1025" i="1" s="1"/>
  <c r="N1025" i="1"/>
  <c r="Q1025" i="1" s="1"/>
  <c r="O1025" i="1"/>
  <c r="L1026" i="1"/>
  <c r="M1026" i="1"/>
  <c r="R1026" i="1" s="1"/>
  <c r="N1026" i="1"/>
  <c r="Q1026" i="1" s="1"/>
  <c r="O1026" i="1"/>
  <c r="L1027" i="1"/>
  <c r="M1027" i="1"/>
  <c r="R1027" i="1" s="1"/>
  <c r="N1027" i="1"/>
  <c r="Q1027" i="1" s="1"/>
  <c r="O1027" i="1"/>
  <c r="L1028" i="1"/>
  <c r="M1028" i="1"/>
  <c r="R1028" i="1" s="1"/>
  <c r="N1028" i="1"/>
  <c r="Q1028" i="1" s="1"/>
  <c r="O1028" i="1"/>
  <c r="L1029" i="1"/>
  <c r="M1029" i="1"/>
  <c r="R1029" i="1" s="1"/>
  <c r="N1029" i="1"/>
  <c r="Q1029" i="1" s="1"/>
  <c r="O1029" i="1"/>
  <c r="L1030" i="1"/>
  <c r="M1030" i="1"/>
  <c r="R1030" i="1" s="1"/>
  <c r="N1030" i="1"/>
  <c r="Q1030" i="1" s="1"/>
  <c r="O1030" i="1"/>
  <c r="L1031" i="1"/>
  <c r="M1031" i="1"/>
  <c r="R1031" i="1" s="1"/>
  <c r="N1031" i="1"/>
  <c r="Q1031" i="1" s="1"/>
  <c r="O1031" i="1"/>
  <c r="L1032" i="1"/>
  <c r="M1032" i="1"/>
  <c r="R1032" i="1" s="1"/>
  <c r="N1032" i="1"/>
  <c r="Q1032" i="1" s="1"/>
  <c r="O1032" i="1"/>
  <c r="L1033" i="1"/>
  <c r="M1033" i="1"/>
  <c r="R1033" i="1" s="1"/>
  <c r="N1033" i="1"/>
  <c r="Q1033" i="1" s="1"/>
  <c r="O1033" i="1"/>
  <c r="L1034" i="1"/>
  <c r="M1034" i="1"/>
  <c r="R1034" i="1" s="1"/>
  <c r="N1034" i="1"/>
  <c r="Q1034" i="1" s="1"/>
  <c r="O1034" i="1"/>
  <c r="L1035" i="1"/>
  <c r="M1035" i="1"/>
  <c r="R1035" i="1" s="1"/>
  <c r="N1035" i="1"/>
  <c r="Q1035" i="1" s="1"/>
  <c r="O1035" i="1"/>
  <c r="L1036" i="1"/>
  <c r="M1036" i="1"/>
  <c r="R1036" i="1" s="1"/>
  <c r="N1036" i="1"/>
  <c r="Q1036" i="1" s="1"/>
  <c r="O1036" i="1"/>
  <c r="L1037" i="1"/>
  <c r="M1037" i="1"/>
  <c r="R1037" i="1" s="1"/>
  <c r="N1037" i="1"/>
  <c r="Q1037" i="1" s="1"/>
  <c r="O1037" i="1"/>
  <c r="L1038" i="1"/>
  <c r="M1038" i="1"/>
  <c r="R1038" i="1" s="1"/>
  <c r="N1038" i="1"/>
  <c r="Q1038" i="1" s="1"/>
  <c r="O1038" i="1"/>
  <c r="L1039" i="1"/>
  <c r="M1039" i="1"/>
  <c r="R1039" i="1" s="1"/>
  <c r="N1039" i="1"/>
  <c r="Q1039" i="1" s="1"/>
  <c r="O1039" i="1"/>
  <c r="L1040" i="1"/>
  <c r="M1040" i="1"/>
  <c r="R1040" i="1" s="1"/>
  <c r="N1040" i="1"/>
  <c r="Q1040" i="1" s="1"/>
  <c r="O1040" i="1"/>
  <c r="L1041" i="1"/>
  <c r="M1041" i="1"/>
  <c r="R1041" i="1" s="1"/>
  <c r="N1041" i="1"/>
  <c r="Q1041" i="1" s="1"/>
  <c r="O1041" i="1"/>
  <c r="L1042" i="1"/>
  <c r="M1042" i="1"/>
  <c r="R1042" i="1" s="1"/>
  <c r="N1042" i="1"/>
  <c r="Q1042" i="1" s="1"/>
  <c r="O1042" i="1"/>
  <c r="L1043" i="1"/>
  <c r="M1043" i="1"/>
  <c r="R1043" i="1" s="1"/>
  <c r="N1043" i="1"/>
  <c r="Q1043" i="1" s="1"/>
  <c r="O1043" i="1"/>
  <c r="L1044" i="1"/>
  <c r="M1044" i="1"/>
  <c r="R1044" i="1" s="1"/>
  <c r="N1044" i="1"/>
  <c r="Q1044" i="1" s="1"/>
  <c r="O1044" i="1"/>
  <c r="L1045" i="1"/>
  <c r="M1045" i="1"/>
  <c r="R1045" i="1" s="1"/>
  <c r="N1045" i="1"/>
  <c r="Q1045" i="1" s="1"/>
  <c r="O1045" i="1"/>
  <c r="L1046" i="1"/>
  <c r="M1046" i="1"/>
  <c r="R1046" i="1" s="1"/>
  <c r="N1046" i="1"/>
  <c r="Q1046" i="1" s="1"/>
  <c r="O1046" i="1"/>
  <c r="L1047" i="1"/>
  <c r="M1047" i="1"/>
  <c r="R1047" i="1" s="1"/>
  <c r="N1047" i="1"/>
  <c r="Q1047" i="1" s="1"/>
  <c r="O1047" i="1"/>
  <c r="L1048" i="1"/>
  <c r="M1048" i="1"/>
  <c r="R1048" i="1" s="1"/>
  <c r="N1048" i="1"/>
  <c r="Q1048" i="1" s="1"/>
  <c r="O1048" i="1"/>
  <c r="L1049" i="1"/>
  <c r="M1049" i="1"/>
  <c r="R1049" i="1" s="1"/>
  <c r="N1049" i="1"/>
  <c r="Q1049" i="1" s="1"/>
  <c r="O1049" i="1"/>
  <c r="L1050" i="1"/>
  <c r="M1050" i="1"/>
  <c r="R1050" i="1" s="1"/>
  <c r="N1050" i="1"/>
  <c r="Q1050" i="1" s="1"/>
  <c r="O1050" i="1"/>
  <c r="L1051" i="1"/>
  <c r="M1051" i="1"/>
  <c r="R1051" i="1" s="1"/>
  <c r="N1051" i="1"/>
  <c r="Q1051" i="1" s="1"/>
  <c r="O1051" i="1"/>
  <c r="L1052" i="1"/>
  <c r="M1052" i="1"/>
  <c r="R1052" i="1" s="1"/>
  <c r="N1052" i="1"/>
  <c r="Q1052" i="1" s="1"/>
  <c r="O1052" i="1"/>
  <c r="L1053" i="1"/>
  <c r="M1053" i="1"/>
  <c r="R1053" i="1" s="1"/>
  <c r="N1053" i="1"/>
  <c r="Q1053" i="1" s="1"/>
  <c r="O1053" i="1"/>
  <c r="L1054" i="1"/>
  <c r="M1054" i="1"/>
  <c r="R1054" i="1" s="1"/>
  <c r="N1054" i="1"/>
  <c r="Q1054" i="1" s="1"/>
  <c r="O1054" i="1"/>
  <c r="L1055" i="1"/>
  <c r="M1055" i="1"/>
  <c r="R1055" i="1" s="1"/>
  <c r="N1055" i="1"/>
  <c r="Q1055" i="1" s="1"/>
  <c r="O1055" i="1"/>
  <c r="L1056" i="1"/>
  <c r="M1056" i="1"/>
  <c r="R1056" i="1" s="1"/>
  <c r="N1056" i="1"/>
  <c r="Q1056" i="1" s="1"/>
  <c r="O1056" i="1"/>
  <c r="L1057" i="1"/>
  <c r="M1057" i="1"/>
  <c r="R1057" i="1" s="1"/>
  <c r="N1057" i="1"/>
  <c r="Q1057" i="1" s="1"/>
  <c r="O1057" i="1"/>
  <c r="L1058" i="1"/>
  <c r="M1058" i="1"/>
  <c r="R1058" i="1" s="1"/>
  <c r="N1058" i="1"/>
  <c r="Q1058" i="1" s="1"/>
  <c r="O1058" i="1"/>
  <c r="L1059" i="1"/>
  <c r="M1059" i="1"/>
  <c r="R1059" i="1" s="1"/>
  <c r="N1059" i="1"/>
  <c r="Q1059" i="1" s="1"/>
  <c r="O1059" i="1"/>
  <c r="L1060" i="1"/>
  <c r="M1060" i="1"/>
  <c r="R1060" i="1" s="1"/>
  <c r="N1060" i="1"/>
  <c r="Q1060" i="1" s="1"/>
  <c r="O1060" i="1"/>
  <c r="L1061" i="1"/>
  <c r="M1061" i="1"/>
  <c r="R1061" i="1" s="1"/>
  <c r="N1061" i="1"/>
  <c r="Q1061" i="1" s="1"/>
  <c r="O1061" i="1"/>
  <c r="L1062" i="1"/>
  <c r="M1062" i="1"/>
  <c r="R1062" i="1" s="1"/>
  <c r="N1062" i="1"/>
  <c r="Q1062" i="1" s="1"/>
  <c r="O1062" i="1"/>
  <c r="L1063" i="1"/>
  <c r="M1063" i="1"/>
  <c r="R1063" i="1" s="1"/>
  <c r="N1063" i="1"/>
  <c r="Q1063" i="1" s="1"/>
  <c r="O1063" i="1"/>
  <c r="L1064" i="1"/>
  <c r="M1064" i="1"/>
  <c r="R1064" i="1" s="1"/>
  <c r="N1064" i="1"/>
  <c r="Q1064" i="1" s="1"/>
  <c r="O1064" i="1"/>
  <c r="L1065" i="1"/>
  <c r="M1065" i="1"/>
  <c r="R1065" i="1" s="1"/>
  <c r="N1065" i="1"/>
  <c r="Q1065" i="1" s="1"/>
  <c r="O1065" i="1"/>
  <c r="L1066" i="1"/>
  <c r="M1066" i="1"/>
  <c r="R1066" i="1" s="1"/>
  <c r="N1066" i="1"/>
  <c r="Q1066" i="1" s="1"/>
  <c r="O1066" i="1"/>
  <c r="L1067" i="1"/>
  <c r="M1067" i="1"/>
  <c r="R1067" i="1" s="1"/>
  <c r="N1067" i="1"/>
  <c r="Q1067" i="1" s="1"/>
  <c r="O1067" i="1"/>
  <c r="L1068" i="1"/>
  <c r="M1068" i="1"/>
  <c r="R1068" i="1" s="1"/>
  <c r="N1068" i="1"/>
  <c r="Q1068" i="1" s="1"/>
  <c r="O1068" i="1"/>
  <c r="L1069" i="1"/>
  <c r="M1069" i="1"/>
  <c r="R1069" i="1" s="1"/>
  <c r="N1069" i="1"/>
  <c r="Q1069" i="1" s="1"/>
  <c r="O1069" i="1"/>
  <c r="L1070" i="1"/>
  <c r="M1070" i="1"/>
  <c r="R1070" i="1" s="1"/>
  <c r="N1070" i="1"/>
  <c r="Q1070" i="1" s="1"/>
  <c r="O1070" i="1"/>
  <c r="L1071" i="1"/>
  <c r="M1071" i="1"/>
  <c r="R1071" i="1" s="1"/>
  <c r="N1071" i="1"/>
  <c r="Q1071" i="1" s="1"/>
  <c r="O1071" i="1"/>
  <c r="L1072" i="1"/>
  <c r="M1072" i="1"/>
  <c r="R1072" i="1" s="1"/>
  <c r="N1072" i="1"/>
  <c r="Q1072" i="1" s="1"/>
  <c r="O1072" i="1"/>
  <c r="L1073" i="1"/>
  <c r="M1073" i="1"/>
  <c r="R1073" i="1" s="1"/>
  <c r="N1073" i="1"/>
  <c r="Q1073" i="1" s="1"/>
  <c r="O1073" i="1"/>
  <c r="L1074" i="1"/>
  <c r="M1074" i="1"/>
  <c r="R1074" i="1" s="1"/>
  <c r="N1074" i="1"/>
  <c r="Q1074" i="1" s="1"/>
  <c r="O1074" i="1"/>
  <c r="L1075" i="1"/>
  <c r="M1075" i="1"/>
  <c r="R1075" i="1" s="1"/>
  <c r="N1075" i="1"/>
  <c r="Q1075" i="1" s="1"/>
  <c r="O1075" i="1"/>
  <c r="L1076" i="1"/>
  <c r="M1076" i="1"/>
  <c r="R1076" i="1" s="1"/>
  <c r="N1076" i="1"/>
  <c r="Q1076" i="1" s="1"/>
  <c r="O1076" i="1"/>
  <c r="L1077" i="1"/>
  <c r="M1077" i="1"/>
  <c r="R1077" i="1" s="1"/>
  <c r="N1077" i="1"/>
  <c r="Q1077" i="1" s="1"/>
  <c r="O1077" i="1"/>
  <c r="L1078" i="1"/>
  <c r="M1078" i="1"/>
  <c r="R1078" i="1" s="1"/>
  <c r="N1078" i="1"/>
  <c r="Q1078" i="1" s="1"/>
  <c r="O1078" i="1"/>
  <c r="L1079" i="1"/>
  <c r="M1079" i="1"/>
  <c r="R1079" i="1" s="1"/>
  <c r="N1079" i="1"/>
  <c r="Q1079" i="1" s="1"/>
  <c r="O1079" i="1"/>
  <c r="L1080" i="1"/>
  <c r="M1080" i="1"/>
  <c r="R1080" i="1" s="1"/>
  <c r="N1080" i="1"/>
  <c r="Q1080" i="1" s="1"/>
  <c r="O1080" i="1"/>
  <c r="L1081" i="1"/>
  <c r="M1081" i="1"/>
  <c r="R1081" i="1" s="1"/>
  <c r="N1081" i="1"/>
  <c r="Q1081" i="1" s="1"/>
  <c r="O1081" i="1"/>
  <c r="L1082" i="1"/>
  <c r="M1082" i="1"/>
  <c r="R1082" i="1" s="1"/>
  <c r="N1082" i="1"/>
  <c r="Q1082" i="1" s="1"/>
  <c r="O1082" i="1"/>
  <c r="L1083" i="1"/>
  <c r="M1083" i="1"/>
  <c r="R1083" i="1" s="1"/>
  <c r="N1083" i="1"/>
  <c r="Q1083" i="1" s="1"/>
  <c r="O1083" i="1"/>
  <c r="L1084" i="1"/>
  <c r="M1084" i="1"/>
  <c r="R1084" i="1" s="1"/>
  <c r="N1084" i="1"/>
  <c r="Q1084" i="1" s="1"/>
  <c r="O1084" i="1"/>
  <c r="L1085" i="1"/>
  <c r="M1085" i="1"/>
  <c r="R1085" i="1" s="1"/>
  <c r="N1085" i="1"/>
  <c r="Q1085" i="1" s="1"/>
  <c r="O1085" i="1"/>
  <c r="L1086" i="1"/>
  <c r="M1086" i="1"/>
  <c r="R1086" i="1" s="1"/>
  <c r="N1086" i="1"/>
  <c r="Q1086" i="1" s="1"/>
  <c r="O1086" i="1"/>
  <c r="L1087" i="1"/>
  <c r="M1087" i="1"/>
  <c r="R1087" i="1" s="1"/>
  <c r="N1087" i="1"/>
  <c r="Q1087" i="1" s="1"/>
  <c r="O1087" i="1"/>
  <c r="L1088" i="1"/>
  <c r="M1088" i="1"/>
  <c r="R1088" i="1" s="1"/>
  <c r="N1088" i="1"/>
  <c r="Q1088" i="1" s="1"/>
  <c r="O1088" i="1"/>
  <c r="L1089" i="1"/>
  <c r="M1089" i="1"/>
  <c r="R1089" i="1" s="1"/>
  <c r="N1089" i="1"/>
  <c r="Q1089" i="1" s="1"/>
  <c r="O1089" i="1"/>
  <c r="L1090" i="1"/>
  <c r="M1090" i="1"/>
  <c r="R1090" i="1" s="1"/>
  <c r="N1090" i="1"/>
  <c r="Q1090" i="1" s="1"/>
  <c r="O1090" i="1"/>
  <c r="L1091" i="1"/>
  <c r="M1091" i="1"/>
  <c r="R1091" i="1" s="1"/>
  <c r="N1091" i="1"/>
  <c r="Q1091" i="1" s="1"/>
  <c r="O1091" i="1"/>
  <c r="L1092" i="1"/>
  <c r="M1092" i="1"/>
  <c r="R1092" i="1" s="1"/>
  <c r="N1092" i="1"/>
  <c r="Q1092" i="1" s="1"/>
  <c r="O1092" i="1"/>
  <c r="L1093" i="1"/>
  <c r="M1093" i="1"/>
  <c r="R1093" i="1" s="1"/>
  <c r="N1093" i="1"/>
  <c r="Q1093" i="1" s="1"/>
  <c r="O1093" i="1"/>
  <c r="L1094" i="1"/>
  <c r="M1094" i="1"/>
  <c r="R1094" i="1" s="1"/>
  <c r="N1094" i="1"/>
  <c r="Q1094" i="1" s="1"/>
  <c r="O1094" i="1"/>
  <c r="L1095" i="1"/>
  <c r="M1095" i="1"/>
  <c r="R1095" i="1" s="1"/>
  <c r="N1095" i="1"/>
  <c r="Q1095" i="1" s="1"/>
  <c r="O1095" i="1"/>
  <c r="L1096" i="1"/>
  <c r="M1096" i="1"/>
  <c r="R1096" i="1" s="1"/>
  <c r="N1096" i="1"/>
  <c r="Q1096" i="1" s="1"/>
  <c r="O1096" i="1"/>
  <c r="L1097" i="1"/>
  <c r="M1097" i="1"/>
  <c r="R1097" i="1" s="1"/>
  <c r="N1097" i="1"/>
  <c r="Q1097" i="1" s="1"/>
  <c r="O1097" i="1"/>
  <c r="L1098" i="1"/>
  <c r="M1098" i="1"/>
  <c r="R1098" i="1" s="1"/>
  <c r="N1098" i="1"/>
  <c r="Q1098" i="1" s="1"/>
  <c r="O1098" i="1"/>
  <c r="L1099" i="1"/>
  <c r="M1099" i="1"/>
  <c r="R1099" i="1" s="1"/>
  <c r="N1099" i="1"/>
  <c r="Q1099" i="1" s="1"/>
  <c r="O1099" i="1"/>
  <c r="L1100" i="1"/>
  <c r="M1100" i="1"/>
  <c r="R1100" i="1" s="1"/>
  <c r="N1100" i="1"/>
  <c r="Q1100" i="1" s="1"/>
  <c r="O1100" i="1"/>
  <c r="L1101" i="1"/>
  <c r="M1101" i="1"/>
  <c r="R1101" i="1" s="1"/>
  <c r="N1101" i="1"/>
  <c r="Q1101" i="1" s="1"/>
  <c r="O1101" i="1"/>
  <c r="L1102" i="1"/>
  <c r="M1102" i="1"/>
  <c r="R1102" i="1" s="1"/>
  <c r="N1102" i="1"/>
  <c r="Q1102" i="1" s="1"/>
  <c r="O1102" i="1"/>
  <c r="L1103" i="1"/>
  <c r="M1103" i="1"/>
  <c r="R1103" i="1" s="1"/>
  <c r="N1103" i="1"/>
  <c r="Q1103" i="1" s="1"/>
  <c r="O1103" i="1"/>
  <c r="L1104" i="1"/>
  <c r="M1104" i="1"/>
  <c r="R1104" i="1" s="1"/>
  <c r="N1104" i="1"/>
  <c r="Q1104" i="1" s="1"/>
  <c r="O1104" i="1"/>
  <c r="L1105" i="1"/>
  <c r="M1105" i="1"/>
  <c r="R1105" i="1" s="1"/>
  <c r="N1105" i="1"/>
  <c r="Q1105" i="1" s="1"/>
  <c r="O1105" i="1"/>
  <c r="L1106" i="1"/>
  <c r="M1106" i="1"/>
  <c r="R1106" i="1" s="1"/>
  <c r="N1106" i="1"/>
  <c r="Q1106" i="1" s="1"/>
  <c r="O1106" i="1"/>
  <c r="L1107" i="1"/>
  <c r="M1107" i="1"/>
  <c r="R1107" i="1" s="1"/>
  <c r="N1107" i="1"/>
  <c r="Q1107" i="1" s="1"/>
  <c r="O1107" i="1"/>
  <c r="L1108" i="1"/>
  <c r="M1108" i="1"/>
  <c r="R1108" i="1" s="1"/>
  <c r="N1108" i="1"/>
  <c r="Q1108" i="1" s="1"/>
  <c r="O1108" i="1"/>
  <c r="L1109" i="1"/>
  <c r="M1109" i="1"/>
  <c r="R1109" i="1" s="1"/>
  <c r="N1109" i="1"/>
  <c r="Q1109" i="1" s="1"/>
  <c r="O1109" i="1"/>
  <c r="L1110" i="1"/>
  <c r="M1110" i="1"/>
  <c r="R1110" i="1" s="1"/>
  <c r="N1110" i="1"/>
  <c r="Q1110" i="1" s="1"/>
  <c r="O1110" i="1"/>
  <c r="L1111" i="1"/>
  <c r="M1111" i="1"/>
  <c r="R1111" i="1" s="1"/>
  <c r="N1111" i="1"/>
  <c r="Q1111" i="1" s="1"/>
  <c r="O1111" i="1"/>
  <c r="L1112" i="1"/>
  <c r="M1112" i="1"/>
  <c r="R1112" i="1" s="1"/>
  <c r="N1112" i="1"/>
  <c r="Q1112" i="1" s="1"/>
  <c r="O1112" i="1"/>
  <c r="L1113" i="1"/>
  <c r="M1113" i="1"/>
  <c r="R1113" i="1" s="1"/>
  <c r="N1113" i="1"/>
  <c r="Q1113" i="1" s="1"/>
  <c r="O1113" i="1"/>
  <c r="L1114" i="1"/>
  <c r="M1114" i="1"/>
  <c r="R1114" i="1" s="1"/>
  <c r="N1114" i="1"/>
  <c r="Q1114" i="1" s="1"/>
  <c r="O1114" i="1"/>
  <c r="L1115" i="1"/>
  <c r="M1115" i="1"/>
  <c r="R1115" i="1" s="1"/>
  <c r="N1115" i="1"/>
  <c r="Q1115" i="1" s="1"/>
  <c r="O1115" i="1"/>
  <c r="L1116" i="1"/>
  <c r="M1116" i="1"/>
  <c r="R1116" i="1" s="1"/>
  <c r="N1116" i="1"/>
  <c r="Q1116" i="1" s="1"/>
  <c r="O1116" i="1"/>
  <c r="L1117" i="1"/>
  <c r="M1117" i="1"/>
  <c r="R1117" i="1" s="1"/>
  <c r="N1117" i="1"/>
  <c r="Q1117" i="1" s="1"/>
  <c r="O1117" i="1"/>
  <c r="L1118" i="1"/>
  <c r="M1118" i="1"/>
  <c r="R1118" i="1" s="1"/>
  <c r="N1118" i="1"/>
  <c r="Q1118" i="1" s="1"/>
  <c r="O1118" i="1"/>
  <c r="L1119" i="1"/>
  <c r="M1119" i="1"/>
  <c r="R1119" i="1" s="1"/>
  <c r="N1119" i="1"/>
  <c r="Q1119" i="1" s="1"/>
  <c r="O1119" i="1"/>
  <c r="L1120" i="1"/>
  <c r="M1120" i="1"/>
  <c r="R1120" i="1" s="1"/>
  <c r="N1120" i="1"/>
  <c r="Q1120" i="1" s="1"/>
  <c r="O1120" i="1"/>
  <c r="L1121" i="1"/>
  <c r="M1121" i="1"/>
  <c r="R1121" i="1" s="1"/>
  <c r="N1121" i="1"/>
  <c r="Q1121" i="1" s="1"/>
  <c r="O1121" i="1"/>
  <c r="L1122" i="1"/>
  <c r="M1122" i="1"/>
  <c r="R1122" i="1" s="1"/>
  <c r="N1122" i="1"/>
  <c r="Q1122" i="1" s="1"/>
  <c r="O1122" i="1"/>
  <c r="L1123" i="1"/>
  <c r="M1123" i="1"/>
  <c r="R1123" i="1" s="1"/>
  <c r="N1123" i="1"/>
  <c r="Q1123" i="1" s="1"/>
  <c r="O1123" i="1"/>
  <c r="L1124" i="1"/>
  <c r="M1124" i="1"/>
  <c r="R1124" i="1" s="1"/>
  <c r="N1124" i="1"/>
  <c r="Q1124" i="1" s="1"/>
  <c r="O1124" i="1"/>
  <c r="L1125" i="1"/>
  <c r="M1125" i="1"/>
  <c r="R1125" i="1" s="1"/>
  <c r="N1125" i="1"/>
  <c r="Q1125" i="1" s="1"/>
  <c r="O1125" i="1"/>
  <c r="L1126" i="1"/>
  <c r="M1126" i="1"/>
  <c r="R1126" i="1" s="1"/>
  <c r="N1126" i="1"/>
  <c r="Q1126" i="1" s="1"/>
  <c r="O1126" i="1"/>
  <c r="L1127" i="1"/>
  <c r="M1127" i="1"/>
  <c r="R1127" i="1" s="1"/>
  <c r="N1127" i="1"/>
  <c r="Q1127" i="1" s="1"/>
  <c r="O1127" i="1"/>
  <c r="L1128" i="1"/>
  <c r="M1128" i="1"/>
  <c r="R1128" i="1" s="1"/>
  <c r="N1128" i="1"/>
  <c r="Q1128" i="1" s="1"/>
  <c r="O1128" i="1"/>
  <c r="L1129" i="1"/>
  <c r="M1129" i="1"/>
  <c r="R1129" i="1" s="1"/>
  <c r="N1129" i="1"/>
  <c r="Q1129" i="1" s="1"/>
  <c r="O1129" i="1"/>
  <c r="L1130" i="1"/>
  <c r="M1130" i="1"/>
  <c r="R1130" i="1" s="1"/>
  <c r="N1130" i="1"/>
  <c r="Q1130" i="1" s="1"/>
  <c r="O1130" i="1"/>
  <c r="L1131" i="1"/>
  <c r="M1131" i="1"/>
  <c r="R1131" i="1" s="1"/>
  <c r="N1131" i="1"/>
  <c r="Q1131" i="1" s="1"/>
  <c r="O1131" i="1"/>
  <c r="L1132" i="1"/>
  <c r="M1132" i="1"/>
  <c r="R1132" i="1" s="1"/>
  <c r="N1132" i="1"/>
  <c r="Q1132" i="1" s="1"/>
  <c r="O1132" i="1"/>
  <c r="L1133" i="1"/>
  <c r="M1133" i="1"/>
  <c r="R1133" i="1" s="1"/>
  <c r="N1133" i="1"/>
  <c r="Q1133" i="1" s="1"/>
  <c r="O1133" i="1"/>
  <c r="L1134" i="1"/>
  <c r="M1134" i="1"/>
  <c r="R1134" i="1" s="1"/>
  <c r="N1134" i="1"/>
  <c r="Q1134" i="1" s="1"/>
  <c r="O1134" i="1"/>
  <c r="L1135" i="1"/>
  <c r="M1135" i="1"/>
  <c r="R1135" i="1" s="1"/>
  <c r="N1135" i="1"/>
  <c r="Q1135" i="1" s="1"/>
  <c r="O1135" i="1"/>
  <c r="L1136" i="1"/>
  <c r="M1136" i="1"/>
  <c r="R1136" i="1" s="1"/>
  <c r="N1136" i="1"/>
  <c r="Q1136" i="1" s="1"/>
  <c r="O1136" i="1"/>
  <c r="L1137" i="1"/>
  <c r="M1137" i="1"/>
  <c r="R1137" i="1" s="1"/>
  <c r="N1137" i="1"/>
  <c r="Q1137" i="1" s="1"/>
  <c r="O1137" i="1"/>
  <c r="L1138" i="1"/>
  <c r="M1138" i="1"/>
  <c r="R1138" i="1" s="1"/>
  <c r="N1138" i="1"/>
  <c r="Q1138" i="1" s="1"/>
  <c r="O1138" i="1"/>
  <c r="L1139" i="1"/>
  <c r="M1139" i="1"/>
  <c r="R1139" i="1" s="1"/>
  <c r="N1139" i="1"/>
  <c r="Q1139" i="1" s="1"/>
  <c r="O1139" i="1"/>
  <c r="L1140" i="1"/>
  <c r="M1140" i="1"/>
  <c r="R1140" i="1" s="1"/>
  <c r="N1140" i="1"/>
  <c r="Q1140" i="1" s="1"/>
  <c r="O1140" i="1"/>
  <c r="L1141" i="1"/>
  <c r="M1141" i="1"/>
  <c r="R1141" i="1" s="1"/>
  <c r="N1141" i="1"/>
  <c r="Q1141" i="1" s="1"/>
  <c r="O1141" i="1"/>
  <c r="L1142" i="1"/>
  <c r="M1142" i="1"/>
  <c r="R1142" i="1" s="1"/>
  <c r="N1142" i="1"/>
  <c r="Q1142" i="1" s="1"/>
  <c r="O1142" i="1"/>
  <c r="L1143" i="1"/>
  <c r="M1143" i="1"/>
  <c r="R1143" i="1" s="1"/>
  <c r="N1143" i="1"/>
  <c r="Q1143" i="1" s="1"/>
  <c r="O1143" i="1"/>
  <c r="L1144" i="1"/>
  <c r="M1144" i="1"/>
  <c r="R1144" i="1" s="1"/>
  <c r="N1144" i="1"/>
  <c r="Q1144" i="1" s="1"/>
  <c r="O1144" i="1"/>
  <c r="L1145" i="1"/>
  <c r="M1145" i="1"/>
  <c r="R1145" i="1" s="1"/>
  <c r="N1145" i="1"/>
  <c r="Q1145" i="1" s="1"/>
  <c r="O1145" i="1"/>
  <c r="L1146" i="1"/>
  <c r="M1146" i="1"/>
  <c r="R1146" i="1" s="1"/>
  <c r="N1146" i="1"/>
  <c r="Q1146" i="1" s="1"/>
  <c r="O1146" i="1"/>
  <c r="L1147" i="1"/>
  <c r="M1147" i="1"/>
  <c r="R1147" i="1" s="1"/>
  <c r="N1147" i="1"/>
  <c r="Q1147" i="1" s="1"/>
  <c r="O1147" i="1"/>
  <c r="L1148" i="1"/>
  <c r="M1148" i="1"/>
  <c r="R1148" i="1" s="1"/>
  <c r="N1148" i="1"/>
  <c r="Q1148" i="1" s="1"/>
  <c r="O1148" i="1"/>
  <c r="L1149" i="1"/>
  <c r="M1149" i="1"/>
  <c r="R1149" i="1" s="1"/>
  <c r="N1149" i="1"/>
  <c r="Q1149" i="1" s="1"/>
  <c r="O1149" i="1"/>
  <c r="L1150" i="1"/>
  <c r="M1150" i="1"/>
  <c r="R1150" i="1" s="1"/>
  <c r="N1150" i="1"/>
  <c r="Q1150" i="1" s="1"/>
  <c r="O1150" i="1"/>
  <c r="L1151" i="1"/>
  <c r="M1151" i="1"/>
  <c r="R1151" i="1" s="1"/>
  <c r="N1151" i="1"/>
  <c r="Q1151" i="1" s="1"/>
  <c r="O1151" i="1"/>
  <c r="L1152" i="1"/>
  <c r="M1152" i="1"/>
  <c r="R1152" i="1" s="1"/>
  <c r="N1152" i="1"/>
  <c r="Q1152" i="1" s="1"/>
  <c r="O1152" i="1"/>
  <c r="L1153" i="1"/>
  <c r="M1153" i="1"/>
  <c r="R1153" i="1" s="1"/>
  <c r="N1153" i="1"/>
  <c r="Q1153" i="1" s="1"/>
  <c r="O1153" i="1"/>
  <c r="L1154" i="1"/>
  <c r="M1154" i="1"/>
  <c r="R1154" i="1" s="1"/>
  <c r="N1154" i="1"/>
  <c r="Q1154" i="1" s="1"/>
  <c r="O1154" i="1"/>
  <c r="L1155" i="1"/>
  <c r="M1155" i="1"/>
  <c r="R1155" i="1" s="1"/>
  <c r="N1155" i="1"/>
  <c r="Q1155" i="1" s="1"/>
  <c r="O1155" i="1"/>
  <c r="L1156" i="1"/>
  <c r="M1156" i="1"/>
  <c r="R1156" i="1" s="1"/>
  <c r="N1156" i="1"/>
  <c r="Q1156" i="1" s="1"/>
  <c r="O1156" i="1"/>
  <c r="L1157" i="1"/>
  <c r="M1157" i="1"/>
  <c r="R1157" i="1" s="1"/>
  <c r="N1157" i="1"/>
  <c r="Q1157" i="1" s="1"/>
  <c r="O1157" i="1"/>
  <c r="L1158" i="1"/>
  <c r="M1158" i="1"/>
  <c r="R1158" i="1" s="1"/>
  <c r="N1158" i="1"/>
  <c r="Q1158" i="1" s="1"/>
  <c r="O1158" i="1"/>
  <c r="L1159" i="1"/>
  <c r="M1159" i="1"/>
  <c r="R1159" i="1" s="1"/>
  <c r="N1159" i="1"/>
  <c r="Q1159" i="1" s="1"/>
  <c r="O1159" i="1"/>
  <c r="L1160" i="1"/>
  <c r="M1160" i="1"/>
  <c r="R1160" i="1" s="1"/>
  <c r="N1160" i="1"/>
  <c r="Q1160" i="1" s="1"/>
  <c r="O1160" i="1"/>
  <c r="L1161" i="1"/>
  <c r="M1161" i="1"/>
  <c r="R1161" i="1" s="1"/>
  <c r="N1161" i="1"/>
  <c r="Q1161" i="1" s="1"/>
  <c r="O1161" i="1"/>
  <c r="L1162" i="1"/>
  <c r="M1162" i="1"/>
  <c r="R1162" i="1" s="1"/>
  <c r="N1162" i="1"/>
  <c r="Q1162" i="1" s="1"/>
  <c r="O1162" i="1"/>
  <c r="L1163" i="1"/>
  <c r="M1163" i="1"/>
  <c r="R1163" i="1" s="1"/>
  <c r="N1163" i="1"/>
  <c r="Q1163" i="1" s="1"/>
  <c r="O1163" i="1"/>
  <c r="L1164" i="1"/>
  <c r="M1164" i="1"/>
  <c r="R1164" i="1" s="1"/>
  <c r="N1164" i="1"/>
  <c r="Q1164" i="1" s="1"/>
  <c r="O1164" i="1"/>
  <c r="L1165" i="1"/>
  <c r="M1165" i="1"/>
  <c r="R1165" i="1" s="1"/>
  <c r="N1165" i="1"/>
  <c r="Q1165" i="1" s="1"/>
  <c r="O1165" i="1"/>
  <c r="L1166" i="1"/>
  <c r="M1166" i="1"/>
  <c r="R1166" i="1" s="1"/>
  <c r="N1166" i="1"/>
  <c r="Q1166" i="1" s="1"/>
  <c r="O1166" i="1"/>
  <c r="L1167" i="1"/>
  <c r="M1167" i="1"/>
  <c r="R1167" i="1" s="1"/>
  <c r="N1167" i="1"/>
  <c r="Q1167" i="1" s="1"/>
  <c r="O1167" i="1"/>
  <c r="L1168" i="1"/>
  <c r="M1168" i="1"/>
  <c r="R1168" i="1" s="1"/>
  <c r="N1168" i="1"/>
  <c r="Q1168" i="1" s="1"/>
  <c r="O1168" i="1"/>
  <c r="L1169" i="1"/>
  <c r="M1169" i="1"/>
  <c r="R1169" i="1" s="1"/>
  <c r="N1169" i="1"/>
  <c r="Q1169" i="1" s="1"/>
  <c r="O1169" i="1"/>
  <c r="L1170" i="1"/>
  <c r="M1170" i="1"/>
  <c r="R1170" i="1" s="1"/>
  <c r="N1170" i="1"/>
  <c r="Q1170" i="1" s="1"/>
  <c r="O1170" i="1"/>
  <c r="L1171" i="1"/>
  <c r="M1171" i="1"/>
  <c r="R1171" i="1" s="1"/>
  <c r="N1171" i="1"/>
  <c r="Q1171" i="1" s="1"/>
  <c r="O1171" i="1"/>
  <c r="L1172" i="1"/>
  <c r="M1172" i="1"/>
  <c r="R1172" i="1" s="1"/>
  <c r="N1172" i="1"/>
  <c r="Q1172" i="1" s="1"/>
  <c r="O1172" i="1"/>
  <c r="L1173" i="1"/>
  <c r="M1173" i="1"/>
  <c r="R1173" i="1" s="1"/>
  <c r="N1173" i="1"/>
  <c r="Q1173" i="1" s="1"/>
  <c r="O1173" i="1"/>
  <c r="L1174" i="1"/>
  <c r="M1174" i="1"/>
  <c r="R1174" i="1" s="1"/>
  <c r="N1174" i="1"/>
  <c r="Q1174" i="1" s="1"/>
  <c r="O1174" i="1"/>
  <c r="L1175" i="1"/>
  <c r="M1175" i="1"/>
  <c r="R1175" i="1" s="1"/>
  <c r="N1175" i="1"/>
  <c r="Q1175" i="1" s="1"/>
  <c r="O1175" i="1"/>
  <c r="L1176" i="1"/>
  <c r="M1176" i="1"/>
  <c r="R1176" i="1" s="1"/>
  <c r="N1176" i="1"/>
  <c r="Q1176" i="1" s="1"/>
  <c r="O1176" i="1"/>
  <c r="L1177" i="1"/>
  <c r="M1177" i="1"/>
  <c r="R1177" i="1" s="1"/>
  <c r="N1177" i="1"/>
  <c r="Q1177" i="1" s="1"/>
  <c r="O1177" i="1"/>
  <c r="L1178" i="1"/>
  <c r="M1178" i="1"/>
  <c r="R1178" i="1" s="1"/>
  <c r="N1178" i="1"/>
  <c r="Q1178" i="1" s="1"/>
  <c r="O1178" i="1"/>
  <c r="L1179" i="1"/>
  <c r="M1179" i="1"/>
  <c r="R1179" i="1" s="1"/>
  <c r="N1179" i="1"/>
  <c r="Q1179" i="1" s="1"/>
  <c r="O1179" i="1"/>
  <c r="L1180" i="1"/>
  <c r="M1180" i="1"/>
  <c r="R1180" i="1" s="1"/>
  <c r="N1180" i="1"/>
  <c r="Q1180" i="1" s="1"/>
  <c r="O1180" i="1"/>
  <c r="L1181" i="1"/>
  <c r="M1181" i="1"/>
  <c r="R1181" i="1" s="1"/>
  <c r="N1181" i="1"/>
  <c r="Q1181" i="1" s="1"/>
  <c r="O1181" i="1"/>
  <c r="L1182" i="1"/>
  <c r="M1182" i="1"/>
  <c r="R1182" i="1" s="1"/>
  <c r="N1182" i="1"/>
  <c r="Q1182" i="1" s="1"/>
  <c r="O1182" i="1"/>
  <c r="L1183" i="1"/>
  <c r="M1183" i="1"/>
  <c r="R1183" i="1" s="1"/>
  <c r="N1183" i="1"/>
  <c r="Q1183" i="1" s="1"/>
  <c r="O1183" i="1"/>
  <c r="L1184" i="1"/>
  <c r="M1184" i="1"/>
  <c r="R1184" i="1" s="1"/>
  <c r="N1184" i="1"/>
  <c r="Q1184" i="1" s="1"/>
  <c r="O1184" i="1"/>
  <c r="L1185" i="1"/>
  <c r="M1185" i="1"/>
  <c r="R1185" i="1" s="1"/>
  <c r="N1185" i="1"/>
  <c r="Q1185" i="1" s="1"/>
  <c r="O1185" i="1"/>
  <c r="L1186" i="1"/>
  <c r="M1186" i="1"/>
  <c r="R1186" i="1" s="1"/>
  <c r="N1186" i="1"/>
  <c r="Q1186" i="1" s="1"/>
  <c r="O1186" i="1"/>
  <c r="L1187" i="1"/>
  <c r="M1187" i="1"/>
  <c r="R1187" i="1" s="1"/>
  <c r="N1187" i="1"/>
  <c r="Q1187" i="1" s="1"/>
  <c r="O1187" i="1"/>
  <c r="L1188" i="1"/>
  <c r="M1188" i="1"/>
  <c r="R1188" i="1" s="1"/>
  <c r="N1188" i="1"/>
  <c r="Q1188" i="1" s="1"/>
  <c r="O1188" i="1"/>
  <c r="L1189" i="1"/>
  <c r="M1189" i="1"/>
  <c r="R1189" i="1" s="1"/>
  <c r="N1189" i="1"/>
  <c r="Q1189" i="1" s="1"/>
  <c r="O1189" i="1"/>
  <c r="L1190" i="1"/>
  <c r="M1190" i="1"/>
  <c r="R1190" i="1" s="1"/>
  <c r="N1190" i="1"/>
  <c r="Q1190" i="1" s="1"/>
  <c r="O1190" i="1"/>
  <c r="L1191" i="1"/>
  <c r="M1191" i="1"/>
  <c r="R1191" i="1" s="1"/>
  <c r="N1191" i="1"/>
  <c r="Q1191" i="1" s="1"/>
  <c r="O1191" i="1"/>
  <c r="L1192" i="1"/>
  <c r="M1192" i="1"/>
  <c r="R1192" i="1" s="1"/>
  <c r="N1192" i="1"/>
  <c r="Q1192" i="1" s="1"/>
  <c r="O1192" i="1"/>
  <c r="L1193" i="1"/>
  <c r="M1193" i="1"/>
  <c r="R1193" i="1" s="1"/>
  <c r="N1193" i="1"/>
  <c r="Q1193" i="1" s="1"/>
  <c r="O1193" i="1"/>
  <c r="L1194" i="1"/>
  <c r="M1194" i="1"/>
  <c r="R1194" i="1" s="1"/>
  <c r="N1194" i="1"/>
  <c r="Q1194" i="1" s="1"/>
  <c r="O1194" i="1"/>
  <c r="L1195" i="1"/>
  <c r="M1195" i="1"/>
  <c r="R1195" i="1" s="1"/>
  <c r="N1195" i="1"/>
  <c r="Q1195" i="1" s="1"/>
  <c r="O1195" i="1"/>
  <c r="L1196" i="1"/>
  <c r="M1196" i="1"/>
  <c r="R1196" i="1" s="1"/>
  <c r="N1196" i="1"/>
  <c r="Q1196" i="1" s="1"/>
  <c r="O1196" i="1"/>
  <c r="L1197" i="1"/>
  <c r="M1197" i="1"/>
  <c r="R1197" i="1" s="1"/>
  <c r="N1197" i="1"/>
  <c r="Q1197" i="1" s="1"/>
  <c r="O1197" i="1"/>
  <c r="L1198" i="1"/>
  <c r="M1198" i="1"/>
  <c r="R1198" i="1" s="1"/>
  <c r="N1198" i="1"/>
  <c r="Q1198" i="1" s="1"/>
  <c r="O1198" i="1"/>
  <c r="L1199" i="1"/>
  <c r="M1199" i="1"/>
  <c r="R1199" i="1" s="1"/>
  <c r="N1199" i="1"/>
  <c r="Q1199" i="1" s="1"/>
  <c r="O1199" i="1"/>
  <c r="L1200" i="1"/>
  <c r="M1200" i="1"/>
  <c r="R1200" i="1" s="1"/>
  <c r="N1200" i="1"/>
  <c r="Q1200" i="1" s="1"/>
  <c r="O1200" i="1"/>
  <c r="L1201" i="1"/>
  <c r="M1201" i="1"/>
  <c r="R1201" i="1" s="1"/>
  <c r="N1201" i="1"/>
  <c r="Q1201" i="1" s="1"/>
  <c r="O1201" i="1"/>
  <c r="L1202" i="1"/>
  <c r="M1202" i="1"/>
  <c r="R1202" i="1" s="1"/>
  <c r="N1202" i="1"/>
  <c r="Q1202" i="1" s="1"/>
  <c r="O1202" i="1"/>
  <c r="L1203" i="1"/>
  <c r="M1203" i="1"/>
  <c r="R1203" i="1" s="1"/>
  <c r="N1203" i="1"/>
  <c r="Q1203" i="1" s="1"/>
  <c r="O1203" i="1"/>
  <c r="L1204" i="1"/>
  <c r="M1204" i="1"/>
  <c r="R1204" i="1" s="1"/>
  <c r="N1204" i="1"/>
  <c r="Q1204" i="1" s="1"/>
  <c r="O1204" i="1"/>
  <c r="L1205" i="1"/>
  <c r="M1205" i="1"/>
  <c r="R1205" i="1" s="1"/>
  <c r="N1205" i="1"/>
  <c r="Q1205" i="1" s="1"/>
  <c r="O1205" i="1"/>
  <c r="L1206" i="1"/>
  <c r="M1206" i="1"/>
  <c r="R1206" i="1" s="1"/>
  <c r="N1206" i="1"/>
  <c r="Q1206" i="1" s="1"/>
  <c r="O1206" i="1"/>
  <c r="L1207" i="1"/>
  <c r="M1207" i="1"/>
  <c r="R1207" i="1" s="1"/>
  <c r="N1207" i="1"/>
  <c r="Q1207" i="1" s="1"/>
  <c r="O1207" i="1"/>
  <c r="L1208" i="1"/>
  <c r="M1208" i="1"/>
  <c r="R1208" i="1" s="1"/>
  <c r="N1208" i="1"/>
  <c r="Q1208" i="1" s="1"/>
  <c r="O1208" i="1"/>
  <c r="L1209" i="1"/>
  <c r="M1209" i="1"/>
  <c r="R1209" i="1" s="1"/>
  <c r="N1209" i="1"/>
  <c r="Q1209" i="1" s="1"/>
  <c r="O1209" i="1"/>
  <c r="L1210" i="1"/>
  <c r="M1210" i="1"/>
  <c r="R1210" i="1" s="1"/>
  <c r="N1210" i="1"/>
  <c r="Q1210" i="1" s="1"/>
  <c r="O1210" i="1"/>
  <c r="L1211" i="1"/>
  <c r="M1211" i="1"/>
  <c r="R1211" i="1" s="1"/>
  <c r="N1211" i="1"/>
  <c r="Q1211" i="1" s="1"/>
  <c r="O1211" i="1"/>
  <c r="L1212" i="1"/>
  <c r="M1212" i="1"/>
  <c r="R1212" i="1" s="1"/>
  <c r="N1212" i="1"/>
  <c r="Q1212" i="1" s="1"/>
  <c r="O1212" i="1"/>
  <c r="L1213" i="1"/>
  <c r="M1213" i="1"/>
  <c r="R1213" i="1" s="1"/>
  <c r="N1213" i="1"/>
  <c r="Q1213" i="1" s="1"/>
  <c r="O1213" i="1"/>
  <c r="L1214" i="1"/>
  <c r="M1214" i="1"/>
  <c r="R1214" i="1" s="1"/>
  <c r="N1214" i="1"/>
  <c r="Q1214" i="1" s="1"/>
  <c r="O1214" i="1"/>
  <c r="L1215" i="1"/>
  <c r="M1215" i="1"/>
  <c r="R1215" i="1" s="1"/>
  <c r="N1215" i="1"/>
  <c r="Q1215" i="1" s="1"/>
  <c r="O1215" i="1"/>
  <c r="L1216" i="1"/>
  <c r="M1216" i="1"/>
  <c r="R1216" i="1" s="1"/>
  <c r="N1216" i="1"/>
  <c r="Q1216" i="1" s="1"/>
  <c r="O1216" i="1"/>
  <c r="L1217" i="1"/>
  <c r="M1217" i="1"/>
  <c r="R1217" i="1" s="1"/>
  <c r="N1217" i="1"/>
  <c r="Q1217" i="1" s="1"/>
  <c r="O1217" i="1"/>
  <c r="L1218" i="1"/>
  <c r="M1218" i="1"/>
  <c r="R1218" i="1" s="1"/>
  <c r="N1218" i="1"/>
  <c r="Q1218" i="1" s="1"/>
  <c r="O1218" i="1"/>
  <c r="L1219" i="1"/>
  <c r="M1219" i="1"/>
  <c r="R1219" i="1" s="1"/>
  <c r="N1219" i="1"/>
  <c r="Q1219" i="1" s="1"/>
  <c r="O1219" i="1"/>
  <c r="L1220" i="1"/>
  <c r="M1220" i="1"/>
  <c r="R1220" i="1" s="1"/>
  <c r="N1220" i="1"/>
  <c r="Q1220" i="1" s="1"/>
  <c r="O1220" i="1"/>
  <c r="L1221" i="1"/>
  <c r="M1221" i="1"/>
  <c r="R1221" i="1" s="1"/>
  <c r="N1221" i="1"/>
  <c r="Q1221" i="1" s="1"/>
  <c r="O1221" i="1"/>
  <c r="L1222" i="1"/>
  <c r="M1222" i="1"/>
  <c r="R1222" i="1" s="1"/>
  <c r="N1222" i="1"/>
  <c r="Q1222" i="1" s="1"/>
  <c r="O1222" i="1"/>
  <c r="L1223" i="1"/>
  <c r="M1223" i="1"/>
  <c r="R1223" i="1" s="1"/>
  <c r="N1223" i="1"/>
  <c r="Q1223" i="1" s="1"/>
  <c r="O1223" i="1"/>
  <c r="L1224" i="1"/>
  <c r="M1224" i="1"/>
  <c r="R1224" i="1" s="1"/>
  <c r="N1224" i="1"/>
  <c r="Q1224" i="1" s="1"/>
  <c r="O1224" i="1"/>
  <c r="L1225" i="1"/>
  <c r="M1225" i="1"/>
  <c r="R1225" i="1" s="1"/>
  <c r="N1225" i="1"/>
  <c r="Q1225" i="1" s="1"/>
  <c r="O1225" i="1"/>
  <c r="L1226" i="1"/>
  <c r="M1226" i="1"/>
  <c r="R1226" i="1" s="1"/>
  <c r="N1226" i="1"/>
  <c r="Q1226" i="1" s="1"/>
  <c r="O1226" i="1"/>
  <c r="L1227" i="1"/>
  <c r="M1227" i="1"/>
  <c r="R1227" i="1" s="1"/>
  <c r="N1227" i="1"/>
  <c r="Q1227" i="1" s="1"/>
  <c r="O1227" i="1"/>
  <c r="L1228" i="1"/>
  <c r="M1228" i="1"/>
  <c r="R1228" i="1" s="1"/>
  <c r="N1228" i="1"/>
  <c r="Q1228" i="1" s="1"/>
  <c r="O1228" i="1"/>
  <c r="L1229" i="1"/>
  <c r="M1229" i="1"/>
  <c r="R1229" i="1" s="1"/>
  <c r="N1229" i="1"/>
  <c r="Q1229" i="1" s="1"/>
  <c r="O1229" i="1"/>
  <c r="L1230" i="1"/>
  <c r="M1230" i="1"/>
  <c r="R1230" i="1" s="1"/>
  <c r="N1230" i="1"/>
  <c r="Q1230" i="1" s="1"/>
  <c r="O1230" i="1"/>
  <c r="L1231" i="1"/>
  <c r="M1231" i="1"/>
  <c r="R1231" i="1" s="1"/>
  <c r="N1231" i="1"/>
  <c r="Q1231" i="1" s="1"/>
  <c r="O1231" i="1"/>
  <c r="L1232" i="1"/>
  <c r="M1232" i="1"/>
  <c r="R1232" i="1" s="1"/>
  <c r="N1232" i="1"/>
  <c r="Q1232" i="1" s="1"/>
  <c r="O1232" i="1"/>
  <c r="L1233" i="1"/>
  <c r="M1233" i="1"/>
  <c r="R1233" i="1" s="1"/>
  <c r="N1233" i="1"/>
  <c r="Q1233" i="1" s="1"/>
  <c r="O1233" i="1"/>
  <c r="L1234" i="1"/>
  <c r="M1234" i="1"/>
  <c r="R1234" i="1" s="1"/>
  <c r="N1234" i="1"/>
  <c r="Q1234" i="1" s="1"/>
  <c r="O1234" i="1"/>
  <c r="L1235" i="1"/>
  <c r="M1235" i="1"/>
  <c r="R1235" i="1" s="1"/>
  <c r="N1235" i="1"/>
  <c r="Q1235" i="1" s="1"/>
  <c r="O1235" i="1"/>
  <c r="L1236" i="1"/>
  <c r="M1236" i="1"/>
  <c r="R1236" i="1" s="1"/>
  <c r="N1236" i="1"/>
  <c r="Q1236" i="1" s="1"/>
  <c r="O1236" i="1"/>
  <c r="L1237" i="1"/>
  <c r="M1237" i="1"/>
  <c r="R1237" i="1" s="1"/>
  <c r="N1237" i="1"/>
  <c r="Q1237" i="1" s="1"/>
  <c r="O1237" i="1"/>
  <c r="L1238" i="1"/>
  <c r="M1238" i="1"/>
  <c r="R1238" i="1" s="1"/>
  <c r="N1238" i="1"/>
  <c r="Q1238" i="1" s="1"/>
  <c r="O1238" i="1"/>
  <c r="L1239" i="1"/>
  <c r="M1239" i="1"/>
  <c r="R1239" i="1" s="1"/>
  <c r="N1239" i="1"/>
  <c r="Q1239" i="1" s="1"/>
  <c r="O1239" i="1"/>
  <c r="L1240" i="1"/>
  <c r="M1240" i="1"/>
  <c r="R1240" i="1" s="1"/>
  <c r="N1240" i="1"/>
  <c r="Q1240" i="1" s="1"/>
  <c r="O1240" i="1"/>
  <c r="L1241" i="1"/>
  <c r="M1241" i="1"/>
  <c r="R1241" i="1" s="1"/>
  <c r="N1241" i="1"/>
  <c r="Q1241" i="1" s="1"/>
  <c r="O1241" i="1"/>
  <c r="L1242" i="1"/>
  <c r="M1242" i="1"/>
  <c r="R1242" i="1" s="1"/>
  <c r="N1242" i="1"/>
  <c r="Q1242" i="1" s="1"/>
  <c r="O1242" i="1"/>
  <c r="L1243" i="1"/>
  <c r="M1243" i="1"/>
  <c r="R1243" i="1" s="1"/>
  <c r="N1243" i="1"/>
  <c r="Q1243" i="1" s="1"/>
  <c r="O1243" i="1"/>
  <c r="L1244" i="1"/>
  <c r="M1244" i="1"/>
  <c r="R1244" i="1" s="1"/>
  <c r="N1244" i="1"/>
  <c r="Q1244" i="1" s="1"/>
  <c r="O1244" i="1"/>
  <c r="L1245" i="1"/>
  <c r="M1245" i="1"/>
  <c r="R1245" i="1" s="1"/>
  <c r="N1245" i="1"/>
  <c r="Q1245" i="1" s="1"/>
  <c r="O1245" i="1"/>
  <c r="L1246" i="1"/>
  <c r="M1246" i="1"/>
  <c r="R1246" i="1" s="1"/>
  <c r="N1246" i="1"/>
  <c r="Q1246" i="1" s="1"/>
  <c r="O1246" i="1"/>
  <c r="L1247" i="1"/>
  <c r="M1247" i="1"/>
  <c r="R1247" i="1" s="1"/>
  <c r="N1247" i="1"/>
  <c r="Q1247" i="1" s="1"/>
  <c r="O1247" i="1"/>
  <c r="L1248" i="1"/>
  <c r="M1248" i="1"/>
  <c r="R1248" i="1" s="1"/>
  <c r="N1248" i="1"/>
  <c r="Q1248" i="1" s="1"/>
  <c r="O1248" i="1"/>
  <c r="L1249" i="1"/>
  <c r="M1249" i="1"/>
  <c r="R1249" i="1" s="1"/>
  <c r="N1249" i="1"/>
  <c r="Q1249" i="1" s="1"/>
  <c r="O1249" i="1"/>
  <c r="L1250" i="1"/>
  <c r="M1250" i="1"/>
  <c r="R1250" i="1" s="1"/>
  <c r="N1250" i="1"/>
  <c r="Q1250" i="1" s="1"/>
  <c r="O1250" i="1"/>
  <c r="L1251" i="1"/>
  <c r="M1251" i="1"/>
  <c r="R1251" i="1" s="1"/>
  <c r="N1251" i="1"/>
  <c r="Q1251" i="1" s="1"/>
  <c r="O1251" i="1"/>
  <c r="L1252" i="1"/>
  <c r="M1252" i="1"/>
  <c r="R1252" i="1" s="1"/>
  <c r="N1252" i="1"/>
  <c r="Q1252" i="1" s="1"/>
  <c r="O1252" i="1"/>
  <c r="L1253" i="1"/>
  <c r="M1253" i="1"/>
  <c r="R1253" i="1" s="1"/>
  <c r="N1253" i="1"/>
  <c r="Q1253" i="1" s="1"/>
  <c r="O1253" i="1"/>
  <c r="L1254" i="1"/>
  <c r="M1254" i="1"/>
  <c r="R1254" i="1" s="1"/>
  <c r="N1254" i="1"/>
  <c r="Q1254" i="1" s="1"/>
  <c r="O1254" i="1"/>
  <c r="L1255" i="1"/>
  <c r="M1255" i="1"/>
  <c r="R1255" i="1" s="1"/>
  <c r="N1255" i="1"/>
  <c r="Q1255" i="1" s="1"/>
  <c r="O1255" i="1"/>
  <c r="L1256" i="1"/>
  <c r="M1256" i="1"/>
  <c r="R1256" i="1" s="1"/>
  <c r="N1256" i="1"/>
  <c r="Q1256" i="1" s="1"/>
  <c r="O1256" i="1"/>
  <c r="L1257" i="1"/>
  <c r="M1257" i="1"/>
  <c r="R1257" i="1" s="1"/>
  <c r="N1257" i="1"/>
  <c r="Q1257" i="1" s="1"/>
  <c r="O1257" i="1"/>
  <c r="L1258" i="1"/>
  <c r="M1258" i="1"/>
  <c r="R1258" i="1" s="1"/>
  <c r="N1258" i="1"/>
  <c r="Q1258" i="1" s="1"/>
  <c r="O1258" i="1"/>
  <c r="L1259" i="1"/>
  <c r="M1259" i="1"/>
  <c r="R1259" i="1" s="1"/>
  <c r="N1259" i="1"/>
  <c r="Q1259" i="1" s="1"/>
  <c r="O1259" i="1"/>
  <c r="L1260" i="1"/>
  <c r="M1260" i="1"/>
  <c r="R1260" i="1" s="1"/>
  <c r="N1260" i="1"/>
  <c r="Q1260" i="1" s="1"/>
  <c r="O1260" i="1"/>
  <c r="L1261" i="1"/>
  <c r="M1261" i="1"/>
  <c r="R1261" i="1" s="1"/>
  <c r="N1261" i="1"/>
  <c r="Q1261" i="1" s="1"/>
  <c r="O1261" i="1"/>
  <c r="L1262" i="1"/>
  <c r="M1262" i="1"/>
  <c r="R1262" i="1" s="1"/>
  <c r="N1262" i="1"/>
  <c r="Q1262" i="1" s="1"/>
  <c r="O1262" i="1"/>
  <c r="L1263" i="1"/>
  <c r="M1263" i="1"/>
  <c r="R1263" i="1" s="1"/>
  <c r="N1263" i="1"/>
  <c r="Q1263" i="1" s="1"/>
  <c r="O1263" i="1"/>
  <c r="L1264" i="1"/>
  <c r="M1264" i="1"/>
  <c r="R1264" i="1" s="1"/>
  <c r="N1264" i="1"/>
  <c r="Q1264" i="1" s="1"/>
  <c r="O1264" i="1"/>
  <c r="L1265" i="1"/>
  <c r="M1265" i="1"/>
  <c r="R1265" i="1" s="1"/>
  <c r="N1265" i="1"/>
  <c r="Q1265" i="1" s="1"/>
  <c r="O1265" i="1"/>
  <c r="L1266" i="1"/>
  <c r="M1266" i="1"/>
  <c r="R1266" i="1" s="1"/>
  <c r="N1266" i="1"/>
  <c r="Q1266" i="1" s="1"/>
  <c r="O1266" i="1"/>
  <c r="L1267" i="1"/>
  <c r="M1267" i="1"/>
  <c r="R1267" i="1" s="1"/>
  <c r="N1267" i="1"/>
  <c r="Q1267" i="1" s="1"/>
  <c r="O1267" i="1"/>
  <c r="L1268" i="1"/>
  <c r="M1268" i="1"/>
  <c r="R1268" i="1" s="1"/>
  <c r="N1268" i="1"/>
  <c r="Q1268" i="1" s="1"/>
  <c r="O1268" i="1"/>
  <c r="L1269" i="1"/>
  <c r="M1269" i="1"/>
  <c r="R1269" i="1" s="1"/>
  <c r="N1269" i="1"/>
  <c r="Q1269" i="1" s="1"/>
  <c r="O1269" i="1"/>
  <c r="L1270" i="1"/>
  <c r="M1270" i="1"/>
  <c r="R1270" i="1" s="1"/>
  <c r="N1270" i="1"/>
  <c r="Q1270" i="1" s="1"/>
  <c r="O1270" i="1"/>
  <c r="L1271" i="1"/>
  <c r="M1271" i="1"/>
  <c r="R1271" i="1" s="1"/>
  <c r="N1271" i="1"/>
  <c r="Q1271" i="1" s="1"/>
  <c r="O1271" i="1"/>
  <c r="L1272" i="1"/>
  <c r="M1272" i="1"/>
  <c r="R1272" i="1" s="1"/>
  <c r="N1272" i="1"/>
  <c r="Q1272" i="1" s="1"/>
  <c r="O1272" i="1"/>
  <c r="L1273" i="1"/>
  <c r="M1273" i="1"/>
  <c r="R1273" i="1" s="1"/>
  <c r="N1273" i="1"/>
  <c r="Q1273" i="1" s="1"/>
  <c r="O1273" i="1"/>
  <c r="L1274" i="1"/>
  <c r="M1274" i="1"/>
  <c r="R1274" i="1" s="1"/>
  <c r="N1274" i="1"/>
  <c r="Q1274" i="1" s="1"/>
  <c r="O1274" i="1"/>
  <c r="L1275" i="1"/>
  <c r="M1275" i="1"/>
  <c r="R1275" i="1" s="1"/>
  <c r="N1275" i="1"/>
  <c r="Q1275" i="1" s="1"/>
  <c r="O1275" i="1"/>
  <c r="M3" i="1"/>
  <c r="R3" i="1" s="1"/>
  <c r="N3" i="1"/>
  <c r="Q3" i="1" s="1"/>
  <c r="O3" i="1"/>
  <c r="L3" i="1"/>
  <c r="D15" i="39"/>
  <c r="D16" i="39"/>
  <c r="U1" i="1"/>
  <c r="T1" i="1"/>
  <c r="D13" i="39"/>
  <c r="U252" i="1" l="1"/>
  <c r="U953" i="1"/>
  <c r="U101" i="1"/>
  <c r="U572" i="1"/>
  <c r="S572" i="1"/>
  <c r="T14" i="1"/>
  <c r="T50" i="1"/>
  <c r="T98" i="1"/>
  <c r="T146" i="1"/>
  <c r="T194" i="1"/>
  <c r="T278" i="1"/>
  <c r="T15" i="1"/>
  <c r="T27" i="1"/>
  <c r="T39" i="1"/>
  <c r="T51" i="1"/>
  <c r="T63" i="1"/>
  <c r="T75" i="1"/>
  <c r="T87" i="1"/>
  <c r="T99" i="1"/>
  <c r="T111" i="1"/>
  <c r="T123" i="1"/>
  <c r="T135" i="1"/>
  <c r="T147" i="1"/>
  <c r="T159" i="1"/>
  <c r="T171" i="1"/>
  <c r="T183" i="1"/>
  <c r="T195" i="1"/>
  <c r="T207" i="1"/>
  <c r="T219" i="1"/>
  <c r="T231" i="1"/>
  <c r="T243" i="1"/>
  <c r="T255" i="1"/>
  <c r="T267" i="1"/>
  <c r="T279" i="1"/>
  <c r="T291" i="1"/>
  <c r="T303" i="1"/>
  <c r="T315" i="1"/>
  <c r="T327" i="1"/>
  <c r="T339" i="1"/>
  <c r="T351" i="1"/>
  <c r="T363" i="1"/>
  <c r="T375" i="1"/>
  <c r="T387" i="1"/>
  <c r="T399" i="1"/>
  <c r="T411" i="1"/>
  <c r="T423" i="1"/>
  <c r="T435" i="1"/>
  <c r="T447" i="1"/>
  <c r="T459" i="1"/>
  <c r="T471" i="1"/>
  <c r="T483" i="1"/>
  <c r="T495" i="1"/>
  <c r="T507" i="1"/>
  <c r="T519" i="1"/>
  <c r="T531" i="1"/>
  <c r="T543" i="1"/>
  <c r="T555" i="1"/>
  <c r="T567" i="1"/>
  <c r="T579" i="1"/>
  <c r="T603" i="1"/>
  <c r="T615" i="1"/>
  <c r="T627" i="1"/>
  <c r="T639" i="1"/>
  <c r="T651" i="1"/>
  <c r="T663" i="1"/>
  <c r="T675" i="1"/>
  <c r="T687" i="1"/>
  <c r="T699" i="1"/>
  <c r="T711" i="1"/>
  <c r="T723" i="1"/>
  <c r="T735" i="1"/>
  <c r="T747" i="1"/>
  <c r="T759" i="1"/>
  <c r="T771" i="1"/>
  <c r="T11" i="1"/>
  <c r="S248" i="1"/>
  <c r="T26" i="1"/>
  <c r="T74" i="1"/>
  <c r="T110" i="1"/>
  <c r="T134" i="1"/>
  <c r="T170" i="1"/>
  <c r="T206" i="1"/>
  <c r="T230" i="1"/>
  <c r="T254" i="1"/>
  <c r="T290" i="1"/>
  <c r="T23" i="1"/>
  <c r="T38" i="1"/>
  <c r="T62" i="1"/>
  <c r="T86" i="1"/>
  <c r="T122" i="1"/>
  <c r="T158" i="1"/>
  <c r="T182" i="1"/>
  <c r="T218" i="1"/>
  <c r="T242" i="1"/>
  <c r="T266" i="1"/>
  <c r="T302" i="1"/>
  <c r="U882" i="1"/>
  <c r="U570" i="1"/>
  <c r="U516" i="1"/>
  <c r="U402" i="1"/>
  <c r="U360" i="1"/>
  <c r="U102" i="1"/>
  <c r="T5" i="1"/>
  <c r="T29" i="1"/>
  <c r="T53" i="1"/>
  <c r="T65" i="1"/>
  <c r="T77" i="1"/>
  <c r="T125" i="1"/>
  <c r="T314" i="1"/>
  <c r="T326" i="1"/>
  <c r="T338" i="1"/>
  <c r="T350" i="1"/>
  <c r="T362" i="1"/>
  <c r="T374" i="1"/>
  <c r="T386" i="1"/>
  <c r="T398" i="1"/>
  <c r="T410" i="1"/>
  <c r="T422" i="1"/>
  <c r="T434" i="1"/>
  <c r="T446" i="1"/>
  <c r="T458" i="1"/>
  <c r="T470" i="1"/>
  <c r="T482" i="1"/>
  <c r="T494" i="1"/>
  <c r="T506" i="1"/>
  <c r="T518" i="1"/>
  <c r="T530" i="1"/>
  <c r="T542" i="1"/>
  <c r="T554" i="1"/>
  <c r="T566" i="1"/>
  <c r="T578" i="1"/>
  <c r="T590" i="1"/>
  <c r="T602" i="1"/>
  <c r="T614" i="1"/>
  <c r="T626" i="1"/>
  <c r="T638" i="1"/>
  <c r="T650" i="1"/>
  <c r="T662" i="1"/>
  <c r="T686" i="1"/>
  <c r="T698" i="1"/>
  <c r="T710" i="1"/>
  <c r="T734" i="1"/>
  <c r="T746" i="1"/>
  <c r="T758" i="1"/>
  <c r="T770" i="1"/>
  <c r="T794" i="1"/>
  <c r="T806" i="1"/>
  <c r="T818" i="1"/>
  <c r="T830" i="1"/>
  <c r="T842" i="1"/>
  <c r="T854" i="1"/>
  <c r="T866" i="1"/>
  <c r="T878" i="1"/>
  <c r="T890" i="1"/>
  <c r="T902" i="1"/>
  <c r="T914" i="1"/>
  <c r="T926" i="1"/>
  <c r="T938" i="1"/>
  <c r="T950" i="1"/>
  <c r="T962" i="1"/>
  <c r="T974" i="1"/>
  <c r="T986" i="1"/>
  <c r="T998" i="1"/>
  <c r="T1010" i="1"/>
  <c r="T1022" i="1"/>
  <c r="T1034" i="1"/>
  <c r="T1046" i="1"/>
  <c r="T1058" i="1"/>
  <c r="T1070" i="1"/>
  <c r="T1082" i="1"/>
  <c r="T1094" i="1"/>
  <c r="T1106" i="1"/>
  <c r="T1118" i="1"/>
  <c r="T1130" i="1"/>
  <c r="T1142" i="1"/>
  <c r="T1154" i="1"/>
  <c r="T1166" i="1"/>
  <c r="T1178" i="1"/>
  <c r="T1190" i="1"/>
  <c r="T1202" i="1"/>
  <c r="T1214" i="1"/>
  <c r="T1226" i="1"/>
  <c r="T1238" i="1"/>
  <c r="T1250" i="1"/>
  <c r="T1262" i="1"/>
  <c r="T1274" i="1"/>
  <c r="T783" i="1"/>
  <c r="T795" i="1"/>
  <c r="T807" i="1"/>
  <c r="T819" i="1"/>
  <c r="T831" i="1"/>
  <c r="T843" i="1"/>
  <c r="T855" i="1"/>
  <c r="T867" i="1"/>
  <c r="T879" i="1"/>
  <c r="T891" i="1"/>
  <c r="T903" i="1"/>
  <c r="T915" i="1"/>
  <c r="T927" i="1"/>
  <c r="T939" i="1"/>
  <c r="T951" i="1"/>
  <c r="T963" i="1"/>
  <c r="T975" i="1"/>
  <c r="T987" i="1"/>
  <c r="T999" i="1"/>
  <c r="T1011" i="1"/>
  <c r="T1023" i="1"/>
  <c r="T1035" i="1"/>
  <c r="T1047" i="1"/>
  <c r="T1059" i="1"/>
  <c r="T1071" i="1"/>
  <c r="T1083" i="1"/>
  <c r="T1095" i="1"/>
  <c r="T1107" i="1"/>
  <c r="T1119" i="1"/>
  <c r="T1131" i="1"/>
  <c r="T1143" i="1"/>
  <c r="T1155" i="1"/>
  <c r="T1167" i="1"/>
  <c r="T1179" i="1"/>
  <c r="T1191" i="1"/>
  <c r="T1203" i="1"/>
  <c r="T1215" i="1"/>
  <c r="T1227" i="1"/>
  <c r="T1239" i="1"/>
  <c r="T1251" i="1"/>
  <c r="T1263" i="1"/>
  <c r="U1240" i="1"/>
  <c r="S1240" i="1"/>
  <c r="U1231" i="1"/>
  <c r="S1231" i="1"/>
  <c r="U1204" i="1"/>
  <c r="S1204" i="1"/>
  <c r="U1183" i="1"/>
  <c r="S1183" i="1"/>
  <c r="U1150" i="1"/>
  <c r="S1150" i="1"/>
  <c r="U1111" i="1"/>
  <c r="S1111" i="1"/>
  <c r="U1084" i="1"/>
  <c r="S1084" i="1"/>
  <c r="U1057" i="1"/>
  <c r="S1057" i="1"/>
  <c r="U1015" i="1"/>
  <c r="S1015" i="1"/>
  <c r="U1000" i="1"/>
  <c r="S1000" i="1"/>
  <c r="U991" i="1"/>
  <c r="S991" i="1"/>
  <c r="U979" i="1"/>
  <c r="S979" i="1"/>
  <c r="U973" i="1"/>
  <c r="S973" i="1"/>
  <c r="U943" i="1"/>
  <c r="S943" i="1"/>
  <c r="U931" i="1"/>
  <c r="S931" i="1"/>
  <c r="U907" i="1"/>
  <c r="S907" i="1"/>
  <c r="U889" i="1"/>
  <c r="S889" i="1"/>
  <c r="U856" i="1"/>
  <c r="S856" i="1"/>
  <c r="U829" i="1"/>
  <c r="S829" i="1"/>
  <c r="U811" i="1"/>
  <c r="S811" i="1"/>
  <c r="U793" i="1"/>
  <c r="S793" i="1"/>
  <c r="U769" i="1"/>
  <c r="S769" i="1"/>
  <c r="U751" i="1"/>
  <c r="S751" i="1"/>
  <c r="U733" i="1"/>
  <c r="S733" i="1"/>
  <c r="U703" i="1"/>
  <c r="S703" i="1"/>
  <c r="U667" i="1"/>
  <c r="S667" i="1"/>
  <c r="U637" i="1"/>
  <c r="S637" i="1"/>
  <c r="U625" i="1"/>
  <c r="S625" i="1"/>
  <c r="U616" i="1"/>
  <c r="S616" i="1"/>
  <c r="U595" i="1"/>
  <c r="S595" i="1"/>
  <c r="U565" i="1"/>
  <c r="S565" i="1"/>
  <c r="U490" i="1"/>
  <c r="S490" i="1"/>
  <c r="U1255" i="1"/>
  <c r="S1255" i="1"/>
  <c r="U1225" i="1"/>
  <c r="S1225" i="1"/>
  <c r="U1201" i="1"/>
  <c r="S1201" i="1"/>
  <c r="U1177" i="1"/>
  <c r="S1177" i="1"/>
  <c r="U1144" i="1"/>
  <c r="S1144" i="1"/>
  <c r="U1123" i="1"/>
  <c r="S1123" i="1"/>
  <c r="U1093" i="1"/>
  <c r="S1093" i="1"/>
  <c r="U1078" i="1"/>
  <c r="S1078" i="1"/>
  <c r="U1042" i="1"/>
  <c r="S1042" i="1"/>
  <c r="U1030" i="1"/>
  <c r="S1030" i="1"/>
  <c r="S1006" i="1"/>
  <c r="U1006" i="1"/>
  <c r="U967" i="1"/>
  <c r="S967" i="1"/>
  <c r="U940" i="1"/>
  <c r="S940" i="1"/>
  <c r="S910" i="1"/>
  <c r="U910" i="1"/>
  <c r="U886" i="1"/>
  <c r="S886" i="1"/>
  <c r="U868" i="1"/>
  <c r="S868" i="1"/>
  <c r="U853" i="1"/>
  <c r="S853" i="1"/>
  <c r="S814" i="1"/>
  <c r="U814" i="1"/>
  <c r="U808" i="1"/>
  <c r="S808" i="1"/>
  <c r="U799" i="1"/>
  <c r="S799" i="1"/>
  <c r="U772" i="1"/>
  <c r="S772" i="1"/>
  <c r="U754" i="1"/>
  <c r="S754" i="1"/>
  <c r="U739" i="1"/>
  <c r="S739" i="1"/>
  <c r="U712" i="1"/>
  <c r="S712" i="1"/>
  <c r="U706" i="1"/>
  <c r="S706" i="1"/>
  <c r="U688" i="1"/>
  <c r="S688" i="1"/>
  <c r="U655" i="1"/>
  <c r="S655" i="1"/>
  <c r="U631" i="1"/>
  <c r="S631" i="1"/>
  <c r="U598" i="1"/>
  <c r="S598" i="1"/>
  <c r="U577" i="1"/>
  <c r="S577" i="1"/>
  <c r="U550" i="1"/>
  <c r="S550" i="1"/>
  <c r="U478" i="1"/>
  <c r="S478" i="1"/>
  <c r="U1247" i="1"/>
  <c r="S1247" i="1"/>
  <c r="S695" i="1"/>
  <c r="U695" i="1"/>
  <c r="U674" i="1"/>
  <c r="S674" i="1"/>
  <c r="U575" i="1"/>
  <c r="S575" i="1"/>
  <c r="U503" i="1"/>
  <c r="S503" i="1"/>
  <c r="U401" i="1"/>
  <c r="S401" i="1"/>
  <c r="U17" i="1"/>
  <c r="S17" i="1"/>
  <c r="U1273" i="1"/>
  <c r="S1273" i="1"/>
  <c r="U1246" i="1"/>
  <c r="S1246" i="1"/>
  <c r="U1210" i="1"/>
  <c r="S1210" i="1"/>
  <c r="U1186" i="1"/>
  <c r="S1186" i="1"/>
  <c r="U1165" i="1"/>
  <c r="S1165" i="1"/>
  <c r="U1153" i="1"/>
  <c r="S1153" i="1"/>
  <c r="U1129" i="1"/>
  <c r="S1129" i="1"/>
  <c r="U1102" i="1"/>
  <c r="S1102" i="1"/>
  <c r="U1081" i="1"/>
  <c r="S1081" i="1"/>
  <c r="U1075" i="1"/>
  <c r="S1075" i="1"/>
  <c r="U1045" i="1"/>
  <c r="S1045" i="1"/>
  <c r="U1021" i="1"/>
  <c r="S1021" i="1"/>
  <c r="U1003" i="1"/>
  <c r="S1003" i="1"/>
  <c r="U985" i="1"/>
  <c r="S985" i="1"/>
  <c r="U964" i="1"/>
  <c r="S964" i="1"/>
  <c r="U949" i="1"/>
  <c r="S949" i="1"/>
  <c r="U913" i="1"/>
  <c r="S913" i="1"/>
  <c r="U901" i="1"/>
  <c r="S901" i="1"/>
  <c r="U895" i="1"/>
  <c r="S895" i="1"/>
  <c r="U877" i="1"/>
  <c r="S877" i="1"/>
  <c r="U850" i="1"/>
  <c r="S850" i="1"/>
  <c r="U820" i="1"/>
  <c r="S820" i="1"/>
  <c r="U805" i="1"/>
  <c r="S805" i="1"/>
  <c r="U778" i="1"/>
  <c r="S778" i="1"/>
  <c r="U745" i="1"/>
  <c r="S745" i="1"/>
  <c r="U721" i="1"/>
  <c r="S721" i="1"/>
  <c r="S694" i="1"/>
  <c r="U694" i="1"/>
  <c r="U682" i="1"/>
  <c r="S682" i="1"/>
  <c r="U646" i="1"/>
  <c r="S646" i="1"/>
  <c r="U628" i="1"/>
  <c r="S628" i="1"/>
  <c r="U601" i="1"/>
  <c r="S601" i="1"/>
  <c r="U592" i="1"/>
  <c r="S592" i="1"/>
  <c r="U583" i="1"/>
  <c r="S583" i="1"/>
  <c r="U574" i="1"/>
  <c r="S574" i="1"/>
  <c r="U544" i="1"/>
  <c r="S544" i="1"/>
  <c r="U538" i="1"/>
  <c r="S538" i="1"/>
  <c r="U526" i="1"/>
  <c r="S526" i="1"/>
  <c r="U514" i="1"/>
  <c r="S514" i="1"/>
  <c r="U499" i="1"/>
  <c r="S499" i="1"/>
  <c r="U463" i="1"/>
  <c r="S463" i="1"/>
  <c r="U1254" i="1"/>
  <c r="S1254" i="1"/>
  <c r="U1122" i="1"/>
  <c r="S1122" i="1"/>
  <c r="U996" i="1"/>
  <c r="S996" i="1"/>
  <c r="U720" i="1"/>
  <c r="S720" i="1"/>
  <c r="U537" i="1"/>
  <c r="S537" i="1"/>
  <c r="U453" i="1"/>
  <c r="S453" i="1"/>
  <c r="U417" i="1"/>
  <c r="S417" i="1"/>
  <c r="U264" i="1"/>
  <c r="S264" i="1"/>
  <c r="U240" i="1"/>
  <c r="S240" i="1"/>
  <c r="U138" i="1"/>
  <c r="S138" i="1"/>
  <c r="U66" i="1"/>
  <c r="S66" i="1"/>
  <c r="U48" i="1"/>
  <c r="S48" i="1"/>
  <c r="U33" i="1"/>
  <c r="S33" i="1"/>
  <c r="U1181" i="1"/>
  <c r="S1181" i="1"/>
  <c r="U1079" i="1"/>
  <c r="S1079" i="1"/>
  <c r="U899" i="1"/>
  <c r="S899" i="1"/>
  <c r="U848" i="1"/>
  <c r="S848" i="1"/>
  <c r="U740" i="1"/>
  <c r="S740" i="1"/>
  <c r="U1270" i="1"/>
  <c r="S1270" i="1"/>
  <c r="U1249" i="1"/>
  <c r="S1249" i="1"/>
  <c r="U1216" i="1"/>
  <c r="S1216" i="1"/>
  <c r="U1195" i="1"/>
  <c r="S1195" i="1"/>
  <c r="U1171" i="1"/>
  <c r="S1171" i="1"/>
  <c r="U1159" i="1"/>
  <c r="S1159" i="1"/>
  <c r="U1132" i="1"/>
  <c r="S1132" i="1"/>
  <c r="U1114" i="1"/>
  <c r="S1114" i="1"/>
  <c r="U1096" i="1"/>
  <c r="S1096" i="1"/>
  <c r="U1072" i="1"/>
  <c r="S1072" i="1"/>
  <c r="U1051" i="1"/>
  <c r="S1051" i="1"/>
  <c r="U1024" i="1"/>
  <c r="S1024" i="1"/>
  <c r="U982" i="1"/>
  <c r="S982" i="1"/>
  <c r="U961" i="1"/>
  <c r="S961" i="1"/>
  <c r="U946" i="1"/>
  <c r="S946" i="1"/>
  <c r="U919" i="1"/>
  <c r="S919" i="1"/>
  <c r="U892" i="1"/>
  <c r="S892" i="1"/>
  <c r="U847" i="1"/>
  <c r="S847" i="1"/>
  <c r="U826" i="1"/>
  <c r="S826" i="1"/>
  <c r="U784" i="1"/>
  <c r="S784" i="1"/>
  <c r="S763" i="1"/>
  <c r="U763" i="1"/>
  <c r="U736" i="1"/>
  <c r="S736" i="1"/>
  <c r="U718" i="1"/>
  <c r="S718" i="1"/>
  <c r="U697" i="1"/>
  <c r="S697" i="1"/>
  <c r="U658" i="1"/>
  <c r="S658" i="1"/>
  <c r="U640" i="1"/>
  <c r="S640" i="1"/>
  <c r="U622" i="1"/>
  <c r="S622" i="1"/>
  <c r="U604" i="1"/>
  <c r="S604" i="1"/>
  <c r="U568" i="1"/>
  <c r="S568" i="1"/>
  <c r="U556" i="1"/>
  <c r="S556" i="1"/>
  <c r="U529" i="1"/>
  <c r="S529" i="1"/>
  <c r="U511" i="1"/>
  <c r="S511" i="1"/>
  <c r="U466" i="1"/>
  <c r="S466" i="1"/>
  <c r="U1248" i="1"/>
  <c r="S1248" i="1"/>
  <c r="U960" i="1"/>
  <c r="S960" i="1"/>
  <c r="U789" i="1"/>
  <c r="S789" i="1"/>
  <c r="U741" i="1"/>
  <c r="S741" i="1"/>
  <c r="U648" i="1"/>
  <c r="S648" i="1"/>
  <c r="U591" i="1"/>
  <c r="S591" i="1"/>
  <c r="U552" i="1"/>
  <c r="S552" i="1"/>
  <c r="U486" i="1"/>
  <c r="S486" i="1"/>
  <c r="U450" i="1"/>
  <c r="S450" i="1"/>
  <c r="U381" i="1"/>
  <c r="S381" i="1"/>
  <c r="U366" i="1"/>
  <c r="S366" i="1"/>
  <c r="U336" i="1"/>
  <c r="S336" i="1"/>
  <c r="U294" i="1"/>
  <c r="S294" i="1"/>
  <c r="U192" i="1"/>
  <c r="S192" i="1"/>
  <c r="U168" i="1"/>
  <c r="S168" i="1"/>
  <c r="U96" i="1"/>
  <c r="S96" i="1"/>
  <c r="U72" i="1"/>
  <c r="S72" i="1"/>
  <c r="U57" i="1"/>
  <c r="S57" i="1"/>
  <c r="U9" i="1"/>
  <c r="S9" i="1"/>
  <c r="U812" i="1"/>
  <c r="S812" i="1"/>
  <c r="U782" i="1"/>
  <c r="S782" i="1"/>
  <c r="U647" i="1"/>
  <c r="S647" i="1"/>
  <c r="U1261" i="1"/>
  <c r="S1261" i="1"/>
  <c r="S1234" i="1"/>
  <c r="U1234" i="1"/>
  <c r="U1222" i="1"/>
  <c r="S1222" i="1"/>
  <c r="U1189" i="1"/>
  <c r="S1189" i="1"/>
  <c r="U1162" i="1"/>
  <c r="S1162" i="1"/>
  <c r="U1141" i="1"/>
  <c r="S1141" i="1"/>
  <c r="U1120" i="1"/>
  <c r="S1120" i="1"/>
  <c r="U1099" i="1"/>
  <c r="S1099" i="1"/>
  <c r="U1060" i="1"/>
  <c r="S1060" i="1"/>
  <c r="U1036" i="1"/>
  <c r="S1036" i="1"/>
  <c r="U1012" i="1"/>
  <c r="S1012" i="1"/>
  <c r="U994" i="1"/>
  <c r="S994" i="1"/>
  <c r="U958" i="1"/>
  <c r="S958" i="1"/>
  <c r="U925" i="1"/>
  <c r="S925" i="1"/>
  <c r="U898" i="1"/>
  <c r="S898" i="1"/>
  <c r="U859" i="1"/>
  <c r="S859" i="1"/>
  <c r="U835" i="1"/>
  <c r="S835" i="1"/>
  <c r="U817" i="1"/>
  <c r="S817" i="1"/>
  <c r="U787" i="1"/>
  <c r="S787" i="1"/>
  <c r="U775" i="1"/>
  <c r="S775" i="1"/>
  <c r="U730" i="1"/>
  <c r="S730" i="1"/>
  <c r="U700" i="1"/>
  <c r="S700" i="1"/>
  <c r="U679" i="1"/>
  <c r="S679" i="1"/>
  <c r="U661" i="1"/>
  <c r="S661" i="1"/>
  <c r="U634" i="1"/>
  <c r="S634" i="1"/>
  <c r="U607" i="1"/>
  <c r="S607" i="1"/>
  <c r="U571" i="1"/>
  <c r="S571" i="1"/>
  <c r="U547" i="1"/>
  <c r="S547" i="1"/>
  <c r="U493" i="1"/>
  <c r="S493" i="1"/>
  <c r="S722" i="1"/>
  <c r="U722" i="1"/>
  <c r="U1264" i="1"/>
  <c r="S1264" i="1"/>
  <c r="U1237" i="1"/>
  <c r="S1237" i="1"/>
  <c r="U1219" i="1"/>
  <c r="S1219" i="1"/>
  <c r="U1192" i="1"/>
  <c r="S1192" i="1"/>
  <c r="U1168" i="1"/>
  <c r="S1168" i="1"/>
  <c r="U1147" i="1"/>
  <c r="S1147" i="1"/>
  <c r="U1138" i="1"/>
  <c r="S1138" i="1"/>
  <c r="U1117" i="1"/>
  <c r="S1117" i="1"/>
  <c r="S1087" i="1"/>
  <c r="U1087" i="1"/>
  <c r="U1069" i="1"/>
  <c r="S1069" i="1"/>
  <c r="U1039" i="1"/>
  <c r="S1039" i="1"/>
  <c r="U1018" i="1"/>
  <c r="S1018" i="1"/>
  <c r="U997" i="1"/>
  <c r="S997" i="1"/>
  <c r="S970" i="1"/>
  <c r="U970" i="1"/>
  <c r="U937" i="1"/>
  <c r="S937" i="1"/>
  <c r="U928" i="1"/>
  <c r="S928" i="1"/>
  <c r="U904" i="1"/>
  <c r="S904" i="1"/>
  <c r="U871" i="1"/>
  <c r="S871" i="1"/>
  <c r="S838" i="1"/>
  <c r="U838" i="1"/>
  <c r="U802" i="1"/>
  <c r="S802" i="1"/>
  <c r="U781" i="1"/>
  <c r="S781" i="1"/>
  <c r="U757" i="1"/>
  <c r="S757" i="1"/>
  <c r="U727" i="1"/>
  <c r="S727" i="1"/>
  <c r="U715" i="1"/>
  <c r="S715" i="1"/>
  <c r="U691" i="1"/>
  <c r="S691" i="1"/>
  <c r="U676" i="1"/>
  <c r="S676" i="1"/>
  <c r="U643" i="1"/>
  <c r="S643" i="1"/>
  <c r="U610" i="1"/>
  <c r="S610" i="1"/>
  <c r="U589" i="1"/>
  <c r="S589" i="1"/>
  <c r="S562" i="1"/>
  <c r="U562" i="1"/>
  <c r="U541" i="1"/>
  <c r="S541" i="1"/>
  <c r="U517" i="1"/>
  <c r="S517" i="1"/>
  <c r="U502" i="1"/>
  <c r="S502" i="1"/>
  <c r="U496" i="1"/>
  <c r="S496" i="1"/>
  <c r="U484" i="1"/>
  <c r="S484" i="1"/>
  <c r="U469" i="1"/>
  <c r="S469" i="1"/>
  <c r="U460" i="1"/>
  <c r="S460" i="1"/>
  <c r="U448" i="1"/>
  <c r="S448" i="1"/>
  <c r="U436" i="1"/>
  <c r="S436" i="1"/>
  <c r="U427" i="1"/>
  <c r="S427" i="1"/>
  <c r="U424" i="1"/>
  <c r="S424" i="1"/>
  <c r="U421" i="1"/>
  <c r="S421" i="1"/>
  <c r="U409" i="1"/>
  <c r="S409" i="1"/>
  <c r="U397" i="1"/>
  <c r="S397" i="1"/>
  <c r="U388" i="1"/>
  <c r="S388" i="1"/>
  <c r="U379" i="1"/>
  <c r="S379" i="1"/>
  <c r="U370" i="1"/>
  <c r="S370" i="1"/>
  <c r="U361" i="1"/>
  <c r="S361" i="1"/>
  <c r="U352" i="1"/>
  <c r="S352" i="1"/>
  <c r="U346" i="1"/>
  <c r="S346" i="1"/>
  <c r="U331" i="1"/>
  <c r="S331" i="1"/>
  <c r="U322" i="1"/>
  <c r="S322" i="1"/>
  <c r="U319" i="1"/>
  <c r="S319" i="1"/>
  <c r="U298" i="1"/>
  <c r="S298" i="1"/>
  <c r="U283" i="1"/>
  <c r="S283" i="1"/>
  <c r="U274" i="1"/>
  <c r="S274" i="1"/>
  <c r="U271" i="1"/>
  <c r="S271" i="1"/>
  <c r="U256" i="1"/>
  <c r="S256" i="1"/>
  <c r="U247" i="1"/>
  <c r="S247" i="1"/>
  <c r="U244" i="1"/>
  <c r="S244" i="1"/>
  <c r="U238" i="1"/>
  <c r="S238" i="1"/>
  <c r="U226" i="1"/>
  <c r="S226" i="1"/>
  <c r="U217" i="1"/>
  <c r="S217" i="1"/>
  <c r="U208" i="1"/>
  <c r="S208" i="1"/>
  <c r="U199" i="1"/>
  <c r="S199" i="1"/>
  <c r="U196" i="1"/>
  <c r="S196" i="1"/>
  <c r="U187" i="1"/>
  <c r="S187" i="1"/>
  <c r="U178" i="1"/>
  <c r="S178" i="1"/>
  <c r="U169" i="1"/>
  <c r="S169" i="1"/>
  <c r="U163" i="1"/>
  <c r="S163" i="1"/>
  <c r="U154" i="1"/>
  <c r="S154" i="1"/>
  <c r="U145" i="1"/>
  <c r="S145" i="1"/>
  <c r="U139" i="1"/>
  <c r="S139" i="1"/>
  <c r="U124" i="1"/>
  <c r="S124" i="1"/>
  <c r="U118" i="1"/>
  <c r="S118" i="1"/>
  <c r="U106" i="1"/>
  <c r="S106" i="1"/>
  <c r="U100" i="1"/>
  <c r="S100" i="1"/>
  <c r="U85" i="1"/>
  <c r="S85" i="1"/>
  <c r="U79" i="1"/>
  <c r="S79" i="1"/>
  <c r="U70" i="1"/>
  <c r="S70" i="1"/>
  <c r="U61" i="1"/>
  <c r="S61" i="1"/>
  <c r="U49" i="1"/>
  <c r="S49" i="1"/>
  <c r="U43" i="1"/>
  <c r="S43" i="1"/>
  <c r="U37" i="1"/>
  <c r="S37" i="1"/>
  <c r="U31" i="1"/>
  <c r="S31" i="1"/>
  <c r="U25" i="1"/>
  <c r="S25" i="1"/>
  <c r="U22" i="1"/>
  <c r="S22" i="1"/>
  <c r="U19" i="1"/>
  <c r="S19" i="1"/>
  <c r="U16" i="1"/>
  <c r="S16" i="1"/>
  <c r="U13" i="1"/>
  <c r="S13" i="1"/>
  <c r="U4" i="1"/>
  <c r="S4" i="1"/>
  <c r="T13" i="1"/>
  <c r="T25" i="1"/>
  <c r="T37" i="1"/>
  <c r="T49" i="1"/>
  <c r="T61" i="1"/>
  <c r="T73" i="1"/>
  <c r="T85" i="1"/>
  <c r="T97" i="1"/>
  <c r="T109" i="1"/>
  <c r="T121" i="1"/>
  <c r="T133" i="1"/>
  <c r="T145" i="1"/>
  <c r="T157" i="1"/>
  <c r="T169" i="1"/>
  <c r="T181" i="1"/>
  <c r="T193" i="1"/>
  <c r="T205" i="1"/>
  <c r="T217" i="1"/>
  <c r="T229" i="1"/>
  <c r="T241" i="1"/>
  <c r="T253" i="1"/>
  <c r="T265" i="1"/>
  <c r="T277" i="1"/>
  <c r="T289" i="1"/>
  <c r="T301" i="1"/>
  <c r="T313" i="1"/>
  <c r="T325" i="1"/>
  <c r="T337" i="1"/>
  <c r="T349" i="1"/>
  <c r="T361" i="1"/>
  <c r="T373" i="1"/>
  <c r="T385" i="1"/>
  <c r="T397" i="1"/>
  <c r="T409" i="1"/>
  <c r="T421" i="1"/>
  <c r="T433" i="1"/>
  <c r="T445" i="1"/>
  <c r="T457" i="1"/>
  <c r="T685" i="1"/>
  <c r="U1258" i="1"/>
  <c r="S1258" i="1"/>
  <c r="U1243" i="1"/>
  <c r="S1243" i="1"/>
  <c r="U1228" i="1"/>
  <c r="S1228" i="1"/>
  <c r="U1213" i="1"/>
  <c r="S1213" i="1"/>
  <c r="S1198" i="1"/>
  <c r="U1198" i="1"/>
  <c r="U1174" i="1"/>
  <c r="S1174" i="1"/>
  <c r="U1135" i="1"/>
  <c r="S1135" i="1"/>
  <c r="U1105" i="1"/>
  <c r="S1105" i="1"/>
  <c r="U1066" i="1"/>
  <c r="S1066" i="1"/>
  <c r="U1048" i="1"/>
  <c r="S1048" i="1"/>
  <c r="U1033" i="1"/>
  <c r="S1033" i="1"/>
  <c r="U1009" i="1"/>
  <c r="S1009" i="1"/>
  <c r="U976" i="1"/>
  <c r="S976" i="1"/>
  <c r="U955" i="1"/>
  <c r="S955" i="1"/>
  <c r="U934" i="1"/>
  <c r="S934" i="1"/>
  <c r="U922" i="1"/>
  <c r="S922" i="1"/>
  <c r="U883" i="1"/>
  <c r="S883" i="1"/>
  <c r="U874" i="1"/>
  <c r="S874" i="1"/>
  <c r="U862" i="1"/>
  <c r="S862" i="1"/>
  <c r="U841" i="1"/>
  <c r="S841" i="1"/>
  <c r="U823" i="1"/>
  <c r="S823" i="1"/>
  <c r="U790" i="1"/>
  <c r="S790" i="1"/>
  <c r="U760" i="1"/>
  <c r="S760" i="1"/>
  <c r="U748" i="1"/>
  <c r="S748" i="1"/>
  <c r="U724" i="1"/>
  <c r="S724" i="1"/>
  <c r="U685" i="1"/>
  <c r="S685" i="1"/>
  <c r="U673" i="1"/>
  <c r="S673" i="1"/>
  <c r="U664" i="1"/>
  <c r="S664" i="1"/>
  <c r="U649" i="1"/>
  <c r="S649" i="1"/>
  <c r="U619" i="1"/>
  <c r="S619" i="1"/>
  <c r="U586" i="1"/>
  <c r="S586" i="1"/>
  <c r="U553" i="1"/>
  <c r="S553" i="1"/>
  <c r="U535" i="1"/>
  <c r="S535" i="1"/>
  <c r="U520" i="1"/>
  <c r="S520" i="1"/>
  <c r="U505" i="1"/>
  <c r="S505" i="1"/>
  <c r="U487" i="1"/>
  <c r="S487" i="1"/>
  <c r="U472" i="1"/>
  <c r="S472" i="1"/>
  <c r="U454" i="1"/>
  <c r="S454" i="1"/>
  <c r="U445" i="1"/>
  <c r="S445" i="1"/>
  <c r="U439" i="1"/>
  <c r="S439" i="1"/>
  <c r="U430" i="1"/>
  <c r="S430" i="1"/>
  <c r="U418" i="1"/>
  <c r="S418" i="1"/>
  <c r="U412" i="1"/>
  <c r="S412" i="1"/>
  <c r="U406" i="1"/>
  <c r="S406" i="1"/>
  <c r="U400" i="1"/>
  <c r="S400" i="1"/>
  <c r="U394" i="1"/>
  <c r="S394" i="1"/>
  <c r="U385" i="1"/>
  <c r="S385" i="1"/>
  <c r="U373" i="1"/>
  <c r="S373" i="1"/>
  <c r="U364" i="1"/>
  <c r="S364" i="1"/>
  <c r="U358" i="1"/>
  <c r="S358" i="1"/>
  <c r="U349" i="1"/>
  <c r="S349" i="1"/>
  <c r="U340" i="1"/>
  <c r="S340" i="1"/>
  <c r="U337" i="1"/>
  <c r="S337" i="1"/>
  <c r="U334" i="1"/>
  <c r="S334" i="1"/>
  <c r="U328" i="1"/>
  <c r="S328" i="1"/>
  <c r="U316" i="1"/>
  <c r="S316" i="1"/>
  <c r="U313" i="1"/>
  <c r="S313" i="1"/>
  <c r="U307" i="1"/>
  <c r="S307" i="1"/>
  <c r="U301" i="1"/>
  <c r="S301" i="1"/>
  <c r="U292" i="1"/>
  <c r="S292" i="1"/>
  <c r="U289" i="1"/>
  <c r="S289" i="1"/>
  <c r="U277" i="1"/>
  <c r="S277" i="1"/>
  <c r="U268" i="1"/>
  <c r="S268" i="1"/>
  <c r="U253" i="1"/>
  <c r="S253" i="1"/>
  <c r="U235" i="1"/>
  <c r="S235" i="1"/>
  <c r="U229" i="1"/>
  <c r="S229" i="1"/>
  <c r="S220" i="1"/>
  <c r="U220" i="1"/>
  <c r="U211" i="1"/>
  <c r="S211" i="1"/>
  <c r="U202" i="1"/>
  <c r="S202" i="1"/>
  <c r="U193" i="1"/>
  <c r="S193" i="1"/>
  <c r="U181" i="1"/>
  <c r="S181" i="1"/>
  <c r="U175" i="1"/>
  <c r="S175" i="1"/>
  <c r="U166" i="1"/>
  <c r="S166" i="1"/>
  <c r="U157" i="1"/>
  <c r="S157" i="1"/>
  <c r="U148" i="1"/>
  <c r="S148" i="1"/>
  <c r="U142" i="1"/>
  <c r="S142" i="1"/>
  <c r="U136" i="1"/>
  <c r="S136" i="1"/>
  <c r="U130" i="1"/>
  <c r="S130" i="1"/>
  <c r="U115" i="1"/>
  <c r="S115" i="1"/>
  <c r="U109" i="1"/>
  <c r="S109" i="1"/>
  <c r="U97" i="1"/>
  <c r="S97" i="1"/>
  <c r="U91" i="1"/>
  <c r="S91" i="1"/>
  <c r="U88" i="1"/>
  <c r="S88" i="1"/>
  <c r="U76" i="1"/>
  <c r="S76" i="1"/>
  <c r="U67" i="1"/>
  <c r="S67" i="1"/>
  <c r="U58" i="1"/>
  <c r="S58" i="1"/>
  <c r="U52" i="1"/>
  <c r="S52" i="1"/>
  <c r="U40" i="1"/>
  <c r="S40" i="1"/>
  <c r="U28" i="1"/>
  <c r="S28" i="1"/>
  <c r="U10" i="1"/>
  <c r="S10" i="1"/>
  <c r="U1267" i="1"/>
  <c r="S1267" i="1"/>
  <c r="U1252" i="1"/>
  <c r="S1252" i="1"/>
  <c r="U1207" i="1"/>
  <c r="S1207" i="1"/>
  <c r="U1180" i="1"/>
  <c r="S1180" i="1"/>
  <c r="U1156" i="1"/>
  <c r="S1156" i="1"/>
  <c r="U1126" i="1"/>
  <c r="S1126" i="1"/>
  <c r="U1108" i="1"/>
  <c r="S1108" i="1"/>
  <c r="U1090" i="1"/>
  <c r="S1090" i="1"/>
  <c r="U1063" i="1"/>
  <c r="S1063" i="1"/>
  <c r="U1054" i="1"/>
  <c r="S1054" i="1"/>
  <c r="U1027" i="1"/>
  <c r="S1027" i="1"/>
  <c r="U988" i="1"/>
  <c r="S988" i="1"/>
  <c r="U952" i="1"/>
  <c r="S952" i="1"/>
  <c r="U916" i="1"/>
  <c r="S916" i="1"/>
  <c r="U880" i="1"/>
  <c r="S880" i="1"/>
  <c r="U865" i="1"/>
  <c r="S865" i="1"/>
  <c r="U844" i="1"/>
  <c r="S844" i="1"/>
  <c r="U832" i="1"/>
  <c r="S832" i="1"/>
  <c r="U796" i="1"/>
  <c r="S796" i="1"/>
  <c r="S766" i="1"/>
  <c r="U766" i="1"/>
  <c r="U742" i="1"/>
  <c r="S742" i="1"/>
  <c r="U709" i="1"/>
  <c r="S709" i="1"/>
  <c r="U670" i="1"/>
  <c r="S670" i="1"/>
  <c r="U652" i="1"/>
  <c r="S652" i="1"/>
  <c r="U613" i="1"/>
  <c r="S613" i="1"/>
  <c r="U580" i="1"/>
  <c r="S580" i="1"/>
  <c r="S559" i="1"/>
  <c r="U559" i="1"/>
  <c r="U532" i="1"/>
  <c r="S532" i="1"/>
  <c r="U523" i="1"/>
  <c r="S523" i="1"/>
  <c r="U508" i="1"/>
  <c r="S508" i="1"/>
  <c r="U481" i="1"/>
  <c r="S481" i="1"/>
  <c r="U475" i="1"/>
  <c r="S475" i="1"/>
  <c r="U457" i="1"/>
  <c r="S457" i="1"/>
  <c r="S451" i="1"/>
  <c r="U451" i="1"/>
  <c r="U442" i="1"/>
  <c r="S442" i="1"/>
  <c r="U433" i="1"/>
  <c r="S433" i="1"/>
  <c r="U415" i="1"/>
  <c r="S415" i="1"/>
  <c r="U403" i="1"/>
  <c r="S403" i="1"/>
  <c r="U391" i="1"/>
  <c r="S391" i="1"/>
  <c r="U382" i="1"/>
  <c r="S382" i="1"/>
  <c r="U376" i="1"/>
  <c r="S376" i="1"/>
  <c r="U367" i="1"/>
  <c r="S367" i="1"/>
  <c r="U355" i="1"/>
  <c r="S355" i="1"/>
  <c r="U343" i="1"/>
  <c r="S343" i="1"/>
  <c r="U325" i="1"/>
  <c r="S325" i="1"/>
  <c r="U310" i="1"/>
  <c r="S310" i="1"/>
  <c r="U304" i="1"/>
  <c r="S304" i="1"/>
  <c r="U295" i="1"/>
  <c r="S295" i="1"/>
  <c r="U286" i="1"/>
  <c r="S286" i="1"/>
  <c r="U280" i="1"/>
  <c r="S280" i="1"/>
  <c r="U265" i="1"/>
  <c r="S265" i="1"/>
  <c r="U262" i="1"/>
  <c r="S262" i="1"/>
  <c r="U259" i="1"/>
  <c r="S259" i="1"/>
  <c r="U250" i="1"/>
  <c r="T250" i="1"/>
  <c r="S250" i="1"/>
  <c r="U241" i="1"/>
  <c r="S241" i="1"/>
  <c r="U232" i="1"/>
  <c r="S232" i="1"/>
  <c r="U223" i="1"/>
  <c r="S223" i="1"/>
  <c r="U214" i="1"/>
  <c r="S214" i="1"/>
  <c r="U205" i="1"/>
  <c r="S205" i="1"/>
  <c r="U190" i="1"/>
  <c r="S190" i="1"/>
  <c r="U184" i="1"/>
  <c r="S184" i="1"/>
  <c r="U172" i="1"/>
  <c r="S172" i="1"/>
  <c r="U160" i="1"/>
  <c r="S160" i="1"/>
  <c r="U151" i="1"/>
  <c r="S151" i="1"/>
  <c r="U133" i="1"/>
  <c r="S133" i="1"/>
  <c r="U127" i="1"/>
  <c r="S127" i="1"/>
  <c r="U121" i="1"/>
  <c r="S121" i="1"/>
  <c r="U112" i="1"/>
  <c r="S112" i="1"/>
  <c r="U103" i="1"/>
  <c r="S103" i="1"/>
  <c r="U94" i="1"/>
  <c r="S94" i="1"/>
  <c r="U82" i="1"/>
  <c r="S82" i="1"/>
  <c r="U73" i="1"/>
  <c r="S73" i="1"/>
  <c r="S64" i="1"/>
  <c r="U64" i="1"/>
  <c r="U55" i="1"/>
  <c r="S55" i="1"/>
  <c r="U46" i="1"/>
  <c r="S46" i="1"/>
  <c r="U34" i="1"/>
  <c r="S34" i="1"/>
  <c r="U7" i="1"/>
  <c r="S7" i="1"/>
  <c r="T505" i="1"/>
  <c r="T613" i="1"/>
  <c r="T709" i="1"/>
  <c r="T805" i="1"/>
  <c r="T889" i="1"/>
  <c r="T997" i="1"/>
  <c r="T1093" i="1"/>
  <c r="T1213" i="1"/>
  <c r="U282" i="1"/>
  <c r="S282" i="1"/>
  <c r="U1161" i="1"/>
  <c r="S1161" i="1"/>
  <c r="U1032" i="1"/>
  <c r="S1032" i="1"/>
  <c r="T124" i="1"/>
  <c r="U42" i="1"/>
  <c r="S42" i="1"/>
  <c r="U222" i="1"/>
  <c r="S222" i="1"/>
  <c r="U522" i="1"/>
  <c r="S522" i="1"/>
  <c r="U1272" i="1"/>
  <c r="S1272" i="1"/>
  <c r="U1227" i="1"/>
  <c r="S1227" i="1"/>
  <c r="U1209" i="1"/>
  <c r="S1209" i="1"/>
  <c r="U1188" i="1"/>
  <c r="S1188" i="1"/>
  <c r="U1167" i="1"/>
  <c r="S1167" i="1"/>
  <c r="U1155" i="1"/>
  <c r="S1155" i="1"/>
  <c r="U1131" i="1"/>
  <c r="S1131" i="1"/>
  <c r="U1125" i="1"/>
  <c r="S1125" i="1"/>
  <c r="U1110" i="1"/>
  <c r="S1110" i="1"/>
  <c r="U1104" i="1"/>
  <c r="S1104" i="1"/>
  <c r="U1077" i="1"/>
  <c r="S1077" i="1"/>
  <c r="U1059" i="1"/>
  <c r="S1059" i="1"/>
  <c r="U1041" i="1"/>
  <c r="S1041" i="1"/>
  <c r="U1035" i="1"/>
  <c r="S1035" i="1"/>
  <c r="U1026" i="1"/>
  <c r="S1026" i="1"/>
  <c r="U984" i="1"/>
  <c r="S984" i="1"/>
  <c r="U942" i="1"/>
  <c r="S942" i="1"/>
  <c r="U933" i="1"/>
  <c r="S933" i="1"/>
  <c r="U912" i="1"/>
  <c r="S912" i="1"/>
  <c r="U900" i="1"/>
  <c r="S900" i="1"/>
  <c r="U888" i="1"/>
  <c r="S888" i="1"/>
  <c r="U870" i="1"/>
  <c r="S870" i="1"/>
  <c r="U852" i="1"/>
  <c r="S852" i="1"/>
  <c r="U840" i="1"/>
  <c r="S840" i="1"/>
  <c r="U834" i="1"/>
  <c r="S834" i="1"/>
  <c r="U825" i="1"/>
  <c r="S825" i="1"/>
  <c r="U822" i="1"/>
  <c r="S822" i="1"/>
  <c r="U816" i="1"/>
  <c r="S816" i="1"/>
  <c r="U810" i="1"/>
  <c r="S810" i="1"/>
  <c r="U801" i="1"/>
  <c r="S801" i="1"/>
  <c r="U795" i="1"/>
  <c r="S795" i="1"/>
  <c r="U792" i="1"/>
  <c r="S792" i="1"/>
  <c r="U786" i="1"/>
  <c r="S786" i="1"/>
  <c r="U783" i="1"/>
  <c r="S783" i="1"/>
  <c r="U780" i="1"/>
  <c r="S780" i="1"/>
  <c r="U777" i="1"/>
  <c r="S777" i="1"/>
  <c r="U774" i="1"/>
  <c r="S774" i="1"/>
  <c r="U771" i="1"/>
  <c r="S771" i="1"/>
  <c r="U768" i="1"/>
  <c r="S768" i="1"/>
  <c r="S765" i="1"/>
  <c r="U765" i="1"/>
  <c r="U759" i="1"/>
  <c r="S759" i="1"/>
  <c r="U756" i="1"/>
  <c r="S756" i="1"/>
  <c r="U753" i="1"/>
  <c r="S753" i="1"/>
  <c r="U750" i="1"/>
  <c r="S750" i="1"/>
  <c r="U747" i="1"/>
  <c r="S747" i="1"/>
  <c r="U744" i="1"/>
  <c r="S744" i="1"/>
  <c r="U738" i="1"/>
  <c r="S738" i="1"/>
  <c r="U735" i="1"/>
  <c r="S735" i="1"/>
  <c r="U732" i="1"/>
  <c r="S732" i="1"/>
  <c r="U729" i="1"/>
  <c r="S729" i="1"/>
  <c r="U726" i="1"/>
  <c r="S726" i="1"/>
  <c r="U723" i="1"/>
  <c r="S723" i="1"/>
  <c r="U717" i="1"/>
  <c r="S717" i="1"/>
  <c r="U714" i="1"/>
  <c r="S714" i="1"/>
  <c r="U711" i="1"/>
  <c r="S711" i="1"/>
  <c r="U708" i="1"/>
  <c r="S708" i="1"/>
  <c r="U705" i="1"/>
  <c r="S705" i="1"/>
  <c r="U702" i="1"/>
  <c r="S702" i="1"/>
  <c r="U699" i="1"/>
  <c r="S699" i="1"/>
  <c r="U696" i="1"/>
  <c r="S696" i="1"/>
  <c r="U690" i="1"/>
  <c r="S690" i="1"/>
  <c r="U687" i="1"/>
  <c r="S687" i="1"/>
  <c r="U684" i="1"/>
  <c r="S684" i="1"/>
  <c r="U681" i="1"/>
  <c r="S681" i="1"/>
  <c r="U678" i="1"/>
  <c r="S678" i="1"/>
  <c r="U675" i="1"/>
  <c r="S675" i="1"/>
  <c r="U672" i="1"/>
  <c r="S672" i="1"/>
  <c r="U669" i="1"/>
  <c r="S669" i="1"/>
  <c r="U666" i="1"/>
  <c r="S666" i="1"/>
  <c r="U663" i="1"/>
  <c r="S663" i="1"/>
  <c r="U660" i="1"/>
  <c r="S660" i="1"/>
  <c r="U657" i="1"/>
  <c r="S657" i="1"/>
  <c r="U654" i="1"/>
  <c r="S654" i="1"/>
  <c r="U651" i="1"/>
  <c r="S651" i="1"/>
  <c r="U645" i="1"/>
  <c r="S645" i="1"/>
  <c r="U642" i="1"/>
  <c r="S642" i="1"/>
  <c r="U639" i="1"/>
  <c r="S639" i="1"/>
  <c r="U636" i="1"/>
  <c r="S636" i="1"/>
  <c r="U633" i="1"/>
  <c r="S633" i="1"/>
  <c r="U627" i="1"/>
  <c r="S627" i="1"/>
  <c r="U624" i="1"/>
  <c r="S624" i="1"/>
  <c r="U621" i="1"/>
  <c r="S621" i="1"/>
  <c r="U618" i="1"/>
  <c r="S618" i="1"/>
  <c r="U615" i="1"/>
  <c r="S615" i="1"/>
  <c r="U612" i="1"/>
  <c r="S612" i="1"/>
  <c r="U609" i="1"/>
  <c r="S609" i="1"/>
  <c r="U606" i="1"/>
  <c r="S606" i="1"/>
  <c r="U603" i="1"/>
  <c r="S603" i="1"/>
  <c r="U600" i="1"/>
  <c r="S600" i="1"/>
  <c r="U597" i="1"/>
  <c r="S597" i="1"/>
  <c r="U594" i="1"/>
  <c r="S594" i="1"/>
  <c r="U588" i="1"/>
  <c r="S588" i="1"/>
  <c r="U585" i="1"/>
  <c r="S585" i="1"/>
  <c r="U582" i="1"/>
  <c r="S582" i="1"/>
  <c r="U579" i="1"/>
  <c r="S579" i="1"/>
  <c r="U576" i="1"/>
  <c r="S576" i="1"/>
  <c r="U573" i="1"/>
  <c r="S573" i="1"/>
  <c r="U567" i="1"/>
  <c r="S567" i="1"/>
  <c r="U564" i="1"/>
  <c r="S564" i="1"/>
  <c r="S561" i="1"/>
  <c r="U561" i="1"/>
  <c r="U555" i="1"/>
  <c r="S555" i="1"/>
  <c r="U549" i="1"/>
  <c r="S549" i="1"/>
  <c r="U546" i="1"/>
  <c r="S546" i="1"/>
  <c r="U543" i="1"/>
  <c r="S543" i="1"/>
  <c r="U540" i="1"/>
  <c r="S540" i="1"/>
  <c r="U534" i="1"/>
  <c r="S534" i="1"/>
  <c r="U531" i="1"/>
  <c r="S531" i="1"/>
  <c r="U528" i="1"/>
  <c r="S528" i="1"/>
  <c r="U525" i="1"/>
  <c r="S525" i="1"/>
  <c r="U519" i="1"/>
  <c r="S519" i="1"/>
  <c r="U513" i="1"/>
  <c r="S513" i="1"/>
  <c r="U510" i="1"/>
  <c r="S510" i="1"/>
  <c r="U507" i="1"/>
  <c r="S507" i="1"/>
  <c r="U504" i="1"/>
  <c r="S504" i="1"/>
  <c r="U501" i="1"/>
  <c r="S501" i="1"/>
  <c r="U498" i="1"/>
  <c r="S498" i="1"/>
  <c r="U495" i="1"/>
  <c r="S495" i="1"/>
  <c r="U492" i="1"/>
  <c r="S492" i="1"/>
  <c r="U489" i="1"/>
  <c r="S489" i="1"/>
  <c r="U483" i="1"/>
  <c r="S483" i="1"/>
  <c r="U480" i="1"/>
  <c r="S480" i="1"/>
  <c r="U477" i="1"/>
  <c r="S477" i="1"/>
  <c r="U474" i="1"/>
  <c r="S474" i="1"/>
  <c r="U471" i="1"/>
  <c r="S471" i="1"/>
  <c r="U468" i="1"/>
  <c r="S468" i="1"/>
  <c r="U465" i="1"/>
  <c r="S465" i="1"/>
  <c r="U462" i="1"/>
  <c r="S462" i="1"/>
  <c r="U459" i="1"/>
  <c r="S459" i="1"/>
  <c r="U456" i="1"/>
  <c r="S456" i="1"/>
  <c r="U447" i="1"/>
  <c r="S447" i="1"/>
  <c r="U444" i="1"/>
  <c r="S444" i="1"/>
  <c r="U441" i="1"/>
  <c r="S441" i="1"/>
  <c r="U438" i="1"/>
  <c r="S438" i="1"/>
  <c r="U435" i="1"/>
  <c r="S435" i="1"/>
  <c r="U432" i="1"/>
  <c r="S432" i="1"/>
  <c r="U429" i="1"/>
  <c r="S429" i="1"/>
  <c r="U426" i="1"/>
  <c r="S426" i="1"/>
  <c r="U423" i="1"/>
  <c r="S423" i="1"/>
  <c r="U420" i="1"/>
  <c r="S420" i="1"/>
  <c r="U414" i="1"/>
  <c r="S414" i="1"/>
  <c r="U411" i="1"/>
  <c r="S411" i="1"/>
  <c r="U408" i="1"/>
  <c r="S408" i="1"/>
  <c r="U405" i="1"/>
  <c r="S405" i="1"/>
  <c r="U399" i="1"/>
  <c r="S399" i="1"/>
  <c r="U396" i="1"/>
  <c r="S396" i="1"/>
  <c r="U393" i="1"/>
  <c r="S393" i="1"/>
  <c r="U390" i="1"/>
  <c r="S390" i="1"/>
  <c r="U387" i="1"/>
  <c r="S387" i="1"/>
  <c r="U384" i="1"/>
  <c r="S384" i="1"/>
  <c r="U378" i="1"/>
  <c r="S378" i="1"/>
  <c r="U375" i="1"/>
  <c r="S375" i="1"/>
  <c r="U372" i="1"/>
  <c r="S372" i="1"/>
  <c r="U369" i="1"/>
  <c r="S369" i="1"/>
  <c r="U363" i="1"/>
  <c r="S363" i="1"/>
  <c r="U357" i="1"/>
  <c r="S357" i="1"/>
  <c r="U351" i="1"/>
  <c r="S351" i="1"/>
  <c r="U348" i="1"/>
  <c r="S348" i="1"/>
  <c r="U345" i="1"/>
  <c r="S345" i="1"/>
  <c r="U342" i="1"/>
  <c r="S342" i="1"/>
  <c r="U339" i="1"/>
  <c r="S339" i="1"/>
  <c r="U333" i="1"/>
  <c r="S333" i="1"/>
  <c r="U330" i="1"/>
  <c r="S330" i="1"/>
  <c r="U327" i="1"/>
  <c r="S327" i="1"/>
  <c r="U321" i="1"/>
  <c r="S321" i="1"/>
  <c r="U318" i="1"/>
  <c r="S318" i="1"/>
  <c r="U315" i="1"/>
  <c r="S315" i="1"/>
  <c r="U309" i="1"/>
  <c r="S309" i="1"/>
  <c r="U306" i="1"/>
  <c r="S306" i="1"/>
  <c r="S303" i="1"/>
  <c r="U303" i="1"/>
  <c r="U300" i="1"/>
  <c r="S300" i="1"/>
  <c r="U297" i="1"/>
  <c r="S297" i="1"/>
  <c r="U291" i="1"/>
  <c r="S291" i="1"/>
  <c r="U288" i="1"/>
  <c r="S288" i="1"/>
  <c r="U285" i="1"/>
  <c r="S285" i="1"/>
  <c r="U279" i="1"/>
  <c r="S279" i="1"/>
  <c r="U276" i="1"/>
  <c r="S276" i="1"/>
  <c r="U273" i="1"/>
  <c r="S273" i="1"/>
  <c r="U270" i="1"/>
  <c r="S270" i="1"/>
  <c r="U267" i="1"/>
  <c r="S267" i="1"/>
  <c r="U261" i="1"/>
  <c r="S261" i="1"/>
  <c r="U258" i="1"/>
  <c r="S258" i="1"/>
  <c r="U255" i="1"/>
  <c r="S255" i="1"/>
  <c r="U249" i="1"/>
  <c r="S249" i="1"/>
  <c r="U246" i="1"/>
  <c r="S246" i="1"/>
  <c r="U243" i="1"/>
  <c r="S243" i="1"/>
  <c r="U237" i="1"/>
  <c r="S237" i="1"/>
  <c r="U234" i="1"/>
  <c r="S234" i="1"/>
  <c r="U231" i="1"/>
  <c r="S231" i="1"/>
  <c r="U228" i="1"/>
  <c r="S228" i="1"/>
  <c r="U225" i="1"/>
  <c r="S225" i="1"/>
  <c r="U219" i="1"/>
  <c r="S219" i="1"/>
  <c r="U216" i="1"/>
  <c r="S216" i="1"/>
  <c r="S213" i="1"/>
  <c r="U213" i="1"/>
  <c r="U207" i="1"/>
  <c r="S207" i="1"/>
  <c r="U204" i="1"/>
  <c r="S204" i="1"/>
  <c r="U201" i="1"/>
  <c r="S201" i="1"/>
  <c r="U198" i="1"/>
  <c r="S198" i="1"/>
  <c r="U195" i="1"/>
  <c r="S195" i="1"/>
  <c r="U189" i="1"/>
  <c r="S189" i="1"/>
  <c r="U186" i="1"/>
  <c r="S186" i="1"/>
  <c r="U183" i="1"/>
  <c r="S183" i="1"/>
  <c r="U177" i="1"/>
  <c r="S177" i="1"/>
  <c r="U174" i="1"/>
  <c r="S174" i="1"/>
  <c r="U171" i="1"/>
  <c r="S171" i="1"/>
  <c r="U165" i="1"/>
  <c r="S165" i="1"/>
  <c r="U162" i="1"/>
  <c r="S162" i="1"/>
  <c r="U159" i="1"/>
  <c r="S159" i="1"/>
  <c r="U156" i="1"/>
  <c r="S156" i="1"/>
  <c r="U153" i="1"/>
  <c r="S153" i="1"/>
  <c r="U147" i="1"/>
  <c r="S147" i="1"/>
  <c r="U144" i="1"/>
  <c r="S144" i="1"/>
  <c r="S141" i="1"/>
  <c r="U141" i="1"/>
  <c r="U135" i="1"/>
  <c r="S135" i="1"/>
  <c r="U132" i="1"/>
  <c r="S132" i="1"/>
  <c r="U129" i="1"/>
  <c r="S129" i="1"/>
  <c r="U126" i="1"/>
  <c r="S126" i="1"/>
  <c r="U123" i="1"/>
  <c r="S123" i="1"/>
  <c r="S117" i="1"/>
  <c r="U117" i="1"/>
  <c r="U114" i="1"/>
  <c r="S114" i="1"/>
  <c r="U111" i="1"/>
  <c r="S111" i="1"/>
  <c r="U105" i="1"/>
  <c r="S105" i="1"/>
  <c r="U99" i="1"/>
  <c r="S99" i="1"/>
  <c r="U93" i="1"/>
  <c r="S93" i="1"/>
  <c r="U90" i="1"/>
  <c r="S90" i="1"/>
  <c r="U87" i="1"/>
  <c r="U81" i="1"/>
  <c r="S81" i="1"/>
  <c r="U78" i="1"/>
  <c r="S78" i="1"/>
  <c r="U75" i="1"/>
  <c r="S75" i="1"/>
  <c r="U69" i="1"/>
  <c r="S69" i="1"/>
  <c r="U63" i="1"/>
  <c r="S63" i="1"/>
  <c r="U60" i="1"/>
  <c r="S60" i="1"/>
  <c r="S54" i="1"/>
  <c r="U54" i="1"/>
  <c r="U51" i="1"/>
  <c r="S51" i="1"/>
  <c r="U45" i="1"/>
  <c r="S45" i="1"/>
  <c r="U39" i="1"/>
  <c r="S39" i="1"/>
  <c r="U36" i="1"/>
  <c r="S36" i="1"/>
  <c r="U30" i="1"/>
  <c r="S30" i="1"/>
  <c r="U27" i="1"/>
  <c r="S27" i="1"/>
  <c r="U21" i="1"/>
  <c r="S21" i="1"/>
  <c r="U15" i="1"/>
  <c r="S15" i="1"/>
  <c r="U12" i="1"/>
  <c r="S12" i="1"/>
  <c r="U6" i="1"/>
  <c r="S6" i="1"/>
  <c r="T17" i="1"/>
  <c r="T41" i="1"/>
  <c r="S65" i="1"/>
  <c r="U65" i="1"/>
  <c r="U437" i="1"/>
  <c r="S437" i="1"/>
  <c r="S252" i="1"/>
  <c r="S953" i="1"/>
  <c r="T529" i="1"/>
  <c r="T625" i="1"/>
  <c r="T721" i="1"/>
  <c r="T841" i="1"/>
  <c r="T925" i="1"/>
  <c r="T1021" i="1"/>
  <c r="T1117" i="1"/>
  <c r="T1189" i="1"/>
  <c r="U1251" i="1"/>
  <c r="S1251" i="1"/>
  <c r="U1239" i="1"/>
  <c r="S1239" i="1"/>
  <c r="U1215" i="1"/>
  <c r="S1215" i="1"/>
  <c r="U1194" i="1"/>
  <c r="S1194" i="1"/>
  <c r="U1182" i="1"/>
  <c r="S1182" i="1"/>
  <c r="U1170" i="1"/>
  <c r="S1170" i="1"/>
  <c r="U1152" i="1"/>
  <c r="S1152" i="1"/>
  <c r="U1137" i="1"/>
  <c r="S1137" i="1"/>
  <c r="U1092" i="1"/>
  <c r="S1092" i="1"/>
  <c r="U1080" i="1"/>
  <c r="S1080" i="1"/>
  <c r="U1068" i="1"/>
  <c r="S1068" i="1"/>
  <c r="U1050" i="1"/>
  <c r="S1050" i="1"/>
  <c r="U1020" i="1"/>
  <c r="S1020" i="1"/>
  <c r="U1011" i="1"/>
  <c r="S1011" i="1"/>
  <c r="U993" i="1"/>
  <c r="S993" i="1"/>
  <c r="U975" i="1"/>
  <c r="S975" i="1"/>
  <c r="U969" i="1"/>
  <c r="S969" i="1"/>
  <c r="U945" i="1"/>
  <c r="S945" i="1"/>
  <c r="U936" i="1"/>
  <c r="S936" i="1"/>
  <c r="U924" i="1"/>
  <c r="S924" i="1"/>
  <c r="U906" i="1"/>
  <c r="S906" i="1"/>
  <c r="U897" i="1"/>
  <c r="S897" i="1"/>
  <c r="U891" i="1"/>
  <c r="S891" i="1"/>
  <c r="U876" i="1"/>
  <c r="S876" i="1"/>
  <c r="U867" i="1"/>
  <c r="S867" i="1"/>
  <c r="U861" i="1"/>
  <c r="S861" i="1"/>
  <c r="U855" i="1"/>
  <c r="S855" i="1"/>
  <c r="U843" i="1"/>
  <c r="S843" i="1"/>
  <c r="U828" i="1"/>
  <c r="S828" i="1"/>
  <c r="U819" i="1"/>
  <c r="S819" i="1"/>
  <c r="U798" i="1"/>
  <c r="S798" i="1"/>
  <c r="T126" i="1"/>
  <c r="S360" i="1"/>
  <c r="T553" i="1"/>
  <c r="T661" i="1"/>
  <c r="T745" i="1"/>
  <c r="T829" i="1"/>
  <c r="T937" i="1"/>
  <c r="T1045" i="1"/>
  <c r="T1129" i="1"/>
  <c r="T1225" i="1"/>
  <c r="T782" i="1"/>
  <c r="U180" i="1"/>
  <c r="S180" i="1"/>
  <c r="U761" i="1"/>
  <c r="S761" i="1"/>
  <c r="S1233" i="1"/>
  <c r="U1233" i="1"/>
  <c r="U1218" i="1"/>
  <c r="S1218" i="1"/>
  <c r="U1212" i="1"/>
  <c r="S1212" i="1"/>
  <c r="S1197" i="1"/>
  <c r="U1197" i="1"/>
  <c r="U1173" i="1"/>
  <c r="S1173" i="1"/>
  <c r="U1149" i="1"/>
  <c r="S1149" i="1"/>
  <c r="U1140" i="1"/>
  <c r="S1140" i="1"/>
  <c r="U1113" i="1"/>
  <c r="S1113" i="1"/>
  <c r="U1101" i="1"/>
  <c r="S1101" i="1"/>
  <c r="U1083" i="1"/>
  <c r="S1083" i="1"/>
  <c r="U1074" i="1"/>
  <c r="S1074" i="1"/>
  <c r="U1053" i="1"/>
  <c r="S1053" i="1"/>
  <c r="U1023" i="1"/>
  <c r="S1023" i="1"/>
  <c r="S1005" i="1"/>
  <c r="U1005" i="1"/>
  <c r="U987" i="1"/>
  <c r="S987" i="1"/>
  <c r="U972" i="1"/>
  <c r="S972" i="1"/>
  <c r="U954" i="1"/>
  <c r="S954" i="1"/>
  <c r="U948" i="1"/>
  <c r="S948" i="1"/>
  <c r="U930" i="1"/>
  <c r="S930" i="1"/>
  <c r="U915" i="1"/>
  <c r="S915" i="1"/>
  <c r="U903" i="1"/>
  <c r="S903" i="1"/>
  <c r="U879" i="1"/>
  <c r="S879" i="1"/>
  <c r="U873" i="1"/>
  <c r="S873" i="1"/>
  <c r="U858" i="1"/>
  <c r="S858" i="1"/>
  <c r="U846" i="1"/>
  <c r="S846" i="1"/>
  <c r="U837" i="1"/>
  <c r="S837" i="1"/>
  <c r="U807" i="1"/>
  <c r="S807" i="1"/>
  <c r="T7" i="1"/>
  <c r="T19" i="1"/>
  <c r="T31" i="1"/>
  <c r="T43" i="1"/>
  <c r="T55" i="1"/>
  <c r="T469" i="1"/>
  <c r="T577" i="1"/>
  <c r="T673" i="1"/>
  <c r="T769" i="1"/>
  <c r="T865" i="1"/>
  <c r="T961" i="1"/>
  <c r="T1057" i="1"/>
  <c r="T1153" i="1"/>
  <c r="T1249" i="1"/>
  <c r="U467" i="1"/>
  <c r="S467" i="1"/>
  <c r="T722" i="1"/>
  <c r="U431" i="1"/>
  <c r="S431" i="1"/>
  <c r="U84" i="1"/>
  <c r="S84" i="1"/>
  <c r="U395" i="1"/>
  <c r="S395" i="1"/>
  <c r="U630" i="1"/>
  <c r="S630" i="1"/>
  <c r="U1269" i="1"/>
  <c r="S1269" i="1"/>
  <c r="U1245" i="1"/>
  <c r="S1245" i="1"/>
  <c r="U1230" i="1"/>
  <c r="S1230" i="1"/>
  <c r="U1203" i="1"/>
  <c r="S1203" i="1"/>
  <c r="U1185" i="1"/>
  <c r="S1185" i="1"/>
  <c r="U1164" i="1"/>
  <c r="S1164" i="1"/>
  <c r="U1134" i="1"/>
  <c r="S1134" i="1"/>
  <c r="U1107" i="1"/>
  <c r="S1107" i="1"/>
  <c r="U1089" i="1"/>
  <c r="S1089" i="1"/>
  <c r="U1062" i="1"/>
  <c r="S1062" i="1"/>
  <c r="U1044" i="1"/>
  <c r="S1044" i="1"/>
  <c r="U1029" i="1"/>
  <c r="S1029" i="1"/>
  <c r="U1014" i="1"/>
  <c r="S1014" i="1"/>
  <c r="U1002" i="1"/>
  <c r="S1002" i="1"/>
  <c r="U990" i="1"/>
  <c r="S990" i="1"/>
  <c r="U966" i="1"/>
  <c r="S966" i="1"/>
  <c r="U939" i="1"/>
  <c r="S939" i="1"/>
  <c r="U921" i="1"/>
  <c r="S921" i="1"/>
  <c r="S909" i="1"/>
  <c r="U909" i="1"/>
  <c r="U894" i="1"/>
  <c r="S894" i="1"/>
  <c r="U885" i="1"/>
  <c r="S885" i="1"/>
  <c r="U864" i="1"/>
  <c r="S864" i="1"/>
  <c r="U849" i="1"/>
  <c r="S849" i="1"/>
  <c r="U831" i="1"/>
  <c r="S831" i="1"/>
  <c r="U804" i="1"/>
  <c r="S804" i="1"/>
  <c r="T8" i="1"/>
  <c r="T20" i="1"/>
  <c r="T32" i="1"/>
  <c r="S402" i="1"/>
  <c r="T517" i="1"/>
  <c r="T601" i="1"/>
  <c r="T793" i="1"/>
  <c r="T901" i="1"/>
  <c r="T985" i="1"/>
  <c r="T1069" i="1"/>
  <c r="T1165" i="1"/>
  <c r="T1273" i="1"/>
  <c r="U108" i="1"/>
  <c r="S108" i="1"/>
  <c r="U312" i="1"/>
  <c r="S312" i="1"/>
  <c r="U813" i="1"/>
  <c r="S813" i="1"/>
  <c r="T674" i="1"/>
  <c r="U1266" i="1"/>
  <c r="S1266" i="1"/>
  <c r="U1260" i="1"/>
  <c r="S1260" i="1"/>
  <c r="U1242" i="1"/>
  <c r="S1242" i="1"/>
  <c r="U1224" i="1"/>
  <c r="S1224" i="1"/>
  <c r="U1200" i="1"/>
  <c r="S1200" i="1"/>
  <c r="U1176" i="1"/>
  <c r="S1176" i="1"/>
  <c r="U1158" i="1"/>
  <c r="S1158" i="1"/>
  <c r="U1143" i="1"/>
  <c r="S1143" i="1"/>
  <c r="U1116" i="1"/>
  <c r="S1116" i="1"/>
  <c r="U1098" i="1"/>
  <c r="S1098" i="1"/>
  <c r="U1086" i="1"/>
  <c r="S1086" i="1"/>
  <c r="U1065" i="1"/>
  <c r="S1065" i="1"/>
  <c r="U1056" i="1"/>
  <c r="S1056" i="1"/>
  <c r="U1038" i="1"/>
  <c r="S1038" i="1"/>
  <c r="U1017" i="1"/>
  <c r="S1017" i="1"/>
  <c r="U1008" i="1"/>
  <c r="S1008" i="1"/>
  <c r="U981" i="1"/>
  <c r="S981" i="1"/>
  <c r="U963" i="1"/>
  <c r="S963" i="1"/>
  <c r="U927" i="1"/>
  <c r="S927" i="1"/>
  <c r="U1271" i="1"/>
  <c r="S1271" i="1"/>
  <c r="U1265" i="1"/>
  <c r="S1265" i="1"/>
  <c r="U1262" i="1"/>
  <c r="S1262" i="1"/>
  <c r="U1256" i="1"/>
  <c r="S1256" i="1"/>
  <c r="U1244" i="1"/>
  <c r="S1244" i="1"/>
  <c r="U1241" i="1"/>
  <c r="S1241" i="1"/>
  <c r="U1235" i="1"/>
  <c r="S1235" i="1"/>
  <c r="U1226" i="1"/>
  <c r="S1226" i="1"/>
  <c r="U1220" i="1"/>
  <c r="S1220" i="1"/>
  <c r="U1214" i="1"/>
  <c r="S1214" i="1"/>
  <c r="U1208" i="1"/>
  <c r="S1208" i="1"/>
  <c r="U1202" i="1"/>
  <c r="S1202" i="1"/>
  <c r="U1193" i="1"/>
  <c r="S1193" i="1"/>
  <c r="U1187" i="1"/>
  <c r="S1187" i="1"/>
  <c r="U1175" i="1"/>
  <c r="S1175" i="1"/>
  <c r="U1169" i="1"/>
  <c r="S1169" i="1"/>
  <c r="U1166" i="1"/>
  <c r="S1166" i="1"/>
  <c r="U1160" i="1"/>
  <c r="S1160" i="1"/>
  <c r="U1154" i="1"/>
  <c r="S1154" i="1"/>
  <c r="U1148" i="1"/>
  <c r="S1148" i="1"/>
  <c r="S1142" i="1"/>
  <c r="U1142" i="1"/>
  <c r="U1136" i="1"/>
  <c r="S1136" i="1"/>
  <c r="U1133" i="1"/>
  <c r="S1133" i="1"/>
  <c r="U1121" i="1"/>
  <c r="S1121" i="1"/>
  <c r="U1112" i="1"/>
  <c r="S1112" i="1"/>
  <c r="U1109" i="1"/>
  <c r="S1109" i="1"/>
  <c r="U1103" i="1"/>
  <c r="S1103" i="1"/>
  <c r="U1100" i="1"/>
  <c r="S1100" i="1"/>
  <c r="U1091" i="1"/>
  <c r="S1091" i="1"/>
  <c r="U1085" i="1"/>
  <c r="S1085" i="1"/>
  <c r="S1082" i="1"/>
  <c r="U1082" i="1"/>
  <c r="U1067" i="1"/>
  <c r="S1067" i="1"/>
  <c r="S1058" i="1"/>
  <c r="U1058" i="1"/>
  <c r="U1055" i="1"/>
  <c r="S1055" i="1"/>
  <c r="U1052" i="1"/>
  <c r="S1052" i="1"/>
  <c r="U1046" i="1"/>
  <c r="S1046" i="1"/>
  <c r="U1040" i="1"/>
  <c r="S1040" i="1"/>
  <c r="U1031" i="1"/>
  <c r="S1031" i="1"/>
  <c r="U1025" i="1"/>
  <c r="S1025" i="1"/>
  <c r="U1019" i="1"/>
  <c r="S1019" i="1"/>
  <c r="U1013" i="1"/>
  <c r="S1013" i="1"/>
  <c r="U1007" i="1"/>
  <c r="S1007" i="1"/>
  <c r="U1004" i="1"/>
  <c r="S1004" i="1"/>
  <c r="U1001" i="1"/>
  <c r="S1001" i="1"/>
  <c r="U992" i="1"/>
  <c r="S992" i="1"/>
  <c r="U989" i="1"/>
  <c r="S989" i="1"/>
  <c r="U983" i="1"/>
  <c r="S983" i="1"/>
  <c r="U977" i="1"/>
  <c r="S977" i="1"/>
  <c r="S974" i="1"/>
  <c r="U974" i="1"/>
  <c r="U968" i="1"/>
  <c r="S968" i="1"/>
  <c r="U965" i="1"/>
  <c r="S965" i="1"/>
  <c r="U962" i="1"/>
  <c r="S962" i="1"/>
  <c r="U959" i="1"/>
  <c r="S959" i="1"/>
  <c r="U956" i="1"/>
  <c r="S956" i="1"/>
  <c r="U950" i="1"/>
  <c r="S950" i="1"/>
  <c r="U947" i="1"/>
  <c r="S947" i="1"/>
  <c r="U944" i="1"/>
  <c r="S944" i="1"/>
  <c r="U941" i="1"/>
  <c r="S941" i="1"/>
  <c r="U938" i="1"/>
  <c r="S938" i="1"/>
  <c r="U935" i="1"/>
  <c r="S935" i="1"/>
  <c r="U932" i="1"/>
  <c r="S932" i="1"/>
  <c r="U929" i="1"/>
  <c r="S929" i="1"/>
  <c r="U926" i="1"/>
  <c r="S926" i="1"/>
  <c r="U923" i="1"/>
  <c r="S923" i="1"/>
  <c r="U920" i="1"/>
  <c r="S920" i="1"/>
  <c r="U917" i="1"/>
  <c r="S917" i="1"/>
  <c r="U914" i="1"/>
  <c r="S914" i="1"/>
  <c r="U911" i="1"/>
  <c r="S911" i="1"/>
  <c r="U908" i="1"/>
  <c r="S908" i="1"/>
  <c r="U905" i="1"/>
  <c r="S905" i="1"/>
  <c r="U902" i="1"/>
  <c r="S902" i="1"/>
  <c r="U896" i="1"/>
  <c r="S896" i="1"/>
  <c r="S893" i="1"/>
  <c r="U893" i="1"/>
  <c r="S890" i="1"/>
  <c r="U890" i="1"/>
  <c r="U887" i="1"/>
  <c r="S887" i="1"/>
  <c r="U884" i="1"/>
  <c r="S884" i="1"/>
  <c r="U881" i="1"/>
  <c r="S881" i="1"/>
  <c r="U878" i="1"/>
  <c r="S878" i="1"/>
  <c r="U875" i="1"/>
  <c r="S875" i="1"/>
  <c r="U872" i="1"/>
  <c r="S872" i="1"/>
  <c r="U869" i="1"/>
  <c r="S869" i="1"/>
  <c r="S866" i="1"/>
  <c r="U866" i="1"/>
  <c r="U863" i="1"/>
  <c r="S863" i="1"/>
  <c r="U860" i="1"/>
  <c r="S860" i="1"/>
  <c r="U857" i="1"/>
  <c r="S857" i="1"/>
  <c r="U854" i="1"/>
  <c r="S854" i="1"/>
  <c r="U851" i="1"/>
  <c r="S851" i="1"/>
  <c r="U845" i="1"/>
  <c r="S845" i="1"/>
  <c r="S842" i="1"/>
  <c r="U842" i="1"/>
  <c r="U839" i="1"/>
  <c r="S839" i="1"/>
  <c r="U836" i="1"/>
  <c r="S836" i="1"/>
  <c r="U833" i="1"/>
  <c r="S833" i="1"/>
  <c r="U830" i="1"/>
  <c r="S830" i="1"/>
  <c r="U827" i="1"/>
  <c r="S827" i="1"/>
  <c r="U824" i="1"/>
  <c r="S824" i="1"/>
  <c r="U821" i="1"/>
  <c r="S821" i="1"/>
  <c r="S818" i="1"/>
  <c r="U818" i="1"/>
  <c r="U815" i="1"/>
  <c r="S815" i="1"/>
  <c r="U809" i="1"/>
  <c r="S809" i="1"/>
  <c r="U806" i="1"/>
  <c r="S806" i="1"/>
  <c r="U803" i="1"/>
  <c r="S803" i="1"/>
  <c r="U800" i="1"/>
  <c r="S800" i="1"/>
  <c r="U797" i="1"/>
  <c r="S797" i="1"/>
  <c r="S794" i="1"/>
  <c r="U794" i="1"/>
  <c r="U791" i="1"/>
  <c r="S791" i="1"/>
  <c r="U788" i="1"/>
  <c r="S788" i="1"/>
  <c r="U785" i="1"/>
  <c r="S785" i="1"/>
  <c r="U779" i="1"/>
  <c r="S779" i="1"/>
  <c r="U776" i="1"/>
  <c r="S776" i="1"/>
  <c r="U773" i="1"/>
  <c r="S773" i="1"/>
  <c r="S770" i="1"/>
  <c r="U770" i="1"/>
  <c r="U767" i="1"/>
  <c r="S767" i="1"/>
  <c r="U764" i="1"/>
  <c r="S764" i="1"/>
  <c r="U758" i="1"/>
  <c r="S758" i="1"/>
  <c r="U755" i="1"/>
  <c r="S755" i="1"/>
  <c r="U752" i="1"/>
  <c r="S752" i="1"/>
  <c r="S749" i="1"/>
  <c r="U749" i="1"/>
  <c r="S746" i="1"/>
  <c r="U746" i="1"/>
  <c r="U743" i="1"/>
  <c r="S743" i="1"/>
  <c r="U737" i="1"/>
  <c r="S737" i="1"/>
  <c r="U734" i="1"/>
  <c r="S734" i="1"/>
  <c r="U731" i="1"/>
  <c r="S731" i="1"/>
  <c r="U728" i="1"/>
  <c r="S728" i="1"/>
  <c r="U725" i="1"/>
  <c r="S725" i="1"/>
  <c r="U719" i="1"/>
  <c r="S719" i="1"/>
  <c r="U716" i="1"/>
  <c r="S716" i="1"/>
  <c r="U713" i="1"/>
  <c r="S713" i="1"/>
  <c r="U710" i="1"/>
  <c r="S710" i="1"/>
  <c r="U707" i="1"/>
  <c r="S707" i="1"/>
  <c r="U704" i="1"/>
  <c r="S704" i="1"/>
  <c r="U701" i="1"/>
  <c r="S701" i="1"/>
  <c r="S698" i="1"/>
  <c r="U698" i="1"/>
  <c r="U692" i="1"/>
  <c r="S692" i="1"/>
  <c r="U689" i="1"/>
  <c r="S689" i="1"/>
  <c r="U686" i="1"/>
  <c r="S686" i="1"/>
  <c r="U683" i="1"/>
  <c r="S683" i="1"/>
  <c r="U680" i="1"/>
  <c r="S680" i="1"/>
  <c r="U677" i="1"/>
  <c r="S677" i="1"/>
  <c r="U671" i="1"/>
  <c r="S671" i="1"/>
  <c r="U668" i="1"/>
  <c r="S668" i="1"/>
  <c r="U665" i="1"/>
  <c r="S665" i="1"/>
  <c r="U662" i="1"/>
  <c r="S662" i="1"/>
  <c r="U659" i="1"/>
  <c r="S659" i="1"/>
  <c r="U656" i="1"/>
  <c r="S656" i="1"/>
  <c r="U653" i="1"/>
  <c r="S653" i="1"/>
  <c r="U650" i="1"/>
  <c r="S650" i="1"/>
  <c r="U644" i="1"/>
  <c r="S644" i="1"/>
  <c r="U641" i="1"/>
  <c r="S641" i="1"/>
  <c r="U638" i="1"/>
  <c r="S638" i="1"/>
  <c r="U635" i="1"/>
  <c r="S635" i="1"/>
  <c r="U632" i="1"/>
  <c r="S632" i="1"/>
  <c r="U629" i="1"/>
  <c r="S629" i="1"/>
  <c r="U626" i="1"/>
  <c r="S626" i="1"/>
  <c r="U623" i="1"/>
  <c r="S623" i="1"/>
  <c r="U620" i="1"/>
  <c r="S620" i="1"/>
  <c r="U617" i="1"/>
  <c r="S617" i="1"/>
  <c r="U614" i="1"/>
  <c r="S614" i="1"/>
  <c r="U611" i="1"/>
  <c r="S611" i="1"/>
  <c r="U608" i="1"/>
  <c r="S608" i="1"/>
  <c r="U605" i="1"/>
  <c r="S605" i="1"/>
  <c r="U602" i="1"/>
  <c r="S602" i="1"/>
  <c r="U599" i="1"/>
  <c r="S599" i="1"/>
  <c r="U596" i="1"/>
  <c r="S596" i="1"/>
  <c r="U593" i="1"/>
  <c r="S593" i="1"/>
  <c r="U590" i="1"/>
  <c r="S590" i="1"/>
  <c r="U587" i="1"/>
  <c r="S587" i="1"/>
  <c r="U584" i="1"/>
  <c r="S584" i="1"/>
  <c r="U581" i="1"/>
  <c r="S581" i="1"/>
  <c r="U578" i="1"/>
  <c r="S578" i="1"/>
  <c r="U569" i="1"/>
  <c r="S569" i="1"/>
  <c r="U566" i="1"/>
  <c r="S566" i="1"/>
  <c r="U563" i="1"/>
  <c r="S563" i="1"/>
  <c r="U560" i="1"/>
  <c r="S560" i="1"/>
  <c r="U557" i="1"/>
  <c r="S557" i="1"/>
  <c r="U554" i="1"/>
  <c r="S554" i="1"/>
  <c r="U551" i="1"/>
  <c r="S551" i="1"/>
  <c r="U548" i="1"/>
  <c r="S548" i="1"/>
  <c r="S545" i="1"/>
  <c r="U545" i="1"/>
  <c r="S542" i="1"/>
  <c r="U542" i="1"/>
  <c r="U539" i="1"/>
  <c r="S539" i="1"/>
  <c r="U536" i="1"/>
  <c r="S536" i="1"/>
  <c r="U533" i="1"/>
  <c r="S533" i="1"/>
  <c r="U530" i="1"/>
  <c r="S530" i="1"/>
  <c r="U527" i="1"/>
  <c r="S527" i="1"/>
  <c r="U524" i="1"/>
  <c r="S524" i="1"/>
  <c r="U521" i="1"/>
  <c r="S521" i="1"/>
  <c r="U518" i="1"/>
  <c r="S518" i="1"/>
  <c r="U515" i="1"/>
  <c r="S515" i="1"/>
  <c r="U512" i="1"/>
  <c r="S512" i="1"/>
  <c r="U509" i="1"/>
  <c r="S509" i="1"/>
  <c r="U506" i="1"/>
  <c r="S506" i="1"/>
  <c r="U500" i="1"/>
  <c r="S500" i="1"/>
  <c r="U497" i="1"/>
  <c r="S497" i="1"/>
  <c r="U494" i="1"/>
  <c r="S494" i="1"/>
  <c r="U491" i="1"/>
  <c r="S491" i="1"/>
  <c r="U488" i="1"/>
  <c r="S488" i="1"/>
  <c r="U485" i="1"/>
  <c r="S485" i="1"/>
  <c r="U482" i="1"/>
  <c r="S482" i="1"/>
  <c r="U479" i="1"/>
  <c r="S479" i="1"/>
  <c r="U476" i="1"/>
  <c r="S476" i="1"/>
  <c r="U473" i="1"/>
  <c r="S473" i="1"/>
  <c r="U470" i="1"/>
  <c r="S470" i="1"/>
  <c r="U464" i="1"/>
  <c r="S464" i="1"/>
  <c r="U461" i="1"/>
  <c r="S461" i="1"/>
  <c r="U458" i="1"/>
  <c r="S458" i="1"/>
  <c r="U455" i="1"/>
  <c r="S455" i="1"/>
  <c r="U452" i="1"/>
  <c r="S452" i="1"/>
  <c r="U449" i="1"/>
  <c r="S449" i="1"/>
  <c r="U446" i="1"/>
  <c r="S446" i="1"/>
  <c r="U443" i="1"/>
  <c r="S443" i="1"/>
  <c r="U440" i="1"/>
  <c r="S440" i="1"/>
  <c r="U434" i="1"/>
  <c r="S434" i="1"/>
  <c r="U428" i="1"/>
  <c r="S428" i="1"/>
  <c r="U425" i="1"/>
  <c r="S425" i="1"/>
  <c r="U422" i="1"/>
  <c r="S422" i="1"/>
  <c r="U419" i="1"/>
  <c r="S419" i="1"/>
  <c r="U416" i="1"/>
  <c r="S416" i="1"/>
  <c r="U413" i="1"/>
  <c r="S413" i="1"/>
  <c r="U410" i="1"/>
  <c r="S410" i="1"/>
  <c r="U407" i="1"/>
  <c r="S407" i="1"/>
  <c r="U398" i="1"/>
  <c r="S398" i="1"/>
  <c r="U392" i="1"/>
  <c r="S392" i="1"/>
  <c r="U389" i="1"/>
  <c r="S389" i="1"/>
  <c r="U386" i="1"/>
  <c r="S386" i="1"/>
  <c r="U383" i="1"/>
  <c r="S383" i="1"/>
  <c r="U380" i="1"/>
  <c r="S380" i="1"/>
  <c r="U377" i="1"/>
  <c r="S377" i="1"/>
  <c r="U374" i="1"/>
  <c r="S374" i="1"/>
  <c r="U371" i="1"/>
  <c r="S371" i="1"/>
  <c r="U368" i="1"/>
  <c r="S368" i="1"/>
  <c r="U365" i="1"/>
  <c r="S365" i="1"/>
  <c r="U362" i="1"/>
  <c r="S362" i="1"/>
  <c r="U359" i="1"/>
  <c r="S359" i="1"/>
  <c r="U356" i="1"/>
  <c r="S356" i="1"/>
  <c r="U353" i="1"/>
  <c r="S353" i="1"/>
  <c r="U350" i="1"/>
  <c r="S350" i="1"/>
  <c r="U347" i="1"/>
  <c r="S347" i="1"/>
  <c r="U344" i="1"/>
  <c r="S344" i="1"/>
  <c r="U341" i="1"/>
  <c r="S341" i="1"/>
  <c r="U338" i="1"/>
  <c r="S338" i="1"/>
  <c r="U335" i="1"/>
  <c r="S335" i="1"/>
  <c r="U332" i="1"/>
  <c r="S332" i="1"/>
  <c r="U329" i="1"/>
  <c r="S329" i="1"/>
  <c r="U326" i="1"/>
  <c r="S326" i="1"/>
  <c r="U323" i="1"/>
  <c r="S323" i="1"/>
  <c r="U320" i="1"/>
  <c r="S320" i="1"/>
  <c r="U317" i="1"/>
  <c r="S317" i="1"/>
  <c r="U314" i="1"/>
  <c r="S314" i="1"/>
  <c r="U311" i="1"/>
  <c r="S311" i="1"/>
  <c r="U308" i="1"/>
  <c r="S308" i="1"/>
  <c r="S305" i="1"/>
  <c r="U305" i="1"/>
  <c r="U302" i="1"/>
  <c r="S302" i="1"/>
  <c r="U299" i="1"/>
  <c r="S299" i="1"/>
  <c r="U296" i="1"/>
  <c r="S296" i="1"/>
  <c r="U293" i="1"/>
  <c r="S293" i="1"/>
  <c r="U290" i="1"/>
  <c r="S290" i="1"/>
  <c r="U287" i="1"/>
  <c r="S287" i="1"/>
  <c r="U284" i="1"/>
  <c r="S284" i="1"/>
  <c r="U281" i="1"/>
  <c r="S281" i="1"/>
  <c r="U278" i="1"/>
  <c r="S278" i="1"/>
  <c r="U275" i="1"/>
  <c r="S275" i="1"/>
  <c r="U272" i="1"/>
  <c r="S272" i="1"/>
  <c r="U269" i="1"/>
  <c r="S269" i="1"/>
  <c r="U266" i="1"/>
  <c r="S266" i="1"/>
  <c r="U263" i="1"/>
  <c r="S263" i="1"/>
  <c r="U260" i="1"/>
  <c r="S260" i="1"/>
  <c r="U257" i="1"/>
  <c r="S257" i="1"/>
  <c r="U254" i="1"/>
  <c r="S254" i="1"/>
  <c r="U251" i="1"/>
  <c r="S251" i="1"/>
  <c r="U245" i="1"/>
  <c r="S245" i="1"/>
  <c r="U242" i="1"/>
  <c r="S242" i="1"/>
  <c r="U239" i="1"/>
  <c r="S239" i="1"/>
  <c r="U236" i="1"/>
  <c r="S236" i="1"/>
  <c r="U233" i="1"/>
  <c r="S233" i="1"/>
  <c r="U230" i="1"/>
  <c r="S230" i="1"/>
  <c r="U227" i="1"/>
  <c r="S227" i="1"/>
  <c r="U224" i="1"/>
  <c r="S224" i="1"/>
  <c r="S221" i="1"/>
  <c r="U221" i="1"/>
  <c r="U218" i="1"/>
  <c r="S218" i="1"/>
  <c r="U215" i="1"/>
  <c r="S215" i="1"/>
  <c r="U212" i="1"/>
  <c r="S212" i="1"/>
  <c r="U209" i="1"/>
  <c r="S209" i="1"/>
  <c r="U206" i="1"/>
  <c r="S206" i="1"/>
  <c r="U203" i="1"/>
  <c r="S203" i="1"/>
  <c r="U200" i="1"/>
  <c r="S200" i="1"/>
  <c r="U197" i="1"/>
  <c r="S197" i="1"/>
  <c r="U194" i="1"/>
  <c r="S194" i="1"/>
  <c r="U191" i="1"/>
  <c r="S191" i="1"/>
  <c r="U188" i="1"/>
  <c r="S188" i="1"/>
  <c r="U185" i="1"/>
  <c r="S185" i="1"/>
  <c r="U182" i="1"/>
  <c r="S182" i="1"/>
  <c r="U179" i="1"/>
  <c r="S179" i="1"/>
  <c r="U176" i="1"/>
  <c r="S176" i="1"/>
  <c r="U173" i="1"/>
  <c r="S173" i="1"/>
  <c r="U170" i="1"/>
  <c r="S170" i="1"/>
  <c r="U167" i="1"/>
  <c r="S167" i="1"/>
  <c r="U164" i="1"/>
  <c r="S164" i="1"/>
  <c r="U161" i="1"/>
  <c r="S161" i="1"/>
  <c r="U158" i="1"/>
  <c r="S158" i="1"/>
  <c r="U155" i="1"/>
  <c r="S155" i="1"/>
  <c r="U152" i="1"/>
  <c r="S152" i="1"/>
  <c r="U149" i="1"/>
  <c r="S149" i="1"/>
  <c r="U146" i="1"/>
  <c r="S146" i="1"/>
  <c r="U143" i="1"/>
  <c r="S143" i="1"/>
  <c r="U140" i="1"/>
  <c r="S140" i="1"/>
  <c r="U137" i="1"/>
  <c r="S137" i="1"/>
  <c r="U134" i="1"/>
  <c r="S134" i="1"/>
  <c r="U131" i="1"/>
  <c r="S131" i="1"/>
  <c r="U128" i="1"/>
  <c r="S128" i="1"/>
  <c r="U125" i="1"/>
  <c r="S125" i="1"/>
  <c r="U122" i="1"/>
  <c r="S122" i="1"/>
  <c r="U119" i="1"/>
  <c r="S119" i="1"/>
  <c r="U116" i="1"/>
  <c r="S116" i="1"/>
  <c r="U113" i="1"/>
  <c r="S113" i="1"/>
  <c r="U110" i="1"/>
  <c r="S110" i="1"/>
  <c r="U107" i="1"/>
  <c r="S107" i="1"/>
  <c r="U104" i="1"/>
  <c r="S104" i="1"/>
  <c r="U98" i="1"/>
  <c r="S98" i="1"/>
  <c r="U95" i="1"/>
  <c r="S95" i="1"/>
  <c r="U92" i="1"/>
  <c r="S92" i="1"/>
  <c r="U89" i="1"/>
  <c r="S89" i="1"/>
  <c r="U86" i="1"/>
  <c r="S86" i="1"/>
  <c r="U83" i="1"/>
  <c r="S83" i="1"/>
  <c r="U80" i="1"/>
  <c r="S80" i="1"/>
  <c r="U77" i="1"/>
  <c r="S77" i="1"/>
  <c r="U74" i="1"/>
  <c r="S74" i="1"/>
  <c r="U71" i="1"/>
  <c r="S71" i="1"/>
  <c r="U68" i="1"/>
  <c r="S68" i="1"/>
  <c r="U62" i="1"/>
  <c r="S62" i="1"/>
  <c r="U59" i="1"/>
  <c r="S59" i="1"/>
  <c r="S56" i="1"/>
  <c r="U56" i="1"/>
  <c r="U53" i="1"/>
  <c r="S53" i="1"/>
  <c r="U50" i="1"/>
  <c r="S50" i="1"/>
  <c r="U47" i="1"/>
  <c r="S47" i="1"/>
  <c r="U44" i="1"/>
  <c r="S44" i="1"/>
  <c r="U38" i="1"/>
  <c r="S38" i="1"/>
  <c r="U35" i="1"/>
  <c r="S35" i="1"/>
  <c r="U32" i="1"/>
  <c r="S32" i="1"/>
  <c r="U29" i="1"/>
  <c r="S29" i="1"/>
  <c r="U26" i="1"/>
  <c r="S26" i="1"/>
  <c r="U23" i="1"/>
  <c r="S23" i="1"/>
  <c r="U20" i="1"/>
  <c r="S20" i="1"/>
  <c r="U14" i="1"/>
  <c r="S14" i="1"/>
  <c r="U11" i="1"/>
  <c r="S11" i="1"/>
  <c r="U8" i="1"/>
  <c r="S8" i="1"/>
  <c r="U5" i="1"/>
  <c r="S5" i="1"/>
  <c r="T9" i="1"/>
  <c r="T21" i="1"/>
  <c r="T33" i="1"/>
  <c r="T45" i="1"/>
  <c r="T57" i="1"/>
  <c r="T69" i="1"/>
  <c r="T81" i="1"/>
  <c r="T93" i="1"/>
  <c r="T105" i="1"/>
  <c r="S404" i="1"/>
  <c r="T493" i="1"/>
  <c r="T589" i="1"/>
  <c r="T697" i="1"/>
  <c r="T781" i="1"/>
  <c r="T877" i="1"/>
  <c r="T973" i="1"/>
  <c r="T1081" i="1"/>
  <c r="T1201" i="1"/>
  <c r="S1022" i="1"/>
  <c r="U1022" i="1"/>
  <c r="T591" i="1"/>
  <c r="U120" i="1"/>
  <c r="S120" i="1"/>
  <c r="U324" i="1"/>
  <c r="S324" i="1"/>
  <c r="U762" i="1"/>
  <c r="S762" i="1"/>
  <c r="U1275" i="1"/>
  <c r="S1275" i="1"/>
  <c r="U1263" i="1"/>
  <c r="S1263" i="1"/>
  <c r="U1257" i="1"/>
  <c r="S1257" i="1"/>
  <c r="U1236" i="1"/>
  <c r="S1236" i="1"/>
  <c r="U1221" i="1"/>
  <c r="S1221" i="1"/>
  <c r="U1206" i="1"/>
  <c r="S1206" i="1"/>
  <c r="U1191" i="1"/>
  <c r="S1191" i="1"/>
  <c r="U1179" i="1"/>
  <c r="S1179" i="1"/>
  <c r="U1146" i="1"/>
  <c r="S1146" i="1"/>
  <c r="U1128" i="1"/>
  <c r="S1128" i="1"/>
  <c r="U1119" i="1"/>
  <c r="S1119" i="1"/>
  <c r="U1095" i="1"/>
  <c r="S1095" i="1"/>
  <c r="U1071" i="1"/>
  <c r="S1071" i="1"/>
  <c r="U1047" i="1"/>
  <c r="S1047" i="1"/>
  <c r="U999" i="1"/>
  <c r="S999" i="1"/>
  <c r="U978" i="1"/>
  <c r="S978" i="1"/>
  <c r="U957" i="1"/>
  <c r="S957" i="1"/>
  <c r="U951" i="1"/>
  <c r="S951" i="1"/>
  <c r="U918" i="1"/>
  <c r="S918" i="1"/>
  <c r="U1274" i="1"/>
  <c r="S1274" i="1"/>
  <c r="U1268" i="1"/>
  <c r="S1268" i="1"/>
  <c r="U1259" i="1"/>
  <c r="S1259" i="1"/>
  <c r="U1253" i="1"/>
  <c r="S1253" i="1"/>
  <c r="U1250" i="1"/>
  <c r="S1250" i="1"/>
  <c r="U1238" i="1"/>
  <c r="S1238" i="1"/>
  <c r="U1232" i="1"/>
  <c r="S1232" i="1"/>
  <c r="U1229" i="1"/>
  <c r="S1229" i="1"/>
  <c r="U1223" i="1"/>
  <c r="S1223" i="1"/>
  <c r="U1217" i="1"/>
  <c r="S1217" i="1"/>
  <c r="U1211" i="1"/>
  <c r="S1211" i="1"/>
  <c r="U1205" i="1"/>
  <c r="S1205" i="1"/>
  <c r="S1199" i="1"/>
  <c r="U1199" i="1"/>
  <c r="U1196" i="1"/>
  <c r="S1196" i="1"/>
  <c r="U1190" i="1"/>
  <c r="S1190" i="1"/>
  <c r="U1184" i="1"/>
  <c r="S1184" i="1"/>
  <c r="U1178" i="1"/>
  <c r="S1178" i="1"/>
  <c r="U1172" i="1"/>
  <c r="S1172" i="1"/>
  <c r="U1163" i="1"/>
  <c r="S1163" i="1"/>
  <c r="U1157" i="1"/>
  <c r="S1157" i="1"/>
  <c r="U1151" i="1"/>
  <c r="S1151" i="1"/>
  <c r="U1145" i="1"/>
  <c r="S1145" i="1"/>
  <c r="U1139" i="1"/>
  <c r="S1139" i="1"/>
  <c r="U1130" i="1"/>
  <c r="S1130" i="1"/>
  <c r="U1127" i="1"/>
  <c r="S1127" i="1"/>
  <c r="U1124" i="1"/>
  <c r="S1124" i="1"/>
  <c r="S1118" i="1"/>
  <c r="U1118" i="1"/>
  <c r="S1115" i="1"/>
  <c r="U1115" i="1"/>
  <c r="U1106" i="1"/>
  <c r="S1106" i="1"/>
  <c r="U1097" i="1"/>
  <c r="S1097" i="1"/>
  <c r="U1094" i="1"/>
  <c r="S1094" i="1"/>
  <c r="U1088" i="1"/>
  <c r="S1088" i="1"/>
  <c r="U1076" i="1"/>
  <c r="S1076" i="1"/>
  <c r="U1073" i="1"/>
  <c r="S1073" i="1"/>
  <c r="U1070" i="1"/>
  <c r="S1070" i="1"/>
  <c r="U1064" i="1"/>
  <c r="S1064" i="1"/>
  <c r="U1061" i="1"/>
  <c r="S1061" i="1"/>
  <c r="U1049" i="1"/>
  <c r="S1049" i="1"/>
  <c r="U1043" i="1"/>
  <c r="S1043" i="1"/>
  <c r="U1037" i="1"/>
  <c r="S1037" i="1"/>
  <c r="U1034" i="1"/>
  <c r="S1034" i="1"/>
  <c r="U1028" i="1"/>
  <c r="S1028" i="1"/>
  <c r="U1016" i="1"/>
  <c r="S1016" i="1"/>
  <c r="U1010" i="1"/>
  <c r="S1010" i="1"/>
  <c r="S998" i="1"/>
  <c r="U998" i="1"/>
  <c r="U995" i="1"/>
  <c r="S995" i="1"/>
  <c r="U986" i="1"/>
  <c r="S986" i="1"/>
  <c r="U980" i="1"/>
  <c r="S980" i="1"/>
  <c r="U971" i="1"/>
  <c r="S971" i="1"/>
  <c r="T10" i="1"/>
  <c r="T22" i="1"/>
  <c r="T34" i="1"/>
  <c r="T46" i="1"/>
  <c r="T58" i="1"/>
  <c r="S516" i="1"/>
  <c r="T481" i="1"/>
  <c r="T565" i="1"/>
  <c r="T649" i="1"/>
  <c r="T757" i="1"/>
  <c r="T853" i="1"/>
  <c r="T949" i="1"/>
  <c r="T1033" i="1"/>
  <c r="T1141" i="1"/>
  <c r="T1261" i="1"/>
  <c r="U18" i="1"/>
  <c r="S18" i="1"/>
  <c r="U24" i="1"/>
  <c r="S24" i="1"/>
  <c r="U354" i="1"/>
  <c r="S354" i="1"/>
  <c r="T35" i="1"/>
  <c r="T47" i="1"/>
  <c r="T59" i="1"/>
  <c r="T71" i="1"/>
  <c r="T83" i="1"/>
  <c r="T95" i="1"/>
  <c r="T107" i="1"/>
  <c r="T119" i="1"/>
  <c r="T131" i="1"/>
  <c r="T143" i="1"/>
  <c r="T155" i="1"/>
  <c r="T167" i="1"/>
  <c r="T179" i="1"/>
  <c r="T191" i="1"/>
  <c r="T203" i="1"/>
  <c r="T215" i="1"/>
  <c r="T227" i="1"/>
  <c r="T239" i="1"/>
  <c r="T251" i="1"/>
  <c r="T263" i="1"/>
  <c r="T275" i="1"/>
  <c r="T287" i="1"/>
  <c r="T299" i="1"/>
  <c r="T311" i="1"/>
  <c r="T323" i="1"/>
  <c r="T335" i="1"/>
  <c r="T347" i="1"/>
  <c r="T359" i="1"/>
  <c r="T371" i="1"/>
  <c r="T383" i="1"/>
  <c r="T395" i="1"/>
  <c r="T407" i="1"/>
  <c r="T419" i="1"/>
  <c r="T431" i="1"/>
  <c r="T443" i="1"/>
  <c r="T455" i="1"/>
  <c r="T467" i="1"/>
  <c r="T479" i="1"/>
  <c r="T491" i="1"/>
  <c r="T503" i="1"/>
  <c r="T515" i="1"/>
  <c r="T527" i="1"/>
  <c r="T539" i="1"/>
  <c r="T551" i="1"/>
  <c r="T563" i="1"/>
  <c r="T575" i="1"/>
  <c r="T587" i="1"/>
  <c r="T599" i="1"/>
  <c r="T611" i="1"/>
  <c r="T623" i="1"/>
  <c r="T635" i="1"/>
  <c r="T647" i="1"/>
  <c r="T659" i="1"/>
  <c r="T671" i="1"/>
  <c r="T683" i="1"/>
  <c r="T695" i="1"/>
  <c r="T707" i="1"/>
  <c r="T719" i="1"/>
  <c r="T731" i="1"/>
  <c r="T743" i="1"/>
  <c r="T755" i="1"/>
  <c r="T767" i="1"/>
  <c r="T779" i="1"/>
  <c r="T791" i="1"/>
  <c r="T803" i="1"/>
  <c r="T815" i="1"/>
  <c r="T827" i="1"/>
  <c r="T839" i="1"/>
  <c r="T851" i="1"/>
  <c r="T863" i="1"/>
  <c r="T875" i="1"/>
  <c r="T887" i="1"/>
  <c r="T899" i="1"/>
  <c r="T911" i="1"/>
  <c r="T923" i="1"/>
  <c r="T935" i="1"/>
  <c r="T947" i="1"/>
  <c r="T959" i="1"/>
  <c r="T971" i="1"/>
  <c r="T983" i="1"/>
  <c r="T995" i="1"/>
  <c r="T1007" i="1"/>
  <c r="T1019" i="1"/>
  <c r="T1031" i="1"/>
  <c r="T1043" i="1"/>
  <c r="T1055" i="1"/>
  <c r="T1067" i="1"/>
  <c r="T1079" i="1"/>
  <c r="T1091" i="1"/>
  <c r="T1103" i="1"/>
  <c r="T1115" i="1"/>
  <c r="T1127" i="1"/>
  <c r="T1139" i="1"/>
  <c r="T1151" i="1"/>
  <c r="T1163" i="1"/>
  <c r="T1175" i="1"/>
  <c r="T1187" i="1"/>
  <c r="T1199" i="1"/>
  <c r="T1211" i="1"/>
  <c r="T1223" i="1"/>
  <c r="T1235" i="1"/>
  <c r="T1247" i="1"/>
  <c r="T1259" i="1"/>
  <c r="T1271" i="1"/>
  <c r="S87" i="1"/>
  <c r="S570" i="1"/>
  <c r="T541" i="1"/>
  <c r="T637" i="1"/>
  <c r="T733" i="1"/>
  <c r="T817" i="1"/>
  <c r="T913" i="1"/>
  <c r="T1009" i="1"/>
  <c r="T1105" i="1"/>
  <c r="T1177" i="1"/>
  <c r="T1237" i="1"/>
  <c r="U210" i="1"/>
  <c r="S210" i="1"/>
  <c r="U558" i="1"/>
  <c r="S558" i="1"/>
  <c r="U3" i="1"/>
  <c r="S3" i="1"/>
  <c r="U41" i="1"/>
  <c r="S41" i="1"/>
  <c r="U693" i="1"/>
  <c r="S693" i="1"/>
  <c r="T3" i="1"/>
  <c r="U150" i="1"/>
  <c r="S150" i="1"/>
  <c r="T12" i="1"/>
  <c r="T24" i="1"/>
  <c r="T36" i="1"/>
  <c r="T48" i="1"/>
  <c r="T60" i="1"/>
  <c r="T72" i="1"/>
  <c r="T84" i="1"/>
  <c r="T96" i="1"/>
  <c r="T108" i="1"/>
  <c r="T120" i="1"/>
  <c r="T132" i="1"/>
  <c r="T144" i="1"/>
  <c r="T156" i="1"/>
  <c r="T168" i="1"/>
  <c r="T180" i="1"/>
  <c r="T192" i="1"/>
  <c r="T204" i="1"/>
  <c r="T216" i="1"/>
  <c r="T228" i="1"/>
  <c r="T240" i="1"/>
  <c r="T252" i="1"/>
  <c r="T264" i="1"/>
  <c r="T276" i="1"/>
  <c r="T288" i="1"/>
  <c r="T300" i="1"/>
  <c r="T312" i="1"/>
  <c r="T324" i="1"/>
  <c r="T336" i="1"/>
  <c r="T348" i="1"/>
  <c r="T360" i="1"/>
  <c r="T372" i="1"/>
  <c r="T384" i="1"/>
  <c r="T396" i="1"/>
  <c r="T408" i="1"/>
  <c r="T420" i="1"/>
  <c r="T432" i="1"/>
  <c r="T444" i="1"/>
  <c r="T456" i="1"/>
  <c r="T468" i="1"/>
  <c r="T480" i="1"/>
  <c r="T492" i="1"/>
  <c r="T504" i="1"/>
  <c r="T516" i="1"/>
  <c r="T528" i="1"/>
  <c r="T540" i="1"/>
  <c r="T552" i="1"/>
  <c r="T564" i="1"/>
  <c r="T576" i="1"/>
  <c r="T588" i="1"/>
  <c r="T600" i="1"/>
  <c r="T612" i="1"/>
  <c r="T624" i="1"/>
  <c r="T636" i="1"/>
  <c r="T648" i="1"/>
  <c r="T660" i="1"/>
  <c r="T672" i="1"/>
  <c r="T696" i="1"/>
  <c r="T708" i="1"/>
  <c r="T720" i="1"/>
  <c r="T732" i="1"/>
  <c r="T744" i="1"/>
  <c r="T756" i="1"/>
  <c r="T768" i="1"/>
  <c r="T780" i="1"/>
  <c r="T792" i="1"/>
  <c r="T804" i="1"/>
  <c r="T816" i="1"/>
  <c r="T828" i="1"/>
  <c r="T840" i="1"/>
  <c r="T852" i="1"/>
  <c r="T864" i="1"/>
  <c r="T876" i="1"/>
  <c r="T888" i="1"/>
  <c r="T900" i="1"/>
  <c r="T912" i="1"/>
  <c r="T924" i="1"/>
  <c r="T936" i="1"/>
  <c r="T948" i="1"/>
  <c r="T960" i="1"/>
  <c r="T972" i="1"/>
  <c r="T984" i="1"/>
  <c r="T996" i="1"/>
  <c r="T1008" i="1"/>
  <c r="T1020" i="1"/>
  <c r="T1032" i="1"/>
  <c r="T1044" i="1"/>
  <c r="T1056" i="1"/>
  <c r="T1068" i="1"/>
  <c r="T1080" i="1"/>
  <c r="T1092" i="1"/>
  <c r="T1104" i="1"/>
  <c r="T1116" i="1"/>
  <c r="T1128" i="1"/>
  <c r="T1140" i="1"/>
  <c r="T1152" i="1"/>
  <c r="T1164" i="1"/>
  <c r="T1176" i="1"/>
  <c r="T1188" i="1"/>
  <c r="T1200" i="1"/>
  <c r="T1212" i="1"/>
  <c r="T1224" i="1"/>
  <c r="T1236" i="1"/>
  <c r="T1248" i="1"/>
  <c r="T1260" i="1"/>
  <c r="T1272" i="1"/>
  <c r="S101" i="1"/>
  <c r="T4" i="1"/>
  <c r="T16" i="1"/>
  <c r="T28" i="1"/>
  <c r="T40" i="1"/>
  <c r="T52" i="1"/>
  <c r="T64" i="1"/>
  <c r="T76" i="1"/>
  <c r="T88" i="1"/>
  <c r="T100" i="1"/>
  <c r="T112" i="1"/>
  <c r="T136" i="1"/>
  <c r="T148" i="1"/>
  <c r="T160" i="1"/>
  <c r="T172" i="1"/>
  <c r="T184" i="1"/>
  <c r="T196" i="1"/>
  <c r="T208" i="1"/>
  <c r="T220" i="1"/>
  <c r="T232" i="1"/>
  <c r="T244" i="1"/>
  <c r="T256" i="1"/>
  <c r="T268" i="1"/>
  <c r="T280" i="1"/>
  <c r="T292" i="1"/>
  <c r="T304" i="1"/>
  <c r="T316" i="1"/>
  <c r="T328" i="1"/>
  <c r="T340" i="1"/>
  <c r="T352" i="1"/>
  <c r="T364" i="1"/>
  <c r="T376" i="1"/>
  <c r="T388" i="1"/>
  <c r="T400" i="1"/>
  <c r="T412" i="1"/>
  <c r="T424" i="1"/>
  <c r="T436" i="1"/>
  <c r="T448" i="1"/>
  <c r="T460" i="1"/>
  <c r="T472" i="1"/>
  <c r="T484" i="1"/>
  <c r="T496" i="1"/>
  <c r="T508" i="1"/>
  <c r="T520" i="1"/>
  <c r="T532" i="1"/>
  <c r="T544" i="1"/>
  <c r="T556" i="1"/>
  <c r="T568" i="1"/>
  <c r="T580" i="1"/>
  <c r="T592" i="1"/>
  <c r="T604" i="1"/>
  <c r="T616" i="1"/>
  <c r="T628" i="1"/>
  <c r="T640" i="1"/>
  <c r="T652" i="1"/>
  <c r="T664" i="1"/>
  <c r="T676" i="1"/>
  <c r="T688" i="1"/>
  <c r="T700" i="1"/>
  <c r="T712" i="1"/>
  <c r="T724" i="1"/>
  <c r="T736" i="1"/>
  <c r="T748" i="1"/>
  <c r="T760" i="1"/>
  <c r="T772" i="1"/>
  <c r="T784" i="1"/>
  <c r="T796" i="1"/>
  <c r="T808" i="1"/>
  <c r="T820" i="1"/>
  <c r="T832" i="1"/>
  <c r="T844" i="1"/>
  <c r="T856" i="1"/>
  <c r="T868" i="1"/>
  <c r="T880" i="1"/>
  <c r="T892" i="1"/>
  <c r="T904" i="1"/>
  <c r="T916" i="1"/>
  <c r="T928" i="1"/>
  <c r="T940" i="1"/>
  <c r="T952" i="1"/>
  <c r="T964" i="1"/>
  <c r="T976" i="1"/>
  <c r="T988" i="1"/>
  <c r="T1000" i="1"/>
  <c r="T1012" i="1"/>
  <c r="T1024" i="1"/>
  <c r="T1036" i="1"/>
  <c r="T1048" i="1"/>
  <c r="T1060" i="1"/>
  <c r="T1072" i="1"/>
  <c r="T1084" i="1"/>
  <c r="T1096" i="1"/>
  <c r="T1108" i="1"/>
  <c r="T1120" i="1"/>
  <c r="T1132" i="1"/>
  <c r="T1144" i="1"/>
  <c r="T1156" i="1"/>
  <c r="T1168" i="1"/>
  <c r="T1180" i="1"/>
  <c r="T1192" i="1"/>
  <c r="T89" i="1"/>
  <c r="T101" i="1"/>
  <c r="T113" i="1"/>
  <c r="T137" i="1"/>
  <c r="T149" i="1"/>
  <c r="T161" i="1"/>
  <c r="T173" i="1"/>
  <c r="T185" i="1"/>
  <c r="T197" i="1"/>
  <c r="T209" i="1"/>
  <c r="T221" i="1"/>
  <c r="T233" i="1"/>
  <c r="T245" i="1"/>
  <c r="T257" i="1"/>
  <c r="T269" i="1"/>
  <c r="T281" i="1"/>
  <c r="T293" i="1"/>
  <c r="T305" i="1"/>
  <c r="T317" i="1"/>
  <c r="T329" i="1"/>
  <c r="T341" i="1"/>
  <c r="T353" i="1"/>
  <c r="T365" i="1"/>
  <c r="T377" i="1"/>
  <c r="T389" i="1"/>
  <c r="T401" i="1"/>
  <c r="T413" i="1"/>
  <c r="T425" i="1"/>
  <c r="T437" i="1"/>
  <c r="T449" i="1"/>
  <c r="T461" i="1"/>
  <c r="T473" i="1"/>
  <c r="T485" i="1"/>
  <c r="T497" i="1"/>
  <c r="T509" i="1"/>
  <c r="T521" i="1"/>
  <c r="T533" i="1"/>
  <c r="T545" i="1"/>
  <c r="T557" i="1"/>
  <c r="T569" i="1"/>
  <c r="T581" i="1"/>
  <c r="T593" i="1"/>
  <c r="T605" i="1"/>
  <c r="T617" i="1"/>
  <c r="T629" i="1"/>
  <c r="T641" i="1"/>
  <c r="T653" i="1"/>
  <c r="T665" i="1"/>
  <c r="T677" i="1"/>
  <c r="T689" i="1"/>
  <c r="T701" i="1"/>
  <c r="T713" i="1"/>
  <c r="T725" i="1"/>
  <c r="T737" i="1"/>
  <c r="T749" i="1"/>
  <c r="T761" i="1"/>
  <c r="T773" i="1"/>
  <c r="T785" i="1"/>
  <c r="T797" i="1"/>
  <c r="T809" i="1"/>
  <c r="T821" i="1"/>
  <c r="T833" i="1"/>
  <c r="T845" i="1"/>
  <c r="T857" i="1"/>
  <c r="T869" i="1"/>
  <c r="T881" i="1"/>
  <c r="T893" i="1"/>
  <c r="T905" i="1"/>
  <c r="T917" i="1"/>
  <c r="T929" i="1"/>
  <c r="T941" i="1"/>
  <c r="T953" i="1"/>
  <c r="T965" i="1"/>
  <c r="T977" i="1"/>
  <c r="T989" i="1"/>
  <c r="T1001" i="1"/>
  <c r="T1013" i="1"/>
  <c r="T1025" i="1"/>
  <c r="T1037" i="1"/>
  <c r="T1049" i="1"/>
  <c r="T1061" i="1"/>
  <c r="T1073" i="1"/>
  <c r="T1085" i="1"/>
  <c r="T1097" i="1"/>
  <c r="T1109" i="1"/>
  <c r="T1121" i="1"/>
  <c r="T1133" i="1"/>
  <c r="T1145" i="1"/>
  <c r="T1157" i="1"/>
  <c r="T1169" i="1"/>
  <c r="T1181" i="1"/>
  <c r="T1193" i="1"/>
  <c r="T1205" i="1"/>
  <c r="T1217" i="1"/>
  <c r="T1229" i="1"/>
  <c r="T1241" i="1"/>
  <c r="T1253" i="1"/>
  <c r="T1265" i="1"/>
  <c r="T6" i="1"/>
  <c r="T18" i="1"/>
  <c r="T30" i="1"/>
  <c r="T42" i="1"/>
  <c r="T54" i="1"/>
  <c r="T66" i="1"/>
  <c r="T78" i="1"/>
  <c r="T90" i="1"/>
  <c r="T102" i="1"/>
  <c r="T114" i="1"/>
  <c r="T138" i="1"/>
  <c r="T150" i="1"/>
  <c r="T162" i="1"/>
  <c r="T174" i="1"/>
  <c r="T186" i="1"/>
  <c r="T198" i="1"/>
  <c r="T210" i="1"/>
  <c r="T222" i="1"/>
  <c r="T234" i="1"/>
  <c r="T246" i="1"/>
  <c r="T258" i="1"/>
  <c r="T270" i="1"/>
  <c r="T282" i="1"/>
  <c r="T294" i="1"/>
  <c r="T306" i="1"/>
  <c r="T318" i="1"/>
  <c r="T330" i="1"/>
  <c r="T342" i="1"/>
  <c r="T354" i="1"/>
  <c r="T366" i="1"/>
  <c r="T378" i="1"/>
  <c r="T390" i="1"/>
  <c r="T402" i="1"/>
  <c r="T414" i="1"/>
  <c r="T426" i="1"/>
  <c r="T438" i="1"/>
  <c r="T450" i="1"/>
  <c r="T462" i="1"/>
  <c r="T474" i="1"/>
  <c r="T486" i="1"/>
  <c r="T498" i="1"/>
  <c r="T510" i="1"/>
  <c r="T522" i="1"/>
  <c r="T534" i="1"/>
  <c r="T546" i="1"/>
  <c r="T558" i="1"/>
  <c r="T570" i="1"/>
  <c r="T582" i="1"/>
  <c r="T594" i="1"/>
  <c r="T606" i="1"/>
  <c r="T618" i="1"/>
  <c r="T630" i="1"/>
  <c r="T642" i="1"/>
  <c r="T654" i="1"/>
  <c r="T666" i="1"/>
  <c r="T678" i="1"/>
  <c r="T690" i="1"/>
  <c r="T702" i="1"/>
  <c r="T714" i="1"/>
  <c r="T726" i="1"/>
  <c r="T738" i="1"/>
  <c r="T750" i="1"/>
  <c r="T762" i="1"/>
  <c r="T774" i="1"/>
  <c r="T786" i="1"/>
  <c r="T798" i="1"/>
  <c r="T810" i="1"/>
  <c r="T822" i="1"/>
  <c r="T834" i="1"/>
  <c r="T846" i="1"/>
  <c r="T858" i="1"/>
  <c r="T870" i="1"/>
  <c r="T882" i="1"/>
  <c r="T894" i="1"/>
  <c r="T906" i="1"/>
  <c r="T918" i="1"/>
  <c r="T930" i="1"/>
  <c r="T942" i="1"/>
  <c r="T954" i="1"/>
  <c r="T966" i="1"/>
  <c r="T978" i="1"/>
  <c r="T990" i="1"/>
  <c r="T1002" i="1"/>
  <c r="T1014" i="1"/>
  <c r="T1026" i="1"/>
  <c r="T1038" i="1"/>
  <c r="T1050" i="1"/>
  <c r="T1062" i="1"/>
  <c r="T1074" i="1"/>
  <c r="T1086" i="1"/>
  <c r="T1098" i="1"/>
  <c r="T1110" i="1"/>
  <c r="T1122" i="1"/>
  <c r="T1134" i="1"/>
  <c r="T1146" i="1"/>
  <c r="T1158" i="1"/>
  <c r="T1170" i="1"/>
  <c r="T1182" i="1"/>
  <c r="T1194" i="1"/>
  <c r="T1206" i="1"/>
  <c r="T1218" i="1"/>
  <c r="T1230" i="1"/>
  <c r="T1242" i="1"/>
  <c r="T1254" i="1"/>
  <c r="T1266" i="1"/>
  <c r="T67" i="1"/>
  <c r="T79" i="1"/>
  <c r="T91" i="1"/>
  <c r="T103" i="1"/>
  <c r="T115" i="1"/>
  <c r="T127" i="1"/>
  <c r="T139" i="1"/>
  <c r="T151" i="1"/>
  <c r="T163" i="1"/>
  <c r="T175" i="1"/>
  <c r="T187" i="1"/>
  <c r="T199" i="1"/>
  <c r="T211" i="1"/>
  <c r="T223" i="1"/>
  <c r="T235" i="1"/>
  <c r="T247" i="1"/>
  <c r="T259" i="1"/>
  <c r="T271" i="1"/>
  <c r="T283" i="1"/>
  <c r="T295" i="1"/>
  <c r="T307" i="1"/>
  <c r="T319" i="1"/>
  <c r="T331" i="1"/>
  <c r="T343" i="1"/>
  <c r="T355" i="1"/>
  <c r="T367" i="1"/>
  <c r="T379" i="1"/>
  <c r="T391" i="1"/>
  <c r="T403" i="1"/>
  <c r="T415" i="1"/>
  <c r="T427" i="1"/>
  <c r="T439" i="1"/>
  <c r="T451" i="1"/>
  <c r="T463" i="1"/>
  <c r="T475" i="1"/>
  <c r="T487" i="1"/>
  <c r="T499" i="1"/>
  <c r="T511" i="1"/>
  <c r="T523" i="1"/>
  <c r="T535" i="1"/>
  <c r="T547" i="1"/>
  <c r="T559" i="1"/>
  <c r="T571" i="1"/>
  <c r="T583" i="1"/>
  <c r="T595" i="1"/>
  <c r="T607" i="1"/>
  <c r="T619" i="1"/>
  <c r="T631" i="1"/>
  <c r="T643" i="1"/>
  <c r="T655" i="1"/>
  <c r="T667" i="1"/>
  <c r="T679" i="1"/>
  <c r="T691" i="1"/>
  <c r="T703" i="1"/>
  <c r="T715" i="1"/>
  <c r="T727" i="1"/>
  <c r="T739" i="1"/>
  <c r="T751" i="1"/>
  <c r="T763" i="1"/>
  <c r="T775" i="1"/>
  <c r="T787" i="1"/>
  <c r="T799" i="1"/>
  <c r="T811" i="1"/>
  <c r="T823" i="1"/>
  <c r="T835" i="1"/>
  <c r="T847" i="1"/>
  <c r="T859" i="1"/>
  <c r="T871" i="1"/>
  <c r="T883" i="1"/>
  <c r="T895" i="1"/>
  <c r="T907" i="1"/>
  <c r="T919" i="1"/>
  <c r="T931" i="1"/>
  <c r="T943" i="1"/>
  <c r="T955" i="1"/>
  <c r="T967" i="1"/>
  <c r="T979" i="1"/>
  <c r="T991" i="1"/>
  <c r="T1003" i="1"/>
  <c r="T1015" i="1"/>
  <c r="T1027" i="1"/>
  <c r="T1039" i="1"/>
  <c r="T1051" i="1"/>
  <c r="T1063" i="1"/>
  <c r="T1075" i="1"/>
  <c r="T1087" i="1"/>
  <c r="T1099" i="1"/>
  <c r="T1111" i="1"/>
  <c r="T1123" i="1"/>
  <c r="T1135" i="1"/>
  <c r="T1147" i="1"/>
  <c r="T1159" i="1"/>
  <c r="T1171" i="1"/>
  <c r="T1183" i="1"/>
  <c r="T1195" i="1"/>
  <c r="T1207" i="1"/>
  <c r="T44" i="1"/>
  <c r="T56" i="1"/>
  <c r="T68" i="1"/>
  <c r="T80" i="1"/>
  <c r="T92" i="1"/>
  <c r="T104" i="1"/>
  <c r="T116" i="1"/>
  <c r="T128" i="1"/>
  <c r="T140" i="1"/>
  <c r="T152" i="1"/>
  <c r="T164" i="1"/>
  <c r="T176" i="1"/>
  <c r="T188" i="1"/>
  <c r="T200" i="1"/>
  <c r="T212" i="1"/>
  <c r="T224" i="1"/>
  <c r="T236" i="1"/>
  <c r="T248" i="1"/>
  <c r="T260" i="1"/>
  <c r="T272" i="1"/>
  <c r="T284" i="1"/>
  <c r="T296" i="1"/>
  <c r="T308" i="1"/>
  <c r="T320" i="1"/>
  <c r="T332" i="1"/>
  <c r="T344" i="1"/>
  <c r="T356" i="1"/>
  <c r="T368" i="1"/>
  <c r="T380" i="1"/>
  <c r="T392" i="1"/>
  <c r="T404" i="1"/>
  <c r="T416" i="1"/>
  <c r="T428" i="1"/>
  <c r="T440" i="1"/>
  <c r="T452" i="1"/>
  <c r="T464" i="1"/>
  <c r="T476" i="1"/>
  <c r="T488" i="1"/>
  <c r="T500" i="1"/>
  <c r="T512" i="1"/>
  <c r="T524" i="1"/>
  <c r="T536" i="1"/>
  <c r="T548" i="1"/>
  <c r="T560" i="1"/>
  <c r="T572" i="1"/>
  <c r="T584" i="1"/>
  <c r="T596" i="1"/>
  <c r="T608" i="1"/>
  <c r="T620" i="1"/>
  <c r="T632" i="1"/>
  <c r="T644" i="1"/>
  <c r="T656" i="1"/>
  <c r="T668" i="1"/>
  <c r="T680" i="1"/>
  <c r="T692" i="1"/>
  <c r="T704" i="1"/>
  <c r="T716" i="1"/>
  <c r="T728" i="1"/>
  <c r="T740" i="1"/>
  <c r="T752" i="1"/>
  <c r="T764" i="1"/>
  <c r="T776" i="1"/>
  <c r="T788" i="1"/>
  <c r="T800" i="1"/>
  <c r="T812" i="1"/>
  <c r="T824" i="1"/>
  <c r="T836" i="1"/>
  <c r="T848" i="1"/>
  <c r="T860" i="1"/>
  <c r="T872" i="1"/>
  <c r="T884" i="1"/>
  <c r="T896" i="1"/>
  <c r="T908" i="1"/>
  <c r="T920" i="1"/>
  <c r="T932" i="1"/>
  <c r="T944" i="1"/>
  <c r="T956" i="1"/>
  <c r="T968" i="1"/>
  <c r="T980" i="1"/>
  <c r="T992" i="1"/>
  <c r="T1004" i="1"/>
  <c r="T1016" i="1"/>
  <c r="T1028" i="1"/>
  <c r="T1040" i="1"/>
  <c r="T1052" i="1"/>
  <c r="T1064" i="1"/>
  <c r="T1076" i="1"/>
  <c r="T1088" i="1"/>
  <c r="T1100" i="1"/>
  <c r="T1112" i="1"/>
  <c r="T1124" i="1"/>
  <c r="T1136" i="1"/>
  <c r="T1148" i="1"/>
  <c r="T1160" i="1"/>
  <c r="T1172" i="1"/>
  <c r="T1184" i="1"/>
  <c r="T1196" i="1"/>
  <c r="T1208" i="1"/>
  <c r="T1220" i="1"/>
  <c r="T1232" i="1"/>
  <c r="T1244" i="1"/>
  <c r="T1256" i="1"/>
  <c r="T1268" i="1"/>
  <c r="T117" i="1"/>
  <c r="T129" i="1"/>
  <c r="T141" i="1"/>
  <c r="T153" i="1"/>
  <c r="T165" i="1"/>
  <c r="T177" i="1"/>
  <c r="T189" i="1"/>
  <c r="T201" i="1"/>
  <c r="T213" i="1"/>
  <c r="T225" i="1"/>
  <c r="T237" i="1"/>
  <c r="T249" i="1"/>
  <c r="T261" i="1"/>
  <c r="T273" i="1"/>
  <c r="T285" i="1"/>
  <c r="T297" i="1"/>
  <c r="T309" i="1"/>
  <c r="T321" i="1"/>
  <c r="T333" i="1"/>
  <c r="T345" i="1"/>
  <c r="T357" i="1"/>
  <c r="T369" i="1"/>
  <c r="T381" i="1"/>
  <c r="T393" i="1"/>
  <c r="T405" i="1"/>
  <c r="T417" i="1"/>
  <c r="T429" i="1"/>
  <c r="T441" i="1"/>
  <c r="T453" i="1"/>
  <c r="T465" i="1"/>
  <c r="T477" i="1"/>
  <c r="T489" i="1"/>
  <c r="T501" i="1"/>
  <c r="T513" i="1"/>
  <c r="T525" i="1"/>
  <c r="T537" i="1"/>
  <c r="T549" i="1"/>
  <c r="T561" i="1"/>
  <c r="T573" i="1"/>
  <c r="T585" i="1"/>
  <c r="T597" i="1"/>
  <c r="T609" i="1"/>
  <c r="T621" i="1"/>
  <c r="T633" i="1"/>
  <c r="T645" i="1"/>
  <c r="T657" i="1"/>
  <c r="T669" i="1"/>
  <c r="T681" i="1"/>
  <c r="T693" i="1"/>
  <c r="T705" i="1"/>
  <c r="T717" i="1"/>
  <c r="T729" i="1"/>
  <c r="T741" i="1"/>
  <c r="T753" i="1"/>
  <c r="T765" i="1"/>
  <c r="T777" i="1"/>
  <c r="T789" i="1"/>
  <c r="T801" i="1"/>
  <c r="T813" i="1"/>
  <c r="T825" i="1"/>
  <c r="T837" i="1"/>
  <c r="T849" i="1"/>
  <c r="T861" i="1"/>
  <c r="T873" i="1"/>
  <c r="T885" i="1"/>
  <c r="T897" i="1"/>
  <c r="T909" i="1"/>
  <c r="T921" i="1"/>
  <c r="T933" i="1"/>
  <c r="T945" i="1"/>
  <c r="T957" i="1"/>
  <c r="T969" i="1"/>
  <c r="T981" i="1"/>
  <c r="T993" i="1"/>
  <c r="T1005" i="1"/>
  <c r="T1017" i="1"/>
  <c r="T1029" i="1"/>
  <c r="T1041" i="1"/>
  <c r="T1053" i="1"/>
  <c r="T1065" i="1"/>
  <c r="T1077" i="1"/>
  <c r="T1089" i="1"/>
  <c r="T1101" i="1"/>
  <c r="T1113" i="1"/>
  <c r="T1125" i="1"/>
  <c r="T1137" i="1"/>
  <c r="T1149" i="1"/>
  <c r="T1161" i="1"/>
  <c r="T1173" i="1"/>
  <c r="T1185" i="1"/>
  <c r="T1197" i="1"/>
  <c r="T1209" i="1"/>
  <c r="T1221" i="1"/>
  <c r="T1233" i="1"/>
  <c r="T1245" i="1"/>
  <c r="T1257" i="1"/>
  <c r="T1269" i="1"/>
  <c r="T70" i="1"/>
  <c r="T82" i="1"/>
  <c r="T94" i="1"/>
  <c r="T106" i="1"/>
  <c r="T118" i="1"/>
  <c r="T130" i="1"/>
  <c r="T142" i="1"/>
  <c r="T154" i="1"/>
  <c r="T166" i="1"/>
  <c r="T178" i="1"/>
  <c r="T190" i="1"/>
  <c r="T202" i="1"/>
  <c r="T214" i="1"/>
  <c r="T226" i="1"/>
  <c r="T238" i="1"/>
  <c r="T262" i="1"/>
  <c r="T274" i="1"/>
  <c r="T286" i="1"/>
  <c r="T298" i="1"/>
  <c r="T310" i="1"/>
  <c r="T322" i="1"/>
  <c r="T334" i="1"/>
  <c r="T346" i="1"/>
  <c r="T358" i="1"/>
  <c r="T370" i="1"/>
  <c r="T382" i="1"/>
  <c r="T394" i="1"/>
  <c r="T406" i="1"/>
  <c r="T418" i="1"/>
  <c r="T430" i="1"/>
  <c r="T442" i="1"/>
  <c r="T454" i="1"/>
  <c r="T466" i="1"/>
  <c r="T478" i="1"/>
  <c r="T490" i="1"/>
  <c r="T502" i="1"/>
  <c r="T514" i="1"/>
  <c r="T526" i="1"/>
  <c r="T538" i="1"/>
  <c r="T550" i="1"/>
  <c r="T562" i="1"/>
  <c r="T574" i="1"/>
  <c r="T586" i="1"/>
  <c r="T598" i="1"/>
  <c r="T610" i="1"/>
  <c r="T622" i="1"/>
  <c r="T634" i="1"/>
  <c r="T646" i="1"/>
  <c r="T658" i="1"/>
  <c r="T670" i="1"/>
  <c r="T682" i="1"/>
  <c r="T694" i="1"/>
  <c r="T706" i="1"/>
  <c r="T718" i="1"/>
  <c r="T730" i="1"/>
  <c r="T742" i="1"/>
  <c r="T754" i="1"/>
  <c r="T766" i="1"/>
  <c r="T778" i="1"/>
  <c r="T790" i="1"/>
  <c r="T802" i="1"/>
  <c r="T814" i="1"/>
  <c r="T826" i="1"/>
  <c r="T838" i="1"/>
  <c r="T850" i="1"/>
  <c r="T862" i="1"/>
  <c r="T874" i="1"/>
  <c r="T886" i="1"/>
  <c r="T898" i="1"/>
  <c r="T910" i="1"/>
  <c r="T922" i="1"/>
  <c r="T934" i="1"/>
  <c r="T946" i="1"/>
  <c r="T958" i="1"/>
  <c r="T970" i="1"/>
  <c r="T982" i="1"/>
  <c r="T994" i="1"/>
  <c r="T1006" i="1"/>
  <c r="T1018" i="1"/>
  <c r="T1030" i="1"/>
  <c r="T1042" i="1"/>
  <c r="T1054" i="1"/>
  <c r="T1066" i="1"/>
  <c r="T1078" i="1"/>
  <c r="T1090" i="1"/>
  <c r="T1102" i="1"/>
  <c r="T1114" i="1"/>
  <c r="T1126" i="1"/>
  <c r="T1138" i="1"/>
  <c r="T1150" i="1"/>
  <c r="T1162" i="1"/>
  <c r="T1174" i="1"/>
  <c r="T1186" i="1"/>
  <c r="T1198" i="1"/>
  <c r="T1210" i="1"/>
  <c r="T1222" i="1"/>
  <c r="T1234" i="1"/>
  <c r="T1246" i="1"/>
  <c r="T1258" i="1"/>
  <c r="T1270" i="1"/>
  <c r="T1275" i="1"/>
  <c r="T1204" i="1"/>
  <c r="T1216" i="1"/>
  <c r="T1228" i="1"/>
  <c r="T1240" i="1"/>
  <c r="T1252" i="1"/>
  <c r="T1264" i="1"/>
  <c r="T1219" i="1"/>
  <c r="T1231" i="1"/>
  <c r="T1243" i="1"/>
  <c r="T1255" i="1"/>
  <c r="T1267" i="1"/>
  <c r="H10" i="4"/>
  <c r="H9" i="4"/>
  <c r="H4" i="4"/>
  <c r="H7" i="4"/>
  <c r="K532" i="1" l="1"/>
  <c r="K485" i="1"/>
  <c r="K1163" i="1"/>
  <c r="K1162" i="1"/>
  <c r="K115" i="1"/>
  <c r="K1192" i="1"/>
  <c r="K1150" i="1"/>
  <c r="K1096" i="1"/>
  <c r="K117" i="1"/>
  <c r="K253" i="1"/>
  <c r="K126" i="1"/>
  <c r="K396" i="1"/>
  <c r="K116" i="1"/>
  <c r="K119" i="1"/>
  <c r="K1114" i="1"/>
  <c r="K111" i="1"/>
  <c r="K466" i="1"/>
  <c r="K883" i="1"/>
  <c r="K897" i="1"/>
  <c r="K1059" i="1"/>
  <c r="K473" i="1"/>
  <c r="K908" i="1"/>
  <c r="K863" i="1"/>
  <c r="K592" i="1"/>
  <c r="K1214" i="1"/>
  <c r="K907" i="1"/>
  <c r="K85" i="1"/>
  <c r="K333" i="1"/>
  <c r="K872" i="1"/>
  <c r="K1074" i="1"/>
  <c r="K474" i="1"/>
  <c r="K1227" i="1"/>
  <c r="K1220" i="1"/>
  <c r="K603" i="1"/>
  <c r="K1213" i="1"/>
  <c r="K107" i="1"/>
  <c r="K50" i="1"/>
  <c r="K896" i="1"/>
  <c r="K1028" i="1"/>
  <c r="K45" i="1"/>
  <c r="K390" i="1"/>
  <c r="K1058" i="1"/>
  <c r="K1044" i="1"/>
  <c r="K736" i="1"/>
  <c r="K822" i="1"/>
  <c r="K307" i="1"/>
  <c r="K1134" i="1"/>
  <c r="K947" i="1"/>
  <c r="K747" i="1"/>
  <c r="K663" i="1"/>
  <c r="K413" i="1"/>
  <c r="K61" i="1"/>
  <c r="K210" i="1"/>
  <c r="K497" i="1"/>
  <c r="K1037" i="1"/>
  <c r="K1185" i="1"/>
  <c r="K352" i="1"/>
  <c r="K520" i="1"/>
  <c r="K1229" i="1"/>
  <c r="K208" i="1"/>
  <c r="K493" i="1"/>
  <c r="K639" i="1"/>
  <c r="K95" i="1"/>
  <c r="K106" i="1"/>
  <c r="K125" i="1"/>
  <c r="K653" i="1"/>
  <c r="K507" i="1"/>
  <c r="K573" i="1"/>
  <c r="K143" i="1"/>
  <c r="K643" i="1"/>
  <c r="K538" i="1"/>
  <c r="K744" i="1"/>
  <c r="K1046" i="1"/>
  <c r="K430" i="1"/>
  <c r="K285" i="1"/>
  <c r="K199" i="1"/>
  <c r="K960" i="1"/>
  <c r="K1167" i="1"/>
  <c r="K831" i="1"/>
  <c r="K1053" i="1"/>
  <c r="K701" i="1"/>
  <c r="K630" i="1"/>
  <c r="K616" i="1"/>
  <c r="K71" i="1"/>
  <c r="K610" i="1"/>
  <c r="K131" i="1"/>
  <c r="K207" i="1"/>
  <c r="K234" i="1"/>
  <c r="K1216" i="1"/>
  <c r="K939" i="1"/>
  <c r="K202" i="1"/>
  <c r="K1004" i="1"/>
  <c r="K1052" i="1"/>
  <c r="K21" i="1"/>
  <c r="K971" i="1"/>
  <c r="K677" i="1"/>
  <c r="K1001" i="1"/>
  <c r="K458" i="1"/>
  <c r="K936" i="1"/>
  <c r="K547" i="1"/>
  <c r="K223" i="1"/>
  <c r="K1252" i="1"/>
  <c r="K169" i="1"/>
  <c r="K607" i="1"/>
  <c r="K1173" i="1"/>
  <c r="K1190" i="1"/>
  <c r="K170" i="1"/>
  <c r="K347" i="1"/>
  <c r="K1219" i="1"/>
  <c r="K750" i="1"/>
  <c r="K901" i="1"/>
  <c r="K155" i="1"/>
  <c r="K323" i="1"/>
  <c r="K104" i="1"/>
  <c r="K1200" i="1"/>
  <c r="K1149" i="1"/>
  <c r="K359" i="1"/>
  <c r="K1113" i="1"/>
  <c r="K1224" i="1"/>
  <c r="K757" i="1"/>
  <c r="K217" i="1"/>
  <c r="K895" i="1"/>
  <c r="K568" i="1"/>
  <c r="K912" i="1"/>
  <c r="K189" i="1"/>
  <c r="K1176" i="1"/>
  <c r="K445" i="1"/>
  <c r="K237" i="1"/>
  <c r="K621" i="1"/>
  <c r="K278" i="1"/>
  <c r="K565" i="1"/>
  <c r="K78" i="1"/>
  <c r="K416" i="1"/>
  <c r="K7" i="1"/>
  <c r="K419" i="1"/>
  <c r="K861" i="1"/>
  <c r="K1057" i="1"/>
  <c r="K597" i="1"/>
  <c r="K713" i="1"/>
  <c r="K161" i="1"/>
  <c r="K595" i="1"/>
  <c r="K412" i="1"/>
  <c r="K746" i="1"/>
  <c r="K6" i="1"/>
  <c r="K1266" i="1"/>
  <c r="K938" i="1"/>
  <c r="K453" i="1"/>
  <c r="K606" i="1"/>
  <c r="K1015" i="1"/>
  <c r="K778" i="1"/>
  <c r="K422" i="1"/>
  <c r="K1218" i="1"/>
  <c r="K689" i="1"/>
  <c r="K522" i="1"/>
  <c r="K5" i="1"/>
  <c r="K441" i="1"/>
  <c r="K294" i="1"/>
  <c r="K1142" i="1"/>
  <c r="K1063" i="1"/>
  <c r="K977" i="1"/>
  <c r="K1041" i="1"/>
  <c r="K467" i="1"/>
  <c r="K300" i="1"/>
  <c r="K516" i="1"/>
  <c r="K338" i="1"/>
  <c r="K1209" i="1"/>
  <c r="K1111" i="1"/>
  <c r="K156" i="1"/>
  <c r="K479" i="1"/>
  <c r="K415" i="1"/>
  <c r="K741" i="1"/>
  <c r="K229" i="1"/>
  <c r="K378" i="1"/>
  <c r="K100" i="1"/>
  <c r="K1119" i="1"/>
  <c r="K1223" i="1"/>
  <c r="K1271" i="1"/>
  <c r="K880" i="1"/>
  <c r="K484" i="1"/>
  <c r="K727" i="1"/>
  <c r="K830" i="1"/>
  <c r="K289" i="1"/>
  <c r="K49" i="1"/>
  <c r="K523" i="1"/>
  <c r="K421" i="1"/>
  <c r="K281" i="1"/>
  <c r="K818" i="1"/>
  <c r="K478" i="1"/>
  <c r="K735" i="1"/>
  <c r="K875" i="1"/>
  <c r="K262" i="1"/>
  <c r="K946" i="1"/>
  <c r="K492" i="1"/>
  <c r="K1226" i="1"/>
  <c r="K546" i="1"/>
  <c r="K553" i="1"/>
  <c r="K181" i="1"/>
  <c r="K10" i="1"/>
  <c r="K137" i="1"/>
  <c r="K460" i="1"/>
  <c r="K732" i="1"/>
  <c r="K174" i="1"/>
  <c r="K797" i="1"/>
  <c r="K552" i="1"/>
  <c r="K989" i="1"/>
  <c r="K452" i="1"/>
  <c r="K545" i="1"/>
  <c r="K65" i="1"/>
  <c r="K70" i="1"/>
  <c r="K369" i="1"/>
  <c r="K589" i="1"/>
  <c r="K167" i="1"/>
  <c r="K439" i="1"/>
  <c r="K469" i="1"/>
  <c r="K1025" i="1"/>
  <c r="K166" i="1"/>
  <c r="K982" i="1"/>
  <c r="K1131" i="1"/>
  <c r="K295" i="1"/>
  <c r="K92" i="1"/>
  <c r="K17" i="1"/>
  <c r="K1077" i="1"/>
  <c r="K448" i="1"/>
  <c r="K815" i="1"/>
  <c r="K510" i="1"/>
  <c r="K825" i="1"/>
  <c r="K683" i="1"/>
  <c r="K1062" i="1"/>
  <c r="K247" i="1"/>
  <c r="K894" i="1"/>
  <c r="K537" i="1"/>
  <c r="K438" i="1"/>
  <c r="K878" i="1"/>
  <c r="K214" i="1"/>
  <c r="K841" i="1"/>
  <c r="K31" i="1"/>
  <c r="K1195" i="1"/>
  <c r="K536" i="1"/>
  <c r="K1258" i="1"/>
  <c r="K682" i="1"/>
  <c r="K564" i="1"/>
  <c r="K652" i="1"/>
  <c r="K759" i="1"/>
  <c r="K353" i="1"/>
  <c r="K945" i="1"/>
  <c r="K435" i="1"/>
  <c r="K36" i="1"/>
  <c r="K656" i="1"/>
  <c r="K1270" i="1"/>
  <c r="K666" i="1"/>
  <c r="K472" i="1"/>
  <c r="K922" i="1"/>
  <c r="K1086" i="1"/>
  <c r="K1255" i="1"/>
  <c r="K767" i="1"/>
  <c r="K1098" i="1"/>
  <c r="K118" i="1"/>
  <c r="K1010" i="1"/>
  <c r="K87" i="1"/>
  <c r="K642" i="1"/>
  <c r="K641" i="1"/>
  <c r="K1198" i="1"/>
  <c r="K327" i="1"/>
  <c r="K1027" i="1"/>
  <c r="K64" i="1"/>
  <c r="K1228" i="1"/>
  <c r="K230" i="1"/>
  <c r="K731" i="1"/>
  <c r="K860" i="1"/>
  <c r="K355" i="1"/>
  <c r="K389" i="1"/>
  <c r="K871" i="1"/>
  <c r="K697" i="1"/>
  <c r="K1040" i="1"/>
  <c r="K821" i="1"/>
  <c r="K935" i="1"/>
  <c r="K491" i="1"/>
  <c r="K651" i="1"/>
  <c r="K1254" i="1"/>
  <c r="K371" i="1"/>
  <c r="K824" i="1"/>
  <c r="K937" i="1"/>
  <c r="K429" i="1"/>
  <c r="K164" i="1"/>
  <c r="K855" i="1"/>
  <c r="K268" i="1"/>
  <c r="K842" i="1"/>
  <c r="K60" i="1"/>
  <c r="K685" i="1"/>
  <c r="K457" i="1"/>
  <c r="K1107" i="1"/>
  <c r="K662" i="1"/>
  <c r="K405" i="1"/>
  <c r="K693" i="1"/>
  <c r="K994" i="1"/>
  <c r="K676" i="1"/>
  <c r="K920" i="1"/>
  <c r="K761" i="1"/>
  <c r="K601" i="1"/>
  <c r="K178" i="1"/>
  <c r="K1143" i="1"/>
  <c r="K114" i="1"/>
  <c r="K911" i="1"/>
  <c r="K1085" i="1"/>
  <c r="K1235" i="1"/>
  <c r="K86" i="1"/>
  <c r="K489" i="1"/>
  <c r="K1017" i="1"/>
  <c r="K1245" i="1"/>
  <c r="K900" i="1"/>
  <c r="K814" i="1"/>
  <c r="K681" i="1"/>
  <c r="K976" i="1"/>
  <c r="K465" i="1"/>
  <c r="K913" i="1"/>
  <c r="K490" i="1"/>
  <c r="K1244" i="1"/>
  <c r="K664" i="1"/>
  <c r="K791" i="1"/>
  <c r="K638" i="1"/>
  <c r="K344" i="1"/>
  <c r="K1193" i="1"/>
  <c r="K30" i="1"/>
  <c r="K160" i="1"/>
  <c r="K1051" i="1"/>
  <c r="K542" i="1"/>
  <c r="K233" i="1"/>
  <c r="K138" i="1"/>
  <c r="K615" i="1"/>
  <c r="K399" i="1"/>
  <c r="K364" i="1"/>
  <c r="K1043" i="1"/>
  <c r="K619" i="1"/>
  <c r="K1122" i="1"/>
  <c r="K363" i="1"/>
  <c r="K717" i="1"/>
  <c r="K1217" i="1"/>
  <c r="K981" i="1"/>
  <c r="K503" i="1"/>
  <c r="K272" i="1"/>
  <c r="K671" i="1"/>
  <c r="K261" i="1"/>
  <c r="K801" i="1"/>
  <c r="K980" i="1"/>
  <c r="K196" i="1"/>
  <c r="K206" i="1"/>
  <c r="K75" i="1"/>
  <c r="K970" i="1"/>
  <c r="K67" i="1"/>
  <c r="K1222" i="1"/>
  <c r="K1091" i="1"/>
  <c r="K494" i="1"/>
  <c r="K1152" i="1"/>
  <c r="K1003" i="1"/>
  <c r="K149" i="1"/>
  <c r="K1243" i="1"/>
  <c r="K599" i="1"/>
  <c r="K129" i="1"/>
  <c r="K213" i="1"/>
  <c r="K377" i="1"/>
  <c r="K1095" i="1"/>
  <c r="K906" i="1"/>
  <c r="K258" i="1"/>
  <c r="K540" i="1"/>
  <c r="K506" i="1"/>
  <c r="K342" i="1"/>
  <c r="K675" i="1"/>
  <c r="K840" i="1"/>
  <c r="K1100" i="1"/>
  <c r="K1189" i="1"/>
  <c r="K582" i="1"/>
  <c r="K110" i="1"/>
  <c r="K918" i="1"/>
  <c r="K35" i="1"/>
  <c r="K1269" i="1"/>
  <c r="K1208" i="1"/>
  <c r="K646" i="1"/>
  <c r="K1264" i="1"/>
  <c r="K408" i="1"/>
  <c r="K381" i="1"/>
  <c r="K1242" i="1"/>
  <c r="K216" i="1"/>
  <c r="K793" i="1"/>
  <c r="K790" i="1"/>
  <c r="K1084" i="1"/>
  <c r="K1161" i="1"/>
  <c r="K55" i="1"/>
  <c r="K481" i="1"/>
  <c r="K1154" i="1"/>
  <c r="K221" i="1"/>
  <c r="K712" i="1"/>
  <c r="K1080" i="1"/>
  <c r="K316" i="1"/>
  <c r="K44" i="1"/>
  <c r="K1251" i="1"/>
  <c r="K192" i="1"/>
  <c r="K1056" i="1"/>
  <c r="K1156" i="1"/>
  <c r="K1112" i="1"/>
  <c r="K1206" i="1"/>
  <c r="K1127" i="1"/>
  <c r="K81" i="1"/>
  <c r="K374" i="1"/>
  <c r="K1064" i="1"/>
  <c r="K195" i="1"/>
  <c r="K579" i="1"/>
  <c r="K525" i="1"/>
  <c r="K1061" i="1"/>
  <c r="K43" i="1"/>
  <c r="K802" i="1"/>
  <c r="K84" i="1"/>
  <c r="K531" i="1"/>
  <c r="K576" i="1"/>
  <c r="K1071" i="1"/>
  <c r="K1207" i="1"/>
  <c r="K74" i="1"/>
  <c r="K684" i="1"/>
  <c r="K600" i="1"/>
  <c r="K535" i="1"/>
  <c r="K1231" i="1"/>
  <c r="K1108" i="1"/>
  <c r="K38" i="1"/>
  <c r="K862" i="1"/>
  <c r="K605" i="1"/>
  <c r="K770" i="1"/>
  <c r="K609" i="1"/>
  <c r="K637" i="1"/>
  <c r="K383" i="1"/>
  <c r="K379" i="1"/>
  <c r="K388" i="1"/>
  <c r="K29" i="1"/>
  <c r="K594" i="1"/>
  <c r="K368" i="1"/>
  <c r="K418" i="1"/>
  <c r="K336" i="1"/>
  <c r="K148" i="1"/>
  <c r="K633" i="1"/>
  <c r="K306" i="1"/>
  <c r="K335" i="1"/>
  <c r="K424" i="1"/>
  <c r="K1153" i="1"/>
  <c r="K48" i="1"/>
  <c r="K648" i="1"/>
  <c r="K205" i="1"/>
  <c r="K734" i="1"/>
  <c r="K623" i="1"/>
  <c r="K1268" i="1"/>
  <c r="K1230" i="1"/>
  <c r="K575" i="1"/>
  <c r="K443" i="1"/>
  <c r="K1089" i="1"/>
  <c r="K588" i="1"/>
  <c r="K865" i="1"/>
  <c r="K504" i="1"/>
  <c r="K151" i="1"/>
  <c r="K80" i="1"/>
  <c r="K1202" i="1"/>
  <c r="K1259" i="1"/>
  <c r="K838" i="1"/>
  <c r="K407" i="1"/>
  <c r="K1194" i="1"/>
  <c r="K387" i="1"/>
  <c r="K312" i="1"/>
  <c r="K1261" i="1"/>
  <c r="K627" i="1"/>
  <c r="K1263" i="1"/>
  <c r="K567" i="1"/>
  <c r="K298" i="1"/>
  <c r="K83" i="1"/>
  <c r="K654" i="1"/>
  <c r="K846" i="1"/>
  <c r="K488" i="1"/>
  <c r="K33" i="1"/>
  <c r="K585" i="1"/>
  <c r="K267" i="1"/>
  <c r="K194" i="1"/>
  <c r="K1020" i="1"/>
  <c r="K967" i="1"/>
  <c r="K373" i="1"/>
  <c r="K805" i="1"/>
  <c r="K753" i="1"/>
  <c r="K276" i="1"/>
  <c r="K417" i="1"/>
  <c r="K25" i="1"/>
  <c r="K1014" i="1"/>
  <c r="K496" i="1"/>
  <c r="K986" i="1"/>
  <c r="K784" i="1"/>
  <c r="K201" i="1"/>
  <c r="K426" i="1"/>
  <c r="K464" i="1"/>
  <c r="K866" i="1"/>
  <c r="K891" i="1"/>
  <c r="K122" i="1"/>
  <c r="K20" i="1"/>
  <c r="K549" i="1"/>
  <c r="K1203" i="1"/>
  <c r="K847" i="1"/>
  <c r="K341" i="1"/>
  <c r="K372" i="1"/>
  <c r="K877" i="1"/>
  <c r="K1139" i="1"/>
  <c r="K1000" i="1"/>
  <c r="K1205" i="1"/>
  <c r="K817" i="1"/>
  <c r="K63" i="1"/>
  <c r="K511" i="1"/>
  <c r="K783" i="1"/>
  <c r="K957" i="1"/>
  <c r="K541" i="1"/>
  <c r="K290" i="1"/>
  <c r="K1275" i="1"/>
  <c r="K804" i="1"/>
  <c r="K19" i="1"/>
  <c r="K136" i="1"/>
  <c r="K297" i="1"/>
  <c r="K820" i="1"/>
  <c r="K667" i="1"/>
  <c r="K1267" i="1"/>
  <c r="K519" i="1"/>
  <c r="K188" i="1"/>
  <c r="K59" i="1"/>
  <c r="K903" i="1"/>
  <c r="K271" i="1"/>
  <c r="K587" i="1"/>
  <c r="K386" i="1"/>
  <c r="K322" i="1"/>
  <c r="K819" i="1"/>
  <c r="K191" i="1"/>
  <c r="K851" i="1"/>
  <c r="K1211" i="1"/>
  <c r="K953" i="1"/>
  <c r="K128" i="1"/>
  <c r="K563" i="1"/>
  <c r="K313" i="1"/>
  <c r="K707" i="1"/>
  <c r="K468" i="1"/>
  <c r="K700" i="1"/>
  <c r="K624" i="1"/>
  <c r="K800" i="1"/>
  <c r="K76" i="1"/>
  <c r="K859" i="1"/>
  <c r="K334" i="1"/>
  <c r="K661" i="1"/>
  <c r="K354" i="1"/>
  <c r="K691" i="1"/>
  <c r="K437" i="1"/>
  <c r="K1049" i="1"/>
  <c r="K311" i="1"/>
  <c r="K711" i="1"/>
  <c r="K1239" i="1"/>
  <c r="K1094" i="1"/>
  <c r="K280" i="1"/>
  <c r="K376" i="1"/>
  <c r="K544" i="1"/>
  <c r="K996" i="1"/>
  <c r="K463" i="1"/>
  <c r="K1104" i="1"/>
  <c r="K562" i="1"/>
  <c r="K225" i="1"/>
  <c r="K101" i="1"/>
  <c r="K924" i="1"/>
  <c r="K776" i="1"/>
  <c r="K14" i="1"/>
  <c r="K487" i="1"/>
  <c r="K584" i="1"/>
  <c r="K975" i="1"/>
  <c r="K1038" i="1"/>
  <c r="K566" i="1"/>
  <c r="K963" i="1"/>
  <c r="K1234" i="1"/>
  <c r="K96" i="1"/>
  <c r="K696" i="1"/>
  <c r="K58" i="1"/>
  <c r="K670" i="1"/>
  <c r="K358" i="1"/>
  <c r="K810" i="1"/>
  <c r="K985" i="1"/>
  <c r="K266" i="1"/>
  <c r="K1002" i="1"/>
  <c r="K1118" i="1"/>
  <c r="K398" i="1"/>
  <c r="K850" i="1"/>
  <c r="K756" i="1"/>
  <c r="K279" i="1"/>
  <c r="K332" i="1"/>
  <c r="K724" i="1"/>
  <c r="K874" i="1"/>
  <c r="K420" i="1"/>
  <c r="K917" i="1"/>
  <c r="K13" i="1"/>
  <c r="K1019" i="1"/>
  <c r="K530" i="1"/>
  <c r="K618" i="1"/>
  <c r="K704" i="1"/>
  <c r="K1126" i="1"/>
  <c r="K109" i="1"/>
  <c r="K719" i="1"/>
  <c r="K789" i="1"/>
  <c r="K476" i="1"/>
  <c r="K265" i="1"/>
  <c r="K12" i="1"/>
  <c r="K123" i="1"/>
  <c r="K212" i="1"/>
  <c r="K799" i="1"/>
  <c r="K1257" i="1"/>
  <c r="K873" i="1"/>
  <c r="K1138" i="1"/>
  <c r="K121" i="1"/>
  <c r="K1109" i="1"/>
  <c r="K775" i="1"/>
  <c r="K929" i="1"/>
  <c r="K1067" i="1"/>
  <c r="K1039" i="1"/>
  <c r="K99" i="1"/>
  <c r="K1036" i="1"/>
  <c r="K171" i="1"/>
  <c r="K270" i="1"/>
  <c r="K583" i="1"/>
  <c r="K73" i="1"/>
  <c r="K1115" i="1"/>
  <c r="K934" i="1"/>
  <c r="K259" i="1"/>
  <c r="K135" i="1"/>
  <c r="K964" i="1"/>
  <c r="K984" i="1"/>
  <c r="K1165" i="1"/>
  <c r="K321" i="1"/>
  <c r="K124" i="1"/>
  <c r="K1178" i="1"/>
  <c r="K1133" i="1"/>
  <c r="K844" i="1"/>
  <c r="K357" i="1"/>
  <c r="K1093" i="1"/>
  <c r="K803" i="1"/>
  <c r="K833" i="1"/>
  <c r="K1197" i="1"/>
  <c r="K835" i="1"/>
  <c r="K246" i="1"/>
  <c r="K250" i="1"/>
  <c r="K870" i="1"/>
  <c r="K1103" i="1"/>
  <c r="K570" i="1"/>
  <c r="K723" i="1"/>
  <c r="K1018" i="1"/>
  <c r="K1160" i="1"/>
  <c r="K9" i="1"/>
  <c r="K993" i="1"/>
  <c r="K1246" i="1"/>
  <c r="K423" i="1"/>
  <c r="K134" i="1"/>
  <c r="K462" i="1"/>
  <c r="K303" i="1"/>
  <c r="K1188" i="1"/>
  <c r="K310" i="1"/>
  <c r="K52" i="1"/>
  <c r="K251" i="1"/>
  <c r="K1035" i="1"/>
  <c r="K42" i="1"/>
  <c r="K966" i="1"/>
  <c r="K346" i="1"/>
  <c r="K1184" i="1"/>
  <c r="K529" i="1"/>
  <c r="K944" i="1"/>
  <c r="K370" i="1"/>
  <c r="K959" i="1"/>
  <c r="K1090" i="1"/>
  <c r="K1225" i="1"/>
  <c r="K1130" i="1"/>
  <c r="K528" i="1"/>
  <c r="K34" i="1"/>
  <c r="K428" i="1"/>
  <c r="K351" i="1"/>
  <c r="K69" i="1"/>
  <c r="K1158" i="1"/>
  <c r="K738" i="1"/>
  <c r="K57" i="1"/>
  <c r="K882" i="1"/>
  <c r="K1032" i="1"/>
  <c r="K242" i="1"/>
  <c r="K1249" i="1"/>
  <c r="K1121" i="1"/>
  <c r="K320" i="1"/>
  <c r="K943" i="1"/>
  <c r="K440" i="1"/>
  <c r="K1204" i="1"/>
  <c r="K632" i="1"/>
  <c r="K992" i="1"/>
  <c r="K486" i="1"/>
  <c r="K103" i="1"/>
  <c r="K593" i="1"/>
  <c r="K1148" i="1"/>
  <c r="K241" i="1"/>
  <c r="K521" i="1"/>
  <c r="K1034" i="1"/>
  <c r="K89" i="1"/>
  <c r="K1008" i="1"/>
  <c r="K495" i="1"/>
  <c r="K68" i="1"/>
  <c r="K39" i="1"/>
  <c r="K1201" i="1"/>
  <c r="K796" i="1"/>
  <c r="K1102" i="1"/>
  <c r="K1125" i="1"/>
  <c r="K257" i="1"/>
  <c r="K309" i="1"/>
  <c r="K574" i="1"/>
  <c r="K526" i="1"/>
  <c r="K965" i="1"/>
  <c r="K187" i="1"/>
  <c r="K928" i="1"/>
  <c r="K1072" i="1"/>
  <c r="K173" i="1"/>
  <c r="K1105" i="1"/>
  <c r="K140" i="1"/>
  <c r="K809" i="1"/>
  <c r="K808" i="1"/>
  <c r="K228" i="1"/>
  <c r="K1030" i="1"/>
  <c r="K483" i="1"/>
  <c r="K956" i="1"/>
  <c r="K198" i="1"/>
  <c r="K406" i="1"/>
  <c r="K1012" i="1"/>
  <c r="K614" i="1"/>
  <c r="K340" i="1"/>
  <c r="K890" i="1"/>
  <c r="K51" i="1"/>
  <c r="K1016" i="1"/>
  <c r="K1166" i="1"/>
  <c r="K1070" i="1"/>
  <c r="K220" i="1"/>
  <c r="K219" i="1"/>
  <c r="K204" i="1"/>
  <c r="K397" i="1"/>
  <c r="K293" i="1"/>
  <c r="K534" i="1"/>
  <c r="K331" i="1"/>
  <c r="K698" i="1"/>
  <c r="K962" i="1"/>
  <c r="K146" i="1"/>
  <c r="K62" i="1"/>
  <c r="K1187" i="1"/>
  <c r="K777" i="1"/>
  <c r="K916" i="1"/>
  <c r="K403" i="1"/>
  <c r="K858" i="1"/>
  <c r="K893" i="1"/>
  <c r="K150" i="1"/>
  <c r="K813" i="1"/>
  <c r="K18" i="1"/>
  <c r="K927" i="1"/>
  <c r="K375" i="1"/>
  <c r="K571" i="1"/>
  <c r="K645" i="1"/>
  <c r="K743" i="1"/>
  <c r="K881" i="1"/>
  <c r="K168" i="1"/>
  <c r="K1137" i="1"/>
  <c r="K807" i="1"/>
  <c r="K636" i="1"/>
  <c r="K1146" i="1"/>
  <c r="K1157" i="1"/>
  <c r="K263" i="1"/>
  <c r="K1164" i="1"/>
  <c r="K315" i="1"/>
  <c r="K845" i="1"/>
  <c r="K499" i="1"/>
  <c r="K771" i="1"/>
  <c r="K832" i="1"/>
  <c r="K337" i="1"/>
  <c r="K695" i="1"/>
  <c r="K1260" i="1"/>
  <c r="K745" i="1"/>
  <c r="K658" i="1"/>
  <c r="K998" i="1"/>
  <c r="K955" i="1"/>
  <c r="K1029" i="1"/>
  <c r="K16" i="1"/>
  <c r="K983" i="1"/>
  <c r="K869" i="1"/>
  <c r="K620" i="1"/>
  <c r="K113" i="1"/>
  <c r="K812" i="1"/>
  <c r="K447" i="1"/>
  <c r="K1073" i="1"/>
  <c r="K227" i="1"/>
  <c r="K754" i="1"/>
  <c r="K1221" i="1"/>
  <c r="K1180" i="1"/>
  <c r="K923" i="1"/>
  <c r="K1262" i="1"/>
  <c r="K876" i="1"/>
  <c r="K889" i="1"/>
  <c r="K275" i="1"/>
  <c r="K436" i="1"/>
  <c r="K41" i="1"/>
  <c r="K1099" i="1"/>
  <c r="K622" i="1"/>
  <c r="K1168" i="1"/>
  <c r="K339" i="1"/>
  <c r="K72" i="1"/>
  <c r="K613" i="1"/>
  <c r="K209" i="1"/>
  <c r="K694" i="1"/>
  <c r="K828" i="1"/>
  <c r="K367" i="1"/>
  <c r="K77" i="1"/>
  <c r="K760" i="1"/>
  <c r="K730" i="1"/>
  <c r="K79" i="1"/>
  <c r="K471" i="1"/>
  <c r="K995" i="1"/>
  <c r="K350" i="1"/>
  <c r="K120" i="1"/>
  <c r="K1250" i="1"/>
  <c r="K849" i="1"/>
  <c r="K1145" i="1"/>
  <c r="K193" i="1"/>
  <c r="K581" i="1"/>
  <c r="K356" i="1"/>
  <c r="K1136" i="1"/>
  <c r="K1179" i="1"/>
  <c r="K1141" i="1"/>
  <c r="K737" i="1"/>
  <c r="K742" i="1"/>
  <c r="K792" i="1"/>
  <c r="K722" i="1"/>
  <c r="K226" i="1"/>
  <c r="K393" i="1"/>
  <c r="K926" i="1"/>
  <c r="K1144" i="1"/>
  <c r="K1117" i="1"/>
  <c r="K726" i="1"/>
  <c r="K554" i="1"/>
  <c r="K782" i="1"/>
  <c r="K591" i="1"/>
  <c r="K774" i="1"/>
  <c r="K950" i="1"/>
  <c r="K98" i="1"/>
  <c r="K572" i="1"/>
  <c r="K255" i="1"/>
  <c r="K1147" i="1"/>
  <c r="K539" i="1"/>
  <c r="K798" i="1"/>
  <c r="K183" i="1"/>
  <c r="K864" i="1"/>
  <c r="K1007" i="1"/>
  <c r="K147" i="1"/>
  <c r="K394" i="1"/>
  <c r="K690" i="1"/>
  <c r="K1024" i="1"/>
  <c r="K1060" i="1"/>
  <c r="K314" i="1"/>
  <c r="K788" i="1"/>
  <c r="K325" i="1"/>
  <c r="K649" i="1"/>
  <c r="K868" i="1"/>
  <c r="K56" i="1"/>
  <c r="K319" i="1"/>
  <c r="K186" i="1"/>
  <c r="K1256" i="1"/>
  <c r="K409" i="1"/>
  <c r="K854" i="1"/>
  <c r="K282" i="1"/>
  <c r="K716" i="1"/>
  <c r="K1199" i="1"/>
  <c r="K1123" i="1"/>
  <c r="K26" i="1"/>
  <c r="K1215" i="1"/>
  <c r="K657" i="1"/>
  <c r="K524" i="1"/>
  <c r="K1054" i="1"/>
  <c r="K240" i="1"/>
  <c r="K502" i="1"/>
  <c r="K1116" i="1"/>
  <c r="K256" i="1"/>
  <c r="K1132" i="1"/>
  <c r="K1172" i="1"/>
  <c r="K112" i="1"/>
  <c r="K729" i="1"/>
  <c r="K172" i="1"/>
  <c r="K461" i="1"/>
  <c r="K1171" i="1"/>
  <c r="K159" i="1"/>
  <c r="K8" i="1"/>
  <c r="K163" i="1"/>
  <c r="K551" i="1"/>
  <c r="K1183" i="1"/>
  <c r="K762" i="1"/>
  <c r="K780" i="1"/>
  <c r="K269" i="1"/>
  <c r="K165" i="1"/>
  <c r="K252" i="1"/>
  <c r="K1031" i="1"/>
  <c r="K640" i="1"/>
  <c r="K933" i="1"/>
  <c r="K733" i="1"/>
  <c r="K942" i="1"/>
  <c r="K402" i="1"/>
  <c r="K1023" i="1"/>
  <c r="K470" i="1"/>
  <c r="K380" i="1"/>
  <c r="K1212" i="1"/>
  <c r="K665" i="1"/>
  <c r="K1196" i="1"/>
  <c r="K991" i="1"/>
  <c r="K556" i="1"/>
  <c r="K888" i="1"/>
  <c r="K543" i="1"/>
  <c r="K974" i="1"/>
  <c r="K823" i="1"/>
  <c r="K631" i="1"/>
  <c r="K692" i="1"/>
  <c r="K1011" i="1"/>
  <c r="K680" i="1"/>
  <c r="K915" i="1"/>
  <c r="K362" i="1"/>
  <c r="K318" i="1"/>
  <c r="K15" i="1"/>
  <c r="K509" i="1"/>
  <c r="K769" i="1"/>
  <c r="K343" i="1"/>
  <c r="K892" i="1"/>
  <c r="K910" i="1"/>
  <c r="K326" i="1"/>
  <c r="K518" i="1"/>
  <c r="K455" i="1"/>
  <c r="K853" i="1"/>
  <c r="K385" i="1"/>
  <c r="K236" i="1"/>
  <c r="K1274" i="1"/>
  <c r="K82" i="1"/>
  <c r="K1182" i="1"/>
  <c r="K482" i="1"/>
  <c r="K305" i="1"/>
  <c r="K1083" i="1"/>
  <c r="K674" i="1"/>
  <c r="K751" i="1"/>
  <c r="K899" i="1"/>
  <c r="K154" i="1"/>
  <c r="K1005" i="1"/>
  <c r="K848" i="1"/>
  <c r="K54" i="1"/>
  <c r="K961" i="1"/>
  <c r="K102" i="1"/>
  <c r="K527" i="1"/>
  <c r="K184" i="1"/>
  <c r="K1151" i="1"/>
  <c r="K561" i="1"/>
  <c r="K1066" i="1"/>
  <c r="K590" i="1"/>
  <c r="K211" i="1"/>
  <c r="K284" i="1"/>
  <c r="K277" i="1"/>
  <c r="K1233" i="1"/>
  <c r="K500" i="1"/>
  <c r="K898" i="1"/>
  <c r="K1175" i="1"/>
  <c r="K433" i="1"/>
  <c r="K857" i="1"/>
  <c r="K1097" i="1"/>
  <c r="K238" i="1"/>
  <c r="K1129" i="1"/>
  <c r="K560" i="1"/>
  <c r="K456" i="1"/>
  <c r="K548" i="1"/>
  <c r="K969" i="1"/>
  <c r="K1170" i="1"/>
  <c r="K292" i="1"/>
  <c r="K1181" i="1"/>
  <c r="K952" i="1"/>
  <c r="K766" i="1"/>
  <c r="K629" i="1"/>
  <c r="K919" i="1"/>
  <c r="K366" i="1"/>
  <c r="K97" i="1"/>
  <c r="K162" i="1"/>
  <c r="K133" i="1"/>
  <c r="K254" i="1"/>
  <c r="K765" i="1"/>
  <c r="K480" i="1"/>
  <c r="K887" i="1"/>
  <c r="K446" i="1"/>
  <c r="K24" i="1"/>
  <c r="K127" i="1"/>
  <c r="K715" i="1"/>
  <c r="K749" i="1"/>
  <c r="K679" i="1"/>
  <c r="K786" i="1"/>
  <c r="K608" i="1"/>
  <c r="K260" i="1"/>
  <c r="K699" i="1"/>
  <c r="K158" i="1"/>
  <c r="K1076" i="1"/>
  <c r="K644" i="1"/>
  <c r="K427" i="1"/>
  <c r="K596" i="1"/>
  <c r="K1022" i="1"/>
  <c r="K1232" i="1"/>
  <c r="K330" i="1"/>
  <c r="K328" i="1"/>
  <c r="K660" i="1"/>
  <c r="K505" i="1"/>
  <c r="K1069" i="1"/>
  <c r="K105" i="1"/>
  <c r="K432" i="1"/>
  <c r="K392" i="1"/>
  <c r="K1155" i="1"/>
  <c r="K1013" i="1"/>
  <c r="K442" i="1"/>
  <c r="K672" i="1"/>
  <c r="K752" i="1"/>
  <c r="K1140" i="1"/>
  <c r="K748" i="1"/>
  <c r="K1241" i="1"/>
  <c r="K706" i="1"/>
  <c r="K659" i="1"/>
  <c r="K781" i="1"/>
  <c r="K951" i="1"/>
  <c r="K604" i="1"/>
  <c r="K867" i="1"/>
  <c r="K999" i="1"/>
  <c r="K902" i="1"/>
  <c r="K806" i="1"/>
  <c r="K598" i="1"/>
  <c r="K243" i="1"/>
  <c r="K827" i="1"/>
  <c r="K586" i="1"/>
  <c r="K785" i="1"/>
  <c r="K249" i="1"/>
  <c r="K612" i="1"/>
  <c r="K517" i="1"/>
  <c r="K66" i="1"/>
  <c r="K1055" i="1"/>
  <c r="K244" i="1"/>
  <c r="K925" i="1"/>
  <c r="K1177" i="1"/>
  <c r="K979" i="1"/>
  <c r="K703" i="1"/>
  <c r="K787" i="1"/>
  <c r="K1174" i="1"/>
  <c r="K1042" i="1"/>
  <c r="K705" i="1"/>
  <c r="K512" i="1"/>
  <c r="K626" i="1"/>
  <c r="K215" i="1"/>
  <c r="K1079" i="1"/>
  <c r="K28" i="1"/>
  <c r="K940" i="1"/>
  <c r="K886" i="1"/>
  <c r="K816" i="1"/>
  <c r="K709" i="1"/>
  <c r="K414" i="1"/>
  <c r="K317" i="1"/>
  <c r="K232" i="1"/>
  <c r="K988" i="1"/>
  <c r="K1006" i="1"/>
  <c r="K177" i="1"/>
  <c r="K628" i="1"/>
  <c r="K773" i="1"/>
  <c r="K708" i="1"/>
  <c r="K968" i="1"/>
  <c r="K997" i="1"/>
  <c r="K411" i="1"/>
  <c r="K885" i="1"/>
  <c r="K1075" i="1"/>
  <c r="K755" i="1"/>
  <c r="K299" i="1"/>
  <c r="K40" i="1"/>
  <c r="K410" i="1"/>
  <c r="K837" i="1"/>
  <c r="K349" i="1"/>
  <c r="K669" i="1"/>
  <c r="K288" i="1"/>
  <c r="K451" i="1"/>
  <c r="K834" i="1"/>
  <c r="K718" i="1"/>
  <c r="K973" i="1"/>
  <c r="K185" i="1"/>
  <c r="K93" i="1"/>
  <c r="K772" i="1"/>
  <c r="K1240" i="1"/>
  <c r="K978" i="1"/>
  <c r="K329" i="1"/>
  <c r="K142" i="1"/>
  <c r="K141" i="1"/>
  <c r="K264" i="1"/>
  <c r="K291" i="1"/>
  <c r="K23" i="1"/>
  <c r="K1048" i="1"/>
  <c r="K203" i="1"/>
  <c r="K302" i="1"/>
  <c r="K498" i="1"/>
  <c r="K577" i="1"/>
  <c r="K197" i="1"/>
  <c r="K274" i="1"/>
  <c r="K515" i="1"/>
  <c r="K668" i="1"/>
  <c r="K905" i="1"/>
  <c r="K555" i="1"/>
  <c r="K1135" i="1"/>
  <c r="K1169" i="1"/>
  <c r="K1101" i="1"/>
  <c r="K932" i="1"/>
  <c r="K245" i="1"/>
  <c r="K739" i="1"/>
  <c r="K224" i="1"/>
  <c r="K1248" i="1"/>
  <c r="K611" i="1"/>
  <c r="K301" i="1"/>
  <c r="K1045" i="1"/>
  <c r="K655" i="1"/>
  <c r="K32" i="1"/>
  <c r="K852" i="1"/>
  <c r="K1092" i="1"/>
  <c r="K182" i="1"/>
  <c r="K475" i="1"/>
  <c r="K714" i="1"/>
  <c r="K1253" i="1"/>
  <c r="K836" i="1"/>
  <c r="K304" i="1"/>
  <c r="K47" i="1"/>
  <c r="K4" i="1"/>
  <c r="K361" i="1"/>
  <c r="K884" i="1"/>
  <c r="K826" i="1"/>
  <c r="K1078" i="1"/>
  <c r="K949" i="1"/>
  <c r="K179" i="1"/>
  <c r="K222" i="1"/>
  <c r="K1273" i="1"/>
  <c r="K650" i="1"/>
  <c r="K132" i="1"/>
  <c r="K1120" i="1"/>
  <c r="K987" i="1"/>
  <c r="K248" i="1"/>
  <c r="K180" i="1"/>
  <c r="K1210" i="1"/>
  <c r="K688" i="1"/>
  <c r="K1159" i="1"/>
  <c r="K153" i="1"/>
  <c r="K673" i="1"/>
  <c r="K22" i="1"/>
  <c r="K176" i="1"/>
  <c r="K634" i="1"/>
  <c r="K914" i="1"/>
  <c r="K1238" i="1"/>
  <c r="K287" i="1"/>
  <c r="K1088" i="1"/>
  <c r="K1265" i="1"/>
  <c r="K617" i="1"/>
  <c r="K702" i="1"/>
  <c r="K1065" i="1"/>
  <c r="K1191" i="1"/>
  <c r="K721" i="1"/>
  <c r="K990" i="1"/>
  <c r="K972" i="1"/>
  <c r="K425" i="1"/>
  <c r="K795" i="1"/>
  <c r="K1247" i="1"/>
  <c r="K647" i="1"/>
  <c r="K1026" i="1"/>
  <c r="K550" i="1"/>
  <c r="K1021" i="1"/>
  <c r="K635" i="1"/>
  <c r="K477" i="1"/>
  <c r="K94" i="1"/>
  <c r="K904" i="1"/>
  <c r="K382" i="1"/>
  <c r="K1068" i="1"/>
  <c r="K625" i="1"/>
  <c r="K450" i="1"/>
  <c r="K175" i="1"/>
  <c r="K88" i="1"/>
  <c r="K360" i="1"/>
  <c r="K145" i="1"/>
  <c r="K449" i="1"/>
  <c r="K1087" i="1"/>
  <c r="K948" i="1"/>
  <c r="K931" i="1"/>
  <c r="K391" i="1"/>
  <c r="K958" i="1"/>
  <c r="K218" i="1"/>
  <c r="K758" i="1"/>
  <c r="K954" i="1"/>
  <c r="K909" i="1"/>
  <c r="K1033" i="1"/>
  <c r="K1082" i="1"/>
  <c r="K91" i="1"/>
  <c r="K144" i="1"/>
  <c r="K235" i="1"/>
  <c r="K404" i="1"/>
  <c r="K764" i="1"/>
  <c r="K130" i="1"/>
  <c r="K728" i="1"/>
  <c r="K811" i="1"/>
  <c r="K1124" i="1"/>
  <c r="K1009" i="1"/>
  <c r="K1237" i="1"/>
  <c r="K1186" i="1"/>
  <c r="K395" i="1"/>
  <c r="K578" i="1"/>
  <c r="K459" i="1"/>
  <c r="K856" i="1"/>
  <c r="K434" i="1"/>
  <c r="K687" i="1"/>
  <c r="K941" i="1"/>
  <c r="K11" i="1"/>
  <c r="K602" i="1"/>
  <c r="K686" i="1"/>
  <c r="K273" i="1"/>
  <c r="K345" i="1"/>
  <c r="K678" i="1"/>
  <c r="K763" i="1"/>
  <c r="K157" i="1"/>
  <c r="K454" i="1"/>
  <c r="K190" i="1"/>
  <c r="K1047" i="1"/>
  <c r="K1110" i="1"/>
  <c r="K514" i="1"/>
  <c r="K200" i="1"/>
  <c r="K400" i="1"/>
  <c r="K53" i="1"/>
  <c r="K768" i="1"/>
  <c r="K740" i="1"/>
  <c r="K1272" i="1"/>
  <c r="K444" i="1"/>
  <c r="K794" i="1"/>
  <c r="K401" i="1"/>
  <c r="K283" i="1"/>
  <c r="K296" i="1"/>
  <c r="K324" i="1"/>
  <c r="K710" i="1"/>
  <c r="K779" i="1"/>
  <c r="K580" i="1"/>
  <c r="K559" i="1"/>
  <c r="K139" i="1"/>
  <c r="K558" i="1"/>
  <c r="K720" i="1"/>
  <c r="K501" i="1"/>
  <c r="K557" i="1"/>
  <c r="K725" i="1"/>
  <c r="K348" i="1"/>
  <c r="K431" i="1"/>
  <c r="K508" i="1"/>
  <c r="K839" i="1"/>
  <c r="K513" i="1"/>
  <c r="K1081" i="1"/>
  <c r="K879" i="1"/>
  <c r="K90" i="1"/>
  <c r="K384" i="1"/>
  <c r="K921" i="1"/>
  <c r="K308" i="1"/>
  <c r="K829" i="1"/>
  <c r="K37" i="1"/>
  <c r="K108" i="1"/>
  <c r="K27" i="1"/>
  <c r="K239" i="1"/>
  <c r="K365" i="1"/>
  <c r="K1106" i="1"/>
  <c r="K231" i="1"/>
  <c r="K533" i="1"/>
  <c r="K1128" i="1"/>
  <c r="K1050" i="1"/>
  <c r="K152" i="1"/>
  <c r="K843" i="1"/>
  <c r="K930" i="1"/>
  <c r="K46" i="1"/>
  <c r="K286" i="1"/>
  <c r="K1236" i="1"/>
  <c r="K569" i="1"/>
  <c r="H1163" i="1"/>
  <c r="H1162" i="1"/>
  <c r="H115" i="1"/>
  <c r="H1192" i="1"/>
  <c r="H1150" i="1"/>
  <c r="H1096" i="1"/>
  <c r="H117" i="1"/>
  <c r="H253" i="1"/>
  <c r="H126" i="1"/>
  <c r="H396" i="1"/>
  <c r="H116" i="1"/>
  <c r="H119" i="1"/>
  <c r="H1114" i="1"/>
  <c r="H111" i="1"/>
  <c r="H466" i="1"/>
  <c r="H883" i="1"/>
  <c r="H897" i="1"/>
  <c r="H1059" i="1"/>
  <c r="H473" i="1"/>
  <c r="H908" i="1"/>
  <c r="H863" i="1"/>
  <c r="H592" i="1"/>
  <c r="H1214" i="1"/>
  <c r="H907" i="1"/>
  <c r="H85" i="1"/>
  <c r="H333" i="1"/>
  <c r="H872" i="1"/>
  <c r="H1074" i="1"/>
  <c r="H474" i="1"/>
  <c r="H1227" i="1"/>
  <c r="H1220" i="1"/>
  <c r="H603" i="1"/>
  <c r="H1213" i="1"/>
  <c r="H107" i="1"/>
  <c r="H50" i="1"/>
  <c r="H896" i="1"/>
  <c r="H1028" i="1"/>
  <c r="H45" i="1"/>
  <c r="H390" i="1"/>
  <c r="H1058" i="1"/>
  <c r="H1044" i="1"/>
  <c r="H736" i="1"/>
  <c r="H822" i="1"/>
  <c r="H307" i="1"/>
  <c r="H1134" i="1"/>
  <c r="H947" i="1"/>
  <c r="H747" i="1"/>
  <c r="H663" i="1"/>
  <c r="H413" i="1"/>
  <c r="H61" i="1"/>
  <c r="H210" i="1"/>
  <c r="H497" i="1"/>
  <c r="H1037" i="1"/>
  <c r="H1185" i="1"/>
  <c r="H352" i="1"/>
  <c r="H520" i="1"/>
  <c r="H1229" i="1"/>
  <c r="H208" i="1"/>
  <c r="H493" i="1"/>
  <c r="H639" i="1"/>
  <c r="H95" i="1"/>
  <c r="H106" i="1"/>
  <c r="H125" i="1"/>
  <c r="H653" i="1"/>
  <c r="H507" i="1"/>
  <c r="H573" i="1"/>
  <c r="H143" i="1"/>
  <c r="H643" i="1"/>
  <c r="H538" i="1"/>
  <c r="H744" i="1"/>
  <c r="H1046" i="1"/>
  <c r="H430" i="1"/>
  <c r="H285" i="1"/>
  <c r="H199" i="1"/>
  <c r="H960" i="1"/>
  <c r="H1167" i="1"/>
  <c r="H831" i="1"/>
  <c r="H1053" i="1"/>
  <c r="H701" i="1"/>
  <c r="H630" i="1"/>
  <c r="H616" i="1"/>
  <c r="H71" i="1"/>
  <c r="H610" i="1"/>
  <c r="H131" i="1"/>
  <c r="H207" i="1"/>
  <c r="H234" i="1"/>
  <c r="H1216" i="1"/>
  <c r="H939" i="1"/>
  <c r="H202" i="1"/>
  <c r="H1004" i="1"/>
  <c r="H1052" i="1"/>
  <c r="H21" i="1"/>
  <c r="H971" i="1"/>
  <c r="H677" i="1"/>
  <c r="H1001" i="1"/>
  <c r="H458" i="1"/>
  <c r="H936" i="1"/>
  <c r="H547" i="1"/>
  <c r="H223" i="1"/>
  <c r="H1252" i="1"/>
  <c r="H169" i="1"/>
  <c r="H607" i="1"/>
  <c r="H1173" i="1"/>
  <c r="H1190" i="1"/>
  <c r="H170" i="1"/>
  <c r="H347" i="1"/>
  <c r="H1219" i="1"/>
  <c r="H750" i="1"/>
  <c r="H901" i="1"/>
  <c r="H155" i="1"/>
  <c r="H323" i="1"/>
  <c r="H104" i="1"/>
  <c r="H1200" i="1"/>
  <c r="H1149" i="1"/>
  <c r="H359" i="1"/>
  <c r="H1113" i="1"/>
  <c r="H1224" i="1"/>
  <c r="H757" i="1"/>
  <c r="H217" i="1"/>
  <c r="H895" i="1"/>
  <c r="H568" i="1"/>
  <c r="H912" i="1"/>
  <c r="H189" i="1"/>
  <c r="H1176" i="1"/>
  <c r="H445" i="1"/>
  <c r="H237" i="1"/>
  <c r="H621" i="1"/>
  <c r="H278" i="1"/>
  <c r="H565" i="1"/>
  <c r="H78" i="1"/>
  <c r="H416" i="1"/>
  <c r="H7" i="1"/>
  <c r="H419" i="1"/>
  <c r="H861" i="1"/>
  <c r="H1057" i="1"/>
  <c r="H597" i="1"/>
  <c r="H713" i="1"/>
  <c r="H161" i="1"/>
  <c r="H595" i="1"/>
  <c r="H412" i="1"/>
  <c r="H746" i="1"/>
  <c r="H6" i="1"/>
  <c r="H1266" i="1"/>
  <c r="H938" i="1"/>
  <c r="H453" i="1"/>
  <c r="H606" i="1"/>
  <c r="H1015" i="1"/>
  <c r="H778" i="1"/>
  <c r="H422" i="1"/>
  <c r="H1218" i="1"/>
  <c r="H689" i="1"/>
  <c r="H522" i="1"/>
  <c r="H5" i="1"/>
  <c r="H441" i="1"/>
  <c r="H294" i="1"/>
  <c r="H1142" i="1"/>
  <c r="H1063" i="1"/>
  <c r="H977" i="1"/>
  <c r="H1041" i="1"/>
  <c r="H467" i="1"/>
  <c r="H300" i="1"/>
  <c r="H516" i="1"/>
  <c r="H338" i="1"/>
  <c r="H1209" i="1"/>
  <c r="H1111" i="1"/>
  <c r="H156" i="1"/>
  <c r="H479" i="1"/>
  <c r="H415" i="1"/>
  <c r="H741" i="1"/>
  <c r="H229" i="1"/>
  <c r="H378" i="1"/>
  <c r="H100" i="1"/>
  <c r="H1119" i="1"/>
  <c r="H1223" i="1"/>
  <c r="H1271" i="1"/>
  <c r="H880" i="1"/>
  <c r="H484" i="1"/>
  <c r="H727" i="1"/>
  <c r="H830" i="1"/>
  <c r="H289" i="1"/>
  <c r="H49" i="1"/>
  <c r="H523" i="1"/>
  <c r="H421" i="1"/>
  <c r="H281" i="1"/>
  <c r="H818" i="1"/>
  <c r="H478" i="1"/>
  <c r="H735" i="1"/>
  <c r="H875" i="1"/>
  <c r="H262" i="1"/>
  <c r="H946" i="1"/>
  <c r="H492" i="1"/>
  <c r="H1226" i="1"/>
  <c r="H546" i="1"/>
  <c r="H553" i="1"/>
  <c r="H181" i="1"/>
  <c r="H10" i="1"/>
  <c r="H137" i="1"/>
  <c r="H460" i="1"/>
  <c r="H732" i="1"/>
  <c r="H174" i="1"/>
  <c r="H797" i="1"/>
  <c r="H552" i="1"/>
  <c r="H989" i="1"/>
  <c r="H452" i="1"/>
  <c r="H545" i="1"/>
  <c r="H65" i="1"/>
  <c r="H70" i="1"/>
  <c r="H369" i="1"/>
  <c r="H589" i="1"/>
  <c r="H167" i="1"/>
  <c r="H439" i="1"/>
  <c r="H469" i="1"/>
  <c r="H1025" i="1"/>
  <c r="H166" i="1"/>
  <c r="H982" i="1"/>
  <c r="H1131" i="1"/>
  <c r="H295" i="1"/>
  <c r="H92" i="1"/>
  <c r="H17" i="1"/>
  <c r="H1077" i="1"/>
  <c r="H448" i="1"/>
  <c r="H815" i="1"/>
  <c r="H510" i="1"/>
  <c r="H825" i="1"/>
  <c r="H683" i="1"/>
  <c r="H1062" i="1"/>
  <c r="H247" i="1"/>
  <c r="H894" i="1"/>
  <c r="H537" i="1"/>
  <c r="H438" i="1"/>
  <c r="H878" i="1"/>
  <c r="H214" i="1"/>
  <c r="H841" i="1"/>
  <c r="H31" i="1"/>
  <c r="H1195" i="1"/>
  <c r="H536" i="1"/>
  <c r="H1258" i="1"/>
  <c r="H682" i="1"/>
  <c r="H564" i="1"/>
  <c r="H652" i="1"/>
  <c r="H759" i="1"/>
  <c r="H353" i="1"/>
  <c r="H945" i="1"/>
  <c r="H435" i="1"/>
  <c r="H36" i="1"/>
  <c r="H656" i="1"/>
  <c r="H1270" i="1"/>
  <c r="H666" i="1"/>
  <c r="H472" i="1"/>
  <c r="H922" i="1"/>
  <c r="H1086" i="1"/>
  <c r="H1255" i="1"/>
  <c r="H767" i="1"/>
  <c r="H1098" i="1"/>
  <c r="H118" i="1"/>
  <c r="H1010" i="1"/>
  <c r="H87" i="1"/>
  <c r="H642" i="1"/>
  <c r="H641" i="1"/>
  <c r="H1198" i="1"/>
  <c r="H327" i="1"/>
  <c r="H1027" i="1"/>
  <c r="H64" i="1"/>
  <c r="H1228" i="1"/>
  <c r="H230" i="1"/>
  <c r="H731" i="1"/>
  <c r="H860" i="1"/>
  <c r="H355" i="1"/>
  <c r="H389" i="1"/>
  <c r="H871" i="1"/>
  <c r="H697" i="1"/>
  <c r="H1040" i="1"/>
  <c r="H821" i="1"/>
  <c r="H935" i="1"/>
  <c r="H491" i="1"/>
  <c r="H651" i="1"/>
  <c r="H1254" i="1"/>
  <c r="H371" i="1"/>
  <c r="H824" i="1"/>
  <c r="H937" i="1"/>
  <c r="H429" i="1"/>
  <c r="H164" i="1"/>
  <c r="H855" i="1"/>
  <c r="H268" i="1"/>
  <c r="H842" i="1"/>
  <c r="H60" i="1"/>
  <c r="H685" i="1"/>
  <c r="H457" i="1"/>
  <c r="H1107" i="1"/>
  <c r="H662" i="1"/>
  <c r="H405" i="1"/>
  <c r="H693" i="1"/>
  <c r="H994" i="1"/>
  <c r="H676" i="1"/>
  <c r="H920" i="1"/>
  <c r="H761" i="1"/>
  <c r="H601" i="1"/>
  <c r="H178" i="1"/>
  <c r="H1143" i="1"/>
  <c r="H114" i="1"/>
  <c r="H911" i="1"/>
  <c r="H1085" i="1"/>
  <c r="H1235" i="1"/>
  <c r="H86" i="1"/>
  <c r="H489" i="1"/>
  <c r="H1017" i="1"/>
  <c r="H1245" i="1"/>
  <c r="H900" i="1"/>
  <c r="H814" i="1"/>
  <c r="H681" i="1"/>
  <c r="H976" i="1"/>
  <c r="H465" i="1"/>
  <c r="H913" i="1"/>
  <c r="H490" i="1"/>
  <c r="H1244" i="1"/>
  <c r="H664" i="1"/>
  <c r="H791" i="1"/>
  <c r="H638" i="1"/>
  <c r="H344" i="1"/>
  <c r="H1193" i="1"/>
  <c r="H30" i="1"/>
  <c r="H160" i="1"/>
  <c r="H1051" i="1"/>
  <c r="H542" i="1"/>
  <c r="H233" i="1"/>
  <c r="H138" i="1"/>
  <c r="H615" i="1"/>
  <c r="H399" i="1"/>
  <c r="H364" i="1"/>
  <c r="H1043" i="1"/>
  <c r="H619" i="1"/>
  <c r="H1122" i="1"/>
  <c r="H363" i="1"/>
  <c r="H717" i="1"/>
  <c r="H1217" i="1"/>
  <c r="H981" i="1"/>
  <c r="H503" i="1"/>
  <c r="H272" i="1"/>
  <c r="H671" i="1"/>
  <c r="H261" i="1"/>
  <c r="H801" i="1"/>
  <c r="H980" i="1"/>
  <c r="H196" i="1"/>
  <c r="H206" i="1"/>
  <c r="H75" i="1"/>
  <c r="H970" i="1"/>
  <c r="H67" i="1"/>
  <c r="H1222" i="1"/>
  <c r="H1091" i="1"/>
  <c r="H494" i="1"/>
  <c r="H1152" i="1"/>
  <c r="H1003" i="1"/>
  <c r="H149" i="1"/>
  <c r="H1243" i="1"/>
  <c r="H599" i="1"/>
  <c r="H129" i="1"/>
  <c r="H213" i="1"/>
  <c r="H377" i="1"/>
  <c r="H1095" i="1"/>
  <c r="H906" i="1"/>
  <c r="H258" i="1"/>
  <c r="H540" i="1"/>
  <c r="H506" i="1"/>
  <c r="H342" i="1"/>
  <c r="H675" i="1"/>
  <c r="H840" i="1"/>
  <c r="H1100" i="1"/>
  <c r="H1189" i="1"/>
  <c r="H582" i="1"/>
  <c r="H110" i="1"/>
  <c r="H918" i="1"/>
  <c r="H35" i="1"/>
  <c r="H1269" i="1"/>
  <c r="H1208" i="1"/>
  <c r="H646" i="1"/>
  <c r="H1264" i="1"/>
  <c r="H408" i="1"/>
  <c r="H381" i="1"/>
  <c r="H1242" i="1"/>
  <c r="H216" i="1"/>
  <c r="H793" i="1"/>
  <c r="H790" i="1"/>
  <c r="H3" i="1"/>
  <c r="H1084" i="1"/>
  <c r="H1161" i="1"/>
  <c r="H55" i="1"/>
  <c r="H481" i="1"/>
  <c r="H1154" i="1"/>
  <c r="H221" i="1"/>
  <c r="H712" i="1"/>
  <c r="H1080" i="1"/>
  <c r="H316" i="1"/>
  <c r="H44" i="1"/>
  <c r="H1251" i="1"/>
  <c r="H192" i="1"/>
  <c r="H1056" i="1"/>
  <c r="H1156" i="1"/>
  <c r="H1112" i="1"/>
  <c r="H1206" i="1"/>
  <c r="H1127" i="1"/>
  <c r="H81" i="1"/>
  <c r="H374" i="1"/>
  <c r="H1064" i="1"/>
  <c r="H195" i="1"/>
  <c r="H579" i="1"/>
  <c r="H525" i="1"/>
  <c r="H1061" i="1"/>
  <c r="H43" i="1"/>
  <c r="H802" i="1"/>
  <c r="H84" i="1"/>
  <c r="H531" i="1"/>
  <c r="H576" i="1"/>
  <c r="H1071" i="1"/>
  <c r="H1207" i="1"/>
  <c r="H74" i="1"/>
  <c r="H684" i="1"/>
  <c r="H600" i="1"/>
  <c r="H535" i="1"/>
  <c r="H1231" i="1"/>
  <c r="H1108" i="1"/>
  <c r="H38" i="1"/>
  <c r="H862" i="1"/>
  <c r="H605" i="1"/>
  <c r="H770" i="1"/>
  <c r="H609" i="1"/>
  <c r="H637" i="1"/>
  <c r="H383" i="1"/>
  <c r="H379" i="1"/>
  <c r="H388" i="1"/>
  <c r="H29" i="1"/>
  <c r="H594" i="1"/>
  <c r="H368" i="1"/>
  <c r="H418" i="1"/>
  <c r="H336" i="1"/>
  <c r="H148" i="1"/>
  <c r="H633" i="1"/>
  <c r="H306" i="1"/>
  <c r="H335" i="1"/>
  <c r="H424" i="1"/>
  <c r="H1153" i="1"/>
  <c r="H48" i="1"/>
  <c r="H648" i="1"/>
  <c r="H205" i="1"/>
  <c r="H734" i="1"/>
  <c r="H623" i="1"/>
  <c r="H1268" i="1"/>
  <c r="H1230" i="1"/>
  <c r="H575" i="1"/>
  <c r="H443" i="1"/>
  <c r="H1089" i="1"/>
  <c r="H588" i="1"/>
  <c r="H865" i="1"/>
  <c r="H504" i="1"/>
  <c r="H151" i="1"/>
  <c r="H80" i="1"/>
  <c r="H1202" i="1"/>
  <c r="H1259" i="1"/>
  <c r="H838" i="1"/>
  <c r="H407" i="1"/>
  <c r="H1194" i="1"/>
  <c r="H387" i="1"/>
  <c r="H312" i="1"/>
  <c r="H1261" i="1"/>
  <c r="H627" i="1"/>
  <c r="H1263" i="1"/>
  <c r="H567" i="1"/>
  <c r="H298" i="1"/>
  <c r="H83" i="1"/>
  <c r="H654" i="1"/>
  <c r="H846" i="1"/>
  <c r="H488" i="1"/>
  <c r="H33" i="1"/>
  <c r="H585" i="1"/>
  <c r="H267" i="1"/>
  <c r="H194" i="1"/>
  <c r="H1020" i="1"/>
  <c r="H967" i="1"/>
  <c r="H373" i="1"/>
  <c r="H805" i="1"/>
  <c r="H753" i="1"/>
  <c r="H276" i="1"/>
  <c r="H417" i="1"/>
  <c r="H25" i="1"/>
  <c r="H1014" i="1"/>
  <c r="H496" i="1"/>
  <c r="H986" i="1"/>
  <c r="H784" i="1"/>
  <c r="H201" i="1"/>
  <c r="H426" i="1"/>
  <c r="H464" i="1"/>
  <c r="H866" i="1"/>
  <c r="H891" i="1"/>
  <c r="H122" i="1"/>
  <c r="H20" i="1"/>
  <c r="H549" i="1"/>
  <c r="H1203" i="1"/>
  <c r="H847" i="1"/>
  <c r="H341" i="1"/>
  <c r="H372" i="1"/>
  <c r="H877" i="1"/>
  <c r="H1139" i="1"/>
  <c r="H1000" i="1"/>
  <c r="H1205" i="1"/>
  <c r="H817" i="1"/>
  <c r="H63" i="1"/>
  <c r="H511" i="1"/>
  <c r="H783" i="1"/>
  <c r="H957" i="1"/>
  <c r="H541" i="1"/>
  <c r="H290" i="1"/>
  <c r="H1275" i="1"/>
  <c r="H804" i="1"/>
  <c r="H19" i="1"/>
  <c r="H136" i="1"/>
  <c r="H297" i="1"/>
  <c r="H820" i="1"/>
  <c r="H667" i="1"/>
  <c r="H1267" i="1"/>
  <c r="H519" i="1"/>
  <c r="H188" i="1"/>
  <c r="H59" i="1"/>
  <c r="H903" i="1"/>
  <c r="H271" i="1"/>
  <c r="H587" i="1"/>
  <c r="H386" i="1"/>
  <c r="H322" i="1"/>
  <c r="H819" i="1"/>
  <c r="H191" i="1"/>
  <c r="H851" i="1"/>
  <c r="H1211" i="1"/>
  <c r="H953" i="1"/>
  <c r="H128" i="1"/>
  <c r="H563" i="1"/>
  <c r="H313" i="1"/>
  <c r="H707" i="1"/>
  <c r="H468" i="1"/>
  <c r="H700" i="1"/>
  <c r="H624" i="1"/>
  <c r="H800" i="1"/>
  <c r="H76" i="1"/>
  <c r="H859" i="1"/>
  <c r="H334" i="1"/>
  <c r="H661" i="1"/>
  <c r="H354" i="1"/>
  <c r="H691" i="1"/>
  <c r="H437" i="1"/>
  <c r="H1049" i="1"/>
  <c r="H311" i="1"/>
  <c r="H711" i="1"/>
  <c r="H1239" i="1"/>
  <c r="H1094" i="1"/>
  <c r="H280" i="1"/>
  <c r="H376" i="1"/>
  <c r="H544" i="1"/>
  <c r="H996" i="1"/>
  <c r="H463" i="1"/>
  <c r="H1104" i="1"/>
  <c r="H562" i="1"/>
  <c r="H225" i="1"/>
  <c r="H101" i="1"/>
  <c r="H924" i="1"/>
  <c r="H776" i="1"/>
  <c r="H14" i="1"/>
  <c r="H487" i="1"/>
  <c r="H584" i="1"/>
  <c r="H975" i="1"/>
  <c r="H1038" i="1"/>
  <c r="H566" i="1"/>
  <c r="H963" i="1"/>
  <c r="H1234" i="1"/>
  <c r="H96" i="1"/>
  <c r="H696" i="1"/>
  <c r="H58" i="1"/>
  <c r="H670" i="1"/>
  <c r="H358" i="1"/>
  <c r="H810" i="1"/>
  <c r="H985" i="1"/>
  <c r="H266" i="1"/>
  <c r="H1002" i="1"/>
  <c r="H1118" i="1"/>
  <c r="H398" i="1"/>
  <c r="H850" i="1"/>
  <c r="H756" i="1"/>
  <c r="H279" i="1"/>
  <c r="H332" i="1"/>
  <c r="H724" i="1"/>
  <c r="H874" i="1"/>
  <c r="H420" i="1"/>
  <c r="H917" i="1"/>
  <c r="H13" i="1"/>
  <c r="H1019" i="1"/>
  <c r="H530" i="1"/>
  <c r="H618" i="1"/>
  <c r="H704" i="1"/>
  <c r="H1126" i="1"/>
  <c r="H109" i="1"/>
  <c r="H719" i="1"/>
  <c r="H789" i="1"/>
  <c r="H476" i="1"/>
  <c r="H265" i="1"/>
  <c r="H12" i="1"/>
  <c r="H123" i="1"/>
  <c r="H212" i="1"/>
  <c r="H799" i="1"/>
  <c r="H1257" i="1"/>
  <c r="H873" i="1"/>
  <c r="H1138" i="1"/>
  <c r="H121" i="1"/>
  <c r="H1109" i="1"/>
  <c r="H775" i="1"/>
  <c r="H929" i="1"/>
  <c r="H1067" i="1"/>
  <c r="H1039" i="1"/>
  <c r="H99" i="1"/>
  <c r="H1036" i="1"/>
  <c r="H171" i="1"/>
  <c r="H270" i="1"/>
  <c r="H583" i="1"/>
  <c r="H73" i="1"/>
  <c r="H1115" i="1"/>
  <c r="H934" i="1"/>
  <c r="H259" i="1"/>
  <c r="H135" i="1"/>
  <c r="H964" i="1"/>
  <c r="H984" i="1"/>
  <c r="H1165" i="1"/>
  <c r="H321" i="1"/>
  <c r="H124" i="1"/>
  <c r="H1178" i="1"/>
  <c r="H1133" i="1"/>
  <c r="H844" i="1"/>
  <c r="H357" i="1"/>
  <c r="H1093" i="1"/>
  <c r="H803" i="1"/>
  <c r="H833" i="1"/>
  <c r="H1197" i="1"/>
  <c r="H835" i="1"/>
  <c r="H246" i="1"/>
  <c r="H250" i="1"/>
  <c r="H870" i="1"/>
  <c r="H1103" i="1"/>
  <c r="H570" i="1"/>
  <c r="H723" i="1"/>
  <c r="H1018" i="1"/>
  <c r="H1160" i="1"/>
  <c r="H9" i="1"/>
  <c r="H993" i="1"/>
  <c r="H1246" i="1"/>
  <c r="H423" i="1"/>
  <c r="H134" i="1"/>
  <c r="H462" i="1"/>
  <c r="H303" i="1"/>
  <c r="H1188" i="1"/>
  <c r="H310" i="1"/>
  <c r="H52" i="1"/>
  <c r="H251" i="1"/>
  <c r="H1035" i="1"/>
  <c r="H42" i="1"/>
  <c r="H966" i="1"/>
  <c r="H346" i="1"/>
  <c r="H1184" i="1"/>
  <c r="H529" i="1"/>
  <c r="H944" i="1"/>
  <c r="H370" i="1"/>
  <c r="H959" i="1"/>
  <c r="H1090" i="1"/>
  <c r="H1225" i="1"/>
  <c r="H1130" i="1"/>
  <c r="H528" i="1"/>
  <c r="H34" i="1"/>
  <c r="H428" i="1"/>
  <c r="H351" i="1"/>
  <c r="H69" i="1"/>
  <c r="H1158" i="1"/>
  <c r="H738" i="1"/>
  <c r="H57" i="1"/>
  <c r="H882" i="1"/>
  <c r="H1032" i="1"/>
  <c r="H242" i="1"/>
  <c r="H1249" i="1"/>
  <c r="H1121" i="1"/>
  <c r="H320" i="1"/>
  <c r="H943" i="1"/>
  <c r="H440" i="1"/>
  <c r="H1204" i="1"/>
  <c r="H632" i="1"/>
  <c r="H992" i="1"/>
  <c r="H486" i="1"/>
  <c r="H103" i="1"/>
  <c r="H593" i="1"/>
  <c r="H1148" i="1"/>
  <c r="H241" i="1"/>
  <c r="H521" i="1"/>
  <c r="H1034" i="1"/>
  <c r="H89" i="1"/>
  <c r="H1008" i="1"/>
  <c r="H495" i="1"/>
  <c r="H68" i="1"/>
  <c r="H39" i="1"/>
  <c r="H1201" i="1"/>
  <c r="H796" i="1"/>
  <c r="H1102" i="1"/>
  <c r="H1125" i="1"/>
  <c r="H257" i="1"/>
  <c r="H309" i="1"/>
  <c r="H574" i="1"/>
  <c r="H526" i="1"/>
  <c r="H965" i="1"/>
  <c r="H187" i="1"/>
  <c r="H928" i="1"/>
  <c r="H1072" i="1"/>
  <c r="H173" i="1"/>
  <c r="H1105" i="1"/>
  <c r="H140" i="1"/>
  <c r="H809" i="1"/>
  <c r="H808" i="1"/>
  <c r="H228" i="1"/>
  <c r="H1030" i="1"/>
  <c r="H483" i="1"/>
  <c r="H956" i="1"/>
  <c r="H198" i="1"/>
  <c r="H406" i="1"/>
  <c r="H1012" i="1"/>
  <c r="H614" i="1"/>
  <c r="H340" i="1"/>
  <c r="H890" i="1"/>
  <c r="H51" i="1"/>
  <c r="H1016" i="1"/>
  <c r="H1166" i="1"/>
  <c r="H1070" i="1"/>
  <c r="H220" i="1"/>
  <c r="H219" i="1"/>
  <c r="H204" i="1"/>
  <c r="H397" i="1"/>
  <c r="H293" i="1"/>
  <c r="H534" i="1"/>
  <c r="H331" i="1"/>
  <c r="H698" i="1"/>
  <c r="H962" i="1"/>
  <c r="H146" i="1"/>
  <c r="H62" i="1"/>
  <c r="H1187" i="1"/>
  <c r="H777" i="1"/>
  <c r="H916" i="1"/>
  <c r="H403" i="1"/>
  <c r="H858" i="1"/>
  <c r="H893" i="1"/>
  <c r="H150" i="1"/>
  <c r="H813" i="1"/>
  <c r="H18" i="1"/>
  <c r="H927" i="1"/>
  <c r="H375" i="1"/>
  <c r="H571" i="1"/>
  <c r="H645" i="1"/>
  <c r="H743" i="1"/>
  <c r="H881" i="1"/>
  <c r="H168" i="1"/>
  <c r="H1137" i="1"/>
  <c r="H807" i="1"/>
  <c r="H636" i="1"/>
  <c r="H1146" i="1"/>
  <c r="H1157" i="1"/>
  <c r="H263" i="1"/>
  <c r="H1164" i="1"/>
  <c r="H315" i="1"/>
  <c r="H845" i="1"/>
  <c r="H499" i="1"/>
  <c r="H771" i="1"/>
  <c r="H832" i="1"/>
  <c r="H337" i="1"/>
  <c r="H695" i="1"/>
  <c r="H1260" i="1"/>
  <c r="H745" i="1"/>
  <c r="H658" i="1"/>
  <c r="H998" i="1"/>
  <c r="H955" i="1"/>
  <c r="H1029" i="1"/>
  <c r="H16" i="1"/>
  <c r="H983" i="1"/>
  <c r="H869" i="1"/>
  <c r="H620" i="1"/>
  <c r="H113" i="1"/>
  <c r="H812" i="1"/>
  <c r="H447" i="1"/>
  <c r="H1073" i="1"/>
  <c r="H227" i="1"/>
  <c r="H754" i="1"/>
  <c r="H1221" i="1"/>
  <c r="H1180" i="1"/>
  <c r="H923" i="1"/>
  <c r="H1262" i="1"/>
  <c r="H876" i="1"/>
  <c r="H889" i="1"/>
  <c r="H275" i="1"/>
  <c r="H436" i="1"/>
  <c r="H41" i="1"/>
  <c r="H1099" i="1"/>
  <c r="H622" i="1"/>
  <c r="H1168" i="1"/>
  <c r="H339" i="1"/>
  <c r="H72" i="1"/>
  <c r="H613" i="1"/>
  <c r="H209" i="1"/>
  <c r="H694" i="1"/>
  <c r="H828" i="1"/>
  <c r="H367" i="1"/>
  <c r="H77" i="1"/>
  <c r="H760" i="1"/>
  <c r="H730" i="1"/>
  <c r="H79" i="1"/>
  <c r="H471" i="1"/>
  <c r="H995" i="1"/>
  <c r="H350" i="1"/>
  <c r="H120" i="1"/>
  <c r="H1250" i="1"/>
  <c r="H849" i="1"/>
  <c r="H1145" i="1"/>
  <c r="H193" i="1"/>
  <c r="H581" i="1"/>
  <c r="H356" i="1"/>
  <c r="H1136" i="1"/>
  <c r="H1179" i="1"/>
  <c r="H1141" i="1"/>
  <c r="H737" i="1"/>
  <c r="H742" i="1"/>
  <c r="H792" i="1"/>
  <c r="H722" i="1"/>
  <c r="H226" i="1"/>
  <c r="H393" i="1"/>
  <c r="H926" i="1"/>
  <c r="H1144" i="1"/>
  <c r="H1117" i="1"/>
  <c r="H726" i="1"/>
  <c r="H554" i="1"/>
  <c r="H782" i="1"/>
  <c r="H591" i="1"/>
  <c r="H774" i="1"/>
  <c r="H950" i="1"/>
  <c r="H98" i="1"/>
  <c r="H572" i="1"/>
  <c r="H255" i="1"/>
  <c r="H1147" i="1"/>
  <c r="H539" i="1"/>
  <c r="H798" i="1"/>
  <c r="H183" i="1"/>
  <c r="H864" i="1"/>
  <c r="H1007" i="1"/>
  <c r="H147" i="1"/>
  <c r="H394" i="1"/>
  <c r="H690" i="1"/>
  <c r="H1024" i="1"/>
  <c r="H1060" i="1"/>
  <c r="H314" i="1"/>
  <c r="H788" i="1"/>
  <c r="H325" i="1"/>
  <c r="H649" i="1"/>
  <c r="H868" i="1"/>
  <c r="H56" i="1"/>
  <c r="H319" i="1"/>
  <c r="H186" i="1"/>
  <c r="H1256" i="1"/>
  <c r="H409" i="1"/>
  <c r="H854" i="1"/>
  <c r="H282" i="1"/>
  <c r="H716" i="1"/>
  <c r="H1199" i="1"/>
  <c r="H1123" i="1"/>
  <c r="H26" i="1"/>
  <c r="H1215" i="1"/>
  <c r="H657" i="1"/>
  <c r="H524" i="1"/>
  <c r="H1054" i="1"/>
  <c r="H240" i="1"/>
  <c r="H502" i="1"/>
  <c r="H1116" i="1"/>
  <c r="H256" i="1"/>
  <c r="H1132" i="1"/>
  <c r="H1172" i="1"/>
  <c r="H112" i="1"/>
  <c r="H729" i="1"/>
  <c r="H172" i="1"/>
  <c r="H461" i="1"/>
  <c r="H1171" i="1"/>
  <c r="H159" i="1"/>
  <c r="H8" i="1"/>
  <c r="H163" i="1"/>
  <c r="H551" i="1"/>
  <c r="H1183" i="1"/>
  <c r="H762" i="1"/>
  <c r="H780" i="1"/>
  <c r="H269" i="1"/>
  <c r="H165" i="1"/>
  <c r="H252" i="1"/>
  <c r="H1031" i="1"/>
  <c r="H640" i="1"/>
  <c r="H933" i="1"/>
  <c r="H733" i="1"/>
  <c r="H942" i="1"/>
  <c r="H402" i="1"/>
  <c r="H1023" i="1"/>
  <c r="H470" i="1"/>
  <c r="H380" i="1"/>
  <c r="H1212" i="1"/>
  <c r="H665" i="1"/>
  <c r="H1196" i="1"/>
  <c r="H991" i="1"/>
  <c r="H556" i="1"/>
  <c r="H888" i="1"/>
  <c r="H543" i="1"/>
  <c r="H974" i="1"/>
  <c r="H823" i="1"/>
  <c r="H631" i="1"/>
  <c r="H692" i="1"/>
  <c r="H1011" i="1"/>
  <c r="H680" i="1"/>
  <c r="H915" i="1"/>
  <c r="H362" i="1"/>
  <c r="H318" i="1"/>
  <c r="H15" i="1"/>
  <c r="H509" i="1"/>
  <c r="H769" i="1"/>
  <c r="H343" i="1"/>
  <c r="H892" i="1"/>
  <c r="H910" i="1"/>
  <c r="H326" i="1"/>
  <c r="H518" i="1"/>
  <c r="H455" i="1"/>
  <c r="H853" i="1"/>
  <c r="H385" i="1"/>
  <c r="H236" i="1"/>
  <c r="H1274" i="1"/>
  <c r="H82" i="1"/>
  <c r="H1182" i="1"/>
  <c r="H482" i="1"/>
  <c r="H305" i="1"/>
  <c r="H1083" i="1"/>
  <c r="H674" i="1"/>
  <c r="H751" i="1"/>
  <c r="H899" i="1"/>
  <c r="H154" i="1"/>
  <c r="H1005" i="1"/>
  <c r="H848" i="1"/>
  <c r="H54" i="1"/>
  <c r="H961" i="1"/>
  <c r="H102" i="1"/>
  <c r="H527" i="1"/>
  <c r="H184" i="1"/>
  <c r="H1151" i="1"/>
  <c r="H561" i="1"/>
  <c r="H1066" i="1"/>
  <c r="H590" i="1"/>
  <c r="H211" i="1"/>
  <c r="H284" i="1"/>
  <c r="H277" i="1"/>
  <c r="H1233" i="1"/>
  <c r="H500" i="1"/>
  <c r="H898" i="1"/>
  <c r="H1175" i="1"/>
  <c r="H433" i="1"/>
  <c r="H857" i="1"/>
  <c r="H1097" i="1"/>
  <c r="H238" i="1"/>
  <c r="H1129" i="1"/>
  <c r="H560" i="1"/>
  <c r="H456" i="1"/>
  <c r="H548" i="1"/>
  <c r="H969" i="1"/>
  <c r="H1170" i="1"/>
  <c r="H292" i="1"/>
  <c r="H1181" i="1"/>
  <c r="H952" i="1"/>
  <c r="H766" i="1"/>
  <c r="H629" i="1"/>
  <c r="H919" i="1"/>
  <c r="H366" i="1"/>
  <c r="H97" i="1"/>
  <c r="H162" i="1"/>
  <c r="H133" i="1"/>
  <c r="H254" i="1"/>
  <c r="H765" i="1"/>
  <c r="H480" i="1"/>
  <c r="H887" i="1"/>
  <c r="H446" i="1"/>
  <c r="H24" i="1"/>
  <c r="H127" i="1"/>
  <c r="H715" i="1"/>
  <c r="H749" i="1"/>
  <c r="H679" i="1"/>
  <c r="H786" i="1"/>
  <c r="H608" i="1"/>
  <c r="H260" i="1"/>
  <c r="H699" i="1"/>
  <c r="H158" i="1"/>
  <c r="H1076" i="1"/>
  <c r="H644" i="1"/>
  <c r="H427" i="1"/>
  <c r="H596" i="1"/>
  <c r="H1022" i="1"/>
  <c r="H1232" i="1"/>
  <c r="H330" i="1"/>
  <c r="H328" i="1"/>
  <c r="H660" i="1"/>
  <c r="H505" i="1"/>
  <c r="H1069" i="1"/>
  <c r="H105" i="1"/>
  <c r="H432" i="1"/>
  <c r="H392" i="1"/>
  <c r="H1155" i="1"/>
  <c r="H1013" i="1"/>
  <c r="H442" i="1"/>
  <c r="H672" i="1"/>
  <c r="H752" i="1"/>
  <c r="H1140" i="1"/>
  <c r="H748" i="1"/>
  <c r="H1241" i="1"/>
  <c r="H706" i="1"/>
  <c r="H659" i="1"/>
  <c r="H781" i="1"/>
  <c r="H951" i="1"/>
  <c r="H604" i="1"/>
  <c r="H867" i="1"/>
  <c r="H999" i="1"/>
  <c r="H902" i="1"/>
  <c r="H806" i="1"/>
  <c r="H598" i="1"/>
  <c r="H243" i="1"/>
  <c r="H827" i="1"/>
  <c r="H586" i="1"/>
  <c r="H785" i="1"/>
  <c r="H249" i="1"/>
  <c r="H612" i="1"/>
  <c r="H517" i="1"/>
  <c r="H66" i="1"/>
  <c r="H1055" i="1"/>
  <c r="H244" i="1"/>
  <c r="H925" i="1"/>
  <c r="H1177" i="1"/>
  <c r="H979" i="1"/>
  <c r="H703" i="1"/>
  <c r="H1174" i="1"/>
  <c r="H1042" i="1"/>
  <c r="H705" i="1"/>
  <c r="H512" i="1"/>
  <c r="H626" i="1"/>
  <c r="H215" i="1"/>
  <c r="H1079" i="1"/>
  <c r="H28" i="1"/>
  <c r="H940" i="1"/>
  <c r="H886" i="1"/>
  <c r="H816" i="1"/>
  <c r="H709" i="1"/>
  <c r="H414" i="1"/>
  <c r="H317" i="1"/>
  <c r="H232" i="1"/>
  <c r="H988" i="1"/>
  <c r="H1006" i="1"/>
  <c r="H177" i="1"/>
  <c r="H628" i="1"/>
  <c r="H773" i="1"/>
  <c r="H708" i="1"/>
  <c r="H968" i="1"/>
  <c r="H997" i="1"/>
  <c r="H411" i="1"/>
  <c r="H885" i="1"/>
  <c r="H1075" i="1"/>
  <c r="H755" i="1"/>
  <c r="H299" i="1"/>
  <c r="H40" i="1"/>
  <c r="H410" i="1"/>
  <c r="H837" i="1"/>
  <c r="H349" i="1"/>
  <c r="H669" i="1"/>
  <c r="H288" i="1"/>
  <c r="H451" i="1"/>
  <c r="H834" i="1"/>
  <c r="H718" i="1"/>
  <c r="H973" i="1"/>
  <c r="H185" i="1"/>
  <c r="H93" i="1"/>
  <c r="H772" i="1"/>
  <c r="H1240" i="1"/>
  <c r="H978" i="1"/>
  <c r="H329" i="1"/>
  <c r="H142" i="1"/>
  <c r="H141" i="1"/>
  <c r="H264" i="1"/>
  <c r="H291" i="1"/>
  <c r="H23" i="1"/>
  <c r="H1048" i="1"/>
  <c r="H203" i="1"/>
  <c r="H302" i="1"/>
  <c r="H498" i="1"/>
  <c r="H577" i="1"/>
  <c r="H197" i="1"/>
  <c r="H274" i="1"/>
  <c r="H515" i="1"/>
  <c r="H668" i="1"/>
  <c r="H905" i="1"/>
  <c r="H555" i="1"/>
  <c r="H1135" i="1"/>
  <c r="H1169" i="1"/>
  <c r="H1101" i="1"/>
  <c r="H932" i="1"/>
  <c r="H245" i="1"/>
  <c r="H739" i="1"/>
  <c r="H224" i="1"/>
  <c r="H1248" i="1"/>
  <c r="H611" i="1"/>
  <c r="H301" i="1"/>
  <c r="H1045" i="1"/>
  <c r="H655" i="1"/>
  <c r="H32" i="1"/>
  <c r="H852" i="1"/>
  <c r="H1092" i="1"/>
  <c r="H182" i="1"/>
  <c r="H475" i="1"/>
  <c r="H714" i="1"/>
  <c r="H1253" i="1"/>
  <c r="H836" i="1"/>
  <c r="H304" i="1"/>
  <c r="H47" i="1"/>
  <c r="H4" i="1"/>
  <c r="H361" i="1"/>
  <c r="H884" i="1"/>
  <c r="H826" i="1"/>
  <c r="H1078" i="1"/>
  <c r="H949" i="1"/>
  <c r="H179" i="1"/>
  <c r="H222" i="1"/>
  <c r="H1273" i="1"/>
  <c r="H650" i="1"/>
  <c r="H132" i="1"/>
  <c r="H1120" i="1"/>
  <c r="H987" i="1"/>
  <c r="H248" i="1"/>
  <c r="H180" i="1"/>
  <c r="H1210" i="1"/>
  <c r="H688" i="1"/>
  <c r="H1159" i="1"/>
  <c r="H153" i="1"/>
  <c r="H673" i="1"/>
  <c r="H22" i="1"/>
  <c r="H176" i="1"/>
  <c r="H634" i="1"/>
  <c r="H914" i="1"/>
  <c r="H1238" i="1"/>
  <c r="H287" i="1"/>
  <c r="H1088" i="1"/>
  <c r="H1265" i="1"/>
  <c r="H617" i="1"/>
  <c r="H702" i="1"/>
  <c r="H1065" i="1"/>
  <c r="H1191" i="1"/>
  <c r="H721" i="1"/>
  <c r="H990" i="1"/>
  <c r="H972" i="1"/>
  <c r="H425" i="1"/>
  <c r="H795" i="1"/>
  <c r="H1247" i="1"/>
  <c r="H647" i="1"/>
  <c r="H1026" i="1"/>
  <c r="H550" i="1"/>
  <c r="H1021" i="1"/>
  <c r="H635" i="1"/>
  <c r="H477" i="1"/>
  <c r="H94" i="1"/>
  <c r="H904" i="1"/>
  <c r="H382" i="1"/>
  <c r="H1068" i="1"/>
  <c r="H625" i="1"/>
  <c r="H450" i="1"/>
  <c r="H175" i="1"/>
  <c r="H88" i="1"/>
  <c r="H360" i="1"/>
  <c r="H145" i="1"/>
  <c r="H449" i="1"/>
  <c r="H1087" i="1"/>
  <c r="H948" i="1"/>
  <c r="H931" i="1"/>
  <c r="H391" i="1"/>
  <c r="H958" i="1"/>
  <c r="H218" i="1"/>
  <c r="H758" i="1"/>
  <c r="H954" i="1"/>
  <c r="H909" i="1"/>
  <c r="H1033" i="1"/>
  <c r="H1082" i="1"/>
  <c r="H91" i="1"/>
  <c r="H144" i="1"/>
  <c r="H235" i="1"/>
  <c r="H404" i="1"/>
  <c r="H764" i="1"/>
  <c r="H130" i="1"/>
  <c r="H728" i="1"/>
  <c r="H811" i="1"/>
  <c r="H1124" i="1"/>
  <c r="H1009" i="1"/>
  <c r="H1237" i="1"/>
  <c r="H1186" i="1"/>
  <c r="H395" i="1"/>
  <c r="H578" i="1"/>
  <c r="H459" i="1"/>
  <c r="H856" i="1"/>
  <c r="H434" i="1"/>
  <c r="H687" i="1"/>
  <c r="H941" i="1"/>
  <c r="H11" i="1"/>
  <c r="H602" i="1"/>
  <c r="H686" i="1"/>
  <c r="H273" i="1"/>
  <c r="H345" i="1"/>
  <c r="H678" i="1"/>
  <c r="H763" i="1"/>
  <c r="H157" i="1"/>
  <c r="H454" i="1"/>
  <c r="H190" i="1"/>
  <c r="H1047" i="1"/>
  <c r="H1110" i="1"/>
  <c r="H514" i="1"/>
  <c r="H200" i="1"/>
  <c r="H400" i="1"/>
  <c r="H53" i="1"/>
  <c r="H768" i="1"/>
  <c r="H740" i="1"/>
  <c r="H1272" i="1"/>
  <c r="H444" i="1"/>
  <c r="H794" i="1"/>
  <c r="H401" i="1"/>
  <c r="H283" i="1"/>
  <c r="H296" i="1"/>
  <c r="H324" i="1"/>
  <c r="H710" i="1"/>
  <c r="H779" i="1"/>
  <c r="H580" i="1"/>
  <c r="H559" i="1"/>
  <c r="H139" i="1"/>
  <c r="H558" i="1"/>
  <c r="H720" i="1"/>
  <c r="H501" i="1"/>
  <c r="H557" i="1"/>
  <c r="H725" i="1"/>
  <c r="H348" i="1"/>
  <c r="H431" i="1"/>
  <c r="H508" i="1"/>
  <c r="H839" i="1"/>
  <c r="H513" i="1"/>
  <c r="H1081" i="1"/>
  <c r="H879" i="1"/>
  <c r="H90" i="1"/>
  <c r="H384" i="1"/>
  <c r="H921" i="1"/>
  <c r="H308" i="1"/>
  <c r="H829" i="1"/>
  <c r="H37" i="1"/>
  <c r="H108" i="1"/>
  <c r="H27" i="1"/>
  <c r="H239" i="1"/>
  <c r="H365" i="1"/>
  <c r="H1106" i="1"/>
  <c r="H231" i="1"/>
  <c r="H533" i="1"/>
  <c r="H1128" i="1"/>
  <c r="H1050" i="1"/>
  <c r="H152" i="1"/>
  <c r="H843" i="1"/>
  <c r="H930" i="1"/>
  <c r="H46" i="1"/>
  <c r="H532" i="1"/>
  <c r="H286" i="1"/>
  <c r="H1236" i="1"/>
  <c r="H569" i="1"/>
  <c r="H485" i="1"/>
  <c r="D36" i="32"/>
  <c r="C36" i="32"/>
  <c r="B36" i="32"/>
  <c r="C24" i="32"/>
  <c r="E6" i="32"/>
  <c r="P1" i="1"/>
  <c r="I9" i="4"/>
  <c r="I10" i="4"/>
  <c r="I6" i="4"/>
  <c r="L1" i="1"/>
  <c r="I4" i="4"/>
  <c r="I5" i="4"/>
  <c r="S1" i="1"/>
  <c r="I7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<sst xmlns="http://schemas.openxmlformats.org/spreadsheetml/2006/main" count="13233" uniqueCount="1706">
  <si>
    <t>OrderNum</t>
  </si>
  <si>
    <t>OrderDate</t>
  </si>
  <si>
    <t>Sales Person</t>
  </si>
  <si>
    <t>CustomerID</t>
  </si>
  <si>
    <t>City by Normal Vlookup</t>
  </si>
  <si>
    <t>ProductID</t>
  </si>
  <si>
    <t>Quantity</t>
  </si>
  <si>
    <t>Name</t>
  </si>
  <si>
    <t>City</t>
  </si>
  <si>
    <t>Zip</t>
  </si>
  <si>
    <t>Region</t>
  </si>
  <si>
    <t>Product</t>
  </si>
  <si>
    <t>Price</t>
  </si>
  <si>
    <t>Cost</t>
  </si>
  <si>
    <t>Product Category</t>
  </si>
  <si>
    <t>Sales Person Experience</t>
  </si>
  <si>
    <t>Total Cost</t>
  </si>
  <si>
    <t>Total Sales</t>
  </si>
  <si>
    <t>Sales Person Commission</t>
  </si>
  <si>
    <t>Sales Person Commission -Criteria</t>
  </si>
  <si>
    <t>Order Source</t>
  </si>
  <si>
    <t>Discount %</t>
  </si>
  <si>
    <t>Product Name by Xlookup</t>
  </si>
  <si>
    <t>Customer details using Xlookup Array</t>
  </si>
  <si>
    <t>Address</t>
  </si>
  <si>
    <t>State</t>
  </si>
  <si>
    <t>NUM000001</t>
  </si>
  <si>
    <t>ASHWINI</t>
  </si>
  <si>
    <t>P0210</t>
  </si>
  <si>
    <t>Referral</t>
  </si>
  <si>
    <t>NUM000002</t>
  </si>
  <si>
    <t>P0134</t>
  </si>
  <si>
    <t>India_mart</t>
  </si>
  <si>
    <t>BHAGYASHRI</t>
  </si>
  <si>
    <t>P0141</t>
  </si>
  <si>
    <t>Flipkart</t>
  </si>
  <si>
    <t>NEHA</t>
  </si>
  <si>
    <t>P0081</t>
  </si>
  <si>
    <t>NUM000003</t>
  </si>
  <si>
    <t>P0256</t>
  </si>
  <si>
    <t>Website</t>
  </si>
  <si>
    <t>NUM000004</t>
  </si>
  <si>
    <t>P0097</t>
  </si>
  <si>
    <t>Snapdeal</t>
  </si>
  <si>
    <t>NIKITA</t>
  </si>
  <si>
    <t>P0094</t>
  </si>
  <si>
    <t>APOORVA</t>
  </si>
  <si>
    <t>P0240</t>
  </si>
  <si>
    <t>NUM000006</t>
  </si>
  <si>
    <t>P0133</t>
  </si>
  <si>
    <t>Amazon</t>
  </si>
  <si>
    <t>AJAY</t>
  </si>
  <si>
    <t>P0053</t>
  </si>
  <si>
    <t>NUM000005</t>
  </si>
  <si>
    <t>FARHIN</t>
  </si>
  <si>
    <t>P0290</t>
  </si>
  <si>
    <t>NUM000008</t>
  </si>
  <si>
    <t>P0159</t>
  </si>
  <si>
    <t>P0285</t>
  </si>
  <si>
    <t>NUM000007</t>
  </si>
  <si>
    <t>P0069</t>
  </si>
  <si>
    <t>NUM000010</t>
  </si>
  <si>
    <t>P0196</t>
  </si>
  <si>
    <t>NUM000009</t>
  </si>
  <si>
    <t>P0062</t>
  </si>
  <si>
    <t>P0279</t>
  </si>
  <si>
    <t>MEEHIR</t>
  </si>
  <si>
    <t>P0084</t>
  </si>
  <si>
    <t>NUM000011</t>
  </si>
  <si>
    <t>P0030</t>
  </si>
  <si>
    <t>NUM000012</t>
  </si>
  <si>
    <t>P0173</t>
  </si>
  <si>
    <t>NUM000013</t>
  </si>
  <si>
    <t>P0013</t>
  </si>
  <si>
    <t>P0154</t>
  </si>
  <si>
    <t>NUM000014</t>
  </si>
  <si>
    <t>P0218</t>
  </si>
  <si>
    <t>NUM000015</t>
  </si>
  <si>
    <t>P0148</t>
  </si>
  <si>
    <t>NUM000016</t>
  </si>
  <si>
    <t>P0147</t>
  </si>
  <si>
    <t>NUM000017</t>
  </si>
  <si>
    <t>P0208</t>
  </si>
  <si>
    <t>P0180</t>
  </si>
  <si>
    <t>P0109</t>
  </si>
  <si>
    <t>NUM000018</t>
  </si>
  <si>
    <t>P0265</t>
  </si>
  <si>
    <t>NUM000019</t>
  </si>
  <si>
    <t>P0190</t>
  </si>
  <si>
    <t>NUM000020</t>
  </si>
  <si>
    <t>P0046</t>
  </si>
  <si>
    <t>P0281</t>
  </si>
  <si>
    <t>NUM000021</t>
  </si>
  <si>
    <t>P0008</t>
  </si>
  <si>
    <t>P0049</t>
  </si>
  <si>
    <t>NUM000023</t>
  </si>
  <si>
    <t>NUM000026</t>
  </si>
  <si>
    <t>P0245</t>
  </si>
  <si>
    <t>P0194</t>
  </si>
  <si>
    <t>NUM000024</t>
  </si>
  <si>
    <t>P0243</t>
  </si>
  <si>
    <t>NUM000025</t>
  </si>
  <si>
    <t>P0234</t>
  </si>
  <si>
    <t>P0179</t>
  </si>
  <si>
    <t>NUM000027</t>
  </si>
  <si>
    <t>P0230</t>
  </si>
  <si>
    <t>NUM000028</t>
  </si>
  <si>
    <t>P0071</t>
  </si>
  <si>
    <t>NUM000029</t>
  </si>
  <si>
    <t>NUM000032</t>
  </si>
  <si>
    <t>P0065</t>
  </si>
  <si>
    <t>NUM000033</t>
  </si>
  <si>
    <t>P0059</t>
  </si>
  <si>
    <t>NUM000034</t>
  </si>
  <si>
    <t>P0101</t>
  </si>
  <si>
    <t>NUM000036</t>
  </si>
  <si>
    <t>P0119</t>
  </si>
  <si>
    <t>NUM000037</t>
  </si>
  <si>
    <t>P0178</t>
  </si>
  <si>
    <t>NUM000040</t>
  </si>
  <si>
    <t>P0283</t>
  </si>
  <si>
    <t>NUM000038</t>
  </si>
  <si>
    <t>P0182</t>
  </si>
  <si>
    <t>P0264</t>
  </si>
  <si>
    <t>NUM000039</t>
  </si>
  <si>
    <t>P0012</t>
  </si>
  <si>
    <t>P0080</t>
  </si>
  <si>
    <t>NUM000041</t>
  </si>
  <si>
    <t>P0273</t>
  </si>
  <si>
    <t>NUM000042</t>
  </si>
  <si>
    <t>P0107</t>
  </si>
  <si>
    <t>P0078</t>
  </si>
  <si>
    <t>NUM000043</t>
  </si>
  <si>
    <t>P0105</t>
  </si>
  <si>
    <t>NUM000045</t>
  </si>
  <si>
    <t>P0035</t>
  </si>
  <si>
    <t>NUM000046</t>
  </si>
  <si>
    <t>P0135</t>
  </si>
  <si>
    <t>NUM000049</t>
  </si>
  <si>
    <t>NUM000048</t>
  </si>
  <si>
    <t>P0295</t>
  </si>
  <si>
    <t>P0207</t>
  </si>
  <si>
    <t>NUM000050</t>
  </si>
  <si>
    <t>P0274</t>
  </si>
  <si>
    <t>NUM000052</t>
  </si>
  <si>
    <t>P0024</t>
  </si>
  <si>
    <t>NUM000051</t>
  </si>
  <si>
    <t>P0288</t>
  </si>
  <si>
    <t>NUM000053</t>
  </si>
  <si>
    <t>P0266</t>
  </si>
  <si>
    <t>NUM000054</t>
  </si>
  <si>
    <t>P0120</t>
  </si>
  <si>
    <t>NUM000055</t>
  </si>
  <si>
    <t>P0297</t>
  </si>
  <si>
    <t>P0227</t>
  </si>
  <si>
    <t>NUM000057</t>
  </si>
  <si>
    <t>P0028</t>
  </si>
  <si>
    <t>NUM000059</t>
  </si>
  <si>
    <t>P0237</t>
  </si>
  <si>
    <t>NUM000058</t>
  </si>
  <si>
    <t>P0241</t>
  </si>
  <si>
    <t>NUM000060</t>
  </si>
  <si>
    <t>P0100</t>
  </si>
  <si>
    <t>NUM000061</t>
  </si>
  <si>
    <t>P0192</t>
  </si>
  <si>
    <t>NUM000063</t>
  </si>
  <si>
    <t>P0184</t>
  </si>
  <si>
    <t>NUM000062</t>
  </si>
  <si>
    <t>P0181</t>
  </si>
  <si>
    <t>NUM000064</t>
  </si>
  <si>
    <t>P0042</t>
  </si>
  <si>
    <t>NUM000065</t>
  </si>
  <si>
    <t>P0034</t>
  </si>
  <si>
    <t>NUM000066</t>
  </si>
  <si>
    <t>P0014</t>
  </si>
  <si>
    <t>NUM000067</t>
  </si>
  <si>
    <t>P0203</t>
  </si>
  <si>
    <t>NUM000068</t>
  </si>
  <si>
    <t>P0056</t>
  </si>
  <si>
    <t>NUM000069</t>
  </si>
  <si>
    <t>P0166</t>
  </si>
  <si>
    <t>NUM000070</t>
  </si>
  <si>
    <t>P0122</t>
  </si>
  <si>
    <t>NUM000073</t>
  </si>
  <si>
    <t>P0292</t>
  </si>
  <si>
    <t>NUM000072</t>
  </si>
  <si>
    <t>P0170</t>
  </si>
  <si>
    <t>NUM000071</t>
  </si>
  <si>
    <t>P0226</t>
  </si>
  <si>
    <t>NUM000074</t>
  </si>
  <si>
    <t>P0086</t>
  </si>
  <si>
    <t>NUM000075</t>
  </si>
  <si>
    <t>NUM000077</t>
  </si>
  <si>
    <t>NUM000076</t>
  </si>
  <si>
    <t>NUM000078</t>
  </si>
  <si>
    <t>P0093</t>
  </si>
  <si>
    <t>NUM000079</t>
  </si>
  <si>
    <t>NUM000081</t>
  </si>
  <si>
    <t>NUM000080</t>
  </si>
  <si>
    <t>NUM000083</t>
  </si>
  <si>
    <t>P0239</t>
  </si>
  <si>
    <t>NUM000082</t>
  </si>
  <si>
    <t>NUM000084</t>
  </si>
  <si>
    <t>P0029</t>
  </si>
  <si>
    <t>NUM000085</t>
  </si>
  <si>
    <t>P0026</t>
  </si>
  <si>
    <t>P0131</t>
  </si>
  <si>
    <t>NUM000086</t>
  </si>
  <si>
    <t>P0255</t>
  </si>
  <si>
    <t>NUM000087</t>
  </si>
  <si>
    <t>NUM000088</t>
  </si>
  <si>
    <t>P0074</t>
  </si>
  <si>
    <t>NUM000089</t>
  </si>
  <si>
    <t>P0063</t>
  </si>
  <si>
    <t>NUM000090</t>
  </si>
  <si>
    <t>NUM000092</t>
  </si>
  <si>
    <t>P0023</t>
  </si>
  <si>
    <t>NUM000091</t>
  </si>
  <si>
    <t>P0037</t>
  </si>
  <si>
    <t>NUM000094</t>
  </si>
  <si>
    <t>NUM000096</t>
  </si>
  <si>
    <t>P0229</t>
  </si>
  <si>
    <t>NUM000095</t>
  </si>
  <si>
    <t>P0176</t>
  </si>
  <si>
    <t>NUM000097</t>
  </si>
  <si>
    <t>NUM000098</t>
  </si>
  <si>
    <t>P0132</t>
  </si>
  <si>
    <t>P0038</t>
  </si>
  <si>
    <t>NUM000100</t>
  </si>
  <si>
    <t>NUM000099</t>
  </si>
  <si>
    <t>NUM000101</t>
  </si>
  <si>
    <t>P0036</t>
  </si>
  <si>
    <t>P0282</t>
  </si>
  <si>
    <t>NUM000103</t>
  </si>
  <si>
    <t>NUM000102</t>
  </si>
  <si>
    <t>NUM000104</t>
  </si>
  <si>
    <t>P0232</t>
  </si>
  <si>
    <t>NUM000105</t>
  </si>
  <si>
    <t>P0095</t>
  </si>
  <si>
    <t>NUM000106</t>
  </si>
  <si>
    <t>P0110</t>
  </si>
  <si>
    <t>P0263</t>
  </si>
  <si>
    <t>NUM000108</t>
  </si>
  <si>
    <t>NUM000107</t>
  </si>
  <si>
    <t>NUM000109</t>
  </si>
  <si>
    <t>P0220</t>
  </si>
  <si>
    <t>NUM000110</t>
  </si>
  <si>
    <t>P0138</t>
  </si>
  <si>
    <t>NUM000111</t>
  </si>
  <si>
    <t>P0128</t>
  </si>
  <si>
    <t>P0061</t>
  </si>
  <si>
    <t>NUM000114</t>
  </si>
  <si>
    <t>P0153</t>
  </si>
  <si>
    <t>NUM000113</t>
  </si>
  <si>
    <t>P0162</t>
  </si>
  <si>
    <t>NUM000115</t>
  </si>
  <si>
    <t>P0216</t>
  </si>
  <si>
    <t>P0077</t>
  </si>
  <si>
    <t>NUM000116</t>
  </si>
  <si>
    <t>P0115</t>
  </si>
  <si>
    <t>NUM000117</t>
  </si>
  <si>
    <t>NUM000118</t>
  </si>
  <si>
    <t>NUM000119</t>
  </si>
  <si>
    <t>P0291</t>
  </si>
  <si>
    <t>NUM000120</t>
  </si>
  <si>
    <t>P0027</t>
  </si>
  <si>
    <t>NUM000122</t>
  </si>
  <si>
    <t>NUM000121</t>
  </si>
  <si>
    <t>P0129</t>
  </si>
  <si>
    <t>P0260</t>
  </si>
  <si>
    <t>NUM000123</t>
  </si>
  <si>
    <t>NUM000124</t>
  </si>
  <si>
    <t>NUM000126</t>
  </si>
  <si>
    <t>NUM000125</t>
  </si>
  <si>
    <t>NUM000127</t>
  </si>
  <si>
    <t>P0087</t>
  </si>
  <si>
    <t>NUM000128</t>
  </si>
  <si>
    <t>P0143</t>
  </si>
  <si>
    <t>NUM000129</t>
  </si>
  <si>
    <t>NUM000130</t>
  </si>
  <si>
    <t>NUM000131</t>
  </si>
  <si>
    <t>P0183</t>
  </si>
  <si>
    <t>NUM000132</t>
  </si>
  <si>
    <t>NUM000133</t>
  </si>
  <si>
    <t>P0164</t>
  </si>
  <si>
    <t>P0057</t>
  </si>
  <si>
    <t>P0289</t>
  </si>
  <si>
    <t>NUM000134</t>
  </si>
  <si>
    <t>NUM000136</t>
  </si>
  <si>
    <t>P0254</t>
  </si>
  <si>
    <t>NUM000135</t>
  </si>
  <si>
    <t>P0258</t>
  </si>
  <si>
    <t>NUM000137</t>
  </si>
  <si>
    <t>NUM000138</t>
  </si>
  <si>
    <t>NUM000140</t>
  </si>
  <si>
    <t>P0118</t>
  </si>
  <si>
    <t>P0070</t>
  </si>
  <si>
    <t>NUM000139</t>
  </si>
  <si>
    <t>P0032</t>
  </si>
  <si>
    <t>P0050</t>
  </si>
  <si>
    <t>P0268</t>
  </si>
  <si>
    <t>NUM000142</t>
  </si>
  <si>
    <t>P0267</t>
  </si>
  <si>
    <t>P0224</t>
  </si>
  <si>
    <t>NUM000145</t>
  </si>
  <si>
    <t>P0188</t>
  </si>
  <si>
    <t>NUM000143</t>
  </si>
  <si>
    <t>P0022</t>
  </si>
  <si>
    <t>NUM000144</t>
  </si>
  <si>
    <t>P0126</t>
  </si>
  <si>
    <t>NUM000146</t>
  </si>
  <si>
    <t>P0102</t>
  </si>
  <si>
    <t>P0250</t>
  </si>
  <si>
    <t>NUM000148</t>
  </si>
  <si>
    <t>NUM000147</t>
  </si>
  <si>
    <t>P0209</t>
  </si>
  <si>
    <t>P0244</t>
  </si>
  <si>
    <t>NUM000150</t>
  </si>
  <si>
    <t>P0075</t>
  </si>
  <si>
    <t>NUM000149</t>
  </si>
  <si>
    <t>P0252</t>
  </si>
  <si>
    <t>P0294</t>
  </si>
  <si>
    <t>P0249</t>
  </si>
  <si>
    <t>NUM000151</t>
  </si>
  <si>
    <t>P0248</t>
  </si>
  <si>
    <t>NUM000152</t>
  </si>
  <si>
    <t>NUM000153</t>
  </si>
  <si>
    <t>P0219</t>
  </si>
  <si>
    <t>NUM000154</t>
  </si>
  <si>
    <t>P0199</t>
  </si>
  <si>
    <t>P0136</t>
  </si>
  <si>
    <t>NUM000155</t>
  </si>
  <si>
    <t>NUM000156</t>
  </si>
  <si>
    <t>P0040</t>
  </si>
  <si>
    <t>NUM000157</t>
  </si>
  <si>
    <t>P0163</t>
  </si>
  <si>
    <t>NUM000158</t>
  </si>
  <si>
    <t>P0262</t>
  </si>
  <si>
    <t>NUM000159</t>
  </si>
  <si>
    <t>P0031</t>
  </si>
  <si>
    <t>NUM000160</t>
  </si>
  <si>
    <t>P0055</t>
  </si>
  <si>
    <t>NUM000161</t>
  </si>
  <si>
    <t>P0041</t>
  </si>
  <si>
    <t>NUM000162</t>
  </si>
  <si>
    <t>P0145</t>
  </si>
  <si>
    <t>NUM000163</t>
  </si>
  <si>
    <t>P0009</t>
  </si>
  <si>
    <t>P0033</t>
  </si>
  <si>
    <t>NUM000165</t>
  </si>
  <si>
    <t>NUM000166</t>
  </si>
  <si>
    <t>NUM000168</t>
  </si>
  <si>
    <t>P0175</t>
  </si>
  <si>
    <t>NUM000167</t>
  </si>
  <si>
    <t>NUM000169</t>
  </si>
  <si>
    <t>P0025</t>
  </si>
  <si>
    <t>P0088</t>
  </si>
  <si>
    <t>NUM000170</t>
  </si>
  <si>
    <t>P0169</t>
  </si>
  <si>
    <t>NUM000171</t>
  </si>
  <si>
    <t>NUM000172</t>
  </si>
  <si>
    <t>P0156</t>
  </si>
  <si>
    <t>P0085</t>
  </si>
  <si>
    <t>NUM000173</t>
  </si>
  <si>
    <t>P0185</t>
  </si>
  <si>
    <t>NUM000174</t>
  </si>
  <si>
    <t>NUM000175</t>
  </si>
  <si>
    <t>P0082</t>
  </si>
  <si>
    <t>P0189</t>
  </si>
  <si>
    <t>NUM000176</t>
  </si>
  <si>
    <t>P0213</t>
  </si>
  <si>
    <t>P0089</t>
  </si>
  <si>
    <t>NUM000177</t>
  </si>
  <si>
    <t>NUM000178</t>
  </si>
  <si>
    <t>NUM000179</t>
  </si>
  <si>
    <t>P0225</t>
  </si>
  <si>
    <t>NUM000180</t>
  </si>
  <si>
    <t>P0236</t>
  </si>
  <si>
    <t>NUM000181</t>
  </si>
  <si>
    <t>P0271</t>
  </si>
  <si>
    <t>NUM000182</t>
  </si>
  <si>
    <t>P0019</t>
  </si>
  <si>
    <t>NUM000183</t>
  </si>
  <si>
    <t>NUM000184</t>
  </si>
  <si>
    <t>NUM000186</t>
  </si>
  <si>
    <t>NUM000185</t>
  </si>
  <si>
    <t>NUM000187</t>
  </si>
  <si>
    <t>NUM000188</t>
  </si>
  <si>
    <t>P0287</t>
  </si>
  <si>
    <t>NUM000189</t>
  </si>
  <si>
    <t>P0124</t>
  </si>
  <si>
    <t>P0045</t>
  </si>
  <si>
    <t>NUM000191</t>
  </si>
  <si>
    <t>NUM000190</t>
  </si>
  <si>
    <t>P0005</t>
  </si>
  <si>
    <t>P0020</t>
  </si>
  <si>
    <t>NUM000193</t>
  </si>
  <si>
    <t>NUM000194</t>
  </si>
  <si>
    <t>NUM000195</t>
  </si>
  <si>
    <t>NUM000192</t>
  </si>
  <si>
    <t>NUM000196</t>
  </si>
  <si>
    <t>NUM000197</t>
  </si>
  <si>
    <t>NUM000198</t>
  </si>
  <si>
    <t>P0108</t>
  </si>
  <si>
    <t>NUM000199</t>
  </si>
  <si>
    <t>NUM000200</t>
  </si>
  <si>
    <t>P0233</t>
  </si>
  <si>
    <t>NUM000201</t>
  </si>
  <si>
    <t>P0296</t>
  </si>
  <si>
    <t>NUM000202</t>
  </si>
  <si>
    <t>NUM000203</t>
  </si>
  <si>
    <t>NUM000205</t>
  </si>
  <si>
    <t>P0099</t>
  </si>
  <si>
    <t>NUM000206</t>
  </si>
  <si>
    <t>P0104</t>
  </si>
  <si>
    <t>NUM000204</t>
  </si>
  <si>
    <t>P0039</t>
  </si>
  <si>
    <t>NUM000207</t>
  </si>
  <si>
    <t>NUM000208</t>
  </si>
  <si>
    <t>NUM000209</t>
  </si>
  <si>
    <t>P0072</t>
  </si>
  <si>
    <t>NUM000210</t>
  </si>
  <si>
    <t>NUM000211</t>
  </si>
  <si>
    <t>P0235</t>
  </si>
  <si>
    <t>NUM000212</t>
  </si>
  <si>
    <t>P0058</t>
  </si>
  <si>
    <t>NUM000214</t>
  </si>
  <si>
    <t>NUM000213</t>
  </si>
  <si>
    <t>P0076</t>
  </si>
  <si>
    <t>P0186</t>
  </si>
  <si>
    <t>NUM000216</t>
  </si>
  <si>
    <t>NUM000215</t>
  </si>
  <si>
    <t>P0083</t>
  </si>
  <si>
    <t>NUM000217</t>
  </si>
  <si>
    <t>P0191</t>
  </si>
  <si>
    <t>NUM000219</t>
  </si>
  <si>
    <t>P0257</t>
  </si>
  <si>
    <t>NUM000218</t>
  </si>
  <si>
    <t>NUM000221</t>
  </si>
  <si>
    <t>P0171</t>
  </si>
  <si>
    <t>NUM000220</t>
  </si>
  <si>
    <t>NUM000222</t>
  </si>
  <si>
    <t>NUM000223</t>
  </si>
  <si>
    <t>P0006</t>
  </si>
  <si>
    <t>NUM000224</t>
  </si>
  <si>
    <t>P0247</t>
  </si>
  <si>
    <t>P0270</t>
  </si>
  <si>
    <t>NUM000225</t>
  </si>
  <si>
    <t>NUM000226</t>
  </si>
  <si>
    <t>P0172</t>
  </si>
  <si>
    <t>NUM000227</t>
  </si>
  <si>
    <t>P0212</t>
  </si>
  <si>
    <t>NUM000228</t>
  </si>
  <si>
    <t>P0168</t>
  </si>
  <si>
    <t>NUM000229</t>
  </si>
  <si>
    <t>P0161</t>
  </si>
  <si>
    <t>NUM000230</t>
  </si>
  <si>
    <t>NUM000231</t>
  </si>
  <si>
    <t>NUM000232</t>
  </si>
  <si>
    <t>P0272</t>
  </si>
  <si>
    <t>NUM000233</t>
  </si>
  <si>
    <t>NUM000234</t>
  </si>
  <si>
    <t>P0001</t>
  </si>
  <si>
    <t>NUM000236</t>
  </si>
  <si>
    <t>P0202</t>
  </si>
  <si>
    <t>NUM000235</t>
  </si>
  <si>
    <t>NUM000237</t>
  </si>
  <si>
    <t>P0223</t>
  </si>
  <si>
    <t>NUM000238</t>
  </si>
  <si>
    <t>NUM000239</t>
  </si>
  <si>
    <t>P0096</t>
  </si>
  <si>
    <t>NUM000240</t>
  </si>
  <si>
    <t>P0117</t>
  </si>
  <si>
    <t>NUM000241</t>
  </si>
  <si>
    <t>P0017</t>
  </si>
  <si>
    <t>NUM000242</t>
  </si>
  <si>
    <t>P0246</t>
  </si>
  <si>
    <t>NUM000243</t>
  </si>
  <si>
    <t>NUM000244</t>
  </si>
  <si>
    <t>P0214</t>
  </si>
  <si>
    <t>NUM000245</t>
  </si>
  <si>
    <t>P0211</t>
  </si>
  <si>
    <t>NUM000246</t>
  </si>
  <si>
    <t>NUM000247</t>
  </si>
  <si>
    <t>NUM000248</t>
  </si>
  <si>
    <t>P0002</t>
  </si>
  <si>
    <t>NUM000249</t>
  </si>
  <si>
    <t>P0158</t>
  </si>
  <si>
    <t>NUM000250</t>
  </si>
  <si>
    <t>NUM000251</t>
  </si>
  <si>
    <t>NUM000252</t>
  </si>
  <si>
    <t>NUM000253</t>
  </si>
  <si>
    <t>NUM000254</t>
  </si>
  <si>
    <t>P0144</t>
  </si>
  <si>
    <t>NUM000255</t>
  </si>
  <si>
    <t>NUM000256</t>
  </si>
  <si>
    <t>P0113</t>
  </si>
  <si>
    <t>P0007</t>
  </si>
  <si>
    <t>NUM000257</t>
  </si>
  <si>
    <t>NUM000258</t>
  </si>
  <si>
    <t>NUM000259</t>
  </si>
  <si>
    <t>P0167</t>
  </si>
  <si>
    <t>P0125</t>
  </si>
  <si>
    <t>NUM000261</t>
  </si>
  <si>
    <t>NUM000260</t>
  </si>
  <si>
    <t>P0137</t>
  </si>
  <si>
    <t>NUM000262</t>
  </si>
  <si>
    <t>P0121</t>
  </si>
  <si>
    <t>NUM000264</t>
  </si>
  <si>
    <t>NUM000263</t>
  </si>
  <si>
    <t>P0193</t>
  </si>
  <si>
    <t>P0011</t>
  </si>
  <si>
    <t>NUM000266</t>
  </si>
  <si>
    <t>NUM000265</t>
  </si>
  <si>
    <t>NUM000268</t>
  </si>
  <si>
    <t>P0047</t>
  </si>
  <si>
    <t>NUM000270</t>
  </si>
  <si>
    <t>NUM000271</t>
  </si>
  <si>
    <t>P0103</t>
  </si>
  <si>
    <t>NUM000272</t>
  </si>
  <si>
    <t>NUM000275</t>
  </si>
  <si>
    <t>NUM000273</t>
  </si>
  <si>
    <t>P0200</t>
  </si>
  <si>
    <t>NUM000274</t>
  </si>
  <si>
    <t>P0277</t>
  </si>
  <si>
    <t>NUM000277</t>
  </si>
  <si>
    <t>NUM000278</t>
  </si>
  <si>
    <t>NUM000279</t>
  </si>
  <si>
    <t>NUM000280</t>
  </si>
  <si>
    <t>NUM000281</t>
  </si>
  <si>
    <t>NUM000282</t>
  </si>
  <si>
    <t>NUM000284</t>
  </si>
  <si>
    <t>P0092</t>
  </si>
  <si>
    <t>NUM000283</t>
  </si>
  <si>
    <t>NUM000285</t>
  </si>
  <si>
    <t>P0150</t>
  </si>
  <si>
    <t>NUM000286</t>
  </si>
  <si>
    <t>P0106</t>
  </si>
  <si>
    <t>NUM000287</t>
  </si>
  <si>
    <t>P0079</t>
  </si>
  <si>
    <t>NUM000288</t>
  </si>
  <si>
    <t>P0242</t>
  </si>
  <si>
    <t>NUM000289</t>
  </si>
  <si>
    <t>NUM000291</t>
  </si>
  <si>
    <t>NUM000290</t>
  </si>
  <si>
    <t>P0205</t>
  </si>
  <si>
    <t>NUM000292</t>
  </si>
  <si>
    <t>NUM000293</t>
  </si>
  <si>
    <t>NUM000294</t>
  </si>
  <si>
    <t>NUM000295</t>
  </si>
  <si>
    <t>NUM000296</t>
  </si>
  <si>
    <t>NUM000297</t>
  </si>
  <si>
    <t>NUM000298</t>
  </si>
  <si>
    <t>NUM000300</t>
  </si>
  <si>
    <t>NUM000299</t>
  </si>
  <si>
    <t>P0016</t>
  </si>
  <si>
    <t>NUM000301</t>
  </si>
  <si>
    <t>NUM000302</t>
  </si>
  <si>
    <t>P0177</t>
  </si>
  <si>
    <t>NUM000303</t>
  </si>
  <si>
    <t>NUM000304</t>
  </si>
  <si>
    <t>NUM000306</t>
  </si>
  <si>
    <t>NUM000305</t>
  </si>
  <si>
    <t>NUM000307</t>
  </si>
  <si>
    <t>NUM000309</t>
  </si>
  <si>
    <t>P0222</t>
  </si>
  <si>
    <t>NUM000308</t>
  </si>
  <si>
    <t>NUM000310</t>
  </si>
  <si>
    <t>NUM000311</t>
  </si>
  <si>
    <t>NUM000312</t>
  </si>
  <si>
    <t>NUM000313</t>
  </si>
  <si>
    <t>NUM000314</t>
  </si>
  <si>
    <t>NUM000315</t>
  </si>
  <si>
    <t>NUM000316</t>
  </si>
  <si>
    <t>NUM000317</t>
  </si>
  <si>
    <t>NUM000318</t>
  </si>
  <si>
    <t>NUM000319</t>
  </si>
  <si>
    <t>NUM000320</t>
  </si>
  <si>
    <t>P0142</t>
  </si>
  <si>
    <t>NUM000321</t>
  </si>
  <si>
    <t>NUM000322</t>
  </si>
  <si>
    <t>NUM000323</t>
  </si>
  <si>
    <t>NUM000324</t>
  </si>
  <si>
    <t>P0112</t>
  </si>
  <si>
    <t>P0067</t>
  </si>
  <si>
    <t>NUM000325</t>
  </si>
  <si>
    <t>P0064</t>
  </si>
  <si>
    <t>NUM000327</t>
  </si>
  <si>
    <t>P0286</t>
  </si>
  <si>
    <t>NUM000330</t>
  </si>
  <si>
    <t>NUM000329</t>
  </si>
  <si>
    <t>NUM000328</t>
  </si>
  <si>
    <t>P0269</t>
  </si>
  <si>
    <t>NUM000331</t>
  </si>
  <si>
    <t>P0139</t>
  </si>
  <si>
    <t>NUM000332</t>
  </si>
  <si>
    <t>NUM000333</t>
  </si>
  <si>
    <t>P0201</t>
  </si>
  <si>
    <t>NUM000334</t>
  </si>
  <si>
    <t>NUM000335</t>
  </si>
  <si>
    <t>P0140</t>
  </si>
  <si>
    <t>NUM000336</t>
  </si>
  <si>
    <t>NUM000337</t>
  </si>
  <si>
    <t>P0123</t>
  </si>
  <si>
    <t>NUM000338</t>
  </si>
  <si>
    <t>P0091</t>
  </si>
  <si>
    <t>NUM000340</t>
  </si>
  <si>
    <t>NUM000339</t>
  </si>
  <si>
    <t>NUM000341</t>
  </si>
  <si>
    <t>NUM000342</t>
  </si>
  <si>
    <t>P0021</t>
  </si>
  <si>
    <t>NUM000345</t>
  </si>
  <si>
    <t>NUM000343</t>
  </si>
  <si>
    <t>P0238</t>
  </si>
  <si>
    <t>NUM000344</t>
  </si>
  <si>
    <t>NUM000347</t>
  </si>
  <si>
    <t>NUM000346</t>
  </si>
  <si>
    <t>P0130</t>
  </si>
  <si>
    <t>NUM000348</t>
  </si>
  <si>
    <t>NUM000350</t>
  </si>
  <si>
    <t>NUM000352</t>
  </si>
  <si>
    <t>NUM000351</t>
  </si>
  <si>
    <t>P0010</t>
  </si>
  <si>
    <t>NUM000353</t>
  </si>
  <si>
    <t>NUM000354</t>
  </si>
  <si>
    <t>NUM000355</t>
  </si>
  <si>
    <t>NUM000356</t>
  </si>
  <si>
    <t>NUM000357</t>
  </si>
  <si>
    <t>NUM000358</t>
  </si>
  <si>
    <t>NUM000359</t>
  </si>
  <si>
    <t>NUM000360</t>
  </si>
  <si>
    <t>NUM000361</t>
  </si>
  <si>
    <t>NUM000362</t>
  </si>
  <si>
    <t>NUM000364</t>
  </si>
  <si>
    <t>NUM000365</t>
  </si>
  <si>
    <t>NUM000366</t>
  </si>
  <si>
    <t>NUM000368</t>
  </si>
  <si>
    <t>NUM000367</t>
  </si>
  <si>
    <t>NUM000369</t>
  </si>
  <si>
    <t>NUM000371</t>
  </si>
  <si>
    <t>P0051</t>
  </si>
  <si>
    <t>NUM000372</t>
  </si>
  <si>
    <t>P0204</t>
  </si>
  <si>
    <t>NUM000373</t>
  </si>
  <si>
    <t>NUM000376</t>
  </si>
  <si>
    <t>NUM000375</t>
  </si>
  <si>
    <t>NUM000374</t>
  </si>
  <si>
    <t>NUM000377</t>
  </si>
  <si>
    <t>NUM000378</t>
  </si>
  <si>
    <t>P0231</t>
  </si>
  <si>
    <t>NUM000379</t>
  </si>
  <si>
    <t>NUM000381</t>
  </si>
  <si>
    <t>NUM000380</t>
  </si>
  <si>
    <t>NUM000382</t>
  </si>
  <si>
    <t>P0217</t>
  </si>
  <si>
    <t>NUM000383</t>
  </si>
  <si>
    <t>NUM000386</t>
  </si>
  <si>
    <t>NUM000385</t>
  </si>
  <si>
    <t>NUM000384</t>
  </si>
  <si>
    <t>P0068</t>
  </si>
  <si>
    <t>NUM000387</t>
  </si>
  <si>
    <t>NUM000388</t>
  </si>
  <si>
    <t>NUM000390</t>
  </si>
  <si>
    <t>NUM000389</t>
  </si>
  <si>
    <t>NUM000391</t>
  </si>
  <si>
    <t>NUM000392</t>
  </si>
  <si>
    <t>NUM000396</t>
  </si>
  <si>
    <t>NUM000394</t>
  </si>
  <si>
    <t>NUM000393</t>
  </si>
  <si>
    <t>NUM000395</t>
  </si>
  <si>
    <t>P0146</t>
  </si>
  <si>
    <t>NUM000398</t>
  </si>
  <si>
    <t>P0155</t>
  </si>
  <si>
    <t>NUM000397</t>
  </si>
  <si>
    <t>P0275</t>
  </si>
  <si>
    <t>NUM000399</t>
  </si>
  <si>
    <t>NUM000400</t>
  </si>
  <si>
    <t>NUM000401</t>
  </si>
  <si>
    <t>NUM000403</t>
  </si>
  <si>
    <t>NUM000405</t>
  </si>
  <si>
    <t>NUM000404</t>
  </si>
  <si>
    <t>NUM000406</t>
  </si>
  <si>
    <t>NUM000407</t>
  </si>
  <si>
    <t>NUM000408</t>
  </si>
  <si>
    <t>P0152</t>
  </si>
  <si>
    <t>NUM000409</t>
  </si>
  <si>
    <t>NUM000411</t>
  </si>
  <si>
    <t>P0127</t>
  </si>
  <si>
    <t>NUM000410</t>
  </si>
  <si>
    <t>NUM000412</t>
  </si>
  <si>
    <t>NUM000415</t>
  </si>
  <si>
    <t>NUM000413</t>
  </si>
  <si>
    <t>NUM000414</t>
  </si>
  <si>
    <t>NUM000416</t>
  </si>
  <si>
    <t>NUM000417</t>
  </si>
  <si>
    <t>P0004</t>
  </si>
  <si>
    <t>NUM000418</t>
  </si>
  <si>
    <t>NUM000419</t>
  </si>
  <si>
    <t>NUM000420</t>
  </si>
  <si>
    <t>NUM000421</t>
  </si>
  <si>
    <t>NUM000422</t>
  </si>
  <si>
    <t>NUM000423</t>
  </si>
  <si>
    <t>NUM000424</t>
  </si>
  <si>
    <t>NUM000425</t>
  </si>
  <si>
    <t>NUM000426</t>
  </si>
  <si>
    <t>NUM000427</t>
  </si>
  <si>
    <t>NUM000428</t>
  </si>
  <si>
    <t>NUM000429</t>
  </si>
  <si>
    <t>NUM000431</t>
  </si>
  <si>
    <t>NUM000432</t>
  </si>
  <si>
    <t>P0015</t>
  </si>
  <si>
    <t>NUM000433</t>
  </si>
  <si>
    <t>P0174</t>
  </si>
  <si>
    <t>NUM000434</t>
  </si>
  <si>
    <t>NUM000435</t>
  </si>
  <si>
    <t>NUM000436</t>
  </si>
  <si>
    <t>P0228</t>
  </si>
  <si>
    <t>NUM000438</t>
  </si>
  <si>
    <t>NUM000440</t>
  </si>
  <si>
    <t>NUM000441</t>
  </si>
  <si>
    <t>NUM000443</t>
  </si>
  <si>
    <t>NUM000442</t>
  </si>
  <si>
    <t>NUM000444</t>
  </si>
  <si>
    <t>NUM000445</t>
  </si>
  <si>
    <t>NUM000446</t>
  </si>
  <si>
    <t>NUM000447</t>
  </si>
  <si>
    <t>NUM000448</t>
  </si>
  <si>
    <t>NUM000449</t>
  </si>
  <si>
    <t>NUM000451</t>
  </si>
  <si>
    <t>P0043</t>
  </si>
  <si>
    <t>NUM000450</t>
  </si>
  <si>
    <t>NUM000452</t>
  </si>
  <si>
    <t>NUM000453</t>
  </si>
  <si>
    <t>NUM000454</t>
  </si>
  <si>
    <t>NUM000455</t>
  </si>
  <si>
    <t>NUM000456</t>
  </si>
  <si>
    <t>P0048</t>
  </si>
  <si>
    <t>NUM000457</t>
  </si>
  <si>
    <t>NUM000458</t>
  </si>
  <si>
    <t>NUM000459</t>
  </si>
  <si>
    <t>NUM000460</t>
  </si>
  <si>
    <t>NUM000461</t>
  </si>
  <si>
    <t>NUM000462</t>
  </si>
  <si>
    <t>P0284</t>
  </si>
  <si>
    <t>NUM000465</t>
  </si>
  <si>
    <t>P0276</t>
  </si>
  <si>
    <t>NUM000464</t>
  </si>
  <si>
    <t>NUM000463</t>
  </si>
  <si>
    <t>NUM000466</t>
  </si>
  <si>
    <t>NUM000467</t>
  </si>
  <si>
    <t>P0052</t>
  </si>
  <si>
    <t>NUM000468</t>
  </si>
  <si>
    <t>NUM000469</t>
  </si>
  <si>
    <t>NUM000472</t>
  </si>
  <si>
    <t>NUM000470</t>
  </si>
  <si>
    <t>NUM000471</t>
  </si>
  <si>
    <t>NUM000473</t>
  </si>
  <si>
    <t>NUM000475</t>
  </si>
  <si>
    <t>NUM000474</t>
  </si>
  <si>
    <t>NUM000478</t>
  </si>
  <si>
    <t>P0060</t>
  </si>
  <si>
    <t>NUM000476</t>
  </si>
  <si>
    <t>NUM000477</t>
  </si>
  <si>
    <t>NUM000479</t>
  </si>
  <si>
    <t>NUM000480</t>
  </si>
  <si>
    <t>NUM000481</t>
  </si>
  <si>
    <t>NUM000482</t>
  </si>
  <si>
    <t>NUM000483</t>
  </si>
  <si>
    <t>NUM000484</t>
  </si>
  <si>
    <t>NUM000486</t>
  </si>
  <si>
    <t>NUM000485</t>
  </si>
  <si>
    <t>NUM000487</t>
  </si>
  <si>
    <t>NUM000488</t>
  </si>
  <si>
    <t>NUM000489</t>
  </si>
  <si>
    <t>NUM000490</t>
  </si>
  <si>
    <t>NUM000491</t>
  </si>
  <si>
    <t>P0157</t>
  </si>
  <si>
    <t>NUM000492</t>
  </si>
  <si>
    <t>P0149</t>
  </si>
  <si>
    <t>NUM000493</t>
  </si>
  <si>
    <t>NUM000494</t>
  </si>
  <si>
    <t>NUM000495</t>
  </si>
  <si>
    <t>NUM000496</t>
  </si>
  <si>
    <t>NUM000497</t>
  </si>
  <si>
    <t>NUM000499</t>
  </si>
  <si>
    <t>P0160</t>
  </si>
  <si>
    <t>NUM000498</t>
  </si>
  <si>
    <t>NUM000500</t>
  </si>
  <si>
    <t>NUM000501</t>
  </si>
  <si>
    <t>NUM000502</t>
  </si>
  <si>
    <t>NUM000504</t>
  </si>
  <si>
    <t>NUM000503</t>
  </si>
  <si>
    <t>NUM000505</t>
  </si>
  <si>
    <t>NUM000506</t>
  </si>
  <si>
    <t>NUM000507</t>
  </si>
  <si>
    <t>P0114</t>
  </si>
  <si>
    <t>NUM000509</t>
  </si>
  <si>
    <t>NUM000508</t>
  </si>
  <si>
    <t>NUM000510</t>
  </si>
  <si>
    <t>NUM000511</t>
  </si>
  <si>
    <t>NUM000512</t>
  </si>
  <si>
    <t>NUM000513</t>
  </si>
  <si>
    <t>NUM000514</t>
  </si>
  <si>
    <t>NUM000515</t>
  </si>
  <si>
    <t>NUM000516</t>
  </si>
  <si>
    <t>NUM000517</t>
  </si>
  <si>
    <t>NUM000518</t>
  </si>
  <si>
    <t>NUM000519</t>
  </si>
  <si>
    <t>NUM000520</t>
  </si>
  <si>
    <t>NUM000521</t>
  </si>
  <si>
    <t>P0054</t>
  </si>
  <si>
    <t>NUM000523</t>
  </si>
  <si>
    <t>NUM000522</t>
  </si>
  <si>
    <t>NUM000524</t>
  </si>
  <si>
    <t>NUM000525</t>
  </si>
  <si>
    <t>NUM000526</t>
  </si>
  <si>
    <t>NUM000527</t>
  </si>
  <si>
    <t>NUM000528</t>
  </si>
  <si>
    <t>NUM000529</t>
  </si>
  <si>
    <t>NUM000530</t>
  </si>
  <si>
    <t>NUM000531</t>
  </si>
  <si>
    <t>NUM000532</t>
  </si>
  <si>
    <t>NUM000533</t>
  </si>
  <si>
    <t>NUM000534</t>
  </si>
  <si>
    <t>NUM000536</t>
  </si>
  <si>
    <t>NUM000537</t>
  </si>
  <si>
    <t>NUM000535</t>
  </si>
  <si>
    <t>NUM000538</t>
  </si>
  <si>
    <t>NUM000539</t>
  </si>
  <si>
    <t>NUM000540</t>
  </si>
  <si>
    <t>P0165</t>
  </si>
  <si>
    <t>NUM000541</t>
  </si>
  <si>
    <t>NUM000543</t>
  </si>
  <si>
    <t>NUM000544</t>
  </si>
  <si>
    <t>NUM000542</t>
  </si>
  <si>
    <t>NUM000545</t>
  </si>
  <si>
    <t>NUM000547</t>
  </si>
  <si>
    <t>NUM000548</t>
  </si>
  <si>
    <t>NUM000549</t>
  </si>
  <si>
    <t>NUM000550</t>
  </si>
  <si>
    <t>P0195</t>
  </si>
  <si>
    <t>NUM000551</t>
  </si>
  <si>
    <t>P0259</t>
  </si>
  <si>
    <t>NUM000552</t>
  </si>
  <si>
    <t>NUM000553</t>
  </si>
  <si>
    <t>NUM000554</t>
  </si>
  <si>
    <t>NUM000555</t>
  </si>
  <si>
    <t>P0090</t>
  </si>
  <si>
    <t>NUM000556</t>
  </si>
  <si>
    <t>NUM000557</t>
  </si>
  <si>
    <t>P0066</t>
  </si>
  <si>
    <t>NUM000558</t>
  </si>
  <si>
    <t>NUM000559</t>
  </si>
  <si>
    <t>NUM000560</t>
  </si>
  <si>
    <t>P0003</t>
  </si>
  <si>
    <t>NUM000561</t>
  </si>
  <si>
    <t>NUM000563</t>
  </si>
  <si>
    <t>NUM000565</t>
  </si>
  <si>
    <t>NUM000564</t>
  </si>
  <si>
    <t>P0151</t>
  </si>
  <si>
    <t>NUM000566</t>
  </si>
  <si>
    <t>P0280</t>
  </si>
  <si>
    <t>NUM000568</t>
  </si>
  <si>
    <t>NUM000567</t>
  </si>
  <si>
    <t>NUM000569</t>
  </si>
  <si>
    <t>NUM000571</t>
  </si>
  <si>
    <t>NUM000570</t>
  </si>
  <si>
    <t>NUM000572</t>
  </si>
  <si>
    <t>NUM000573</t>
  </si>
  <si>
    <t>NUM000574</t>
  </si>
  <si>
    <t>NUM000575</t>
  </si>
  <si>
    <t>NUM000576</t>
  </si>
  <si>
    <t>NUM000577</t>
  </si>
  <si>
    <t>NUM000578</t>
  </si>
  <si>
    <t>NUM000580</t>
  </si>
  <si>
    <t>NUM000581</t>
  </si>
  <si>
    <t>NUM000582</t>
  </si>
  <si>
    <t>P0293</t>
  </si>
  <si>
    <t>NUM000584</t>
  </si>
  <si>
    <t>NUM000583</t>
  </si>
  <si>
    <t>NUM000585</t>
  </si>
  <si>
    <t>NUM000587</t>
  </si>
  <si>
    <t>P0111</t>
  </si>
  <si>
    <t>NUM000586</t>
  </si>
  <si>
    <t>NUM000589</t>
  </si>
  <si>
    <t>NUM000588</t>
  </si>
  <si>
    <t>NUM000590</t>
  </si>
  <si>
    <t>NUM000591</t>
  </si>
  <si>
    <t>NUM000592</t>
  </si>
  <si>
    <t>NUM000593</t>
  </si>
  <si>
    <t>NUM000594</t>
  </si>
  <si>
    <t>NUM000595</t>
  </si>
  <si>
    <t>P0251</t>
  </si>
  <si>
    <t>NUM000596</t>
  </si>
  <si>
    <t>NUM000597</t>
  </si>
  <si>
    <t>NUM000598</t>
  </si>
  <si>
    <t>NUM000599</t>
  </si>
  <si>
    <t>NUM000602</t>
  </si>
  <si>
    <t>NUM000600</t>
  </si>
  <si>
    <t>NUM000601</t>
  </si>
  <si>
    <t>NUM000603</t>
  </si>
  <si>
    <t>NUM000604</t>
  </si>
  <si>
    <t>NUM000605</t>
  </si>
  <si>
    <t>NUM000606</t>
  </si>
  <si>
    <t>NUM000607</t>
  </si>
  <si>
    <t>NUM000608</t>
  </si>
  <si>
    <t>NUM000609</t>
  </si>
  <si>
    <t>NUM000610</t>
  </si>
  <si>
    <t>NUM000612</t>
  </si>
  <si>
    <t>P0018</t>
  </si>
  <si>
    <t>NUM000611</t>
  </si>
  <si>
    <t>P0098</t>
  </si>
  <si>
    <t>NUM000613</t>
  </si>
  <si>
    <t>NUM000614</t>
  </si>
  <si>
    <t>NUM000615</t>
  </si>
  <si>
    <t>NUM000616</t>
  </si>
  <si>
    <t>NUM000617</t>
  </si>
  <si>
    <t>NUM000618</t>
  </si>
  <si>
    <t>NUM000619</t>
  </si>
  <si>
    <t>NUM000621</t>
  </si>
  <si>
    <t>NUM000620</t>
  </si>
  <si>
    <t>NUM000623</t>
  </si>
  <si>
    <t>NUM000624</t>
  </si>
  <si>
    <t>NUM000622</t>
  </si>
  <si>
    <t>P0044</t>
  </si>
  <si>
    <t>NUM000625</t>
  </si>
  <si>
    <t>P0197</t>
  </si>
  <si>
    <t>NUM000626</t>
  </si>
  <si>
    <t>NUM000627</t>
  </si>
  <si>
    <t>NUM000628</t>
  </si>
  <si>
    <t>P0278</t>
  </si>
  <si>
    <t>NUM000629</t>
  </si>
  <si>
    <t>P0206</t>
  </si>
  <si>
    <t>NUM000631</t>
  </si>
  <si>
    <t>NUM000630</t>
  </si>
  <si>
    <t>NUM000632</t>
  </si>
  <si>
    <t>NUM000633</t>
  </si>
  <si>
    <t>NUM000634</t>
  </si>
  <si>
    <t>NUM000635</t>
  </si>
  <si>
    <t>NUM000636</t>
  </si>
  <si>
    <t>NUM000638</t>
  </si>
  <si>
    <t>NUM000639</t>
  </si>
  <si>
    <t>NUM000637</t>
  </si>
  <si>
    <t>NUM000640</t>
  </si>
  <si>
    <t>NUM000641</t>
  </si>
  <si>
    <t>NUM000643</t>
  </si>
  <si>
    <t>NUM000644</t>
  </si>
  <si>
    <t>NUM000645</t>
  </si>
  <si>
    <t>NUM000648</t>
  </si>
  <si>
    <t>NUM000647</t>
  </si>
  <si>
    <t>NUM000646</t>
  </si>
  <si>
    <t>NUM000649</t>
  </si>
  <si>
    <t>NUM000652</t>
  </si>
  <si>
    <t>NUM000651</t>
  </si>
  <si>
    <t>NUM000650</t>
  </si>
  <si>
    <t>NUM000653</t>
  </si>
  <si>
    <t>NUM000654</t>
  </si>
  <si>
    <t>NUM000655</t>
  </si>
  <si>
    <t>NUM000656</t>
  </si>
  <si>
    <t>NUM000658</t>
  </si>
  <si>
    <t>NUM000657</t>
  </si>
  <si>
    <t>NUM000660</t>
  </si>
  <si>
    <t>NUM000659</t>
  </si>
  <si>
    <t>NUM000661</t>
  </si>
  <si>
    <t>NUM000663</t>
  </si>
  <si>
    <t>NUM000662</t>
  </si>
  <si>
    <t>NUM000664</t>
  </si>
  <si>
    <t>NUM000665</t>
  </si>
  <si>
    <t>NUM000667</t>
  </si>
  <si>
    <t>NUM000666</t>
  </si>
  <si>
    <t>NUM000669</t>
  </si>
  <si>
    <t>NUM000668</t>
  </si>
  <si>
    <t>NUM000670</t>
  </si>
  <si>
    <t>NUM000671</t>
  </si>
  <si>
    <t>NUM000672</t>
  </si>
  <si>
    <t>NUM000674</t>
  </si>
  <si>
    <t>NUM000673</t>
  </si>
  <si>
    <t>NUM000676</t>
  </si>
  <si>
    <t>NUM000675</t>
  </si>
  <si>
    <t>NUM000680</t>
  </si>
  <si>
    <t>NUM000678</t>
  </si>
  <si>
    <t>NUM000679</t>
  </si>
  <si>
    <t>NUM000681</t>
  </si>
  <si>
    <t>NUM000682</t>
  </si>
  <si>
    <t>NUM000683</t>
  </si>
  <si>
    <t>NUM000684</t>
  </si>
  <si>
    <t>NUM000685</t>
  </si>
  <si>
    <t>NUM000686</t>
  </si>
  <si>
    <t>NUM000687</t>
  </si>
  <si>
    <t>NUM000689</t>
  </si>
  <si>
    <t>NUM000688</t>
  </si>
  <si>
    <t>NUM000690</t>
  </si>
  <si>
    <t>NUM000691</t>
  </si>
  <si>
    <t>NUM000692</t>
  </si>
  <si>
    <t>NUM000694</t>
  </si>
  <si>
    <t>NUM000693</t>
  </si>
  <si>
    <t>NUM000695</t>
  </si>
  <si>
    <t>NUM000696</t>
  </si>
  <si>
    <t>NUM000698</t>
  </si>
  <si>
    <t>NUM000699</t>
  </si>
  <si>
    <t>NUM000697</t>
  </si>
  <si>
    <t>NUM000700</t>
  </si>
  <si>
    <t>NUM000701</t>
  </si>
  <si>
    <t>P0116</t>
  </si>
  <si>
    <t>NUM000702</t>
  </si>
  <si>
    <t>NUM000703</t>
  </si>
  <si>
    <t>NUM000705</t>
  </si>
  <si>
    <t>NUM000704</t>
  </si>
  <si>
    <t>NUM000706</t>
  </si>
  <si>
    <t>NUM000707</t>
  </si>
  <si>
    <t>NUM000708</t>
  </si>
  <si>
    <t>NUM000710</t>
  </si>
  <si>
    <t>NUM000709</t>
  </si>
  <si>
    <t>P0073</t>
  </si>
  <si>
    <t>NUM000711</t>
  </si>
  <si>
    <t>NUM000712</t>
  </si>
  <si>
    <t>NUM000714</t>
  </si>
  <si>
    <t>NUM000713</t>
  </si>
  <si>
    <t>NUM000716</t>
  </si>
  <si>
    <t>NUM000717</t>
  </si>
  <si>
    <t>NUM000715</t>
  </si>
  <si>
    <t>NUM000718</t>
  </si>
  <si>
    <t>NUM000721</t>
  </si>
  <si>
    <t>NUM000720</t>
  </si>
  <si>
    <t>NUM000722</t>
  </si>
  <si>
    <t>NUM000723</t>
  </si>
  <si>
    <t>P0221</t>
  </si>
  <si>
    <t>NUM000724</t>
  </si>
  <si>
    <t>NUM000725</t>
  </si>
  <si>
    <t>NUM000726</t>
  </si>
  <si>
    <t>NUM000727</t>
  </si>
  <si>
    <t>NUM000728</t>
  </si>
  <si>
    <t>NUM000729</t>
  </si>
  <si>
    <t>NUM000730</t>
  </si>
  <si>
    <t>NUM000732</t>
  </si>
  <si>
    <t>NUM000731</t>
  </si>
  <si>
    <t>NUM000733</t>
  </si>
  <si>
    <t>NUM000734</t>
  </si>
  <si>
    <t>NUM000735</t>
  </si>
  <si>
    <t>NUM000736</t>
  </si>
  <si>
    <t>NUM000737</t>
  </si>
  <si>
    <t>NUM000738</t>
  </si>
  <si>
    <t>NUM000739</t>
  </si>
  <si>
    <t>NUM000740</t>
  </si>
  <si>
    <t>NUM000741</t>
  </si>
  <si>
    <t>NUM000742</t>
  </si>
  <si>
    <t>NUM000743</t>
  </si>
  <si>
    <t>NUM000744</t>
  </si>
  <si>
    <t>P0253</t>
  </si>
  <si>
    <t>NUM000746</t>
  </si>
  <si>
    <t>NUM000745</t>
  </si>
  <si>
    <t>NUM000748</t>
  </si>
  <si>
    <t>NUM000747</t>
  </si>
  <si>
    <t>NUM000749</t>
  </si>
  <si>
    <t>NUM000750</t>
  </si>
  <si>
    <t>NUM000751</t>
  </si>
  <si>
    <t>NUM000752</t>
  </si>
  <si>
    <t>NUM000754</t>
  </si>
  <si>
    <t>NUM000753</t>
  </si>
  <si>
    <t>NUM000755</t>
  </si>
  <si>
    <t>NUM000756</t>
  </si>
  <si>
    <t>NUM000757</t>
  </si>
  <si>
    <t>NUM000758</t>
  </si>
  <si>
    <t>NUM000759</t>
  </si>
  <si>
    <t>NUM000760</t>
  </si>
  <si>
    <t>NUM000761</t>
  </si>
  <si>
    <t>NUM000762</t>
  </si>
  <si>
    <t>NUM000763</t>
  </si>
  <si>
    <t>NUM000764</t>
  </si>
  <si>
    <t>NUM000765</t>
  </si>
  <si>
    <t>NUM000766</t>
  </si>
  <si>
    <t>NUM000767</t>
  </si>
  <si>
    <t>NUM000768</t>
  </si>
  <si>
    <t>NUM000769</t>
  </si>
  <si>
    <t>NUM000770</t>
  </si>
  <si>
    <t>NUM000771</t>
  </si>
  <si>
    <t>NUM000772</t>
  </si>
  <si>
    <t>NUM000773</t>
  </si>
  <si>
    <t>NUM000774</t>
  </si>
  <si>
    <t>NUM000775</t>
  </si>
  <si>
    <t>NUM000777</t>
  </si>
  <si>
    <t>NUM000779</t>
  </si>
  <si>
    <t>NUM000778</t>
  </si>
  <si>
    <t>NUM000780</t>
  </si>
  <si>
    <t>NUM000781</t>
  </si>
  <si>
    <t>NUM000782</t>
  </si>
  <si>
    <t>NUM000783</t>
  </si>
  <si>
    <t>P0261</t>
  </si>
  <si>
    <t>NUM000785</t>
  </si>
  <si>
    <t>NUM000784</t>
  </si>
  <si>
    <t>NUM000786</t>
  </si>
  <si>
    <t>NUM000788</t>
  </si>
  <si>
    <t>NUM000787</t>
  </si>
  <si>
    <t>NUM000789</t>
  </si>
  <si>
    <t>NUM000791</t>
  </si>
  <si>
    <t>NUM000792</t>
  </si>
  <si>
    <t>NUM000793</t>
  </si>
  <si>
    <t>NUM000794</t>
  </si>
  <si>
    <t>NUM000795</t>
  </si>
  <si>
    <t>NUM000797</t>
  </si>
  <si>
    <t>NUM000796</t>
  </si>
  <si>
    <t>NUM000798</t>
  </si>
  <si>
    <t>NUM000799</t>
  </si>
  <si>
    <t>NUM000800</t>
  </si>
  <si>
    <t>NUM000801</t>
  </si>
  <si>
    <t>NUM000802</t>
  </si>
  <si>
    <t>NUM000803</t>
  </si>
  <si>
    <t>NUM000804</t>
  </si>
  <si>
    <t>NUM000805</t>
  </si>
  <si>
    <t>NUM000806</t>
  </si>
  <si>
    <t>NUM000807</t>
  </si>
  <si>
    <t>NUM000808</t>
  </si>
  <si>
    <t>NUM000809</t>
  </si>
  <si>
    <t>NUM000810</t>
  </si>
  <si>
    <t>NUM000811</t>
  </si>
  <si>
    <t>NUM000812</t>
  </si>
  <si>
    <t>NUM000813</t>
  </si>
  <si>
    <t>NUM000814</t>
  </si>
  <si>
    <t>NUM000815</t>
  </si>
  <si>
    <t>NUM000819</t>
  </si>
  <si>
    <t>NUM000817</t>
  </si>
  <si>
    <t>NUM000818</t>
  </si>
  <si>
    <t>NUM000820</t>
  </si>
  <si>
    <t>NUM000821</t>
  </si>
  <si>
    <t>NUM000823</t>
  </si>
  <si>
    <t>NUM000822</t>
  </si>
  <si>
    <t>NUM000824</t>
  </si>
  <si>
    <t>NUM000825</t>
  </si>
  <si>
    <t>NUM000827</t>
  </si>
  <si>
    <t>NUM000826</t>
  </si>
  <si>
    <t>NUM000828</t>
  </si>
  <si>
    <t>NUM000829</t>
  </si>
  <si>
    <t>NUM000830</t>
  </si>
  <si>
    <t>NUM000831</t>
  </si>
  <si>
    <t>NUM000832</t>
  </si>
  <si>
    <t>NUM000833</t>
  </si>
  <si>
    <t>NUM000834</t>
  </si>
  <si>
    <t>NUM000835</t>
  </si>
  <si>
    <t>NUM000836</t>
  </si>
  <si>
    <t>NUM000838</t>
  </si>
  <si>
    <t>NUM000837</t>
  </si>
  <si>
    <t>NUM000839</t>
  </si>
  <si>
    <t>NUM000840</t>
  </si>
  <si>
    <t>NUM000841</t>
  </si>
  <si>
    <t>NUM000842</t>
  </si>
  <si>
    <t>NUM000843</t>
  </si>
  <si>
    <t>NUM000844</t>
  </si>
  <si>
    <t>NUM000845</t>
  </si>
  <si>
    <t>NUM000846</t>
  </si>
  <si>
    <t>P0198</t>
  </si>
  <si>
    <t>NUM000847</t>
  </si>
  <si>
    <t>NUM000849</t>
  </si>
  <si>
    <t>NUM000848</t>
  </si>
  <si>
    <t>NUM000850</t>
  </si>
  <si>
    <t>NUM000851</t>
  </si>
  <si>
    <t>NUM000852</t>
  </si>
  <si>
    <t>NUM000854</t>
  </si>
  <si>
    <t>NUM000853</t>
  </si>
  <si>
    <t>NUM000857</t>
  </si>
  <si>
    <t>NUM000855</t>
  </si>
  <si>
    <t>NUM000856</t>
  </si>
  <si>
    <t>NUM000861</t>
  </si>
  <si>
    <t>NUM000860</t>
  </si>
  <si>
    <t>NUM000859</t>
  </si>
  <si>
    <t>NUM000858</t>
  </si>
  <si>
    <t>NUM000862</t>
  </si>
  <si>
    <t>NUM000864</t>
  </si>
  <si>
    <t>NUM000863</t>
  </si>
  <si>
    <t>NUM000866</t>
  </si>
  <si>
    <t>NUM000865</t>
  </si>
  <si>
    <t>NUM000869</t>
  </si>
  <si>
    <t>NUM000868</t>
  </si>
  <si>
    <t>NUM000867</t>
  </si>
  <si>
    <t>NUM000870</t>
  </si>
  <si>
    <t>NUM000871</t>
  </si>
  <si>
    <t>NUM000872</t>
  </si>
  <si>
    <t>NUM000873</t>
  </si>
  <si>
    <t>NUM000874</t>
  </si>
  <si>
    <t>NUM000875</t>
  </si>
  <si>
    <t>NUM000876</t>
  </si>
  <si>
    <t>NUM000877</t>
  </si>
  <si>
    <t>NUM000878</t>
  </si>
  <si>
    <t>NUM000879</t>
  </si>
  <si>
    <t>NUM000881</t>
  </si>
  <si>
    <t>NUM000880</t>
  </si>
  <si>
    <t>NUM000884</t>
  </si>
  <si>
    <t>NUM000883</t>
  </si>
  <si>
    <t>NUM000882</t>
  </si>
  <si>
    <t>Chambal Fertilisers and Chemicals Ltd.</t>
  </si>
  <si>
    <t>4951 Indiana Ave.</t>
  </si>
  <si>
    <t>New York</t>
  </si>
  <si>
    <t>NY</t>
  </si>
  <si>
    <t>10025</t>
  </si>
  <si>
    <t>Elder Pharmaceuticals</t>
  </si>
  <si>
    <t>57 Neriba Cres</t>
  </si>
  <si>
    <t>Omaha</t>
  </si>
  <si>
    <t>NE</t>
  </si>
  <si>
    <t>68127</t>
  </si>
  <si>
    <t>Honeywell Automation</t>
  </si>
  <si>
    <t>1272 Harbor Road</t>
  </si>
  <si>
    <t>Miami</t>
  </si>
  <si>
    <t>FL</t>
  </si>
  <si>
    <t>33732</t>
  </si>
  <si>
    <t>Lupin Ltd.</t>
  </si>
  <si>
    <t>Abbey Wood</t>
  </si>
  <si>
    <t>10019</t>
  </si>
  <si>
    <t>Fortis Healthcare Ltd.</t>
  </si>
  <si>
    <t>14 Elsworthy Terrace</t>
  </si>
  <si>
    <t>Goleta</t>
  </si>
  <si>
    <t>CA</t>
  </si>
  <si>
    <t>93117</t>
  </si>
  <si>
    <t>Supreme Ind</t>
  </si>
  <si>
    <t>P.O. Box 1367</t>
  </si>
  <si>
    <t>Midland</t>
  </si>
  <si>
    <t>TX</t>
  </si>
  <si>
    <t>79706</t>
  </si>
  <si>
    <t>GHCL Ltd.</t>
  </si>
  <si>
    <t>58 Clarence St</t>
  </si>
  <si>
    <t>Richmond</t>
  </si>
  <si>
    <t>94805</t>
  </si>
  <si>
    <t>Reliance Industries Limited</t>
  </si>
  <si>
    <t>12020 Shamrock Rd., Suite 333</t>
  </si>
  <si>
    <t>Chestnut Ridge</t>
  </si>
  <si>
    <t>10977</t>
  </si>
  <si>
    <t>Godfrey Philips India Ltd.</t>
  </si>
  <si>
    <t>20501 Ania Ave #2</t>
  </si>
  <si>
    <t>Salt Lake City</t>
  </si>
  <si>
    <t>UT</t>
  </si>
  <si>
    <t>84118</t>
  </si>
  <si>
    <t>Suzlon Energy Ltd.</t>
  </si>
  <si>
    <t>501 Marsh Trail Circle</t>
  </si>
  <si>
    <t>Tracy</t>
  </si>
  <si>
    <t>95376</t>
  </si>
  <si>
    <t>Sonata Software</t>
  </si>
  <si>
    <t>1331 Kimberly Dr.</t>
  </si>
  <si>
    <t>Olympia</t>
  </si>
  <si>
    <t>WA</t>
  </si>
  <si>
    <t>98502</t>
  </si>
  <si>
    <t>Dynamatic Technologies Ltd.</t>
  </si>
  <si>
    <t>402 Pinkster Lane</t>
  </si>
  <si>
    <t>Santa Barbara</t>
  </si>
  <si>
    <t>93110</t>
  </si>
  <si>
    <t>GMR Infrastructure Ltd.</t>
  </si>
  <si>
    <t>P.O. Box 4421</t>
  </si>
  <si>
    <t>Naugatuck</t>
  </si>
  <si>
    <t>CT</t>
  </si>
  <si>
    <t>06770</t>
  </si>
  <si>
    <t>Hindusthan National Glass &amp; Industries Ltd.</t>
  </si>
  <si>
    <t>11 Cathy St.</t>
  </si>
  <si>
    <t>Honolulu</t>
  </si>
  <si>
    <t>HI</t>
  </si>
  <si>
    <t>96825</t>
  </si>
  <si>
    <t>Punj Lloyd Ltd.</t>
  </si>
  <si>
    <t>Box 3263</t>
  </si>
  <si>
    <t>South Windsor</t>
  </si>
  <si>
    <t>06074</t>
  </si>
  <si>
    <t>StateName</t>
  </si>
  <si>
    <t>AK</t>
  </si>
  <si>
    <t>Alaska</t>
  </si>
  <si>
    <t xml:space="preserve">Pacific   </t>
  </si>
  <si>
    <t>AL</t>
  </si>
  <si>
    <t>Alabama</t>
  </si>
  <si>
    <t>Southern</t>
  </si>
  <si>
    <t>AR</t>
  </si>
  <si>
    <t>Arkansas</t>
  </si>
  <si>
    <t>AZ</t>
  </si>
  <si>
    <t>Arizona</t>
  </si>
  <si>
    <t>California</t>
  </si>
  <si>
    <t>CO</t>
  </si>
  <si>
    <t>Colorado</t>
  </si>
  <si>
    <t>Western</t>
  </si>
  <si>
    <t>Connecticut</t>
  </si>
  <si>
    <t xml:space="preserve">Northern </t>
  </si>
  <si>
    <t>DC</t>
  </si>
  <si>
    <t>District of Columbia</t>
  </si>
  <si>
    <t>DE</t>
  </si>
  <si>
    <t>Delaware</t>
  </si>
  <si>
    <t>Florida</t>
  </si>
  <si>
    <t>GA</t>
  </si>
  <si>
    <t>Georgia</t>
  </si>
  <si>
    <t>Hawaii</t>
  </si>
  <si>
    <t>IA</t>
  </si>
  <si>
    <t>Iowa</t>
  </si>
  <si>
    <t>Central</t>
  </si>
  <si>
    <t>ID</t>
  </si>
  <si>
    <t>Idaho</t>
  </si>
  <si>
    <t>IL</t>
  </si>
  <si>
    <t>Illinois</t>
  </si>
  <si>
    <t>IN</t>
  </si>
  <si>
    <t>Indiana</t>
  </si>
  <si>
    <t>KS</t>
  </si>
  <si>
    <t>Kansas</t>
  </si>
  <si>
    <t>KY</t>
  </si>
  <si>
    <t>Kentucky</t>
  </si>
  <si>
    <t>LA</t>
  </si>
  <si>
    <t>Louisiana</t>
  </si>
  <si>
    <t>MA</t>
  </si>
  <si>
    <t>Massachusetts</t>
  </si>
  <si>
    <t>MD</t>
  </si>
  <si>
    <t>Maryland</t>
  </si>
  <si>
    <t>ME</t>
  </si>
  <si>
    <t>Maine</t>
  </si>
  <si>
    <t>MI</t>
  </si>
  <si>
    <t>Michigan</t>
  </si>
  <si>
    <t>MN</t>
  </si>
  <si>
    <t>Minnesota</t>
  </si>
  <si>
    <t>MO</t>
  </si>
  <si>
    <t>Missouri</t>
  </si>
  <si>
    <t>MS</t>
  </si>
  <si>
    <t>Mississippi</t>
  </si>
  <si>
    <t>MT</t>
  </si>
  <si>
    <t>Montana</t>
  </si>
  <si>
    <t>NC</t>
  </si>
  <si>
    <t>North Carolina</t>
  </si>
  <si>
    <t>ND</t>
  </si>
  <si>
    <t>North Dakota</t>
  </si>
  <si>
    <t>Nebraska</t>
  </si>
  <si>
    <t>NH</t>
  </si>
  <si>
    <t>New Hampshire</t>
  </si>
  <si>
    <t>NJ</t>
  </si>
  <si>
    <t>New Jersey</t>
  </si>
  <si>
    <t>NM</t>
  </si>
  <si>
    <t>New Mexico</t>
  </si>
  <si>
    <t>NV</t>
  </si>
  <si>
    <t>Nevada</t>
  </si>
  <si>
    <t>OH</t>
  </si>
  <si>
    <t>Ohio</t>
  </si>
  <si>
    <t>OK</t>
  </si>
  <si>
    <t>Oklahoma</t>
  </si>
  <si>
    <t>OR</t>
  </si>
  <si>
    <t>Oregon</t>
  </si>
  <si>
    <t>PA</t>
  </si>
  <si>
    <t>Pennsylvania</t>
  </si>
  <si>
    <t>RI</t>
  </si>
  <si>
    <t>Rhode Island</t>
  </si>
  <si>
    <t>SC</t>
  </si>
  <si>
    <t>South Carolina</t>
  </si>
  <si>
    <t>SD</t>
  </si>
  <si>
    <t>South Dakota</t>
  </si>
  <si>
    <t>TN</t>
  </si>
  <si>
    <t>Tennessee</t>
  </si>
  <si>
    <t>Texas</t>
  </si>
  <si>
    <t>Utah</t>
  </si>
  <si>
    <t>VA</t>
  </si>
  <si>
    <t>Virginia</t>
  </si>
  <si>
    <t>VT</t>
  </si>
  <si>
    <t>Vermont</t>
  </si>
  <si>
    <t>Washington</t>
  </si>
  <si>
    <t>WI</t>
  </si>
  <si>
    <t>Wisconsin</t>
  </si>
  <si>
    <t>WV</t>
  </si>
  <si>
    <t>West Virginia</t>
  </si>
  <si>
    <t>WY</t>
  </si>
  <si>
    <t>Wyoming</t>
  </si>
  <si>
    <t>Sr.No</t>
  </si>
  <si>
    <t>Chambal Fertilisers &amp; Chemicals Ltd.</t>
  </si>
  <si>
    <t>Enter Name</t>
  </si>
  <si>
    <t>Position is</t>
  </si>
  <si>
    <t>Supreme Industries</t>
  </si>
  <si>
    <t>Hindusthan National Industries Ltd.</t>
  </si>
  <si>
    <t>Value1</t>
  </si>
  <si>
    <t>Value2</t>
  </si>
  <si>
    <t>Value3</t>
  </si>
  <si>
    <t>Enter Number</t>
  </si>
  <si>
    <t>Product ID</t>
  </si>
  <si>
    <t>Newell 322</t>
  </si>
  <si>
    <t>Art</t>
  </si>
  <si>
    <t>Xerox 1967</t>
  </si>
  <si>
    <t>Paper</t>
  </si>
  <si>
    <t>Newell 341</t>
  </si>
  <si>
    <t>Simple Index</t>
  </si>
  <si>
    <t>Newell 318</t>
  </si>
  <si>
    <t>Enter Product ID</t>
  </si>
  <si>
    <t>GE 30524EE4</t>
  </si>
  <si>
    <t>Phones</t>
  </si>
  <si>
    <t>Get Row number of Entered Product ID</t>
  </si>
  <si>
    <t>Avery 485</t>
  </si>
  <si>
    <t>Labels</t>
  </si>
  <si>
    <t>Index with 1 Match</t>
  </si>
  <si>
    <t>Xerox 232</t>
  </si>
  <si>
    <t>Enter Column Name</t>
  </si>
  <si>
    <t>Xerox 1943</t>
  </si>
  <si>
    <t>Get Column number of Entered Column Name</t>
  </si>
  <si>
    <t>Avery 511</t>
  </si>
  <si>
    <t>Index with 2 Match</t>
  </si>
  <si>
    <t>Xerox 1995</t>
  </si>
  <si>
    <t>Xerox 1999</t>
  </si>
  <si>
    <t>Xerox 1921</t>
  </si>
  <si>
    <t>Xerox 1916</t>
  </si>
  <si>
    <t>Staples</t>
  </si>
  <si>
    <t>Fasteners</t>
  </si>
  <si>
    <t>Xerox 195</t>
  </si>
  <si>
    <t>Xerox 1880</t>
  </si>
  <si>
    <t>Ideal Clamps</t>
  </si>
  <si>
    <t>Newell 343</t>
  </si>
  <si>
    <t>Xerox 1911</t>
  </si>
  <si>
    <t>Xerox 1883</t>
  </si>
  <si>
    <t>Newell 311</t>
  </si>
  <si>
    <t>Avery 519</t>
  </si>
  <si>
    <t>Xerox 1920</t>
  </si>
  <si>
    <t>Xerox 1913</t>
  </si>
  <si>
    <t>Avery 51</t>
  </si>
  <si>
    <t>AT&amp;T TR1909W</t>
  </si>
  <si>
    <t>Xerox 205</t>
  </si>
  <si>
    <t>Avery 505</t>
  </si>
  <si>
    <t>Xerox 1957</t>
  </si>
  <si>
    <t>Newell 330</t>
  </si>
  <si>
    <t>Avery 489</t>
  </si>
  <si>
    <t>Xerox 216</t>
  </si>
  <si>
    <t>Avery 512</t>
  </si>
  <si>
    <t>Xerox 223</t>
  </si>
  <si>
    <t>Xerox 1939</t>
  </si>
  <si>
    <t>Newell 350</t>
  </si>
  <si>
    <t>Avery 509</t>
  </si>
  <si>
    <t>Xerox 21</t>
  </si>
  <si>
    <t>Newell 314</t>
  </si>
  <si>
    <t>Xerox 1881</t>
  </si>
  <si>
    <t>Newell 333</t>
  </si>
  <si>
    <t>Xerox 1930</t>
  </si>
  <si>
    <t>Newell 324</t>
  </si>
  <si>
    <t>Xerox 1960</t>
  </si>
  <si>
    <t>Xerox 1958</t>
  </si>
  <si>
    <t>Xerox 1974</t>
  </si>
  <si>
    <t>Staple holder</t>
  </si>
  <si>
    <t>Appliances</t>
  </si>
  <si>
    <t>Xerox 1908</t>
  </si>
  <si>
    <t>Xerox 191</t>
  </si>
  <si>
    <t>Xerox 1987</t>
  </si>
  <si>
    <t>Crate-A-Files</t>
  </si>
  <si>
    <t>Storage</t>
  </si>
  <si>
    <t>Xerox 1897</t>
  </si>
  <si>
    <t>Avery 520</t>
  </si>
  <si>
    <t>Newell 345</t>
  </si>
  <si>
    <t>Newell 342</t>
  </si>
  <si>
    <t>Xerox 1912</t>
  </si>
  <si>
    <t>Newell 344</t>
  </si>
  <si>
    <t>Newell 327</t>
  </si>
  <si>
    <t>Newell 317</t>
  </si>
  <si>
    <t>Xerox 1898</t>
  </si>
  <si>
    <t>Avery 473</t>
  </si>
  <si>
    <t>Xerox 226</t>
  </si>
  <si>
    <t>Cisco SPA301</t>
  </si>
  <si>
    <t>Xerox 222</t>
  </si>
  <si>
    <t>Newell 332</t>
  </si>
  <si>
    <t>Xerox 225</t>
  </si>
  <si>
    <t>Xerox 1894</t>
  </si>
  <si>
    <t>Newell 312</t>
  </si>
  <si>
    <t>Xerox 1889</t>
  </si>
  <si>
    <t>Motorola L804</t>
  </si>
  <si>
    <t>Avery 493</t>
  </si>
  <si>
    <t>Xerox 1972</t>
  </si>
  <si>
    <t>Avery 480</t>
  </si>
  <si>
    <t>Xerox 1993</t>
  </si>
  <si>
    <t>Newell 331</t>
  </si>
  <si>
    <t>Avery 516</t>
  </si>
  <si>
    <t>Xerox 1977</t>
  </si>
  <si>
    <t>Avery 490</t>
  </si>
  <si>
    <t>Xerox 220</t>
  </si>
  <si>
    <t>Xerox 1964</t>
  </si>
  <si>
    <t>Avery 508</t>
  </si>
  <si>
    <t>Xerox 196</t>
  </si>
  <si>
    <t>Avery 476</t>
  </si>
  <si>
    <t>Xerox 1927</t>
  </si>
  <si>
    <t>Avery 499</t>
  </si>
  <si>
    <t>Xerox 1887</t>
  </si>
  <si>
    <t>Xerox 218</t>
  </si>
  <si>
    <t>Newell 32</t>
  </si>
  <si>
    <t>Xerox 1968</t>
  </si>
  <si>
    <t>Xerox 1941</t>
  </si>
  <si>
    <t>Pyle PMP37LED</t>
  </si>
  <si>
    <t>Clarity 53712</t>
  </si>
  <si>
    <t>Newell 335</t>
  </si>
  <si>
    <t>Avery 486</t>
  </si>
  <si>
    <t>Xerox 202</t>
  </si>
  <si>
    <t>Xerox 1884</t>
  </si>
  <si>
    <t>Staple magnet</t>
  </si>
  <si>
    <t>Newell 337</t>
  </si>
  <si>
    <t>Avery 482</t>
  </si>
  <si>
    <t>Avery 483</t>
  </si>
  <si>
    <t>Xerox 1910</t>
  </si>
  <si>
    <t>Xerox 1923</t>
  </si>
  <si>
    <t>Xerox 1931</t>
  </si>
  <si>
    <t>Xerox 1985</t>
  </si>
  <si>
    <t>Xerox 213</t>
  </si>
  <si>
    <t>Xerox 210</t>
  </si>
  <si>
    <t>Xerox 212</t>
  </si>
  <si>
    <t>Xerox 188</t>
  </si>
  <si>
    <t>Xerox 1979</t>
  </si>
  <si>
    <t>Xerox 2</t>
  </si>
  <si>
    <t>Xerox 1935</t>
  </si>
  <si>
    <t>Cisco SPA508G</t>
  </si>
  <si>
    <t>Avery 514</t>
  </si>
  <si>
    <t>Newell 336</t>
  </si>
  <si>
    <t>Newell 328</t>
  </si>
  <si>
    <t>Xerox 224</t>
  </si>
  <si>
    <t>Avery 488</t>
  </si>
  <si>
    <t>Xerox 1950</t>
  </si>
  <si>
    <t>Newell 326</t>
  </si>
  <si>
    <t>Newell 346</t>
  </si>
  <si>
    <t>Xerox 1905</t>
  </si>
  <si>
    <t>Newell 351</t>
  </si>
  <si>
    <t>Xerox 1945</t>
  </si>
  <si>
    <t>Avery 502</t>
  </si>
  <si>
    <t>Xerox 1896</t>
  </si>
  <si>
    <t>Xerox 1996</t>
  </si>
  <si>
    <t>Xerox 1924</t>
  </si>
  <si>
    <t>Newell 315</t>
  </si>
  <si>
    <t>Avery 48</t>
  </si>
  <si>
    <t>Xerox 1915</t>
  </si>
  <si>
    <t>Xerox 1973</t>
  </si>
  <si>
    <t>Avery 517</t>
  </si>
  <si>
    <t>Avery 477</t>
  </si>
  <si>
    <t>Avery 494</t>
  </si>
  <si>
    <t>Newell 35</t>
  </si>
  <si>
    <t>Xerox 1909</t>
  </si>
  <si>
    <t>Xerox 1934</t>
  </si>
  <si>
    <t>Newell 329</t>
  </si>
  <si>
    <t>Xerox 217</t>
  </si>
  <si>
    <t>Xerox 189</t>
  </si>
  <si>
    <t>Xerox 203</t>
  </si>
  <si>
    <t>Xerox 1948</t>
  </si>
  <si>
    <t>Xerox 1946</t>
  </si>
  <si>
    <t>Newell 320</t>
  </si>
  <si>
    <t>Newell 340</t>
  </si>
  <si>
    <t>Avery 506</t>
  </si>
  <si>
    <t>Xerox 192</t>
  </si>
  <si>
    <t>Xerox 199</t>
  </si>
  <si>
    <t>Xerox 197</t>
  </si>
  <si>
    <t>Newell 325</t>
  </si>
  <si>
    <t>Xerox 1970</t>
  </si>
  <si>
    <t>Xerox 1988</t>
  </si>
  <si>
    <t>Avery 481</t>
  </si>
  <si>
    <t>Newell 310</t>
  </si>
  <si>
    <t>Newell 319</t>
  </si>
  <si>
    <t>Avery 518</t>
  </si>
  <si>
    <t>Newell 347</t>
  </si>
  <si>
    <t>Xerox 1949</t>
  </si>
  <si>
    <t>Xerox 1886</t>
  </si>
  <si>
    <t>Xerox 1901</t>
  </si>
  <si>
    <t>Newell 307</t>
  </si>
  <si>
    <t>VTech DS6151</t>
  </si>
  <si>
    <t>Xerox 1940</t>
  </si>
  <si>
    <t>Xerox 1986</t>
  </si>
  <si>
    <t>Xerox 1925</t>
  </si>
  <si>
    <t>Avery 497</t>
  </si>
  <si>
    <t>Avery 500</t>
  </si>
  <si>
    <t>Xerox 231</t>
  </si>
  <si>
    <t>Xerox 1962</t>
  </si>
  <si>
    <t>Avery 478</t>
  </si>
  <si>
    <t>Xerox 1919</t>
  </si>
  <si>
    <t>AT&amp;T CL82213</t>
  </si>
  <si>
    <t>GE 30522EE2</t>
  </si>
  <si>
    <t>Xerox 1929</t>
  </si>
  <si>
    <t>Avery 501</t>
  </si>
  <si>
    <t>Avery 513</t>
  </si>
  <si>
    <t>Xerox 206</t>
  </si>
  <si>
    <t>Xerox 1998</t>
  </si>
  <si>
    <t>Xerox 1981</t>
  </si>
  <si>
    <t>Xerox 211</t>
  </si>
  <si>
    <t>Newell 334</t>
  </si>
  <si>
    <t>Avery 510</t>
  </si>
  <si>
    <t>Newell 309</t>
  </si>
  <si>
    <t>Xerox 1891</t>
  </si>
  <si>
    <t>Avery 474</t>
  </si>
  <si>
    <t>Xerox 214</t>
  </si>
  <si>
    <t>Newell 321</t>
  </si>
  <si>
    <t>P0187</t>
  </si>
  <si>
    <t>Binder Posts</t>
  </si>
  <si>
    <t>Binders</t>
  </si>
  <si>
    <t>Xerox 1978</t>
  </si>
  <si>
    <t>Xerox 1922</t>
  </si>
  <si>
    <t>Xerox 1952</t>
  </si>
  <si>
    <t>Avery 52</t>
  </si>
  <si>
    <t>Avery 507</t>
  </si>
  <si>
    <t>Newell 349</t>
  </si>
  <si>
    <t>Xerox 1888</t>
  </si>
  <si>
    <t>Newell 308</t>
  </si>
  <si>
    <t>Newell 33</t>
  </si>
  <si>
    <t>Xerox 1982</t>
  </si>
  <si>
    <t>Xerox 1991</t>
  </si>
  <si>
    <t>HTC One</t>
  </si>
  <si>
    <t>Xerox 1959</t>
  </si>
  <si>
    <t>Xerox 22</t>
  </si>
  <si>
    <t>Xerox 1989</t>
  </si>
  <si>
    <t>Xerox 1984</t>
  </si>
  <si>
    <t>Xerox 227</t>
  </si>
  <si>
    <t>Xerox 1965</t>
  </si>
  <si>
    <t>Xerox 1994</t>
  </si>
  <si>
    <t>Xerox 1926</t>
  </si>
  <si>
    <t>Xerox 1918</t>
  </si>
  <si>
    <t>Xerox 1951</t>
  </si>
  <si>
    <t>Xerox 219</t>
  </si>
  <si>
    <t>Xerox 1903</t>
  </si>
  <si>
    <t>Avery 496</t>
  </si>
  <si>
    <t>Xerox 23</t>
  </si>
  <si>
    <t>Avery 50</t>
  </si>
  <si>
    <t>P0215</t>
  </si>
  <si>
    <t>Newell 313</t>
  </si>
  <si>
    <t>Xerox 1895</t>
  </si>
  <si>
    <t>Avery 49</t>
  </si>
  <si>
    <t>HTC One Mini</t>
  </si>
  <si>
    <t>Avery 498</t>
  </si>
  <si>
    <t>Xerox 2000</t>
  </si>
  <si>
    <t>Xerox 1944</t>
  </si>
  <si>
    <t>Xerox 215</t>
  </si>
  <si>
    <t>Xerox 1885</t>
  </si>
  <si>
    <t>AT&amp;T CL2909</t>
  </si>
  <si>
    <t>Xerox 1953</t>
  </si>
  <si>
    <t>Xerox 228</t>
  </si>
  <si>
    <t>Xerox 1954</t>
  </si>
  <si>
    <t>Xerox 1942</t>
  </si>
  <si>
    <t>Xerox 201</t>
  </si>
  <si>
    <t>Xerox 1969</t>
  </si>
  <si>
    <t>Xerox 1971</t>
  </si>
  <si>
    <t>Xerox 198</t>
  </si>
  <si>
    <t>Xerox 1997</t>
  </si>
  <si>
    <t>Newell 339</t>
  </si>
  <si>
    <t>Xerox 230</t>
  </si>
  <si>
    <t>Vtech CS6719</t>
  </si>
  <si>
    <t>Xerox 194</t>
  </si>
  <si>
    <t>Xerox 1980</t>
  </si>
  <si>
    <t>Xerox 1907</t>
  </si>
  <si>
    <t>Newell 34</t>
  </si>
  <si>
    <t>Xerox 221</t>
  </si>
  <si>
    <t>Xerox 1893</t>
  </si>
  <si>
    <t>Xerox 1900</t>
  </si>
  <si>
    <t>Xerox 204</t>
  </si>
  <si>
    <t>Xerox 200</t>
  </si>
  <si>
    <t>Xerox 1882</t>
  </si>
  <si>
    <t>Newell 31</t>
  </si>
  <si>
    <t>Xerox 1966</t>
  </si>
  <si>
    <t>Avery 492</t>
  </si>
  <si>
    <t>Avery 515</t>
  </si>
  <si>
    <t>LG Exalt</t>
  </si>
  <si>
    <t>LG G3</t>
  </si>
  <si>
    <t>Newell 348</t>
  </si>
  <si>
    <t>Xerox 1928</t>
  </si>
  <si>
    <t>Xerox 1890</t>
  </si>
  <si>
    <t>Newell 338</t>
  </si>
  <si>
    <t>Xerox 1990</t>
  </si>
  <si>
    <t>Xerox 1933</t>
  </si>
  <si>
    <t>Xerox 1975</t>
  </si>
  <si>
    <t>Newell 323</t>
  </si>
  <si>
    <t>Avery 487</t>
  </si>
  <si>
    <t>Xerox 208</t>
  </si>
  <si>
    <t>Avery 503</t>
  </si>
  <si>
    <t>Newell 316</t>
  </si>
  <si>
    <t>Xerox 1992</t>
  </si>
  <si>
    <t>Xerox 190</t>
  </si>
  <si>
    <t>Xerox 1892</t>
  </si>
  <si>
    <t>Avery 5</t>
  </si>
  <si>
    <t>Xerox 1956</t>
  </si>
  <si>
    <t>Xerox 1937</t>
  </si>
  <si>
    <t>Xerox 1917</t>
  </si>
  <si>
    <t>Xerox 19</t>
  </si>
  <si>
    <t>Xerox 1932</t>
  </si>
  <si>
    <t>Avery 491</t>
  </si>
  <si>
    <t>Xerox 209</t>
  </si>
  <si>
    <t>Avery 495</t>
  </si>
  <si>
    <t>Xerox 1906</t>
  </si>
  <si>
    <t>Xerox 1963</t>
  </si>
  <si>
    <t>Xerox 20</t>
  </si>
  <si>
    <t>Avery 475</t>
  </si>
  <si>
    <t>Xerox 1914</t>
  </si>
  <si>
    <t>Xerox 1902</t>
  </si>
  <si>
    <t>Xerox 207</t>
  </si>
  <si>
    <t>Xiaomi Mi3</t>
  </si>
  <si>
    <t>Xerox 1947</t>
  </si>
  <si>
    <t>Xerox 193</t>
  </si>
  <si>
    <t>Xerox 1936</t>
  </si>
  <si>
    <t>Avery 479</t>
  </si>
  <si>
    <t>Xerox 229</t>
  </si>
  <si>
    <t>Xerox 1976</t>
  </si>
  <si>
    <t>Xerox 1983</t>
  </si>
  <si>
    <t>Avery 484</t>
  </si>
  <si>
    <t>Xerox 1938</t>
  </si>
  <si>
    <t>Xerox 1899</t>
  </si>
  <si>
    <t>Xerox 1955</t>
  </si>
  <si>
    <t>LG G2</t>
  </si>
  <si>
    <t>P0299</t>
  </si>
  <si>
    <t>Commission Details&lt;5</t>
  </si>
  <si>
    <t>Commission Details&gt;5</t>
  </si>
  <si>
    <t>Sales Amount</t>
  </si>
  <si>
    <t>Commission %</t>
  </si>
  <si>
    <t>Sales Person Id</t>
  </si>
  <si>
    <t>EMP10001</t>
  </si>
  <si>
    <t>EMP10002</t>
  </si>
  <si>
    <t>EMP10003</t>
  </si>
  <si>
    <t>EMP10004</t>
  </si>
  <si>
    <t>EMP10005</t>
  </si>
  <si>
    <t>EMP10006</t>
  </si>
  <si>
    <t>EMP10007</t>
  </si>
  <si>
    <t>EMP10008</t>
  </si>
  <si>
    <t>Year of Experience</t>
  </si>
  <si>
    <t xml:space="preserve"> </t>
  </si>
  <si>
    <t>Product_A</t>
  </si>
  <si>
    <t>Product_B</t>
  </si>
  <si>
    <t>Product_C</t>
  </si>
  <si>
    <t>Select the Product</t>
  </si>
  <si>
    <t>Sum is</t>
  </si>
  <si>
    <t>Average is</t>
  </si>
  <si>
    <t>Discount% with normal Vlookup</t>
  </si>
  <si>
    <t>Discount% with Indirect Vlookup</t>
  </si>
  <si>
    <t>Customer Name by Xlookup</t>
  </si>
  <si>
    <t>Product_ID</t>
  </si>
  <si>
    <t>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</si>
</sst>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&quot; Yrs&quot;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20"/>
      <color theme="0"/>
      <name val="Andalus"/>
      <family val="1"/>
    </font>
    <font>
      <sz val="18"/>
      <name val="Arial Unicode MS"/>
      <family val="2"/>
    </font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theme="5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 style="thin">
        <color theme="4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medium">
        <color rgb="FFC00000"/>
      </right>
      <top/>
      <bottom/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medium">
        <color rgb="FFC00000"/>
      </left>
      <right/>
      <top/>
      <bottom/>
      <diagonal/>
    </border>
    <border>
      <left/>
      <right/>
      <top/>
      <bottom style="thin">
        <color theme="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2" borderId="1"/>
    <xf numFmtId="0" fontId="1" fillId="0" borderId="3"/>
    <xf numFmtId="0" fontId="1" fillId="0" borderId="2"/>
    <xf numFmtId="0" fontId="3" fillId="3" borderId="0" applyBorder="0" applyAlignment="0" applyProtection="0"/>
    <xf numFmtId="0" fontId="5" fillId="4" borderId="6"/>
    <xf numFmtId="0" fontId="6" fillId="5" borderId="7"/>
    <xf numFmtId="0" fontId="8" fillId="6" borderId="6">
      <alignment horizontal="center"/>
    </xf>
    <xf numFmtId="0" fontId="1" fillId="0" borderId="0"/>
  </cellStyleXfs>
  <cellXfs count="63">
    <xf numFmtId="0" fontId="0" fillId="0" borderId="0" xfId="0"/>
    <xf numFmtId="0" fontId="1" fillId="0" borderId="3" xfId="3"/>
    <xf numFmtId="0" fontId="1" fillId="0" borderId="2" xfId="4"/>
    <xf numFmtId="9" fontId="0" fillId="0" borderId="0" xfId="0" applyNumberFormat="1"/>
    <xf numFmtId="9" fontId="1" fillId="0" borderId="3" xfId="3" applyNumberFormat="1"/>
    <xf numFmtId="9" fontId="1" fillId="0" borderId="2" xfId="3" applyNumberFormat="1" applyBorder="1"/>
    <xf numFmtId="9" fontId="0" fillId="0" borderId="2" xfId="0" applyNumberFormat="1" applyBorder="1"/>
    <xf numFmtId="0" fontId="9" fillId="7" borderId="10" xfId="0" applyFont="1" applyFill="1" applyBorder="1"/>
    <xf numFmtId="0" fontId="0" fillId="0" borderId="9" xfId="0" applyBorder="1"/>
    <xf numFmtId="0" fontId="0" fillId="0" borderId="11" xfId="0" applyBorder="1"/>
    <xf numFmtId="0" fontId="2" fillId="10" borderId="1" xfId="2" applyFill="1"/>
    <xf numFmtId="0" fontId="2" fillId="11" borderId="1" xfId="2" applyFill="1"/>
    <xf numFmtId="164" fontId="1" fillId="0" borderId="2" xfId="4" applyNumberFormat="1"/>
    <xf numFmtId="0" fontId="10" fillId="9" borderId="12" xfId="0" applyFont="1" applyFill="1" applyBorder="1"/>
    <xf numFmtId="9" fontId="0" fillId="8" borderId="12" xfId="0" applyNumberFormat="1" applyFill="1" applyBorder="1"/>
    <xf numFmtId="9" fontId="0" fillId="0" borderId="12" xfId="0" applyNumberFormat="1" applyBorder="1"/>
    <xf numFmtId="9" fontId="0" fillId="0" borderId="13" xfId="0" applyNumberFormat="1" applyBorder="1"/>
    <xf numFmtId="0" fontId="9" fillId="7" borderId="0" xfId="0" applyFont="1" applyFill="1"/>
    <xf numFmtId="0" fontId="9" fillId="7" borderId="14" xfId="0" applyFont="1" applyFill="1" applyBorder="1"/>
    <xf numFmtId="15" fontId="0" fillId="0" borderId="9" xfId="0" applyNumberFormat="1" applyBorder="1"/>
    <xf numFmtId="15" fontId="0" fillId="0" borderId="11" xfId="0" applyNumberFormat="1" applyBorder="1"/>
    <xf numFmtId="0" fontId="0" fillId="0" borderId="15" xfId="0" applyBorder="1"/>
    <xf numFmtId="0" fontId="10" fillId="13" borderId="1" xfId="2" applyFont="1" applyFill="1"/>
    <xf numFmtId="0" fontId="9" fillId="13" borderId="1" xfId="2" applyFont="1" applyFill="1"/>
    <xf numFmtId="0" fontId="11" fillId="0" borderId="2" xfId="0" applyFont="1" applyBorder="1"/>
    <xf numFmtId="0" fontId="12" fillId="12" borderId="8" xfId="2" applyFont="1" applyFill="1" applyBorder="1"/>
    <xf numFmtId="0" fontId="11" fillId="0" borderId="19" xfId="0" applyFont="1" applyBorder="1"/>
    <xf numFmtId="0" fontId="0" fillId="0" borderId="20" xfId="0" applyBorder="1"/>
    <xf numFmtId="0" fontId="10" fillId="12" borderId="4" xfId="2" applyFont="1" applyFill="1" applyBorder="1"/>
    <xf numFmtId="0" fontId="12" fillId="12" borderId="8" xfId="2" applyFont="1" applyFill="1" applyBorder="1" applyAlignment="1">
      <alignment wrapText="1"/>
    </xf>
    <xf numFmtId="0" fontId="12" fillId="2" borderId="4" xfId="0" applyFont="1" applyFill="1" applyBorder="1"/>
    <xf numFmtId="0" fontId="7" fillId="0" borderId="0" xfId="0" applyFont="1"/>
    <xf numFmtId="0" fontId="0" fillId="0" borderId="21" xfId="0" applyBorder="1"/>
    <xf numFmtId="0" fontId="10" fillId="2" borderId="1" xfId="2" applyFont="1"/>
    <xf numFmtId="9" fontId="7" fillId="0" borderId="0" xfId="0" applyNumberFormat="1" applyFont="1"/>
    <xf numFmtId="0" fontId="10" fillId="2" borderId="8" xfId="2" applyFont="1" applyBorder="1"/>
    <xf numFmtId="9" fontId="0" fillId="0" borderId="9" xfId="0" applyNumberFormat="1" applyBorder="1"/>
    <xf numFmtId="0" fontId="13" fillId="0" borderId="19" xfId="0" applyFont="1" applyBorder="1"/>
    <xf numFmtId="0" fontId="0" fillId="0" borderId="22" xfId="0" applyBorder="1"/>
    <xf numFmtId="0" fontId="9" fillId="11" borderId="1" xfId="2" applyFont="1" applyFill="1"/>
    <xf numFmtId="0" fontId="9" fillId="15" borderId="22" xfId="2" applyFont="1" applyFill="1" applyBorder="1"/>
    <xf numFmtId="0" fontId="0" fillId="0" borderId="0" xfId="0" applyAlignment="1">
      <alignment horizontal="left"/>
    </xf>
    <xf numFmtId="0" fontId="9" fillId="16" borderId="9" xfId="0" applyFont="1" applyFill="1" applyBorder="1"/>
    <xf numFmtId="0" fontId="0" fillId="0" borderId="16" xfId="0" applyBorder="1"/>
    <xf numFmtId="0" fontId="0" fillId="0" borderId="18" xfId="0" applyBorder="1"/>
    <xf numFmtId="0" fontId="0" fillId="0" borderId="0" xfId="0"/>
    <xf numFmtId="0" fontId="0" fillId="0" borderId="24" xfId="0" applyBorder="1" applyAlignment="1"/>
    <xf numFmtId="0" fontId="14" fillId="0" borderId="0" xfId="0" applyFont="1" applyBorder="1" applyAlignment="1">
      <alignment horizontal="left"/>
    </xf>
    <xf numFmtId="0" fontId="9" fillId="11" borderId="8" xfId="2" applyFont="1" applyFill="1" applyBorder="1"/>
    <xf numFmtId="9" fontId="9" fillId="7" borderId="0" xfId="0" applyNumberFormat="1" applyFont="1" applyFill="1"/>
    <xf numFmtId="9" fontId="9" fillId="7" borderId="0" xfId="0" applyNumberFormat="1" applyFont="1" applyFill="1" applyAlignment="1">
      <alignment horizontal="left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0" fillId="0" borderId="23" xfId="0" applyBorder="1" applyAlignment="1">
      <alignment wrapText="1"/>
    </xf>
    <xf numFmtId="0" fontId="0" fillId="0" borderId="0" xfId="0" applyAlignment="1">
      <alignment wrapText="1"/>
    </xf>
    <xf numFmtId="0" fontId="0" fillId="0" borderId="21" xfId="0" applyBorder="1" applyAlignment="1">
      <alignment wrapText="1"/>
    </xf>
    <xf numFmtId="0" fontId="0" fillId="0" borderId="23" xfId="0" applyBorder="1" applyAlignment="1"/>
    <xf numFmtId="0" fontId="0" fillId="0" borderId="0" xfId="0" applyAlignment="1"/>
    <xf numFmtId="0" fontId="0" fillId="14" borderId="5" xfId="0" applyFill="1" applyBorder="1" applyAlignment="1">
      <alignment horizontal="center"/>
    </xf>
    <xf numFmtId="0" fontId="14" fillId="0" borderId="16" xfId="0" applyFont="1" applyBorder="1" applyAlignment="1">
      <alignment horizontal="left"/>
    </xf>
    <xf numFmtId="0" fontId="14" fillId="0" borderId="17" xfId="0" applyFont="1" applyBorder="1" applyAlignment="1">
      <alignment horizontal="left"/>
    </xf>
    <xf numFmtId="0" fontId="14" fillId="0" borderId="18" xfId="0" applyFont="1" applyBorder="1" applyAlignment="1">
      <alignment horizontal="left"/>
    </xf>
  </cellXfs>
  <cellStyles count="10">
    <cellStyle name="Comma 2" xfId="1" xr:uid="{00000000-0005-0000-0000-000000000000}"/>
    <cellStyle name="contain" xfId="8" xr:uid="{34D44F16-0C77-457E-8F7F-9E47E392E7C3}"/>
    <cellStyle name="contains new" xfId="7" xr:uid="{9D7CCEB2-CE01-4F98-B6AE-477D8D8F9C4A}"/>
    <cellStyle name="Content" xfId="3" xr:uid="{F9F9F6CC-6E70-428C-9EF4-E410A4409867}"/>
    <cellStyle name="heade New" xfId="6" xr:uid="{0EEAD82B-F388-4B81-9F11-CF6BF63AC64E}"/>
    <cellStyle name="Heading" xfId="2" xr:uid="{32C27AEA-ABD2-4651-935F-3477A1E87ED2}"/>
    <cellStyle name="Normal" xfId="0" builtinId="0"/>
    <cellStyle name="Normal 3" xfId="9" xr:uid="{DCD40887-4B2C-4709-BF8D-363C02D668F0}"/>
    <cellStyle name="Training Data" xfId="4" xr:uid="{F03BF0F9-DB6A-47AD-8D74-417A47AE59C9}"/>
    <cellStyle name="training format" xfId="5" xr:uid="{2E1AF26C-309E-44E6-8348-12D25D2AE45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D1275"/>
  <sheetViews>
    <sheetView topLeftCell="U1253" zoomScale="120" zoomScaleNormal="120" workbookViewId="0">
      <selection activeCell="V2" sqref="V2:W1275"/>
    </sheetView>
  </sheetViews>
  <sheetFormatPr defaultRowHeight="14.45"/>
  <cols>
    <col min="1" max="1" width="12.140625" bestFit="1" customWidth="1"/>
    <col min="2" max="2" width="11.85546875" bestFit="1" customWidth="1"/>
    <col min="3" max="3" width="13.7109375" bestFit="1" customWidth="1"/>
    <col min="4" max="5" width="13.140625" customWidth="1"/>
    <col min="6" max="6" width="11.7109375" customWidth="1"/>
    <col min="7" max="7" width="10.5703125" customWidth="1"/>
    <col min="8" max="8" width="31.7109375" customWidth="1"/>
    <col min="9" max="10" width="21.5703125" customWidth="1"/>
    <col min="11" max="11" width="9.140625" customWidth="1"/>
    <col min="12" max="16" width="23.5703125" customWidth="1"/>
    <col min="17" max="17" width="11.5703125" customWidth="1"/>
    <col min="18" max="18" width="9.85546875" customWidth="1"/>
    <col min="19" max="19" width="24.7109375" customWidth="1"/>
    <col min="20" max="20" width="36.28515625" customWidth="1"/>
    <col min="21" max="21" width="25.140625" customWidth="1"/>
    <col min="22" max="23" width="27.7109375" customWidth="1"/>
    <col min="24" max="24" width="23.42578125" customWidth="1"/>
    <col min="25" max="25" width="33.28515625" customWidth="1"/>
    <col min="26" max="26" width="16" customWidth="1"/>
    <col min="27" max="27" width="16" bestFit="1" customWidth="1"/>
    <col min="28" max="31" width="8.85546875" customWidth="1"/>
  </cols>
  <sheetData>
    <row r="1" spans="1:30" ht="40.9" customHeight="1" thickBot="1">
      <c r="A1" s="46" t="str">
        <f ca="1">IFERROR(_xlfn.FORMULATEXT(F1),"")</f>
        <v>=VLOOKUP(D3, 'Customer Details'!$A$1:$F$17,2,FALSE)</v>
      </c>
      <c r="B1" s="46"/>
      <c r="C1" s="46"/>
      <c r="D1" s="45"/>
      <c r="E1" s="45"/>
      <c r="F1" s="45" t="str">
        <f>VLOOKUP(D3, 'Customer Details'!$A$1:$F$17,2,FALSE)</f>
        <v>Sonata Software</v>
      </c>
      <c r="G1" s="45"/>
      <c r="H1" s="51" t="str">
        <f ca="1">IFERROR(_xlfn.FORMULATEXT(H3),"")</f>
        <v>=VLOOKUP($D3,'Customer Details'!$A$1:$F$17,MATCH('Order SUmmary'!H$2,'Customer Details'!$A$1:$F$1,0),0)</v>
      </c>
      <c r="I1" s="52"/>
      <c r="J1" s="53"/>
      <c r="K1" s="45"/>
      <c r="L1" s="54" t="str">
        <f ca="1">IFERROR(_xlfn.FORMULATEXT(L3),"")</f>
        <v>=INDEX(Product_List,MATCH($F3,'Product List'!$B$1:$B$299,0),MATCH('Order SUmmary'!L$2,'Product List'!$A$1:$E$1,0))</v>
      </c>
      <c r="M1" s="55"/>
      <c r="N1" s="55"/>
      <c r="O1" s="56"/>
      <c r="P1" s="51" t="str">
        <f ca="1">IFERROR(_xlfn.FORMULATEXT(P3),"")</f>
        <v>=HLOOKUP(C3,'Commission Criteria'!$A$2:$I$4,3,FALSE)</v>
      </c>
      <c r="Q1" s="52"/>
      <c r="R1" s="53"/>
      <c r="S1" s="43" t="str">
        <f ca="1">IFERROR(_xlfn.FORMULATEXT(S3),"")</f>
        <v>=VLOOKUP(R3,'Commission Criteria'!$L$3:$M$11,2,TRUE)</v>
      </c>
      <c r="T1" s="43" t="str">
        <f t="shared" ref="T1:U1" ca="1" si="0">IFERROR(_xlfn.FORMULATEXT(T3),"")</f>
        <v>=IF(P3&lt;5,VLOOKUP(R3,'Commission Criteria'!$L$3:$M$11,2,1),VLOOKUP('Order SUmmary'!R3,'Commission Criteria'!$P$3:$Q$11,2,1))</v>
      </c>
      <c r="U1" s="43" t="str">
        <f t="shared" ca="1" si="0"/>
        <v>=VLOOKUP(R3,IF(P3&lt;5,'Commission Criteria'!$L$3:$M$11,'Commission Criteria'!$P$3:$Q$11),2,1)</v>
      </c>
      <c r="V1" s="57" t="str">
        <f ca="1">IFERROR(_xlfn.FORMULATEXT(X3),"")</f>
        <v>=XLOOKUP(F3,'Product List'!$B$1:$B$299,'Product List'!$A$1:$A$299)</v>
      </c>
      <c r="W1" s="58"/>
      <c r="X1" s="58"/>
      <c r="Y1" s="58"/>
      <c r="Z1" s="58"/>
      <c r="AA1" s="45"/>
      <c r="AB1" s="45"/>
      <c r="AC1" s="45"/>
      <c r="AD1" s="45"/>
    </row>
    <row r="2" spans="1:30" ht="15">
      <c r="A2" s="42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17" t="s">
        <v>7</v>
      </c>
      <c r="I2" s="17" t="s">
        <v>8</v>
      </c>
      <c r="J2" s="17" t="s">
        <v>9</v>
      </c>
      <c r="K2" s="18" t="s">
        <v>10</v>
      </c>
      <c r="L2" s="17" t="s">
        <v>11</v>
      </c>
      <c r="M2" s="17" t="s">
        <v>12</v>
      </c>
      <c r="N2" s="17" t="s">
        <v>13</v>
      </c>
      <c r="O2" s="17" t="s">
        <v>14</v>
      </c>
      <c r="P2" s="17" t="s">
        <v>15</v>
      </c>
      <c r="Q2" s="17" t="s">
        <v>16</v>
      </c>
      <c r="R2" s="17" t="s">
        <v>17</v>
      </c>
      <c r="S2" s="17" t="s">
        <v>18</v>
      </c>
      <c r="T2" s="17" t="s">
        <v>19</v>
      </c>
      <c r="U2" s="17" t="s">
        <v>19</v>
      </c>
      <c r="V2" s="17" t="s">
        <v>20</v>
      </c>
      <c r="W2" s="17" t="s">
        <v>21</v>
      </c>
      <c r="X2" s="17" t="s">
        <v>22</v>
      </c>
      <c r="Y2" s="17" t="s">
        <v>23</v>
      </c>
      <c r="Z2" s="17" t="s">
        <v>7</v>
      </c>
      <c r="AA2" s="17" t="s">
        <v>24</v>
      </c>
      <c r="AB2" s="17" t="s">
        <v>8</v>
      </c>
      <c r="AC2" s="17" t="s">
        <v>25</v>
      </c>
      <c r="AD2" s="17" t="s">
        <v>9</v>
      </c>
    </row>
    <row r="3" spans="1:30">
      <c r="A3" s="8" t="s">
        <v>26</v>
      </c>
      <c r="B3" s="19">
        <v>41282</v>
      </c>
      <c r="C3" s="8" t="s">
        <v>27</v>
      </c>
      <c r="D3" s="8">
        <v>10011</v>
      </c>
      <c r="E3" s="8" t="str">
        <f>VLOOKUP($D3,'Customer Details'!$A$1:$F$17,4,FALSE)</f>
        <v>Olympia</v>
      </c>
      <c r="F3" s="8" t="s">
        <v>28</v>
      </c>
      <c r="G3" s="8">
        <v>2</v>
      </c>
      <c r="H3" s="2" t="str">
        <f>VLOOKUP($D3,'Customer Details'!$A$1:$F$17,MATCH('Order SUmmary'!H$2,'Customer Details'!$A$1:$F$1,0),0)</f>
        <v>Sonata Software</v>
      </c>
      <c r="I3" s="2" t="str">
        <f>VLOOKUP($D3,'Customer Details'!$A$1:$F$17,4,0)</f>
        <v>Olympia</v>
      </c>
      <c r="J3" s="2" t="str">
        <f>VLOOKUP($D3,'Customer Details'!$A$1:$F$17,6,0)</f>
        <v>98502</v>
      </c>
      <c r="K3" s="8" t="str">
        <f>VLOOKUP(VLOOKUP(D3,'Customer Details'!$A$1:$F$17,5,0),'Region INfo'!$A$1:$C$52,3,0)</f>
        <v xml:space="preserve">Pacific   </v>
      </c>
      <c r="L3" s="8" t="str">
        <f>INDEX(Product_List,MATCH($F3,'Product List'!$B$1:$B$299,0),MATCH('Order SUmmary'!L$2,'Product List'!$A$1:$E$1,0))</f>
        <v>Xerox 1951</v>
      </c>
      <c r="M3" s="8">
        <f>INDEX(Product_List,MATCH($F3,'Product List'!$B$1:$B$299,0),MATCH('Order SUmmary'!M$2,'Product List'!$A$1:$E$1,0))</f>
        <v>4006</v>
      </c>
      <c r="N3" s="8">
        <f>INDEX(Product_List,MATCH($F3,'Product List'!$B$1:$B$299,0),MATCH('Order SUmmary'!N$2,'Product List'!$A$1:$E$1,0))</f>
        <v>1898</v>
      </c>
      <c r="O3" s="8" t="str">
        <f>INDEX(Product_List,MATCH($F3,'Product List'!$B$1:$B$299,0),MATCH('Order SUmmary'!O$2,'Product List'!$A$1:$E$1,0))</f>
        <v>Paper</v>
      </c>
      <c r="P3" s="12">
        <f>HLOOKUP(C3,'Commission Criteria'!$A$2:$I$4,3,FALSE)</f>
        <v>4</v>
      </c>
      <c r="Q3" s="8">
        <f>N3*G3</f>
        <v>3796</v>
      </c>
      <c r="R3" s="8">
        <f>M3*G3</f>
        <v>8012</v>
      </c>
      <c r="S3" s="36">
        <f>VLOOKUP(R3,'Commission Criteria'!$L$3:$M$11,2,TRUE)</f>
        <v>0.03</v>
      </c>
      <c r="T3" s="36">
        <f>IF(P3&lt;5,VLOOKUP(R3,'Commission Criteria'!$L$3:$M$11,2,1),VLOOKUP('Order SUmmary'!R3,'Commission Criteria'!$P$3:$Q$11,2,1))</f>
        <v>0.03</v>
      </c>
      <c r="U3" s="36">
        <f>VLOOKUP(R3,IF(P3&lt;5,'Commission Criteria'!$L$3:$M$11,'Commission Criteria'!$P$3:$Q$11),2,1)</f>
        <v>0.03</v>
      </c>
      <c r="V3" s="8" t="s">
        <v>29</v>
      </c>
      <c r="W3" s="36">
        <f ca="1">VLOOKUP(F3,INDIRECT(V3&amp;"!$A$1:$B$296"),2,0)</f>
        <v>0.01</v>
      </c>
      <c r="X3" s="8" t="str">
        <f>_xlfn.XLOOKUP(F3,'Product List'!$B$1:$B$299,'Product List'!$A$1:$A$299)</f>
        <v>Xerox 1951</v>
      </c>
      <c r="Y3" s="8"/>
      <c r="Z3" s="8" t="str" cm="1">
        <f t="array" ref="Z3:AD3">_xlfn.XLOOKUP(D3,'Customer Details'!$A$1:$A$17,'Customer Details'!$B$1:$F$17,"",0,1)</f>
        <v>Sonata Software</v>
      </c>
      <c r="AA3" s="8" t="str">
        <v>1331 Kimberly Dr.</v>
      </c>
      <c r="AB3" s="8" t="str">
        <v>Olympia</v>
      </c>
      <c r="AC3" s="8" t="str">
        <v>WA</v>
      </c>
      <c r="AD3" s="8" t="str">
        <v>98502</v>
      </c>
    </row>
    <row r="4" spans="1:30">
      <c r="A4" s="8" t="s">
        <v>30</v>
      </c>
      <c r="B4" s="19">
        <v>41283</v>
      </c>
      <c r="C4" s="8" t="s">
        <v>27</v>
      </c>
      <c r="D4" s="8">
        <v>10007</v>
      </c>
      <c r="E4" s="8" t="str">
        <f>VLOOKUP($D4,'Customer Details'!$A$1:$F$17,4,FALSE)</f>
        <v>Richmond</v>
      </c>
      <c r="F4" s="8" t="s">
        <v>31</v>
      </c>
      <c r="G4" s="8">
        <v>1</v>
      </c>
      <c r="H4" s="2" t="str">
        <f>VLOOKUP($D4,'Customer Details'!$A$1:$F$17,MATCH('Order SUmmary'!H$2,'Customer Details'!$A$1:$F$1,0),0)</f>
        <v>GHCL Ltd.</v>
      </c>
      <c r="I4" s="2" t="str">
        <f>VLOOKUP($D4,'Customer Details'!$A$1:$F$17,4,0)</f>
        <v>Richmond</v>
      </c>
      <c r="J4" s="2" t="str">
        <f>VLOOKUP($D4,'Customer Details'!$A$1:$F$17,6,0)</f>
        <v>94805</v>
      </c>
      <c r="K4" s="8" t="str">
        <f>VLOOKUP(VLOOKUP(D4,'Customer Details'!$A$1:$F$17,5,0),'Region INfo'!$A$1:$C$52,3,0)</f>
        <v xml:space="preserve">Pacific   </v>
      </c>
      <c r="L4" s="8" t="str">
        <f>INDEX(Product_List,MATCH($F4,'Product List'!$B$1:$B$299,0),MATCH('Order SUmmary'!L$2,'Product List'!$A$1:$E$1,0))</f>
        <v>Avery 494</v>
      </c>
      <c r="M4" s="8">
        <f>INDEX(Product_List,MATCH($F4,'Product List'!$B$1:$B$299,0),MATCH('Order SUmmary'!M$2,'Product List'!$A$1:$E$1,0))</f>
        <v>2923</v>
      </c>
      <c r="N4" s="8">
        <f>INDEX(Product_List,MATCH($F4,'Product List'!$B$1:$B$299,0),MATCH('Order SUmmary'!N$2,'Product List'!$A$1:$E$1,0))</f>
        <v>2480</v>
      </c>
      <c r="O4" s="8" t="str">
        <f>INDEX(Product_List,MATCH($F4,'Product List'!$B$1:$B$299,0),MATCH('Order SUmmary'!O$2,'Product List'!$A$1:$E$1,0))</f>
        <v>Labels</v>
      </c>
      <c r="P4" s="12">
        <f>HLOOKUP(C4,'Commission Criteria'!$A$2:$I$4,3,FALSE)</f>
        <v>4</v>
      </c>
      <c r="Q4" s="8">
        <f t="shared" ref="Q4:Q67" si="1">N4*G4</f>
        <v>2480</v>
      </c>
      <c r="R4" s="8">
        <f t="shared" ref="R4:R67" si="2">M4*G4</f>
        <v>2923</v>
      </c>
      <c r="S4" s="36">
        <f>VLOOKUP(R4,'Commission Criteria'!$L$3:$M$11,2,TRUE)</f>
        <v>0.01</v>
      </c>
      <c r="T4" s="36">
        <f>IF(P4&lt;5,VLOOKUP(R4,'Commission Criteria'!$L$3:$M$11,2,1),VLOOKUP('Order SUmmary'!R4,'Commission Criteria'!$P$3:$Q$11,2,1))</f>
        <v>0.01</v>
      </c>
      <c r="U4" s="36">
        <f>VLOOKUP(R4,IF(P4&lt;5,'Commission Criteria'!$L$3:$M$11,'Commission Criteria'!$P$3:$Q$11),2,1)</f>
        <v>0.01</v>
      </c>
      <c r="V4" s="8" t="s">
        <v>32</v>
      </c>
      <c r="W4" s="36">
        <f t="shared" ref="W4:W67" ca="1" si="3">VLOOKUP(F4,INDIRECT(V4&amp;"!$A$1:$B$296"),2,0)</f>
        <v>0.05</v>
      </c>
      <c r="X4" s="8" t="str">
        <f>_xlfn.XLOOKUP(F4,'Product List'!$B$1:$B$299,'Product List'!$A$1:$A$299)</f>
        <v>Avery 494</v>
      </c>
      <c r="Y4" s="8"/>
      <c r="Z4" s="8" t="str" cm="1">
        <f t="array" ref="Z4:AD4">_xlfn.XLOOKUP(D4,'Customer Details'!$A$1:$A$17,'Customer Details'!$B$1:$F$17,"",0,1)</f>
        <v>GHCL Ltd.</v>
      </c>
      <c r="AA4" s="8" t="str">
        <v>58 Clarence St</v>
      </c>
      <c r="AB4" s="8" t="str">
        <v>Richmond</v>
      </c>
      <c r="AC4" s="8" t="str">
        <v>CA</v>
      </c>
      <c r="AD4" s="8" t="str">
        <v>94805</v>
      </c>
    </row>
    <row r="5" spans="1:30">
      <c r="A5" s="8" t="s">
        <v>30</v>
      </c>
      <c r="B5" s="19">
        <v>41283</v>
      </c>
      <c r="C5" s="8" t="s">
        <v>33</v>
      </c>
      <c r="D5" s="8">
        <v>10005</v>
      </c>
      <c r="E5" s="8" t="str">
        <f>VLOOKUP($D5,'Customer Details'!$A$1:$F$17,4,FALSE)</f>
        <v>Goleta</v>
      </c>
      <c r="F5" s="8" t="s">
        <v>34</v>
      </c>
      <c r="G5" s="8">
        <v>3</v>
      </c>
      <c r="H5" s="2" t="str">
        <f>VLOOKUP($D5,'Customer Details'!$A$1:$F$17,MATCH('Order SUmmary'!H$2,'Customer Details'!$A$1:$F$1,0),0)</f>
        <v>Fortis Healthcare Ltd.</v>
      </c>
      <c r="I5" s="2" t="str">
        <f>VLOOKUP($D5,'Customer Details'!$A$1:$F$17,4,0)</f>
        <v>Goleta</v>
      </c>
      <c r="J5" s="2" t="str">
        <f>VLOOKUP($D5,'Customer Details'!$A$1:$F$17,6,0)</f>
        <v>93117</v>
      </c>
      <c r="K5" s="8" t="str">
        <f>VLOOKUP(VLOOKUP(D5,'Customer Details'!$A$1:$F$17,5,0),'Region INfo'!$A$1:$C$52,3,0)</f>
        <v xml:space="preserve">Pacific   </v>
      </c>
      <c r="L5" s="8" t="str">
        <f>INDEX(Product_List,MATCH($F5,'Product List'!$B$1:$B$299,0),MATCH('Order SUmmary'!L$2,'Product List'!$A$1:$E$1,0))</f>
        <v>Xerox 203</v>
      </c>
      <c r="M5" s="8">
        <f>INDEX(Product_List,MATCH($F5,'Product List'!$B$1:$B$299,0),MATCH('Order SUmmary'!M$2,'Product List'!$A$1:$E$1,0))</f>
        <v>3637</v>
      </c>
      <c r="N5" s="8">
        <f>INDEX(Product_List,MATCH($F5,'Product List'!$B$1:$B$299,0),MATCH('Order SUmmary'!N$2,'Product List'!$A$1:$E$1,0))</f>
        <v>2463</v>
      </c>
      <c r="O5" s="8" t="str">
        <f>INDEX(Product_List,MATCH($F5,'Product List'!$B$1:$B$299,0),MATCH('Order SUmmary'!O$2,'Product List'!$A$1:$E$1,0))</f>
        <v>Paper</v>
      </c>
      <c r="P5" s="12">
        <f>HLOOKUP(C5,'Commission Criteria'!$A$2:$I$4,3,FALSE)</f>
        <v>1</v>
      </c>
      <c r="Q5" s="8">
        <f t="shared" si="1"/>
        <v>7389</v>
      </c>
      <c r="R5" s="8">
        <f t="shared" si="2"/>
        <v>10911</v>
      </c>
      <c r="S5" s="36">
        <f>VLOOKUP(R5,'Commission Criteria'!$L$3:$M$11,2,TRUE)</f>
        <v>0.03</v>
      </c>
      <c r="T5" s="36">
        <f>IF(P5&lt;5,VLOOKUP(R5,'Commission Criteria'!$L$3:$M$11,2,1),VLOOKUP('Order SUmmary'!R5,'Commission Criteria'!$P$3:$Q$11,2,1))</f>
        <v>0.03</v>
      </c>
      <c r="U5" s="36">
        <f>VLOOKUP(R5,IF(P5&lt;5,'Commission Criteria'!$L$3:$M$11,'Commission Criteria'!$P$3:$Q$11),2,1)</f>
        <v>0.03</v>
      </c>
      <c r="V5" s="8" t="s">
        <v>35</v>
      </c>
      <c r="W5" s="36">
        <f t="shared" ca="1" si="3"/>
        <v>0.04</v>
      </c>
      <c r="X5" s="8" t="str">
        <f>_xlfn.XLOOKUP(F5,'Product List'!$B$1:$B$299,'Product List'!$A$1:$A$299)</f>
        <v>Xerox 203</v>
      </c>
      <c r="Y5" s="8"/>
      <c r="Z5" s="8" t="str" cm="1">
        <f t="array" ref="Z5:AD5">_xlfn.XLOOKUP(D5,'Customer Details'!$A$1:$A$17,'Customer Details'!$B$1:$F$17,"",0,1)</f>
        <v>Fortis Healthcare Ltd.</v>
      </c>
      <c r="AA5" s="8" t="str">
        <v>14 Elsworthy Terrace</v>
      </c>
      <c r="AB5" s="8" t="str">
        <v>Goleta</v>
      </c>
      <c r="AC5" s="8" t="str">
        <v>CA</v>
      </c>
      <c r="AD5" s="8" t="str">
        <v>93117</v>
      </c>
    </row>
    <row r="6" spans="1:30">
      <c r="A6" s="8" t="s">
        <v>30</v>
      </c>
      <c r="B6" s="19">
        <v>41283</v>
      </c>
      <c r="C6" s="8" t="s">
        <v>36</v>
      </c>
      <c r="D6" s="8">
        <v>10008</v>
      </c>
      <c r="E6" s="8" t="str">
        <f>VLOOKUP($D6,'Customer Details'!$A$1:$F$17,4,FALSE)</f>
        <v>Chestnut Ridge</v>
      </c>
      <c r="F6" s="8" t="s">
        <v>37</v>
      </c>
      <c r="G6" s="8">
        <v>3</v>
      </c>
      <c r="H6" s="2" t="str">
        <f>VLOOKUP($D6,'Customer Details'!$A$1:$F$17,MATCH('Order SUmmary'!H$2,'Customer Details'!$A$1:$F$1,0),0)</f>
        <v>Reliance Industries Limited</v>
      </c>
      <c r="I6" s="2" t="str">
        <f>VLOOKUP($D6,'Customer Details'!$A$1:$F$17,4,0)</f>
        <v>Chestnut Ridge</v>
      </c>
      <c r="J6" s="2" t="str">
        <f>VLOOKUP($D6,'Customer Details'!$A$1:$F$17,6,0)</f>
        <v>10977</v>
      </c>
      <c r="K6" s="8" t="str">
        <f>VLOOKUP(VLOOKUP(D6,'Customer Details'!$A$1:$F$17,5,0),'Region INfo'!$A$1:$C$52,3,0)</f>
        <v xml:space="preserve">Northern </v>
      </c>
      <c r="L6" s="8" t="str">
        <f>INDEX(Product_List,MATCH($F6,'Product List'!$B$1:$B$299,0),MATCH('Order SUmmary'!L$2,'Product List'!$A$1:$E$1,0))</f>
        <v>Avery 508</v>
      </c>
      <c r="M6" s="8">
        <f>INDEX(Product_List,MATCH($F6,'Product List'!$B$1:$B$299,0),MATCH('Order SUmmary'!M$2,'Product List'!$A$1:$E$1,0))</f>
        <v>3788</v>
      </c>
      <c r="N6" s="8">
        <f>INDEX(Product_List,MATCH($F6,'Product List'!$B$1:$B$299,0),MATCH('Order SUmmary'!N$2,'Product List'!$A$1:$E$1,0))</f>
        <v>2170</v>
      </c>
      <c r="O6" s="8" t="str">
        <f>INDEX(Product_List,MATCH($F6,'Product List'!$B$1:$B$299,0),MATCH('Order SUmmary'!O$2,'Product List'!$A$1:$E$1,0))</f>
        <v>Labels</v>
      </c>
      <c r="P6" s="12">
        <f>HLOOKUP(C6,'Commission Criteria'!$A$2:$I$4,3,FALSE)</f>
        <v>6</v>
      </c>
      <c r="Q6" s="8">
        <f t="shared" si="1"/>
        <v>6510</v>
      </c>
      <c r="R6" s="8">
        <f t="shared" si="2"/>
        <v>11364</v>
      </c>
      <c r="S6" s="36">
        <f>VLOOKUP(R6,'Commission Criteria'!$L$3:$M$11,2,TRUE)</f>
        <v>0.03</v>
      </c>
      <c r="T6" s="36">
        <f>IF(P6&lt;5,VLOOKUP(R6,'Commission Criteria'!$L$3:$M$11,2,1),VLOOKUP('Order SUmmary'!R6,'Commission Criteria'!$P$3:$Q$11,2,1))</f>
        <v>0.02</v>
      </c>
      <c r="U6" s="36">
        <f>VLOOKUP(R6,IF(P6&lt;5,'Commission Criteria'!$L$3:$M$11,'Commission Criteria'!$P$3:$Q$11),2,1)</f>
        <v>0.02</v>
      </c>
      <c r="V6" s="8" t="s">
        <v>29</v>
      </c>
      <c r="W6" s="36">
        <f t="shared" ca="1" si="3"/>
        <v>0.03</v>
      </c>
      <c r="X6" s="8" t="str">
        <f>_xlfn.XLOOKUP(F6,'Product List'!$B$1:$B$299,'Product List'!$A$1:$A$299)</f>
        <v>Avery 508</v>
      </c>
      <c r="Y6" s="8"/>
      <c r="Z6" s="8" t="str" cm="1">
        <f t="array" ref="Z6:AD6">_xlfn.XLOOKUP(D6,'Customer Details'!$A$1:$A$17,'Customer Details'!$B$1:$F$17,"",0,1)</f>
        <v>Reliance Industries Limited</v>
      </c>
      <c r="AA6" s="8" t="str">
        <v>12020 Shamrock Rd., Suite 333</v>
      </c>
      <c r="AB6" s="8" t="str">
        <v>Chestnut Ridge</v>
      </c>
      <c r="AC6" s="8" t="str">
        <v>NY</v>
      </c>
      <c r="AD6" s="8" t="str">
        <v>10977</v>
      </c>
    </row>
    <row r="7" spans="1:30">
      <c r="A7" s="8" t="s">
        <v>38</v>
      </c>
      <c r="B7" s="19">
        <v>41283</v>
      </c>
      <c r="C7" s="8" t="s">
        <v>33</v>
      </c>
      <c r="D7" s="8">
        <v>10007</v>
      </c>
      <c r="E7" s="8" t="str">
        <f>VLOOKUP($D7,'Customer Details'!$A$1:$F$17,4,FALSE)</f>
        <v>Richmond</v>
      </c>
      <c r="F7" s="8" t="s">
        <v>39</v>
      </c>
      <c r="G7" s="8">
        <v>3</v>
      </c>
      <c r="H7" s="2" t="str">
        <f>VLOOKUP($D7,'Customer Details'!$A$1:$F$17,MATCH('Order SUmmary'!H$2,'Customer Details'!$A$1:$F$1,0),0)</f>
        <v>GHCL Ltd.</v>
      </c>
      <c r="I7" s="2" t="str">
        <f>VLOOKUP($D7,'Customer Details'!$A$1:$F$17,4,0)</f>
        <v>Richmond</v>
      </c>
      <c r="J7" s="2" t="str">
        <f>VLOOKUP($D7,'Customer Details'!$A$1:$F$17,6,0)</f>
        <v>94805</v>
      </c>
      <c r="K7" s="8" t="str">
        <f>VLOOKUP(VLOOKUP(D7,'Customer Details'!$A$1:$F$17,5,0),'Region INfo'!$A$1:$C$52,3,0)</f>
        <v xml:space="preserve">Pacific   </v>
      </c>
      <c r="L7" s="8" t="str">
        <f>INDEX(Product_List,MATCH($F7,'Product List'!$B$1:$B$299,0),MATCH('Order SUmmary'!L$2,'Product List'!$A$1:$E$1,0))</f>
        <v>Xerox 1890</v>
      </c>
      <c r="M7" s="8">
        <f>INDEX(Product_List,MATCH($F7,'Product List'!$B$1:$B$299,0),MATCH('Order SUmmary'!M$2,'Product List'!$A$1:$E$1,0))</f>
        <v>3878</v>
      </c>
      <c r="N7" s="8">
        <f>INDEX(Product_List,MATCH($F7,'Product List'!$B$1:$B$299,0),MATCH('Order SUmmary'!N$2,'Product List'!$A$1:$E$1,0))</f>
        <v>2236</v>
      </c>
      <c r="O7" s="8" t="str">
        <f>INDEX(Product_List,MATCH($F7,'Product List'!$B$1:$B$299,0),MATCH('Order SUmmary'!O$2,'Product List'!$A$1:$E$1,0))</f>
        <v>Paper</v>
      </c>
      <c r="P7" s="12">
        <f>HLOOKUP(C7,'Commission Criteria'!$A$2:$I$4,3,FALSE)</f>
        <v>1</v>
      </c>
      <c r="Q7" s="8">
        <f t="shared" si="1"/>
        <v>6708</v>
      </c>
      <c r="R7" s="8">
        <f t="shared" si="2"/>
        <v>11634</v>
      </c>
      <c r="S7" s="36">
        <f>VLOOKUP(R7,'Commission Criteria'!$L$3:$M$11,2,TRUE)</f>
        <v>0.03</v>
      </c>
      <c r="T7" s="36">
        <f>IF(P7&lt;5,VLOOKUP(R7,'Commission Criteria'!$L$3:$M$11,2,1),VLOOKUP('Order SUmmary'!R7,'Commission Criteria'!$P$3:$Q$11,2,1))</f>
        <v>0.03</v>
      </c>
      <c r="U7" s="36">
        <f>VLOOKUP(R7,IF(P7&lt;5,'Commission Criteria'!$L$3:$M$11,'Commission Criteria'!$P$3:$Q$11),2,1)</f>
        <v>0.03</v>
      </c>
      <c r="V7" s="8" t="s">
        <v>40</v>
      </c>
      <c r="W7" s="36">
        <f t="shared" ca="1" si="3"/>
        <v>0.04</v>
      </c>
      <c r="X7" s="8" t="str">
        <f>_xlfn.XLOOKUP(F7,'Product List'!$B$1:$B$299,'Product List'!$A$1:$A$299)</f>
        <v>Xerox 1890</v>
      </c>
      <c r="Y7" s="8"/>
      <c r="Z7" s="8" t="str" cm="1">
        <f t="array" ref="Z7:AD7">_xlfn.XLOOKUP(D7,'Customer Details'!$A$1:$A$17,'Customer Details'!$B$1:$F$17,"",0,1)</f>
        <v>GHCL Ltd.</v>
      </c>
      <c r="AA7" s="8" t="str">
        <v>58 Clarence St</v>
      </c>
      <c r="AB7" s="8" t="str">
        <v>Richmond</v>
      </c>
      <c r="AC7" s="8" t="str">
        <v>CA</v>
      </c>
      <c r="AD7" s="8" t="str">
        <v>94805</v>
      </c>
    </row>
    <row r="8" spans="1:30">
      <c r="A8" s="8" t="s">
        <v>41</v>
      </c>
      <c r="B8" s="19">
        <v>41287</v>
      </c>
      <c r="C8" s="8" t="s">
        <v>33</v>
      </c>
      <c r="D8" s="8">
        <v>10011</v>
      </c>
      <c r="E8" s="8" t="str">
        <f>VLOOKUP($D8,'Customer Details'!$A$1:$F$17,4,FALSE)</f>
        <v>Olympia</v>
      </c>
      <c r="F8" s="8" t="s">
        <v>42</v>
      </c>
      <c r="G8" s="8">
        <v>1</v>
      </c>
      <c r="H8" s="2" t="str">
        <f>VLOOKUP($D8,'Customer Details'!$A$1:$F$17,MATCH('Order SUmmary'!H$2,'Customer Details'!$A$1:$F$1,0),0)</f>
        <v>Sonata Software</v>
      </c>
      <c r="I8" s="2" t="str">
        <f>VLOOKUP($D8,'Customer Details'!$A$1:$F$17,4,0)</f>
        <v>Olympia</v>
      </c>
      <c r="J8" s="2" t="str">
        <f>VLOOKUP($D8,'Customer Details'!$A$1:$F$17,6,0)</f>
        <v>98502</v>
      </c>
      <c r="K8" s="8" t="str">
        <f>VLOOKUP(VLOOKUP(D8,'Customer Details'!$A$1:$F$17,5,0),'Region INfo'!$A$1:$C$52,3,0)</f>
        <v xml:space="preserve">Pacific   </v>
      </c>
      <c r="L8" s="8" t="str">
        <f>INDEX(Product_List,MATCH($F8,'Product List'!$B$1:$B$299,0),MATCH('Order SUmmary'!L$2,'Product List'!$A$1:$E$1,0))</f>
        <v>Staple magnet</v>
      </c>
      <c r="M8" s="8">
        <f>INDEX(Product_List,MATCH($F8,'Product List'!$B$1:$B$299,0),MATCH('Order SUmmary'!M$2,'Product List'!$A$1:$E$1,0))</f>
        <v>3993</v>
      </c>
      <c r="N8" s="8">
        <f>INDEX(Product_List,MATCH($F8,'Product List'!$B$1:$B$299,0),MATCH('Order SUmmary'!N$2,'Product List'!$A$1:$E$1,0))</f>
        <v>1338</v>
      </c>
      <c r="O8" s="8" t="str">
        <f>INDEX(Product_List,MATCH($F8,'Product List'!$B$1:$B$299,0),MATCH('Order SUmmary'!O$2,'Product List'!$A$1:$E$1,0))</f>
        <v>Storage</v>
      </c>
      <c r="P8" s="12">
        <f>HLOOKUP(C8,'Commission Criteria'!$A$2:$I$4,3,FALSE)</f>
        <v>1</v>
      </c>
      <c r="Q8" s="8">
        <f t="shared" si="1"/>
        <v>1338</v>
      </c>
      <c r="R8" s="8">
        <f t="shared" si="2"/>
        <v>3993</v>
      </c>
      <c r="S8" s="36">
        <f>VLOOKUP(R8,'Commission Criteria'!$L$3:$M$11,2,TRUE)</f>
        <v>0.01</v>
      </c>
      <c r="T8" s="36">
        <f>IF(P8&lt;5,VLOOKUP(R8,'Commission Criteria'!$L$3:$M$11,2,1),VLOOKUP('Order SUmmary'!R8,'Commission Criteria'!$P$3:$Q$11,2,1))</f>
        <v>0.01</v>
      </c>
      <c r="U8" s="36">
        <f>VLOOKUP(R8,IF(P8&lt;5,'Commission Criteria'!$L$3:$M$11,'Commission Criteria'!$P$3:$Q$11),2,1)</f>
        <v>0.01</v>
      </c>
      <c r="V8" s="8" t="s">
        <v>43</v>
      </c>
      <c r="W8" s="36">
        <f t="shared" ca="1" si="3"/>
        <v>0</v>
      </c>
      <c r="X8" s="8" t="str">
        <f>_xlfn.XLOOKUP(F8,'Product List'!$B$1:$B$299,'Product List'!$A$1:$A$299)</f>
        <v>Staple magnet</v>
      </c>
      <c r="Y8" s="8"/>
      <c r="Z8" s="8" t="str" cm="1">
        <f t="array" ref="Z8:AD8">_xlfn.XLOOKUP(D8,'Customer Details'!$A$1:$A$17,'Customer Details'!$B$1:$F$17,"",0,1)</f>
        <v>Sonata Software</v>
      </c>
      <c r="AA8" s="8" t="str">
        <v>1331 Kimberly Dr.</v>
      </c>
      <c r="AB8" s="8" t="str">
        <v>Olympia</v>
      </c>
      <c r="AC8" s="8" t="str">
        <v>WA</v>
      </c>
      <c r="AD8" s="8" t="str">
        <v>98502</v>
      </c>
    </row>
    <row r="9" spans="1:30">
      <c r="A9" s="8" t="s">
        <v>41</v>
      </c>
      <c r="B9" s="19">
        <v>41287</v>
      </c>
      <c r="C9" s="8" t="s">
        <v>44</v>
      </c>
      <c r="D9" s="8">
        <v>10012</v>
      </c>
      <c r="E9" s="8" t="str">
        <f>VLOOKUP($D9,'Customer Details'!$A$1:$F$17,4,FALSE)</f>
        <v>Santa Barbara</v>
      </c>
      <c r="F9" s="8" t="s">
        <v>45</v>
      </c>
      <c r="G9" s="8">
        <v>1</v>
      </c>
      <c r="H9" s="2" t="str">
        <f>VLOOKUP($D9,'Customer Details'!$A$1:$F$17,MATCH('Order SUmmary'!H$2,'Customer Details'!$A$1:$F$1,0),0)</f>
        <v>Dynamatic Technologies Ltd.</v>
      </c>
      <c r="I9" s="2" t="str">
        <f>VLOOKUP($D9,'Customer Details'!$A$1:$F$17,4,0)</f>
        <v>Santa Barbara</v>
      </c>
      <c r="J9" s="2" t="str">
        <f>VLOOKUP($D9,'Customer Details'!$A$1:$F$17,6,0)</f>
        <v>93110</v>
      </c>
      <c r="K9" s="8" t="str">
        <f>VLOOKUP(VLOOKUP(D9,'Customer Details'!$A$1:$F$17,5,0),'Region INfo'!$A$1:$C$52,3,0)</f>
        <v xml:space="preserve">Pacific   </v>
      </c>
      <c r="L9" s="8" t="str">
        <f>INDEX(Product_List,MATCH($F9,'Product List'!$B$1:$B$299,0),MATCH('Order SUmmary'!L$2,'Product List'!$A$1:$E$1,0))</f>
        <v>Avery 486</v>
      </c>
      <c r="M9" s="8">
        <f>INDEX(Product_List,MATCH($F9,'Product List'!$B$1:$B$299,0),MATCH('Order SUmmary'!M$2,'Product List'!$A$1:$E$1,0))</f>
        <v>4914</v>
      </c>
      <c r="N9" s="8">
        <f>INDEX(Product_List,MATCH($F9,'Product List'!$B$1:$B$299,0),MATCH('Order SUmmary'!N$2,'Product List'!$A$1:$E$1,0))</f>
        <v>1632</v>
      </c>
      <c r="O9" s="8" t="str">
        <f>INDEX(Product_List,MATCH($F9,'Product List'!$B$1:$B$299,0),MATCH('Order SUmmary'!O$2,'Product List'!$A$1:$E$1,0))</f>
        <v>Labels</v>
      </c>
      <c r="P9" s="12">
        <f>HLOOKUP(C9,'Commission Criteria'!$A$2:$I$4,3,FALSE)</f>
        <v>4</v>
      </c>
      <c r="Q9" s="8">
        <f t="shared" si="1"/>
        <v>1632</v>
      </c>
      <c r="R9" s="8">
        <f t="shared" si="2"/>
        <v>4914</v>
      </c>
      <c r="S9" s="36">
        <f>VLOOKUP(R9,'Commission Criteria'!$L$3:$M$11,2,TRUE)</f>
        <v>0.01</v>
      </c>
      <c r="T9" s="36">
        <f>IF(P9&lt;5,VLOOKUP(R9,'Commission Criteria'!$L$3:$M$11,2,1),VLOOKUP('Order SUmmary'!R9,'Commission Criteria'!$P$3:$Q$11,2,1))</f>
        <v>0.01</v>
      </c>
      <c r="U9" s="36">
        <f>VLOOKUP(R9,IF(P9&lt;5,'Commission Criteria'!$L$3:$M$11,'Commission Criteria'!$P$3:$Q$11),2,1)</f>
        <v>0.01</v>
      </c>
      <c r="V9" s="8" t="s">
        <v>35</v>
      </c>
      <c r="W9" s="36">
        <f t="shared" ca="1" si="3"/>
        <v>0.04</v>
      </c>
      <c r="X9" s="8" t="str">
        <f>_xlfn.XLOOKUP(F9,'Product List'!$B$1:$B$299,'Product List'!$A$1:$A$299)</f>
        <v>Avery 486</v>
      </c>
      <c r="Y9" s="8"/>
      <c r="Z9" s="8" t="str" cm="1">
        <f t="array" ref="Z9:AD9">_xlfn.XLOOKUP(D9,'Customer Details'!$A$1:$A$17,'Customer Details'!$B$1:$F$17,"",0,1)</f>
        <v>Dynamatic Technologies Ltd.</v>
      </c>
      <c r="AA9" s="8" t="str">
        <v>402 Pinkster Lane</v>
      </c>
      <c r="AB9" s="8" t="str">
        <v>Santa Barbara</v>
      </c>
      <c r="AC9" s="8" t="str">
        <v>CA</v>
      </c>
      <c r="AD9" s="8" t="str">
        <v>93110</v>
      </c>
    </row>
    <row r="10" spans="1:30">
      <c r="A10" s="8" t="s">
        <v>41</v>
      </c>
      <c r="B10" s="19">
        <v>41287</v>
      </c>
      <c r="C10" s="8" t="s">
        <v>46</v>
      </c>
      <c r="D10" s="8">
        <v>10009</v>
      </c>
      <c r="E10" s="8" t="str">
        <f>VLOOKUP($D10,'Customer Details'!$A$1:$F$17,4,FALSE)</f>
        <v>Salt Lake City</v>
      </c>
      <c r="F10" s="8" t="s">
        <v>47</v>
      </c>
      <c r="G10" s="8">
        <v>2</v>
      </c>
      <c r="H10" s="2" t="str">
        <f>VLOOKUP($D10,'Customer Details'!$A$1:$F$17,MATCH('Order SUmmary'!H$2,'Customer Details'!$A$1:$F$1,0),0)</f>
        <v>Godfrey Philips India Ltd.</v>
      </c>
      <c r="I10" s="2" t="str">
        <f>VLOOKUP($D10,'Customer Details'!$A$1:$F$17,4,0)</f>
        <v>Salt Lake City</v>
      </c>
      <c r="J10" s="2" t="str">
        <f>VLOOKUP($D10,'Customer Details'!$A$1:$F$17,6,0)</f>
        <v>84118</v>
      </c>
      <c r="K10" s="8" t="str">
        <f>VLOOKUP(VLOOKUP(D10,'Customer Details'!$A$1:$F$17,5,0),'Region INfo'!$A$1:$C$52,3,0)</f>
        <v xml:space="preserve">Pacific   </v>
      </c>
      <c r="L10" s="8" t="str">
        <f>INDEX(Product_List,MATCH($F10,'Product List'!$B$1:$B$299,0),MATCH('Order SUmmary'!L$2,'Product List'!$A$1:$E$1,0))</f>
        <v>Xerox 1907</v>
      </c>
      <c r="M10" s="8">
        <f>INDEX(Product_List,MATCH($F10,'Product List'!$B$1:$B$299,0),MATCH('Order SUmmary'!M$2,'Product List'!$A$1:$E$1,0))</f>
        <v>4990</v>
      </c>
      <c r="N10" s="8">
        <f>INDEX(Product_List,MATCH($F10,'Product List'!$B$1:$B$299,0),MATCH('Order SUmmary'!N$2,'Product List'!$A$1:$E$1,0))</f>
        <v>1360</v>
      </c>
      <c r="O10" s="8" t="str">
        <f>INDEX(Product_List,MATCH($F10,'Product List'!$B$1:$B$299,0),MATCH('Order SUmmary'!O$2,'Product List'!$A$1:$E$1,0))</f>
        <v>Paper</v>
      </c>
      <c r="P10" s="12">
        <f>HLOOKUP(C10,'Commission Criteria'!$A$2:$I$4,3,FALSE)</f>
        <v>8</v>
      </c>
      <c r="Q10" s="8">
        <f t="shared" si="1"/>
        <v>2720</v>
      </c>
      <c r="R10" s="8">
        <f t="shared" si="2"/>
        <v>9980</v>
      </c>
      <c r="S10" s="36">
        <f>VLOOKUP(R10,'Commission Criteria'!$L$3:$M$11,2,TRUE)</f>
        <v>0.03</v>
      </c>
      <c r="T10" s="36">
        <f>IF(P10&lt;5,VLOOKUP(R10,'Commission Criteria'!$L$3:$M$11,2,1),VLOOKUP('Order SUmmary'!R10,'Commission Criteria'!$P$3:$Q$11,2,1))</f>
        <v>0.02</v>
      </c>
      <c r="U10" s="36">
        <f>VLOOKUP(R10,IF(P10&lt;5,'Commission Criteria'!$L$3:$M$11,'Commission Criteria'!$P$3:$Q$11),2,1)</f>
        <v>0.02</v>
      </c>
      <c r="V10" s="8" t="s">
        <v>35</v>
      </c>
      <c r="W10" s="36">
        <f t="shared" ca="1" si="3"/>
        <v>0.03</v>
      </c>
      <c r="X10" s="8" t="str">
        <f>_xlfn.XLOOKUP(F10,'Product List'!$B$1:$B$299,'Product List'!$A$1:$A$299)</f>
        <v>Xerox 1907</v>
      </c>
      <c r="Y10" s="8"/>
      <c r="Z10" s="8" t="str" cm="1">
        <f t="array" ref="Z10:AD10">_xlfn.XLOOKUP(D10,'Customer Details'!$A$1:$A$17,'Customer Details'!$B$1:$F$17,"",0,1)</f>
        <v>Godfrey Philips India Ltd.</v>
      </c>
      <c r="AA10" s="8" t="str">
        <v>20501 Ania Ave #2</v>
      </c>
      <c r="AB10" s="8" t="str">
        <v>Salt Lake City</v>
      </c>
      <c r="AC10" s="8" t="str">
        <v>UT</v>
      </c>
      <c r="AD10" s="8" t="str">
        <v>84118</v>
      </c>
    </row>
    <row r="11" spans="1:30">
      <c r="A11" s="8" t="s">
        <v>48</v>
      </c>
      <c r="B11" s="19">
        <v>41289</v>
      </c>
      <c r="C11" s="8" t="s">
        <v>36</v>
      </c>
      <c r="D11" s="8">
        <v>10002</v>
      </c>
      <c r="E11" s="8" t="str">
        <f>VLOOKUP($D11,'Customer Details'!$A$1:$F$17,4,FALSE)</f>
        <v>Omaha</v>
      </c>
      <c r="F11" s="8" t="s">
        <v>49</v>
      </c>
      <c r="G11" s="8">
        <v>1</v>
      </c>
      <c r="H11" s="2" t="str">
        <f>VLOOKUP($D11,'Customer Details'!$A$1:$F$17,MATCH('Order SUmmary'!H$2,'Customer Details'!$A$1:$F$1,0),0)</f>
        <v>Elder Pharmaceuticals</v>
      </c>
      <c r="I11" s="2" t="str">
        <f>VLOOKUP($D11,'Customer Details'!$A$1:$F$17,4,0)</f>
        <v>Omaha</v>
      </c>
      <c r="J11" s="2" t="str">
        <f>VLOOKUP($D11,'Customer Details'!$A$1:$F$17,6,0)</f>
        <v>68127</v>
      </c>
      <c r="K11" s="8" t="str">
        <f>VLOOKUP(VLOOKUP(D11,'Customer Details'!$A$1:$F$17,5,0),'Region INfo'!$A$1:$C$52,3,0)</f>
        <v>Western</v>
      </c>
      <c r="L11" s="8" t="str">
        <f>INDEX(Product_List,MATCH($F11,'Product List'!$B$1:$B$299,0),MATCH('Order SUmmary'!L$2,'Product List'!$A$1:$E$1,0))</f>
        <v>Avery 477</v>
      </c>
      <c r="M11" s="8">
        <f>INDEX(Product_List,MATCH($F11,'Product List'!$B$1:$B$299,0),MATCH('Order SUmmary'!M$2,'Product List'!$A$1:$E$1,0))</f>
        <v>2633</v>
      </c>
      <c r="N11" s="8">
        <f>INDEX(Product_List,MATCH($F11,'Product List'!$B$1:$B$299,0),MATCH('Order SUmmary'!N$2,'Product List'!$A$1:$E$1,0))</f>
        <v>1742</v>
      </c>
      <c r="O11" s="8" t="str">
        <f>INDEX(Product_List,MATCH($F11,'Product List'!$B$1:$B$299,0),MATCH('Order SUmmary'!O$2,'Product List'!$A$1:$E$1,0))</f>
        <v>Labels</v>
      </c>
      <c r="P11" s="12">
        <f>HLOOKUP(C11,'Commission Criteria'!$A$2:$I$4,3,FALSE)</f>
        <v>6</v>
      </c>
      <c r="Q11" s="8">
        <f t="shared" si="1"/>
        <v>1742</v>
      </c>
      <c r="R11" s="8">
        <f t="shared" si="2"/>
        <v>2633</v>
      </c>
      <c r="S11" s="36">
        <f>VLOOKUP(R11,'Commission Criteria'!$L$3:$M$11,2,TRUE)</f>
        <v>0.01</v>
      </c>
      <c r="T11" s="36">
        <f>IF(P11&lt;5,VLOOKUP(R11,'Commission Criteria'!$L$3:$M$11,2,1),VLOOKUP('Order SUmmary'!R11,'Commission Criteria'!$P$3:$Q$11,2,1))</f>
        <v>0.02</v>
      </c>
      <c r="U11" s="36">
        <f>VLOOKUP(R11,IF(P11&lt;5,'Commission Criteria'!$L$3:$M$11,'Commission Criteria'!$P$3:$Q$11),2,1)</f>
        <v>0.02</v>
      </c>
      <c r="V11" s="8" t="s">
        <v>50</v>
      </c>
      <c r="W11" s="36">
        <f t="shared" ca="1" si="3"/>
        <v>0.04</v>
      </c>
      <c r="X11" s="8" t="str">
        <f>_xlfn.XLOOKUP(F11,'Product List'!$B$1:$B$299,'Product List'!$A$1:$A$299)</f>
        <v>Avery 477</v>
      </c>
      <c r="Y11" s="8"/>
      <c r="Z11" s="8" t="str" cm="1">
        <f t="array" ref="Z11:AD11">_xlfn.XLOOKUP(D11,'Customer Details'!$A$1:$A$17,'Customer Details'!$B$1:$F$17,"",0,1)</f>
        <v>Elder Pharmaceuticals</v>
      </c>
      <c r="AA11" s="8" t="str">
        <v>57 Neriba Cres</v>
      </c>
      <c r="AB11" s="8" t="str">
        <v>Omaha</v>
      </c>
      <c r="AC11" s="8" t="str">
        <v>NE</v>
      </c>
      <c r="AD11" s="8" t="str">
        <v>68127</v>
      </c>
    </row>
    <row r="12" spans="1:30">
      <c r="A12" s="8" t="s">
        <v>48</v>
      </c>
      <c r="B12" s="19">
        <v>41289</v>
      </c>
      <c r="C12" s="8" t="s">
        <v>51</v>
      </c>
      <c r="D12" s="8">
        <v>10010</v>
      </c>
      <c r="E12" s="8" t="str">
        <f>VLOOKUP($D12,'Customer Details'!$A$1:$F$17,4,FALSE)</f>
        <v>Tracy</v>
      </c>
      <c r="F12" s="8" t="s">
        <v>49</v>
      </c>
      <c r="G12" s="8">
        <v>2</v>
      </c>
      <c r="H12" s="2" t="str">
        <f>VLOOKUP($D12,'Customer Details'!$A$1:$F$17,MATCH('Order SUmmary'!H$2,'Customer Details'!$A$1:$F$1,0),0)</f>
        <v>Suzlon Energy Ltd.</v>
      </c>
      <c r="I12" s="2" t="str">
        <f>VLOOKUP($D12,'Customer Details'!$A$1:$F$17,4,0)</f>
        <v>Tracy</v>
      </c>
      <c r="J12" s="2" t="str">
        <f>VLOOKUP($D12,'Customer Details'!$A$1:$F$17,6,0)</f>
        <v>95376</v>
      </c>
      <c r="K12" s="8" t="str">
        <f>VLOOKUP(VLOOKUP(D12,'Customer Details'!$A$1:$F$17,5,0),'Region INfo'!$A$1:$C$52,3,0)</f>
        <v xml:space="preserve">Pacific   </v>
      </c>
      <c r="L12" s="8" t="str">
        <f>INDEX(Product_List,MATCH($F12,'Product List'!$B$1:$B$299,0),MATCH('Order SUmmary'!L$2,'Product List'!$A$1:$E$1,0))</f>
        <v>Avery 477</v>
      </c>
      <c r="M12" s="8">
        <f>INDEX(Product_List,MATCH($F12,'Product List'!$B$1:$B$299,0),MATCH('Order SUmmary'!M$2,'Product List'!$A$1:$E$1,0))</f>
        <v>2633</v>
      </c>
      <c r="N12" s="8">
        <f>INDEX(Product_List,MATCH($F12,'Product List'!$B$1:$B$299,0),MATCH('Order SUmmary'!N$2,'Product List'!$A$1:$E$1,0))</f>
        <v>1742</v>
      </c>
      <c r="O12" s="8" t="str">
        <f>INDEX(Product_List,MATCH($F12,'Product List'!$B$1:$B$299,0),MATCH('Order SUmmary'!O$2,'Product List'!$A$1:$E$1,0))</f>
        <v>Labels</v>
      </c>
      <c r="P12" s="12">
        <f>HLOOKUP(C12,'Commission Criteria'!$A$2:$I$4,3,FALSE)</f>
        <v>10</v>
      </c>
      <c r="Q12" s="8">
        <f t="shared" si="1"/>
        <v>3484</v>
      </c>
      <c r="R12" s="8">
        <f t="shared" si="2"/>
        <v>5266</v>
      </c>
      <c r="S12" s="36">
        <f>VLOOKUP(R12,'Commission Criteria'!$L$3:$M$11,2,TRUE)</f>
        <v>0.03</v>
      </c>
      <c r="T12" s="36">
        <f>IF(P12&lt;5,VLOOKUP(R12,'Commission Criteria'!$L$3:$M$11,2,1),VLOOKUP('Order SUmmary'!R12,'Commission Criteria'!$P$3:$Q$11,2,1))</f>
        <v>0.02</v>
      </c>
      <c r="U12" s="36">
        <f>VLOOKUP(R12,IF(P12&lt;5,'Commission Criteria'!$L$3:$M$11,'Commission Criteria'!$P$3:$Q$11),2,1)</f>
        <v>0.02</v>
      </c>
      <c r="V12" s="8" t="s">
        <v>29</v>
      </c>
      <c r="W12" s="36">
        <f t="shared" ca="1" si="3"/>
        <v>0.01</v>
      </c>
      <c r="X12" s="8" t="str">
        <f>_xlfn.XLOOKUP(F12,'Product List'!$B$1:$B$299,'Product List'!$A$1:$A$299)</f>
        <v>Avery 477</v>
      </c>
      <c r="Y12" s="8"/>
      <c r="Z12" s="8" t="str" cm="1">
        <f t="array" ref="Z12:AD12">_xlfn.XLOOKUP(D12,'Customer Details'!$A$1:$A$17,'Customer Details'!$B$1:$F$17,"",0,1)</f>
        <v>Suzlon Energy Ltd.</v>
      </c>
      <c r="AA12" s="8" t="str">
        <v>501 Marsh Trail Circle</v>
      </c>
      <c r="AB12" s="8" t="str">
        <v>Tracy</v>
      </c>
      <c r="AC12" s="8" t="str">
        <v>CA</v>
      </c>
      <c r="AD12" s="8" t="str">
        <v>95376</v>
      </c>
    </row>
    <row r="13" spans="1:30">
      <c r="A13" s="8" t="s">
        <v>48</v>
      </c>
      <c r="B13" s="19">
        <v>41289</v>
      </c>
      <c r="C13" s="8" t="s">
        <v>51</v>
      </c>
      <c r="D13" s="8">
        <v>10001</v>
      </c>
      <c r="E13" s="8" t="str">
        <f>VLOOKUP($D13,'Customer Details'!$A$1:$F$17,4,FALSE)</f>
        <v>New York</v>
      </c>
      <c r="F13" s="8" t="s">
        <v>52</v>
      </c>
      <c r="G13" s="8">
        <v>2</v>
      </c>
      <c r="H13" s="2" t="str">
        <f>VLOOKUP($D13,'Customer Details'!$A$1:$F$17,MATCH('Order SUmmary'!H$2,'Customer Details'!$A$1:$F$1,0),0)</f>
        <v>Chambal Fertilisers and Chemicals Ltd.</v>
      </c>
      <c r="I13" s="2" t="str">
        <f>VLOOKUP($D13,'Customer Details'!$A$1:$F$17,4,0)</f>
        <v>New York</v>
      </c>
      <c r="J13" s="2" t="str">
        <f>VLOOKUP($D13,'Customer Details'!$A$1:$F$17,6,0)</f>
        <v>10025</v>
      </c>
      <c r="K13" s="8" t="str">
        <f>VLOOKUP(VLOOKUP(D13,'Customer Details'!$A$1:$F$17,5,0),'Region INfo'!$A$1:$C$52,3,0)</f>
        <v xml:space="preserve">Northern </v>
      </c>
      <c r="L13" s="8" t="str">
        <f>INDEX(Product_List,MATCH($F13,'Product List'!$B$1:$B$299,0),MATCH('Order SUmmary'!L$2,'Product List'!$A$1:$E$1,0))</f>
        <v>Avery 520</v>
      </c>
      <c r="M13" s="8">
        <f>INDEX(Product_List,MATCH($F13,'Product List'!$B$1:$B$299,0),MATCH('Order SUmmary'!M$2,'Product List'!$A$1:$E$1,0))</f>
        <v>2718</v>
      </c>
      <c r="N13" s="8">
        <f>INDEX(Product_List,MATCH($F13,'Product List'!$B$1:$B$299,0),MATCH('Order SUmmary'!N$2,'Product List'!$A$1:$E$1,0))</f>
        <v>2254</v>
      </c>
      <c r="O13" s="8" t="str">
        <f>INDEX(Product_List,MATCH($F13,'Product List'!$B$1:$B$299,0),MATCH('Order SUmmary'!O$2,'Product List'!$A$1:$E$1,0))</f>
        <v>Labels</v>
      </c>
      <c r="P13" s="12">
        <f>HLOOKUP(C13,'Commission Criteria'!$A$2:$I$4,3,FALSE)</f>
        <v>10</v>
      </c>
      <c r="Q13" s="8">
        <f t="shared" si="1"/>
        <v>4508</v>
      </c>
      <c r="R13" s="8">
        <f t="shared" si="2"/>
        <v>5436</v>
      </c>
      <c r="S13" s="36">
        <f>VLOOKUP(R13,'Commission Criteria'!$L$3:$M$11,2,TRUE)</f>
        <v>0.03</v>
      </c>
      <c r="T13" s="36">
        <f>IF(P13&lt;5,VLOOKUP(R13,'Commission Criteria'!$L$3:$M$11,2,1),VLOOKUP('Order SUmmary'!R13,'Commission Criteria'!$P$3:$Q$11,2,1))</f>
        <v>0.02</v>
      </c>
      <c r="U13" s="36">
        <f>VLOOKUP(R13,IF(P13&lt;5,'Commission Criteria'!$L$3:$M$11,'Commission Criteria'!$P$3:$Q$11),2,1)</f>
        <v>0.02</v>
      </c>
      <c r="V13" s="8" t="s">
        <v>29</v>
      </c>
      <c r="W13" s="36">
        <f t="shared" ca="1" si="3"/>
        <v>0.05</v>
      </c>
      <c r="X13" s="8" t="str">
        <f>_xlfn.XLOOKUP(F13,'Product List'!$B$1:$B$299,'Product List'!$A$1:$A$299)</f>
        <v>Avery 520</v>
      </c>
      <c r="Y13" s="8"/>
      <c r="Z13" s="8" t="str" cm="1">
        <f t="array" ref="Z13:AD13">_xlfn.XLOOKUP(D13,'Customer Details'!$A$1:$A$17,'Customer Details'!$B$1:$F$17,"",0,1)</f>
        <v>Chambal Fertilisers and Chemicals Ltd.</v>
      </c>
      <c r="AA13" s="8" t="str">
        <v>4951 Indiana Ave.</v>
      </c>
      <c r="AB13" s="8" t="str">
        <v>New York</v>
      </c>
      <c r="AC13" s="8" t="str">
        <v>NY</v>
      </c>
      <c r="AD13" s="8" t="str">
        <v>10025</v>
      </c>
    </row>
    <row r="14" spans="1:30">
      <c r="A14" s="8" t="s">
        <v>53</v>
      </c>
      <c r="B14" s="19">
        <v>41289</v>
      </c>
      <c r="C14" s="8" t="s">
        <v>54</v>
      </c>
      <c r="D14" s="8">
        <v>10005</v>
      </c>
      <c r="E14" s="8" t="str">
        <f>VLOOKUP($D14,'Customer Details'!$A$1:$F$17,4,FALSE)</f>
        <v>Goleta</v>
      </c>
      <c r="F14" s="8" t="s">
        <v>55</v>
      </c>
      <c r="G14" s="8">
        <v>2</v>
      </c>
      <c r="H14" s="2" t="str">
        <f>VLOOKUP($D14,'Customer Details'!$A$1:$F$17,MATCH('Order SUmmary'!H$2,'Customer Details'!$A$1:$F$1,0),0)</f>
        <v>Fortis Healthcare Ltd.</v>
      </c>
      <c r="I14" s="2" t="str">
        <f>VLOOKUP($D14,'Customer Details'!$A$1:$F$17,4,0)</f>
        <v>Goleta</v>
      </c>
      <c r="J14" s="2" t="str">
        <f>VLOOKUP($D14,'Customer Details'!$A$1:$F$17,6,0)</f>
        <v>93117</v>
      </c>
      <c r="K14" s="8" t="str">
        <f>VLOOKUP(VLOOKUP(D14,'Customer Details'!$A$1:$F$17,5,0),'Region INfo'!$A$1:$C$52,3,0)</f>
        <v xml:space="preserve">Pacific   </v>
      </c>
      <c r="L14" s="8" t="str">
        <f>INDEX(Product_List,MATCH($F14,'Product List'!$B$1:$B$299,0),MATCH('Order SUmmary'!L$2,'Product List'!$A$1:$E$1,0))</f>
        <v>Xerox 229</v>
      </c>
      <c r="M14" s="8">
        <f>INDEX(Product_List,MATCH($F14,'Product List'!$B$1:$B$299,0),MATCH('Order SUmmary'!M$2,'Product List'!$A$1:$E$1,0))</f>
        <v>2885</v>
      </c>
      <c r="N14" s="8">
        <f>INDEX(Product_List,MATCH($F14,'Product List'!$B$1:$B$299,0),MATCH('Order SUmmary'!N$2,'Product List'!$A$1:$E$1,0))</f>
        <v>1242</v>
      </c>
      <c r="O14" s="8" t="str">
        <f>INDEX(Product_List,MATCH($F14,'Product List'!$B$1:$B$299,0),MATCH('Order SUmmary'!O$2,'Product List'!$A$1:$E$1,0))</f>
        <v>Paper</v>
      </c>
      <c r="P14" s="12">
        <f>HLOOKUP(C14,'Commission Criteria'!$A$2:$I$4,3,FALSE)</f>
        <v>3</v>
      </c>
      <c r="Q14" s="8">
        <f t="shared" si="1"/>
        <v>2484</v>
      </c>
      <c r="R14" s="8">
        <f t="shared" si="2"/>
        <v>5770</v>
      </c>
      <c r="S14" s="36">
        <f>VLOOKUP(R14,'Commission Criteria'!$L$3:$M$11,2,TRUE)</f>
        <v>0.03</v>
      </c>
      <c r="T14" s="36">
        <f>IF(P14&lt;5,VLOOKUP(R14,'Commission Criteria'!$L$3:$M$11,2,1),VLOOKUP('Order SUmmary'!R14,'Commission Criteria'!$P$3:$Q$11,2,1))</f>
        <v>0.03</v>
      </c>
      <c r="U14" s="36">
        <f>VLOOKUP(R14,IF(P14&lt;5,'Commission Criteria'!$L$3:$M$11,'Commission Criteria'!$P$3:$Q$11),2,1)</f>
        <v>0.03</v>
      </c>
      <c r="V14" s="8" t="s">
        <v>43</v>
      </c>
      <c r="W14" s="36">
        <f t="shared" ca="1" si="3"/>
        <v>0.05</v>
      </c>
      <c r="X14" s="8" t="str">
        <f>_xlfn.XLOOKUP(F14,'Product List'!$B$1:$B$299,'Product List'!$A$1:$A$299)</f>
        <v>Xerox 229</v>
      </c>
      <c r="Y14" s="8"/>
      <c r="Z14" s="8" t="str" cm="1">
        <f t="array" ref="Z14:AD14">_xlfn.XLOOKUP(D14,'Customer Details'!$A$1:$A$17,'Customer Details'!$B$1:$F$17,"",0,1)</f>
        <v>Fortis Healthcare Ltd.</v>
      </c>
      <c r="AA14" s="8" t="str">
        <v>14 Elsworthy Terrace</v>
      </c>
      <c r="AB14" s="8" t="str">
        <v>Goleta</v>
      </c>
      <c r="AC14" s="8" t="str">
        <v>CA</v>
      </c>
      <c r="AD14" s="8" t="str">
        <v>93117</v>
      </c>
    </row>
    <row r="15" spans="1:30">
      <c r="A15" s="8" t="s">
        <v>56</v>
      </c>
      <c r="B15" s="19">
        <v>41290</v>
      </c>
      <c r="C15" s="8" t="s">
        <v>36</v>
      </c>
      <c r="D15" s="8">
        <v>10015</v>
      </c>
      <c r="E15" s="8" t="str">
        <f>VLOOKUP($D15,'Customer Details'!$A$1:$F$17,4,FALSE)</f>
        <v>South Windsor</v>
      </c>
      <c r="F15" s="8" t="s">
        <v>57</v>
      </c>
      <c r="G15" s="8">
        <v>1</v>
      </c>
      <c r="H15" s="2" t="str">
        <f>VLOOKUP($D15,'Customer Details'!$A$1:$F$17,MATCH('Order SUmmary'!H$2,'Customer Details'!$A$1:$F$1,0),0)</f>
        <v>Punj Lloyd Ltd.</v>
      </c>
      <c r="I15" s="2" t="str">
        <f>VLOOKUP($D15,'Customer Details'!$A$1:$F$17,4,0)</f>
        <v>South Windsor</v>
      </c>
      <c r="J15" s="2" t="str">
        <f>VLOOKUP($D15,'Customer Details'!$A$1:$F$17,6,0)</f>
        <v>06074</v>
      </c>
      <c r="K15" s="8" t="str">
        <f>VLOOKUP(VLOOKUP(D15,'Customer Details'!$A$1:$F$17,5,0),'Region INfo'!$A$1:$C$52,3,0)</f>
        <v xml:space="preserve">Northern </v>
      </c>
      <c r="L15" s="8" t="str">
        <f>INDEX(Product_List,MATCH($F15,'Product List'!$B$1:$B$299,0),MATCH('Order SUmmary'!L$2,'Product List'!$A$1:$E$1,0))</f>
        <v>Xerox 1886</v>
      </c>
      <c r="M15" s="8">
        <f>INDEX(Product_List,MATCH($F15,'Product List'!$B$1:$B$299,0),MATCH('Order SUmmary'!M$2,'Product List'!$A$1:$E$1,0))</f>
        <v>3757</v>
      </c>
      <c r="N15" s="8">
        <f>INDEX(Product_List,MATCH($F15,'Product List'!$B$1:$B$299,0),MATCH('Order SUmmary'!N$2,'Product List'!$A$1:$E$1,0))</f>
        <v>2156</v>
      </c>
      <c r="O15" s="8" t="str">
        <f>INDEX(Product_List,MATCH($F15,'Product List'!$B$1:$B$299,0),MATCH('Order SUmmary'!O$2,'Product List'!$A$1:$E$1,0))</f>
        <v>Paper</v>
      </c>
      <c r="P15" s="12">
        <f>HLOOKUP(C15,'Commission Criteria'!$A$2:$I$4,3,FALSE)</f>
        <v>6</v>
      </c>
      <c r="Q15" s="8">
        <f t="shared" si="1"/>
        <v>2156</v>
      </c>
      <c r="R15" s="8">
        <f t="shared" si="2"/>
        <v>3757</v>
      </c>
      <c r="S15" s="36">
        <f>VLOOKUP(R15,'Commission Criteria'!$L$3:$M$11,2,TRUE)</f>
        <v>0.01</v>
      </c>
      <c r="T15" s="36">
        <f>IF(P15&lt;5,VLOOKUP(R15,'Commission Criteria'!$L$3:$M$11,2,1),VLOOKUP('Order SUmmary'!R15,'Commission Criteria'!$P$3:$Q$11,2,1))</f>
        <v>0.02</v>
      </c>
      <c r="U15" s="36">
        <f>VLOOKUP(R15,IF(P15&lt;5,'Commission Criteria'!$L$3:$M$11,'Commission Criteria'!$P$3:$Q$11),2,1)</f>
        <v>0.02</v>
      </c>
      <c r="V15" s="8" t="s">
        <v>43</v>
      </c>
      <c r="W15" s="36">
        <f t="shared" ca="1" si="3"/>
        <v>0.02</v>
      </c>
      <c r="X15" s="8" t="str">
        <f>_xlfn.XLOOKUP(F15,'Product List'!$B$1:$B$299,'Product List'!$A$1:$A$299)</f>
        <v>Xerox 1886</v>
      </c>
      <c r="Y15" s="8"/>
      <c r="Z15" s="8" t="str" cm="1">
        <f t="array" ref="Z15:AD15">_xlfn.XLOOKUP(D15,'Customer Details'!$A$1:$A$17,'Customer Details'!$B$1:$F$17,"",0,1)</f>
        <v>Punj Lloyd Ltd.</v>
      </c>
      <c r="AA15" s="8" t="str">
        <v>Box 3263</v>
      </c>
      <c r="AB15" s="8" t="str">
        <v>South Windsor</v>
      </c>
      <c r="AC15" s="8" t="str">
        <v>CT</v>
      </c>
      <c r="AD15" s="8" t="str">
        <v>06074</v>
      </c>
    </row>
    <row r="16" spans="1:30">
      <c r="A16" s="8" t="s">
        <v>56</v>
      </c>
      <c r="B16" s="19">
        <v>41290</v>
      </c>
      <c r="C16" s="8" t="s">
        <v>33</v>
      </c>
      <c r="D16" s="8">
        <v>10004</v>
      </c>
      <c r="E16" s="8" t="str">
        <f>VLOOKUP($D16,'Customer Details'!$A$1:$F$17,4,FALSE)</f>
        <v>New York</v>
      </c>
      <c r="F16" s="8" t="s">
        <v>58</v>
      </c>
      <c r="G16" s="8">
        <v>1</v>
      </c>
      <c r="H16" s="2" t="str">
        <f>VLOOKUP($D16,'Customer Details'!$A$1:$F$17,MATCH('Order SUmmary'!H$2,'Customer Details'!$A$1:$F$1,0),0)</f>
        <v>Lupin Ltd.</v>
      </c>
      <c r="I16" s="2" t="str">
        <f>VLOOKUP($D16,'Customer Details'!$A$1:$F$17,4,0)</f>
        <v>New York</v>
      </c>
      <c r="J16" s="2" t="str">
        <f>VLOOKUP($D16,'Customer Details'!$A$1:$F$17,6,0)</f>
        <v>10019</v>
      </c>
      <c r="K16" s="8" t="str">
        <f>VLOOKUP(VLOOKUP(D16,'Customer Details'!$A$1:$F$17,5,0),'Region INfo'!$A$1:$C$52,3,0)</f>
        <v xml:space="preserve">Northern </v>
      </c>
      <c r="L16" s="8" t="str">
        <f>INDEX(Product_List,MATCH($F16,'Product List'!$B$1:$B$299,0),MATCH('Order SUmmary'!L$2,'Product List'!$A$1:$E$1,0))</f>
        <v>Xiaomi Mi3</v>
      </c>
      <c r="M16" s="8">
        <f>INDEX(Product_List,MATCH($F16,'Product List'!$B$1:$B$299,0),MATCH('Order SUmmary'!M$2,'Product List'!$A$1:$E$1,0))</f>
        <v>4404</v>
      </c>
      <c r="N16" s="8">
        <f>INDEX(Product_List,MATCH($F16,'Product List'!$B$1:$B$299,0),MATCH('Order SUmmary'!N$2,'Product List'!$A$1:$E$1,0))</f>
        <v>1517</v>
      </c>
      <c r="O16" s="8" t="str">
        <f>INDEX(Product_List,MATCH($F16,'Product List'!$B$1:$B$299,0),MATCH('Order SUmmary'!O$2,'Product List'!$A$1:$E$1,0))</f>
        <v>Phones</v>
      </c>
      <c r="P16" s="12">
        <f>HLOOKUP(C16,'Commission Criteria'!$A$2:$I$4,3,FALSE)</f>
        <v>1</v>
      </c>
      <c r="Q16" s="8">
        <f t="shared" si="1"/>
        <v>1517</v>
      </c>
      <c r="R16" s="8">
        <f t="shared" si="2"/>
        <v>4404</v>
      </c>
      <c r="S16" s="36">
        <f>VLOOKUP(R16,'Commission Criteria'!$L$3:$M$11,2,TRUE)</f>
        <v>0.01</v>
      </c>
      <c r="T16" s="36">
        <f>IF(P16&lt;5,VLOOKUP(R16,'Commission Criteria'!$L$3:$M$11,2,1),VLOOKUP('Order SUmmary'!R16,'Commission Criteria'!$P$3:$Q$11,2,1))</f>
        <v>0.01</v>
      </c>
      <c r="U16" s="36">
        <f>VLOOKUP(R16,IF(P16&lt;5,'Commission Criteria'!$L$3:$M$11,'Commission Criteria'!$P$3:$Q$11),2,1)</f>
        <v>0.01</v>
      </c>
      <c r="V16" s="8" t="s">
        <v>29</v>
      </c>
      <c r="W16" s="36">
        <f t="shared" ca="1" si="3"/>
        <v>0</v>
      </c>
      <c r="X16" s="8" t="str">
        <f>_xlfn.XLOOKUP(F16,'Product List'!$B$1:$B$299,'Product List'!$A$1:$A$299)</f>
        <v>Xiaomi Mi3</v>
      </c>
      <c r="Y16" s="8"/>
      <c r="Z16" s="8" t="str" cm="1">
        <f t="array" ref="Z16:AD16">_xlfn.XLOOKUP(D16,'Customer Details'!$A$1:$A$17,'Customer Details'!$B$1:$F$17,"",0,1)</f>
        <v>Lupin Ltd.</v>
      </c>
      <c r="AA16" s="8" t="str">
        <v>Abbey Wood</v>
      </c>
      <c r="AB16" s="8" t="str">
        <v>New York</v>
      </c>
      <c r="AC16" s="8" t="str">
        <v>NY</v>
      </c>
      <c r="AD16" s="8" t="str">
        <v>10019</v>
      </c>
    </row>
    <row r="17" spans="1:30">
      <c r="A17" s="8" t="s">
        <v>59</v>
      </c>
      <c r="B17" s="19">
        <v>41290</v>
      </c>
      <c r="C17" s="8" t="s">
        <v>27</v>
      </c>
      <c r="D17" s="8">
        <v>10007</v>
      </c>
      <c r="E17" s="8" t="str">
        <f>VLOOKUP($D17,'Customer Details'!$A$1:$F$17,4,FALSE)</f>
        <v>Richmond</v>
      </c>
      <c r="F17" s="8" t="s">
        <v>60</v>
      </c>
      <c r="G17" s="8">
        <v>2</v>
      </c>
      <c r="H17" s="2" t="str">
        <f>VLOOKUP($D17,'Customer Details'!$A$1:$F$17,MATCH('Order SUmmary'!H$2,'Customer Details'!$A$1:$F$1,0),0)</f>
        <v>GHCL Ltd.</v>
      </c>
      <c r="I17" s="2" t="str">
        <f>VLOOKUP($D17,'Customer Details'!$A$1:$F$17,4,0)</f>
        <v>Richmond</v>
      </c>
      <c r="J17" s="2" t="str">
        <f>VLOOKUP($D17,'Customer Details'!$A$1:$F$17,6,0)</f>
        <v>94805</v>
      </c>
      <c r="K17" s="8" t="str">
        <f>VLOOKUP(VLOOKUP(D17,'Customer Details'!$A$1:$F$17,5,0),'Region INfo'!$A$1:$C$52,3,0)</f>
        <v xml:space="preserve">Pacific   </v>
      </c>
      <c r="L17" s="8" t="str">
        <f>INDEX(Product_List,MATCH($F17,'Product List'!$B$1:$B$299,0),MATCH('Order SUmmary'!L$2,'Product List'!$A$1:$E$1,0))</f>
        <v>Xerox 1889</v>
      </c>
      <c r="M17" s="8">
        <f>INDEX(Product_List,MATCH($F17,'Product List'!$B$1:$B$299,0),MATCH('Order SUmmary'!M$2,'Product List'!$A$1:$E$1,0))</f>
        <v>4831</v>
      </c>
      <c r="N17" s="8">
        <f>INDEX(Product_List,MATCH($F17,'Product List'!$B$1:$B$299,0),MATCH('Order SUmmary'!N$2,'Product List'!$A$1:$E$1,0))</f>
        <v>2265</v>
      </c>
      <c r="O17" s="8" t="str">
        <f>INDEX(Product_List,MATCH($F17,'Product List'!$B$1:$B$299,0),MATCH('Order SUmmary'!O$2,'Product List'!$A$1:$E$1,0))</f>
        <v>Paper</v>
      </c>
      <c r="P17" s="12">
        <f>HLOOKUP(C17,'Commission Criteria'!$A$2:$I$4,3,FALSE)</f>
        <v>4</v>
      </c>
      <c r="Q17" s="8">
        <f t="shared" si="1"/>
        <v>4530</v>
      </c>
      <c r="R17" s="8">
        <f t="shared" si="2"/>
        <v>9662</v>
      </c>
      <c r="S17" s="36">
        <f>VLOOKUP(R17,'Commission Criteria'!$L$3:$M$11,2,TRUE)</f>
        <v>0.03</v>
      </c>
      <c r="T17" s="36">
        <f>IF(P17&lt;5,VLOOKUP(R17,'Commission Criteria'!$L$3:$M$11,2,1),VLOOKUP('Order SUmmary'!R17,'Commission Criteria'!$P$3:$Q$11,2,1))</f>
        <v>0.03</v>
      </c>
      <c r="U17" s="36">
        <f>VLOOKUP(R17,IF(P17&lt;5,'Commission Criteria'!$L$3:$M$11,'Commission Criteria'!$P$3:$Q$11),2,1)</f>
        <v>0.03</v>
      </c>
      <c r="V17" s="8" t="s">
        <v>43</v>
      </c>
      <c r="W17" s="36">
        <f t="shared" ca="1" si="3"/>
        <v>0.04</v>
      </c>
      <c r="X17" s="8" t="str">
        <f>_xlfn.XLOOKUP(F17,'Product List'!$B$1:$B$299,'Product List'!$A$1:$A$299)</f>
        <v>Xerox 1889</v>
      </c>
      <c r="Y17" s="8"/>
      <c r="Z17" s="8" t="str" cm="1">
        <f t="array" ref="Z17:AD17">_xlfn.XLOOKUP(D17,'Customer Details'!$A$1:$A$17,'Customer Details'!$B$1:$F$17,"",0,1)</f>
        <v>GHCL Ltd.</v>
      </c>
      <c r="AA17" s="8" t="str">
        <v>58 Clarence St</v>
      </c>
      <c r="AB17" s="8" t="str">
        <v>Richmond</v>
      </c>
      <c r="AC17" s="8" t="str">
        <v>CA</v>
      </c>
      <c r="AD17" s="8" t="str">
        <v>94805</v>
      </c>
    </row>
    <row r="18" spans="1:30">
      <c r="A18" s="8" t="s">
        <v>61</v>
      </c>
      <c r="B18" s="19">
        <v>41291</v>
      </c>
      <c r="C18" s="8" t="s">
        <v>36</v>
      </c>
      <c r="D18" s="8">
        <v>10009</v>
      </c>
      <c r="E18" s="8" t="str">
        <f>VLOOKUP($D18,'Customer Details'!$A$1:$F$17,4,FALSE)</f>
        <v>Salt Lake City</v>
      </c>
      <c r="F18" s="8" t="s">
        <v>62</v>
      </c>
      <c r="G18" s="8">
        <v>1</v>
      </c>
      <c r="H18" s="2" t="str">
        <f>VLOOKUP($D18,'Customer Details'!$A$1:$F$17,MATCH('Order SUmmary'!H$2,'Customer Details'!$A$1:$F$1,0),0)</f>
        <v>Godfrey Philips India Ltd.</v>
      </c>
      <c r="I18" s="2" t="str">
        <f>VLOOKUP($D18,'Customer Details'!$A$1:$F$17,4,0)</f>
        <v>Salt Lake City</v>
      </c>
      <c r="J18" s="2" t="str">
        <f>VLOOKUP($D18,'Customer Details'!$A$1:$F$17,6,0)</f>
        <v>84118</v>
      </c>
      <c r="K18" s="8" t="str">
        <f>VLOOKUP(VLOOKUP(D18,'Customer Details'!$A$1:$F$17,5,0),'Region INfo'!$A$1:$C$52,3,0)</f>
        <v xml:space="preserve">Pacific   </v>
      </c>
      <c r="L18" s="8" t="str">
        <f>INDEX(Product_List,MATCH($F18,'Product List'!$B$1:$B$299,0),MATCH('Order SUmmary'!L$2,'Product List'!$A$1:$E$1,0))</f>
        <v>Newell 308</v>
      </c>
      <c r="M18" s="8">
        <f>INDEX(Product_List,MATCH($F18,'Product List'!$B$1:$B$299,0),MATCH('Order SUmmary'!M$2,'Product List'!$A$1:$E$1,0))</f>
        <v>4515</v>
      </c>
      <c r="N18" s="8">
        <f>INDEX(Product_List,MATCH($F18,'Product List'!$B$1:$B$299,0),MATCH('Order SUmmary'!N$2,'Product List'!$A$1:$E$1,0))</f>
        <v>1550</v>
      </c>
      <c r="O18" s="8" t="str">
        <f>INDEX(Product_List,MATCH($F18,'Product List'!$B$1:$B$299,0),MATCH('Order SUmmary'!O$2,'Product List'!$A$1:$E$1,0))</f>
        <v>Art</v>
      </c>
      <c r="P18" s="12">
        <f>HLOOKUP(C18,'Commission Criteria'!$A$2:$I$4,3,FALSE)</f>
        <v>6</v>
      </c>
      <c r="Q18" s="8">
        <f t="shared" si="1"/>
        <v>1550</v>
      </c>
      <c r="R18" s="8">
        <f t="shared" si="2"/>
        <v>4515</v>
      </c>
      <c r="S18" s="36">
        <f>VLOOKUP(R18,'Commission Criteria'!$L$3:$M$11,2,TRUE)</f>
        <v>0.01</v>
      </c>
      <c r="T18" s="36">
        <f>IF(P18&lt;5,VLOOKUP(R18,'Commission Criteria'!$L$3:$M$11,2,1),VLOOKUP('Order SUmmary'!R18,'Commission Criteria'!$P$3:$Q$11,2,1))</f>
        <v>0.02</v>
      </c>
      <c r="U18" s="36">
        <f>VLOOKUP(R18,IF(P18&lt;5,'Commission Criteria'!$L$3:$M$11,'Commission Criteria'!$P$3:$Q$11),2,1)</f>
        <v>0.02</v>
      </c>
      <c r="V18" s="8" t="s">
        <v>29</v>
      </c>
      <c r="W18" s="36">
        <f t="shared" ca="1" si="3"/>
        <v>0.04</v>
      </c>
      <c r="X18" s="8" t="str">
        <f>_xlfn.XLOOKUP(F18,'Product List'!$B$1:$B$299,'Product List'!$A$1:$A$299)</f>
        <v>Newell 308</v>
      </c>
      <c r="Y18" s="8"/>
      <c r="Z18" s="8" t="str" cm="1">
        <f t="array" ref="Z18:AD18">_xlfn.XLOOKUP(D18,'Customer Details'!$A$1:$A$17,'Customer Details'!$B$1:$F$17,"",0,1)</f>
        <v>Godfrey Philips India Ltd.</v>
      </c>
      <c r="AA18" s="8" t="str">
        <v>20501 Ania Ave #2</v>
      </c>
      <c r="AB18" s="8" t="str">
        <v>Salt Lake City</v>
      </c>
      <c r="AC18" s="8" t="str">
        <v>UT</v>
      </c>
      <c r="AD18" s="8" t="str">
        <v>84118</v>
      </c>
    </row>
    <row r="19" spans="1:30">
      <c r="A19" s="8" t="s">
        <v>63</v>
      </c>
      <c r="B19" s="19">
        <v>41291</v>
      </c>
      <c r="C19" s="8" t="s">
        <v>51</v>
      </c>
      <c r="D19" s="8">
        <v>10010</v>
      </c>
      <c r="E19" s="8" t="str">
        <f>VLOOKUP($D19,'Customer Details'!$A$1:$F$17,4,FALSE)</f>
        <v>Tracy</v>
      </c>
      <c r="F19" s="8" t="s">
        <v>64</v>
      </c>
      <c r="G19" s="8">
        <v>2</v>
      </c>
      <c r="H19" s="2" t="str">
        <f>VLOOKUP($D19,'Customer Details'!$A$1:$F$17,MATCH('Order SUmmary'!H$2,'Customer Details'!$A$1:$F$1,0),0)</f>
        <v>Suzlon Energy Ltd.</v>
      </c>
      <c r="I19" s="2" t="str">
        <f>VLOOKUP($D19,'Customer Details'!$A$1:$F$17,4,0)</f>
        <v>Tracy</v>
      </c>
      <c r="J19" s="2" t="str">
        <f>VLOOKUP($D19,'Customer Details'!$A$1:$F$17,6,0)</f>
        <v>95376</v>
      </c>
      <c r="K19" s="8" t="str">
        <f>VLOOKUP(VLOOKUP(D19,'Customer Details'!$A$1:$F$17,5,0),'Region INfo'!$A$1:$C$52,3,0)</f>
        <v xml:space="preserve">Pacific   </v>
      </c>
      <c r="L19" s="8" t="str">
        <f>INDEX(Product_List,MATCH($F19,'Product List'!$B$1:$B$299,0),MATCH('Order SUmmary'!L$2,'Product List'!$A$1:$E$1,0))</f>
        <v>Xerox 226</v>
      </c>
      <c r="M19" s="8">
        <f>INDEX(Product_List,MATCH($F19,'Product List'!$B$1:$B$299,0),MATCH('Order SUmmary'!M$2,'Product List'!$A$1:$E$1,0))</f>
        <v>3256</v>
      </c>
      <c r="N19" s="8">
        <f>INDEX(Product_List,MATCH($F19,'Product List'!$B$1:$B$299,0),MATCH('Order SUmmary'!N$2,'Product List'!$A$1:$E$1,0))</f>
        <v>1772</v>
      </c>
      <c r="O19" s="8" t="str">
        <f>INDEX(Product_List,MATCH($F19,'Product List'!$B$1:$B$299,0),MATCH('Order SUmmary'!O$2,'Product List'!$A$1:$E$1,0))</f>
        <v>Paper</v>
      </c>
      <c r="P19" s="12">
        <f>HLOOKUP(C19,'Commission Criteria'!$A$2:$I$4,3,FALSE)</f>
        <v>10</v>
      </c>
      <c r="Q19" s="8">
        <f t="shared" si="1"/>
        <v>3544</v>
      </c>
      <c r="R19" s="8">
        <f t="shared" si="2"/>
        <v>6512</v>
      </c>
      <c r="S19" s="36">
        <f>VLOOKUP(R19,'Commission Criteria'!$L$3:$M$11,2,TRUE)</f>
        <v>0.03</v>
      </c>
      <c r="T19" s="36">
        <f>IF(P19&lt;5,VLOOKUP(R19,'Commission Criteria'!$L$3:$M$11,2,1),VLOOKUP('Order SUmmary'!R19,'Commission Criteria'!$P$3:$Q$11,2,1))</f>
        <v>0.02</v>
      </c>
      <c r="U19" s="36">
        <f>VLOOKUP(R19,IF(P19&lt;5,'Commission Criteria'!$L$3:$M$11,'Commission Criteria'!$P$3:$Q$11),2,1)</f>
        <v>0.02</v>
      </c>
      <c r="V19" s="8" t="s">
        <v>29</v>
      </c>
      <c r="W19" s="36">
        <f t="shared" ca="1" si="3"/>
        <v>0.05</v>
      </c>
      <c r="X19" s="8" t="str">
        <f>_xlfn.XLOOKUP(F19,'Product List'!$B$1:$B$299,'Product List'!$A$1:$A$299)</f>
        <v>Xerox 226</v>
      </c>
      <c r="Y19" s="8"/>
      <c r="Z19" s="8" t="str" cm="1">
        <f t="array" ref="Z19:AD19">_xlfn.XLOOKUP(D19,'Customer Details'!$A$1:$A$17,'Customer Details'!$B$1:$F$17,"",0,1)</f>
        <v>Suzlon Energy Ltd.</v>
      </c>
      <c r="AA19" s="8" t="str">
        <v>501 Marsh Trail Circle</v>
      </c>
      <c r="AB19" s="8" t="str">
        <v>Tracy</v>
      </c>
      <c r="AC19" s="8" t="str">
        <v>CA</v>
      </c>
      <c r="AD19" s="8" t="str">
        <v>95376</v>
      </c>
    </row>
    <row r="20" spans="1:30">
      <c r="A20" s="8" t="s">
        <v>61</v>
      </c>
      <c r="B20" s="19">
        <v>41291</v>
      </c>
      <c r="C20" s="8" t="s">
        <v>33</v>
      </c>
      <c r="D20" s="8">
        <v>10011</v>
      </c>
      <c r="E20" s="8" t="str">
        <f>VLOOKUP($D20,'Customer Details'!$A$1:$F$17,4,FALSE)</f>
        <v>Olympia</v>
      </c>
      <c r="F20" s="8" t="s">
        <v>65</v>
      </c>
      <c r="G20" s="8">
        <v>2</v>
      </c>
      <c r="H20" s="2" t="str">
        <f>VLOOKUP($D20,'Customer Details'!$A$1:$F$17,MATCH('Order SUmmary'!H$2,'Customer Details'!$A$1:$F$1,0),0)</f>
        <v>Sonata Software</v>
      </c>
      <c r="I20" s="2" t="str">
        <f>VLOOKUP($D20,'Customer Details'!$A$1:$F$17,4,0)</f>
        <v>Olympia</v>
      </c>
      <c r="J20" s="2" t="str">
        <f>VLOOKUP($D20,'Customer Details'!$A$1:$F$17,6,0)</f>
        <v>98502</v>
      </c>
      <c r="K20" s="8" t="str">
        <f>VLOOKUP(VLOOKUP(D20,'Customer Details'!$A$1:$F$17,5,0),'Region INfo'!$A$1:$C$52,3,0)</f>
        <v xml:space="preserve">Pacific   </v>
      </c>
      <c r="L20" s="8" t="str">
        <f>INDEX(Product_List,MATCH($F20,'Product List'!$B$1:$B$299,0),MATCH('Order SUmmary'!L$2,'Product List'!$A$1:$E$1,0))</f>
        <v>Xerox 1963</v>
      </c>
      <c r="M20" s="8">
        <f>INDEX(Product_List,MATCH($F20,'Product List'!$B$1:$B$299,0),MATCH('Order SUmmary'!M$2,'Product List'!$A$1:$E$1,0))</f>
        <v>3339</v>
      </c>
      <c r="N20" s="8">
        <f>INDEX(Product_List,MATCH($F20,'Product List'!$B$1:$B$299,0),MATCH('Order SUmmary'!N$2,'Product List'!$A$1:$E$1,0))</f>
        <v>2274</v>
      </c>
      <c r="O20" s="8" t="str">
        <f>INDEX(Product_List,MATCH($F20,'Product List'!$B$1:$B$299,0),MATCH('Order SUmmary'!O$2,'Product List'!$A$1:$E$1,0))</f>
        <v>Paper</v>
      </c>
      <c r="P20" s="12">
        <f>HLOOKUP(C20,'Commission Criteria'!$A$2:$I$4,3,FALSE)</f>
        <v>1</v>
      </c>
      <c r="Q20" s="8">
        <f t="shared" si="1"/>
        <v>4548</v>
      </c>
      <c r="R20" s="8">
        <f t="shared" si="2"/>
        <v>6678</v>
      </c>
      <c r="S20" s="36">
        <f>VLOOKUP(R20,'Commission Criteria'!$L$3:$M$11,2,TRUE)</f>
        <v>0.03</v>
      </c>
      <c r="T20" s="36">
        <f>IF(P20&lt;5,VLOOKUP(R20,'Commission Criteria'!$L$3:$M$11,2,1),VLOOKUP('Order SUmmary'!R20,'Commission Criteria'!$P$3:$Q$11,2,1))</f>
        <v>0.03</v>
      </c>
      <c r="U20" s="36">
        <f>VLOOKUP(R20,IF(P20&lt;5,'Commission Criteria'!$L$3:$M$11,'Commission Criteria'!$P$3:$Q$11),2,1)</f>
        <v>0.03</v>
      </c>
      <c r="V20" s="8" t="s">
        <v>35</v>
      </c>
      <c r="W20" s="36">
        <f t="shared" ca="1" si="3"/>
        <v>0</v>
      </c>
      <c r="X20" s="8" t="str">
        <f>_xlfn.XLOOKUP(F20,'Product List'!$B$1:$B$299,'Product List'!$A$1:$A$299)</f>
        <v>Xerox 1963</v>
      </c>
      <c r="Y20" s="8"/>
      <c r="Z20" s="8" t="str" cm="1">
        <f t="array" ref="Z20:AD20">_xlfn.XLOOKUP(D20,'Customer Details'!$A$1:$A$17,'Customer Details'!$B$1:$F$17,"",0,1)</f>
        <v>Sonata Software</v>
      </c>
      <c r="AA20" s="8" t="str">
        <v>1331 Kimberly Dr.</v>
      </c>
      <c r="AB20" s="8" t="str">
        <v>Olympia</v>
      </c>
      <c r="AC20" s="8" t="str">
        <v>WA</v>
      </c>
      <c r="AD20" s="8" t="str">
        <v>98502</v>
      </c>
    </row>
    <row r="21" spans="1:30">
      <c r="A21" s="8" t="s">
        <v>63</v>
      </c>
      <c r="B21" s="19">
        <v>41291</v>
      </c>
      <c r="C21" s="8" t="s">
        <v>66</v>
      </c>
      <c r="D21" s="8">
        <v>10001</v>
      </c>
      <c r="E21" s="8" t="str">
        <f>VLOOKUP($D21,'Customer Details'!$A$1:$F$17,4,FALSE)</f>
        <v>New York</v>
      </c>
      <c r="F21" s="8" t="s">
        <v>67</v>
      </c>
      <c r="G21" s="8">
        <v>3</v>
      </c>
      <c r="H21" s="2" t="str">
        <f>VLOOKUP($D21,'Customer Details'!$A$1:$F$17,MATCH('Order SUmmary'!H$2,'Customer Details'!$A$1:$F$1,0),0)</f>
        <v>Chambal Fertilisers and Chemicals Ltd.</v>
      </c>
      <c r="I21" s="2" t="str">
        <f>VLOOKUP($D21,'Customer Details'!$A$1:$F$17,4,0)</f>
        <v>New York</v>
      </c>
      <c r="J21" s="2" t="str">
        <f>VLOOKUP($D21,'Customer Details'!$A$1:$F$17,6,0)</f>
        <v>10025</v>
      </c>
      <c r="K21" s="8" t="str">
        <f>VLOOKUP(VLOOKUP(D21,'Customer Details'!$A$1:$F$17,5,0),'Region INfo'!$A$1:$C$52,3,0)</f>
        <v xml:space="preserve">Northern </v>
      </c>
      <c r="L21" s="8" t="str">
        <f>INDEX(Product_List,MATCH($F21,'Product List'!$B$1:$B$299,0),MATCH('Order SUmmary'!L$2,'Product List'!$A$1:$E$1,0))</f>
        <v>Xerox 1927</v>
      </c>
      <c r="M21" s="8">
        <f>INDEX(Product_List,MATCH($F21,'Product List'!$B$1:$B$299,0),MATCH('Order SUmmary'!M$2,'Product List'!$A$1:$E$1,0))</f>
        <v>4392</v>
      </c>
      <c r="N21" s="8">
        <f>INDEX(Product_List,MATCH($F21,'Product List'!$B$1:$B$299,0),MATCH('Order SUmmary'!N$2,'Product List'!$A$1:$E$1,0))</f>
        <v>1542</v>
      </c>
      <c r="O21" s="8" t="str">
        <f>INDEX(Product_List,MATCH($F21,'Product List'!$B$1:$B$299,0),MATCH('Order SUmmary'!O$2,'Product List'!$A$1:$E$1,0))</f>
        <v>Paper</v>
      </c>
      <c r="P21" s="12">
        <f>HLOOKUP(C21,'Commission Criteria'!$A$2:$I$4,3,FALSE)</f>
        <v>5</v>
      </c>
      <c r="Q21" s="8">
        <f t="shared" si="1"/>
        <v>4626</v>
      </c>
      <c r="R21" s="8">
        <f t="shared" si="2"/>
        <v>13176</v>
      </c>
      <c r="S21" s="36">
        <f>VLOOKUP(R21,'Commission Criteria'!$L$3:$M$11,2,TRUE)</f>
        <v>0.03</v>
      </c>
      <c r="T21" s="36">
        <f>IF(P21&lt;5,VLOOKUP(R21,'Commission Criteria'!$L$3:$M$11,2,1),VLOOKUP('Order SUmmary'!R21,'Commission Criteria'!$P$3:$Q$11,2,1))</f>
        <v>0.02</v>
      </c>
      <c r="U21" s="36">
        <f>VLOOKUP(R21,IF(P21&lt;5,'Commission Criteria'!$L$3:$M$11,'Commission Criteria'!$P$3:$Q$11),2,1)</f>
        <v>0.02</v>
      </c>
      <c r="V21" s="8" t="s">
        <v>50</v>
      </c>
      <c r="W21" s="36">
        <f t="shared" ca="1" si="3"/>
        <v>0.02</v>
      </c>
      <c r="X21" s="8" t="str">
        <f>_xlfn.XLOOKUP(F21,'Product List'!$B$1:$B$299,'Product List'!$A$1:$A$299)</f>
        <v>Xerox 1927</v>
      </c>
      <c r="Y21" s="8"/>
      <c r="Z21" s="8" t="str" cm="1">
        <f t="array" ref="Z21:AD21">_xlfn.XLOOKUP(D21,'Customer Details'!$A$1:$A$17,'Customer Details'!$B$1:$F$17,"",0,1)</f>
        <v>Chambal Fertilisers and Chemicals Ltd.</v>
      </c>
      <c r="AA21" s="8" t="str">
        <v>4951 Indiana Ave.</v>
      </c>
      <c r="AB21" s="8" t="str">
        <v>New York</v>
      </c>
      <c r="AC21" s="8" t="str">
        <v>NY</v>
      </c>
      <c r="AD21" s="8" t="str">
        <v>10025</v>
      </c>
    </row>
    <row r="22" spans="1:30">
      <c r="A22" s="8" t="s">
        <v>68</v>
      </c>
      <c r="B22" s="19">
        <v>41292</v>
      </c>
      <c r="C22" s="8" t="s">
        <v>33</v>
      </c>
      <c r="D22" s="8">
        <v>10001</v>
      </c>
      <c r="E22" s="8" t="str">
        <f>VLOOKUP($D22,'Customer Details'!$A$1:$F$17,4,FALSE)</f>
        <v>New York</v>
      </c>
      <c r="F22" s="8" t="s">
        <v>69</v>
      </c>
      <c r="G22" s="8">
        <v>1</v>
      </c>
      <c r="H22" s="2" t="str">
        <f>VLOOKUP($D22,'Customer Details'!$A$1:$F$17,MATCH('Order SUmmary'!H$2,'Customer Details'!$A$1:$F$1,0),0)</f>
        <v>Chambal Fertilisers and Chemicals Ltd.</v>
      </c>
      <c r="I22" s="2" t="str">
        <f>VLOOKUP($D22,'Customer Details'!$A$1:$F$17,4,0)</f>
        <v>New York</v>
      </c>
      <c r="J22" s="2" t="str">
        <f>VLOOKUP($D22,'Customer Details'!$A$1:$F$17,6,0)</f>
        <v>10025</v>
      </c>
      <c r="K22" s="8" t="str">
        <f>VLOOKUP(VLOOKUP(D22,'Customer Details'!$A$1:$F$17,5,0),'Region INfo'!$A$1:$C$52,3,0)</f>
        <v xml:space="preserve">Northern </v>
      </c>
      <c r="L22" s="8" t="str">
        <f>INDEX(Product_List,MATCH($F22,'Product List'!$B$1:$B$299,0),MATCH('Order SUmmary'!L$2,'Product List'!$A$1:$E$1,0))</f>
        <v>Newell 330</v>
      </c>
      <c r="M22" s="8">
        <f>INDEX(Product_List,MATCH($F22,'Product List'!$B$1:$B$299,0),MATCH('Order SUmmary'!M$2,'Product List'!$A$1:$E$1,0))</f>
        <v>2895</v>
      </c>
      <c r="N22" s="8">
        <f>INDEX(Product_List,MATCH($F22,'Product List'!$B$1:$B$299,0),MATCH('Order SUmmary'!N$2,'Product List'!$A$1:$E$1,0))</f>
        <v>1871</v>
      </c>
      <c r="O22" s="8" t="str">
        <f>INDEX(Product_List,MATCH($F22,'Product List'!$B$1:$B$299,0),MATCH('Order SUmmary'!O$2,'Product List'!$A$1:$E$1,0))</f>
        <v>Art</v>
      </c>
      <c r="P22" s="12">
        <f>HLOOKUP(C22,'Commission Criteria'!$A$2:$I$4,3,FALSE)</f>
        <v>1</v>
      </c>
      <c r="Q22" s="8">
        <f t="shared" si="1"/>
        <v>1871</v>
      </c>
      <c r="R22" s="8">
        <f t="shared" si="2"/>
        <v>2895</v>
      </c>
      <c r="S22" s="36">
        <f>VLOOKUP(R22,'Commission Criteria'!$L$3:$M$11,2,TRUE)</f>
        <v>0.01</v>
      </c>
      <c r="T22" s="36">
        <f>IF(P22&lt;5,VLOOKUP(R22,'Commission Criteria'!$L$3:$M$11,2,1),VLOOKUP('Order SUmmary'!R22,'Commission Criteria'!$P$3:$Q$11,2,1))</f>
        <v>0.01</v>
      </c>
      <c r="U22" s="36">
        <f>VLOOKUP(R22,IF(P22&lt;5,'Commission Criteria'!$L$3:$M$11,'Commission Criteria'!$P$3:$Q$11),2,1)</f>
        <v>0.01</v>
      </c>
      <c r="V22" s="8" t="s">
        <v>29</v>
      </c>
      <c r="W22" s="36">
        <f t="shared" ca="1" si="3"/>
        <v>0.02</v>
      </c>
      <c r="X22" s="8" t="str">
        <f>_xlfn.XLOOKUP(F22,'Product List'!$B$1:$B$299,'Product List'!$A$1:$A$299)</f>
        <v>Newell 330</v>
      </c>
      <c r="Y22" s="8"/>
      <c r="Z22" s="8" t="str" cm="1">
        <f t="array" ref="Z22:AD22">_xlfn.XLOOKUP(D22,'Customer Details'!$A$1:$A$17,'Customer Details'!$B$1:$F$17,"",0,1)</f>
        <v>Chambal Fertilisers and Chemicals Ltd.</v>
      </c>
      <c r="AA22" s="8" t="str">
        <v>4951 Indiana Ave.</v>
      </c>
      <c r="AB22" s="8" t="str">
        <v>New York</v>
      </c>
      <c r="AC22" s="8" t="str">
        <v>NY</v>
      </c>
      <c r="AD22" s="8" t="str">
        <v>10025</v>
      </c>
    </row>
    <row r="23" spans="1:30">
      <c r="A23" s="8" t="s">
        <v>70</v>
      </c>
      <c r="B23" s="19">
        <v>41293</v>
      </c>
      <c r="C23" s="8" t="s">
        <v>66</v>
      </c>
      <c r="D23" s="8">
        <v>10002</v>
      </c>
      <c r="E23" s="8" t="str">
        <f>VLOOKUP($D23,'Customer Details'!$A$1:$F$17,4,FALSE)</f>
        <v>Omaha</v>
      </c>
      <c r="F23" s="8" t="s">
        <v>71</v>
      </c>
      <c r="G23" s="8">
        <v>1</v>
      </c>
      <c r="H23" s="2" t="str">
        <f>VLOOKUP($D23,'Customer Details'!$A$1:$F$17,MATCH('Order SUmmary'!H$2,'Customer Details'!$A$1:$F$1,0),0)</f>
        <v>Elder Pharmaceuticals</v>
      </c>
      <c r="I23" s="2" t="str">
        <f>VLOOKUP($D23,'Customer Details'!$A$1:$F$17,4,0)</f>
        <v>Omaha</v>
      </c>
      <c r="J23" s="2" t="str">
        <f>VLOOKUP($D23,'Customer Details'!$A$1:$F$17,6,0)</f>
        <v>68127</v>
      </c>
      <c r="K23" s="8" t="str">
        <f>VLOOKUP(VLOOKUP(D23,'Customer Details'!$A$1:$F$17,5,0),'Region INfo'!$A$1:$C$52,3,0)</f>
        <v>Western</v>
      </c>
      <c r="L23" s="8" t="str">
        <f>INDEX(Product_List,MATCH($F23,'Product List'!$B$1:$B$299,0),MATCH('Order SUmmary'!L$2,'Product List'!$A$1:$E$1,0))</f>
        <v>GE 30522EE2</v>
      </c>
      <c r="M23" s="8">
        <f>INDEX(Product_List,MATCH($F23,'Product List'!$B$1:$B$299,0),MATCH('Order SUmmary'!M$2,'Product List'!$A$1:$E$1,0))</f>
        <v>3055</v>
      </c>
      <c r="N23" s="8">
        <f>INDEX(Product_List,MATCH($F23,'Product List'!$B$1:$B$299,0),MATCH('Order SUmmary'!N$2,'Product List'!$A$1:$E$1,0))</f>
        <v>2269</v>
      </c>
      <c r="O23" s="8" t="str">
        <f>INDEX(Product_List,MATCH($F23,'Product List'!$B$1:$B$299,0),MATCH('Order SUmmary'!O$2,'Product List'!$A$1:$E$1,0))</f>
        <v>Phones</v>
      </c>
      <c r="P23" s="12">
        <f>HLOOKUP(C23,'Commission Criteria'!$A$2:$I$4,3,FALSE)</f>
        <v>5</v>
      </c>
      <c r="Q23" s="8">
        <f t="shared" si="1"/>
        <v>2269</v>
      </c>
      <c r="R23" s="8">
        <f t="shared" si="2"/>
        <v>3055</v>
      </c>
      <c r="S23" s="36">
        <f>VLOOKUP(R23,'Commission Criteria'!$L$3:$M$11,2,TRUE)</f>
        <v>0.01</v>
      </c>
      <c r="T23" s="36">
        <f>IF(P23&lt;5,VLOOKUP(R23,'Commission Criteria'!$L$3:$M$11,2,1),VLOOKUP('Order SUmmary'!R23,'Commission Criteria'!$P$3:$Q$11,2,1))</f>
        <v>0.02</v>
      </c>
      <c r="U23" s="36">
        <f>VLOOKUP(R23,IF(P23&lt;5,'Commission Criteria'!$L$3:$M$11,'Commission Criteria'!$P$3:$Q$11),2,1)</f>
        <v>0.02</v>
      </c>
      <c r="V23" s="8" t="s">
        <v>29</v>
      </c>
      <c r="W23" s="36">
        <f t="shared" ca="1" si="3"/>
        <v>0</v>
      </c>
      <c r="X23" s="8" t="str">
        <f>_xlfn.XLOOKUP(F23,'Product List'!$B$1:$B$299,'Product List'!$A$1:$A$299)</f>
        <v>GE 30522EE2</v>
      </c>
      <c r="Y23" s="8"/>
      <c r="Z23" s="8" t="str" cm="1">
        <f t="array" ref="Z23:AD23">_xlfn.XLOOKUP(D23,'Customer Details'!$A$1:$A$17,'Customer Details'!$B$1:$F$17,"",0,1)</f>
        <v>Elder Pharmaceuticals</v>
      </c>
      <c r="AA23" s="8" t="str">
        <v>57 Neriba Cres</v>
      </c>
      <c r="AB23" s="8" t="str">
        <v>Omaha</v>
      </c>
      <c r="AC23" s="8" t="str">
        <v>NE</v>
      </c>
      <c r="AD23" s="8" t="str">
        <v>68127</v>
      </c>
    </row>
    <row r="24" spans="1:30">
      <c r="A24" s="8" t="s">
        <v>72</v>
      </c>
      <c r="B24" s="19">
        <v>41301</v>
      </c>
      <c r="C24" s="8" t="s">
        <v>54</v>
      </c>
      <c r="D24" s="8">
        <v>10015</v>
      </c>
      <c r="E24" s="8" t="str">
        <f>VLOOKUP($D24,'Customer Details'!$A$1:$F$17,4,FALSE)</f>
        <v>South Windsor</v>
      </c>
      <c r="F24" s="8" t="s">
        <v>73</v>
      </c>
      <c r="G24" s="8">
        <v>1</v>
      </c>
      <c r="H24" s="2" t="str">
        <f>VLOOKUP($D24,'Customer Details'!$A$1:$F$17,MATCH('Order SUmmary'!H$2,'Customer Details'!$A$1:$F$1,0),0)</f>
        <v>Punj Lloyd Ltd.</v>
      </c>
      <c r="I24" s="2" t="str">
        <f>VLOOKUP($D24,'Customer Details'!$A$1:$F$17,4,0)</f>
        <v>South Windsor</v>
      </c>
      <c r="J24" s="2" t="str">
        <f>VLOOKUP($D24,'Customer Details'!$A$1:$F$17,6,0)</f>
        <v>06074</v>
      </c>
      <c r="K24" s="8" t="str">
        <f>VLOOKUP(VLOOKUP(D24,'Customer Details'!$A$1:$F$17,5,0),'Region INfo'!$A$1:$C$52,3,0)</f>
        <v xml:space="preserve">Northern </v>
      </c>
      <c r="L24" s="8" t="str">
        <f>INDEX(Product_List,MATCH($F24,'Product List'!$B$1:$B$299,0),MATCH('Order SUmmary'!L$2,'Product List'!$A$1:$E$1,0))</f>
        <v>Xerox 1916</v>
      </c>
      <c r="M24" s="8">
        <f>INDEX(Product_List,MATCH($F24,'Product List'!$B$1:$B$299,0),MATCH('Order SUmmary'!M$2,'Product List'!$A$1:$E$1,0))</f>
        <v>3499</v>
      </c>
      <c r="N24" s="8">
        <f>INDEX(Product_List,MATCH($F24,'Product List'!$B$1:$B$299,0),MATCH('Order SUmmary'!N$2,'Product List'!$A$1:$E$1,0))</f>
        <v>2342</v>
      </c>
      <c r="O24" s="8" t="str">
        <f>INDEX(Product_List,MATCH($F24,'Product List'!$B$1:$B$299,0),MATCH('Order SUmmary'!O$2,'Product List'!$A$1:$E$1,0))</f>
        <v>Paper</v>
      </c>
      <c r="P24" s="12">
        <f>HLOOKUP(C24,'Commission Criteria'!$A$2:$I$4,3,FALSE)</f>
        <v>3</v>
      </c>
      <c r="Q24" s="8">
        <f t="shared" si="1"/>
        <v>2342</v>
      </c>
      <c r="R24" s="8">
        <f t="shared" si="2"/>
        <v>3499</v>
      </c>
      <c r="S24" s="36">
        <f>VLOOKUP(R24,'Commission Criteria'!$L$3:$M$11,2,TRUE)</f>
        <v>0.01</v>
      </c>
      <c r="T24" s="36">
        <f>IF(P24&lt;5,VLOOKUP(R24,'Commission Criteria'!$L$3:$M$11,2,1),VLOOKUP('Order SUmmary'!R24,'Commission Criteria'!$P$3:$Q$11,2,1))</f>
        <v>0.01</v>
      </c>
      <c r="U24" s="36">
        <f>VLOOKUP(R24,IF(P24&lt;5,'Commission Criteria'!$L$3:$M$11,'Commission Criteria'!$P$3:$Q$11),2,1)</f>
        <v>0.01</v>
      </c>
      <c r="V24" s="8" t="s">
        <v>35</v>
      </c>
      <c r="W24" s="36">
        <f t="shared" ca="1" si="3"/>
        <v>0.04</v>
      </c>
      <c r="X24" s="8" t="str">
        <f>_xlfn.XLOOKUP(F24,'Product List'!$B$1:$B$299,'Product List'!$A$1:$A$299)</f>
        <v>Xerox 1916</v>
      </c>
      <c r="Y24" s="8"/>
      <c r="Z24" s="8" t="str" cm="1">
        <f t="array" ref="Z24:AD24">_xlfn.XLOOKUP(D24,'Customer Details'!$A$1:$A$17,'Customer Details'!$B$1:$F$17,"",0,1)</f>
        <v>Punj Lloyd Ltd.</v>
      </c>
      <c r="AA24" s="8" t="str">
        <v>Box 3263</v>
      </c>
      <c r="AB24" s="8" t="str">
        <v>South Windsor</v>
      </c>
      <c r="AC24" s="8" t="str">
        <v>CT</v>
      </c>
      <c r="AD24" s="8" t="str">
        <v>06074</v>
      </c>
    </row>
    <row r="25" spans="1:30">
      <c r="A25" s="8" t="s">
        <v>72</v>
      </c>
      <c r="B25" s="19">
        <v>41301</v>
      </c>
      <c r="C25" s="8" t="s">
        <v>36</v>
      </c>
      <c r="D25" s="8">
        <v>10005</v>
      </c>
      <c r="E25" s="8" t="str">
        <f>VLOOKUP($D25,'Customer Details'!$A$1:$F$17,4,FALSE)</f>
        <v>Goleta</v>
      </c>
      <c r="F25" s="8" t="s">
        <v>74</v>
      </c>
      <c r="G25" s="8">
        <v>2</v>
      </c>
      <c r="H25" s="2" t="str">
        <f>VLOOKUP($D25,'Customer Details'!$A$1:$F$17,MATCH('Order SUmmary'!H$2,'Customer Details'!$A$1:$F$1,0),0)</f>
        <v>Fortis Healthcare Ltd.</v>
      </c>
      <c r="I25" s="2" t="str">
        <f>VLOOKUP($D25,'Customer Details'!$A$1:$F$17,4,0)</f>
        <v>Goleta</v>
      </c>
      <c r="J25" s="2" t="str">
        <f>VLOOKUP($D25,'Customer Details'!$A$1:$F$17,6,0)</f>
        <v>93117</v>
      </c>
      <c r="K25" s="8" t="str">
        <f>VLOOKUP(VLOOKUP(D25,'Customer Details'!$A$1:$F$17,5,0),'Region INfo'!$A$1:$C$52,3,0)</f>
        <v xml:space="preserve">Pacific   </v>
      </c>
      <c r="L25" s="8" t="str">
        <f>INDEX(Product_List,MATCH($F25,'Product List'!$B$1:$B$299,0),MATCH('Order SUmmary'!L$2,'Product List'!$A$1:$E$1,0))</f>
        <v>Newell 310</v>
      </c>
      <c r="M25" s="8">
        <f>INDEX(Product_List,MATCH($F25,'Product List'!$B$1:$B$299,0),MATCH('Order SUmmary'!M$2,'Product List'!$A$1:$E$1,0))</f>
        <v>3463</v>
      </c>
      <c r="N25" s="8">
        <f>INDEX(Product_List,MATCH($F25,'Product List'!$B$1:$B$299,0),MATCH('Order SUmmary'!N$2,'Product List'!$A$1:$E$1,0))</f>
        <v>1964</v>
      </c>
      <c r="O25" s="8" t="str">
        <f>INDEX(Product_List,MATCH($F25,'Product List'!$B$1:$B$299,0),MATCH('Order SUmmary'!O$2,'Product List'!$A$1:$E$1,0))</f>
        <v>Art</v>
      </c>
      <c r="P25" s="12">
        <f>HLOOKUP(C25,'Commission Criteria'!$A$2:$I$4,3,FALSE)</f>
        <v>6</v>
      </c>
      <c r="Q25" s="8">
        <f t="shared" si="1"/>
        <v>3928</v>
      </c>
      <c r="R25" s="8">
        <f t="shared" si="2"/>
        <v>6926</v>
      </c>
      <c r="S25" s="36">
        <f>VLOOKUP(R25,'Commission Criteria'!$L$3:$M$11,2,TRUE)</f>
        <v>0.03</v>
      </c>
      <c r="T25" s="36">
        <f>IF(P25&lt;5,VLOOKUP(R25,'Commission Criteria'!$L$3:$M$11,2,1),VLOOKUP('Order SUmmary'!R25,'Commission Criteria'!$P$3:$Q$11,2,1))</f>
        <v>0.02</v>
      </c>
      <c r="U25" s="36">
        <f>VLOOKUP(R25,IF(P25&lt;5,'Commission Criteria'!$L$3:$M$11,'Commission Criteria'!$P$3:$Q$11),2,1)</f>
        <v>0.02</v>
      </c>
      <c r="V25" s="8" t="s">
        <v>29</v>
      </c>
      <c r="W25" s="36">
        <f t="shared" ca="1" si="3"/>
        <v>0.02</v>
      </c>
      <c r="X25" s="8" t="str">
        <f>_xlfn.XLOOKUP(F25,'Product List'!$B$1:$B$299,'Product List'!$A$1:$A$299)</f>
        <v>Newell 310</v>
      </c>
      <c r="Y25" s="8"/>
      <c r="Z25" s="8" t="str" cm="1">
        <f t="array" ref="Z25:AD25">_xlfn.XLOOKUP(D25,'Customer Details'!$A$1:$A$17,'Customer Details'!$B$1:$F$17,"",0,1)</f>
        <v>Fortis Healthcare Ltd.</v>
      </c>
      <c r="AA25" s="8" t="str">
        <v>14 Elsworthy Terrace</v>
      </c>
      <c r="AB25" s="8" t="str">
        <v>Goleta</v>
      </c>
      <c r="AC25" s="8" t="str">
        <v>CA</v>
      </c>
      <c r="AD25" s="8" t="str">
        <v>93117</v>
      </c>
    </row>
    <row r="26" spans="1:30">
      <c r="A26" s="8" t="s">
        <v>75</v>
      </c>
      <c r="B26" s="19">
        <v>41303</v>
      </c>
      <c r="C26" s="8" t="s">
        <v>66</v>
      </c>
      <c r="D26" s="8">
        <v>10002</v>
      </c>
      <c r="E26" s="8" t="str">
        <f>VLOOKUP($D26,'Customer Details'!$A$1:$F$17,4,FALSE)</f>
        <v>Omaha</v>
      </c>
      <c r="F26" s="8" t="s">
        <v>76</v>
      </c>
      <c r="G26" s="8">
        <v>1</v>
      </c>
      <c r="H26" s="2" t="str">
        <f>VLOOKUP($D26,'Customer Details'!$A$1:$F$17,MATCH('Order SUmmary'!H$2,'Customer Details'!$A$1:$F$1,0),0)</f>
        <v>Elder Pharmaceuticals</v>
      </c>
      <c r="I26" s="2" t="str">
        <f>VLOOKUP($D26,'Customer Details'!$A$1:$F$17,4,0)</f>
        <v>Omaha</v>
      </c>
      <c r="J26" s="2" t="str">
        <f>VLOOKUP($D26,'Customer Details'!$A$1:$F$17,6,0)</f>
        <v>68127</v>
      </c>
      <c r="K26" s="8" t="str">
        <f>VLOOKUP(VLOOKUP(D26,'Customer Details'!$A$1:$F$17,5,0),'Region INfo'!$A$1:$C$52,3,0)</f>
        <v>Western</v>
      </c>
      <c r="L26" s="8" t="str">
        <f>INDEX(Product_List,MATCH($F26,'Product List'!$B$1:$B$299,0),MATCH('Order SUmmary'!L$2,'Product List'!$A$1:$E$1,0))</f>
        <v>Avery 49</v>
      </c>
      <c r="M26" s="8">
        <f>INDEX(Product_List,MATCH($F26,'Product List'!$B$1:$B$299,0),MATCH('Order SUmmary'!M$2,'Product List'!$A$1:$E$1,0))</f>
        <v>4079</v>
      </c>
      <c r="N26" s="8">
        <f>INDEX(Product_List,MATCH($F26,'Product List'!$B$1:$B$299,0),MATCH('Order SUmmary'!N$2,'Product List'!$A$1:$E$1,0))</f>
        <v>1413</v>
      </c>
      <c r="O26" s="8" t="str">
        <f>INDEX(Product_List,MATCH($F26,'Product List'!$B$1:$B$299,0),MATCH('Order SUmmary'!O$2,'Product List'!$A$1:$E$1,0))</f>
        <v>Labels</v>
      </c>
      <c r="P26" s="12">
        <f>HLOOKUP(C26,'Commission Criteria'!$A$2:$I$4,3,FALSE)</f>
        <v>5</v>
      </c>
      <c r="Q26" s="8">
        <f t="shared" si="1"/>
        <v>1413</v>
      </c>
      <c r="R26" s="8">
        <f t="shared" si="2"/>
        <v>4079</v>
      </c>
      <c r="S26" s="36">
        <f>VLOOKUP(R26,'Commission Criteria'!$L$3:$M$11,2,TRUE)</f>
        <v>0.01</v>
      </c>
      <c r="T26" s="36">
        <f>IF(P26&lt;5,VLOOKUP(R26,'Commission Criteria'!$L$3:$M$11,2,1),VLOOKUP('Order SUmmary'!R26,'Commission Criteria'!$P$3:$Q$11,2,1))</f>
        <v>0.02</v>
      </c>
      <c r="U26" s="36">
        <f>VLOOKUP(R26,IF(P26&lt;5,'Commission Criteria'!$L$3:$M$11,'Commission Criteria'!$P$3:$Q$11),2,1)</f>
        <v>0.02</v>
      </c>
      <c r="V26" s="8" t="s">
        <v>32</v>
      </c>
      <c r="W26" s="36">
        <f t="shared" ca="1" si="3"/>
        <v>0</v>
      </c>
      <c r="X26" s="8" t="str">
        <f>_xlfn.XLOOKUP(F26,'Product List'!$B$1:$B$299,'Product List'!$A$1:$A$299)</f>
        <v>Avery 49</v>
      </c>
      <c r="Y26" s="8"/>
      <c r="Z26" s="8" t="str" cm="1">
        <f t="array" ref="Z26:AD26">_xlfn.XLOOKUP(D26,'Customer Details'!$A$1:$A$17,'Customer Details'!$B$1:$F$17,"",0,1)</f>
        <v>Elder Pharmaceuticals</v>
      </c>
      <c r="AA26" s="8" t="str">
        <v>57 Neriba Cres</v>
      </c>
      <c r="AB26" s="8" t="str">
        <v>Omaha</v>
      </c>
      <c r="AC26" s="8" t="str">
        <v>NE</v>
      </c>
      <c r="AD26" s="8" t="str">
        <v>68127</v>
      </c>
    </row>
    <row r="27" spans="1:30">
      <c r="A27" s="8" t="s">
        <v>77</v>
      </c>
      <c r="B27" s="19">
        <v>41306</v>
      </c>
      <c r="C27" s="8" t="s">
        <v>51</v>
      </c>
      <c r="D27" s="8">
        <v>10008</v>
      </c>
      <c r="E27" s="8" t="str">
        <f>VLOOKUP($D27,'Customer Details'!$A$1:$F$17,4,FALSE)</f>
        <v>Chestnut Ridge</v>
      </c>
      <c r="F27" s="8" t="s">
        <v>78</v>
      </c>
      <c r="G27" s="8">
        <v>1</v>
      </c>
      <c r="H27" s="2" t="str">
        <f>VLOOKUP($D27,'Customer Details'!$A$1:$F$17,MATCH('Order SUmmary'!H$2,'Customer Details'!$A$1:$F$1,0),0)</f>
        <v>Reliance Industries Limited</v>
      </c>
      <c r="I27" s="2" t="str">
        <f>VLOOKUP($D27,'Customer Details'!$A$1:$F$17,4,0)</f>
        <v>Chestnut Ridge</v>
      </c>
      <c r="J27" s="2" t="str">
        <f>VLOOKUP($D27,'Customer Details'!$A$1:$F$17,6,0)</f>
        <v>10977</v>
      </c>
      <c r="K27" s="8" t="str">
        <f>VLOOKUP(VLOOKUP(D27,'Customer Details'!$A$1:$F$17,5,0),'Region INfo'!$A$1:$C$52,3,0)</f>
        <v xml:space="preserve">Northern </v>
      </c>
      <c r="L27" s="8" t="str">
        <f>INDEX(Product_List,MATCH($F27,'Product List'!$B$1:$B$299,0),MATCH('Order SUmmary'!L$2,'Product List'!$A$1:$E$1,0))</f>
        <v>Xerox 199</v>
      </c>
      <c r="M27" s="8">
        <f>INDEX(Product_List,MATCH($F27,'Product List'!$B$1:$B$299,0),MATCH('Order SUmmary'!M$2,'Product List'!$A$1:$E$1,0))</f>
        <v>2523</v>
      </c>
      <c r="N27" s="8">
        <f>INDEX(Product_List,MATCH($F27,'Product List'!$B$1:$B$299,0),MATCH('Order SUmmary'!N$2,'Product List'!$A$1:$E$1,0))</f>
        <v>1665</v>
      </c>
      <c r="O27" s="8" t="str">
        <f>INDEX(Product_List,MATCH($F27,'Product List'!$B$1:$B$299,0),MATCH('Order SUmmary'!O$2,'Product List'!$A$1:$E$1,0))</f>
        <v>Paper</v>
      </c>
      <c r="P27" s="12">
        <f>HLOOKUP(C27,'Commission Criteria'!$A$2:$I$4,3,FALSE)</f>
        <v>10</v>
      </c>
      <c r="Q27" s="8">
        <f t="shared" si="1"/>
        <v>1665</v>
      </c>
      <c r="R27" s="8">
        <f t="shared" si="2"/>
        <v>2523</v>
      </c>
      <c r="S27" s="36">
        <f>VLOOKUP(R27,'Commission Criteria'!$L$3:$M$11,2,TRUE)</f>
        <v>0.01</v>
      </c>
      <c r="T27" s="36">
        <f>IF(P27&lt;5,VLOOKUP(R27,'Commission Criteria'!$L$3:$M$11,2,1),VLOOKUP('Order SUmmary'!R27,'Commission Criteria'!$P$3:$Q$11,2,1))</f>
        <v>0.02</v>
      </c>
      <c r="U27" s="36">
        <f>VLOOKUP(R27,IF(P27&lt;5,'Commission Criteria'!$L$3:$M$11,'Commission Criteria'!$P$3:$Q$11),2,1)</f>
        <v>0.02</v>
      </c>
      <c r="V27" s="8" t="s">
        <v>43</v>
      </c>
      <c r="W27" s="36">
        <f t="shared" ca="1" si="3"/>
        <v>0</v>
      </c>
      <c r="X27" s="8" t="str">
        <f>_xlfn.XLOOKUP(F27,'Product List'!$B$1:$B$299,'Product List'!$A$1:$A$299)</f>
        <v>Xerox 199</v>
      </c>
      <c r="Y27" s="8"/>
      <c r="Z27" s="8" t="str" cm="1">
        <f t="array" ref="Z27:AD27">_xlfn.XLOOKUP(D27,'Customer Details'!$A$1:$A$17,'Customer Details'!$B$1:$F$17,"",0,1)</f>
        <v>Reliance Industries Limited</v>
      </c>
      <c r="AA27" s="8" t="str">
        <v>12020 Shamrock Rd., Suite 333</v>
      </c>
      <c r="AB27" s="8" t="str">
        <v>Chestnut Ridge</v>
      </c>
      <c r="AC27" s="8" t="str">
        <v>NY</v>
      </c>
      <c r="AD27" s="8" t="str">
        <v>10977</v>
      </c>
    </row>
    <row r="28" spans="1:30">
      <c r="A28" s="8" t="s">
        <v>79</v>
      </c>
      <c r="B28" s="19">
        <v>41308</v>
      </c>
      <c r="C28" s="8" t="s">
        <v>27</v>
      </c>
      <c r="D28" s="8">
        <v>10012</v>
      </c>
      <c r="E28" s="8" t="str">
        <f>VLOOKUP($D28,'Customer Details'!$A$1:$F$17,4,FALSE)</f>
        <v>Santa Barbara</v>
      </c>
      <c r="F28" s="8" t="s">
        <v>80</v>
      </c>
      <c r="G28" s="8">
        <v>1</v>
      </c>
      <c r="H28" s="2" t="str">
        <f>VLOOKUP($D28,'Customer Details'!$A$1:$F$17,MATCH('Order SUmmary'!H$2,'Customer Details'!$A$1:$F$1,0),0)</f>
        <v>Dynamatic Technologies Ltd.</v>
      </c>
      <c r="I28" s="2" t="str">
        <f>VLOOKUP($D28,'Customer Details'!$A$1:$F$17,4,0)</f>
        <v>Santa Barbara</v>
      </c>
      <c r="J28" s="2" t="str">
        <f>VLOOKUP($D28,'Customer Details'!$A$1:$F$17,6,0)</f>
        <v>93110</v>
      </c>
      <c r="K28" s="8" t="str">
        <f>VLOOKUP(VLOOKUP(D28,'Customer Details'!$A$1:$F$17,5,0),'Region INfo'!$A$1:$C$52,3,0)</f>
        <v xml:space="preserve">Pacific   </v>
      </c>
      <c r="L28" s="8" t="str">
        <f>INDEX(Product_List,MATCH($F28,'Product List'!$B$1:$B$299,0),MATCH('Order SUmmary'!L$2,'Product List'!$A$1:$E$1,0))</f>
        <v>Xerox 192</v>
      </c>
      <c r="M28" s="8">
        <f>INDEX(Product_List,MATCH($F28,'Product List'!$B$1:$B$299,0),MATCH('Order SUmmary'!M$2,'Product List'!$A$1:$E$1,0))</f>
        <v>3324</v>
      </c>
      <c r="N28" s="8">
        <f>INDEX(Product_List,MATCH($F28,'Product List'!$B$1:$B$299,0),MATCH('Order SUmmary'!N$2,'Product List'!$A$1:$E$1,0))</f>
        <v>1846</v>
      </c>
      <c r="O28" s="8" t="str">
        <f>INDEX(Product_List,MATCH($F28,'Product List'!$B$1:$B$299,0),MATCH('Order SUmmary'!O$2,'Product List'!$A$1:$E$1,0))</f>
        <v>Paper</v>
      </c>
      <c r="P28" s="12">
        <f>HLOOKUP(C28,'Commission Criteria'!$A$2:$I$4,3,FALSE)</f>
        <v>4</v>
      </c>
      <c r="Q28" s="8">
        <f t="shared" si="1"/>
        <v>1846</v>
      </c>
      <c r="R28" s="8">
        <f t="shared" si="2"/>
        <v>3324</v>
      </c>
      <c r="S28" s="36">
        <f>VLOOKUP(R28,'Commission Criteria'!$L$3:$M$11,2,TRUE)</f>
        <v>0.01</v>
      </c>
      <c r="T28" s="36">
        <f>IF(P28&lt;5,VLOOKUP(R28,'Commission Criteria'!$L$3:$M$11,2,1),VLOOKUP('Order SUmmary'!R28,'Commission Criteria'!$P$3:$Q$11,2,1))</f>
        <v>0.01</v>
      </c>
      <c r="U28" s="36">
        <f>VLOOKUP(R28,IF(P28&lt;5,'Commission Criteria'!$L$3:$M$11,'Commission Criteria'!$P$3:$Q$11),2,1)</f>
        <v>0.01</v>
      </c>
      <c r="V28" s="8" t="s">
        <v>43</v>
      </c>
      <c r="W28" s="36">
        <f t="shared" ca="1" si="3"/>
        <v>0</v>
      </c>
      <c r="X28" s="8" t="str">
        <f>_xlfn.XLOOKUP(F28,'Product List'!$B$1:$B$299,'Product List'!$A$1:$A$299)</f>
        <v>Xerox 192</v>
      </c>
      <c r="Y28" s="8"/>
      <c r="Z28" s="8" t="str" cm="1">
        <f t="array" ref="Z28:AD28">_xlfn.XLOOKUP(D28,'Customer Details'!$A$1:$A$17,'Customer Details'!$B$1:$F$17,"",0,1)</f>
        <v>Dynamatic Technologies Ltd.</v>
      </c>
      <c r="AA28" s="8" t="str">
        <v>402 Pinkster Lane</v>
      </c>
      <c r="AB28" s="8" t="str">
        <v>Santa Barbara</v>
      </c>
      <c r="AC28" s="8" t="str">
        <v>CA</v>
      </c>
      <c r="AD28" s="8" t="str">
        <v>93110</v>
      </c>
    </row>
    <row r="29" spans="1:30">
      <c r="A29" s="8" t="s">
        <v>81</v>
      </c>
      <c r="B29" s="19">
        <v>41314</v>
      </c>
      <c r="C29" s="8" t="s">
        <v>46</v>
      </c>
      <c r="D29" s="8">
        <v>10001</v>
      </c>
      <c r="E29" s="8" t="str">
        <f>VLOOKUP($D29,'Customer Details'!$A$1:$F$17,4,FALSE)</f>
        <v>New York</v>
      </c>
      <c r="F29" s="8" t="s">
        <v>82</v>
      </c>
      <c r="G29" s="8">
        <v>2</v>
      </c>
      <c r="H29" s="2" t="str">
        <f>VLOOKUP($D29,'Customer Details'!$A$1:$F$17,MATCH('Order SUmmary'!H$2,'Customer Details'!$A$1:$F$1,0),0)</f>
        <v>Chambal Fertilisers and Chemicals Ltd.</v>
      </c>
      <c r="I29" s="2" t="str">
        <f>VLOOKUP($D29,'Customer Details'!$A$1:$F$17,4,0)</f>
        <v>New York</v>
      </c>
      <c r="J29" s="2" t="str">
        <f>VLOOKUP($D29,'Customer Details'!$A$1:$F$17,6,0)</f>
        <v>10025</v>
      </c>
      <c r="K29" s="8" t="str">
        <f>VLOOKUP(VLOOKUP(D29,'Customer Details'!$A$1:$F$17,5,0),'Region INfo'!$A$1:$C$52,3,0)</f>
        <v xml:space="preserve">Northern </v>
      </c>
      <c r="L29" s="8" t="str">
        <f>INDEX(Product_List,MATCH($F29,'Product List'!$B$1:$B$299,0),MATCH('Order SUmmary'!L$2,'Product List'!$A$1:$E$1,0))</f>
        <v>Xerox 1926</v>
      </c>
      <c r="M29" s="8">
        <f>INDEX(Product_List,MATCH($F29,'Product List'!$B$1:$B$299,0),MATCH('Order SUmmary'!M$2,'Product List'!$A$1:$E$1,0))</f>
        <v>3725</v>
      </c>
      <c r="N29" s="8">
        <f>INDEX(Product_List,MATCH($F29,'Product List'!$B$1:$B$299,0),MATCH('Order SUmmary'!N$2,'Product List'!$A$1:$E$1,0))</f>
        <v>1250</v>
      </c>
      <c r="O29" s="8" t="str">
        <f>INDEX(Product_List,MATCH($F29,'Product List'!$B$1:$B$299,0),MATCH('Order SUmmary'!O$2,'Product List'!$A$1:$E$1,0))</f>
        <v>Paper</v>
      </c>
      <c r="P29" s="12">
        <f>HLOOKUP(C29,'Commission Criteria'!$A$2:$I$4,3,FALSE)</f>
        <v>8</v>
      </c>
      <c r="Q29" s="8">
        <f t="shared" si="1"/>
        <v>2500</v>
      </c>
      <c r="R29" s="8">
        <f t="shared" si="2"/>
        <v>7450</v>
      </c>
      <c r="S29" s="36">
        <f>VLOOKUP(R29,'Commission Criteria'!$L$3:$M$11,2,TRUE)</f>
        <v>0.03</v>
      </c>
      <c r="T29" s="36">
        <f>IF(P29&lt;5,VLOOKUP(R29,'Commission Criteria'!$L$3:$M$11,2,1),VLOOKUP('Order SUmmary'!R29,'Commission Criteria'!$P$3:$Q$11,2,1))</f>
        <v>0.02</v>
      </c>
      <c r="U29" s="36">
        <f>VLOOKUP(R29,IF(P29&lt;5,'Commission Criteria'!$L$3:$M$11,'Commission Criteria'!$P$3:$Q$11),2,1)</f>
        <v>0.02</v>
      </c>
      <c r="V29" s="8" t="s">
        <v>50</v>
      </c>
      <c r="W29" s="36">
        <f t="shared" ca="1" si="3"/>
        <v>0.03</v>
      </c>
      <c r="X29" s="8" t="str">
        <f>_xlfn.XLOOKUP(F29,'Product List'!$B$1:$B$299,'Product List'!$A$1:$A$299)</f>
        <v>Xerox 1926</v>
      </c>
      <c r="Y29" s="8"/>
      <c r="Z29" s="8" t="str" cm="1">
        <f t="array" ref="Z29:AD29">_xlfn.XLOOKUP(D29,'Customer Details'!$A$1:$A$17,'Customer Details'!$B$1:$F$17,"",0,1)</f>
        <v>Chambal Fertilisers and Chemicals Ltd.</v>
      </c>
      <c r="AA29" s="8" t="str">
        <v>4951 Indiana Ave.</v>
      </c>
      <c r="AB29" s="8" t="str">
        <v>New York</v>
      </c>
      <c r="AC29" s="8" t="str">
        <v>NY</v>
      </c>
      <c r="AD29" s="8" t="str">
        <v>10025</v>
      </c>
    </row>
    <row r="30" spans="1:30">
      <c r="A30" s="8" t="s">
        <v>81</v>
      </c>
      <c r="B30" s="19">
        <v>41314</v>
      </c>
      <c r="C30" s="8" t="s">
        <v>54</v>
      </c>
      <c r="D30" s="8">
        <v>10008</v>
      </c>
      <c r="E30" s="8" t="str">
        <f>VLOOKUP($D30,'Customer Details'!$A$1:$F$17,4,FALSE)</f>
        <v>Chestnut Ridge</v>
      </c>
      <c r="F30" s="8" t="s">
        <v>83</v>
      </c>
      <c r="G30" s="8">
        <v>2</v>
      </c>
      <c r="H30" s="2" t="str">
        <f>VLOOKUP($D30,'Customer Details'!$A$1:$F$17,MATCH('Order SUmmary'!H$2,'Customer Details'!$A$1:$F$1,0),0)</f>
        <v>Reliance Industries Limited</v>
      </c>
      <c r="I30" s="2" t="str">
        <f>VLOOKUP($D30,'Customer Details'!$A$1:$F$17,4,0)</f>
        <v>Chestnut Ridge</v>
      </c>
      <c r="J30" s="2" t="str">
        <f>VLOOKUP($D30,'Customer Details'!$A$1:$F$17,6,0)</f>
        <v>10977</v>
      </c>
      <c r="K30" s="8" t="str">
        <f>VLOOKUP(VLOOKUP(D30,'Customer Details'!$A$1:$F$17,5,0),'Region INfo'!$A$1:$C$52,3,0)</f>
        <v xml:space="preserve">Northern </v>
      </c>
      <c r="L30" s="8" t="str">
        <f>INDEX(Product_List,MATCH($F30,'Product List'!$B$1:$B$299,0),MATCH('Order SUmmary'!L$2,'Product List'!$A$1:$E$1,0))</f>
        <v>Xerox 211</v>
      </c>
      <c r="M30" s="8">
        <f>INDEX(Product_List,MATCH($F30,'Product List'!$B$1:$B$299,0),MATCH('Order SUmmary'!M$2,'Product List'!$A$1:$E$1,0))</f>
        <v>4291</v>
      </c>
      <c r="N30" s="8">
        <f>INDEX(Product_List,MATCH($F30,'Product List'!$B$1:$B$299,0),MATCH('Order SUmmary'!N$2,'Product List'!$A$1:$E$1,0))</f>
        <v>2021</v>
      </c>
      <c r="O30" s="8" t="str">
        <f>INDEX(Product_List,MATCH($F30,'Product List'!$B$1:$B$299,0),MATCH('Order SUmmary'!O$2,'Product List'!$A$1:$E$1,0))</f>
        <v>Paper</v>
      </c>
      <c r="P30" s="12">
        <f>HLOOKUP(C30,'Commission Criteria'!$A$2:$I$4,3,FALSE)</f>
        <v>3</v>
      </c>
      <c r="Q30" s="8">
        <f t="shared" si="1"/>
        <v>4042</v>
      </c>
      <c r="R30" s="8">
        <f t="shared" si="2"/>
        <v>8582</v>
      </c>
      <c r="S30" s="36">
        <f>VLOOKUP(R30,'Commission Criteria'!$L$3:$M$11,2,TRUE)</f>
        <v>0.03</v>
      </c>
      <c r="T30" s="36">
        <f>IF(P30&lt;5,VLOOKUP(R30,'Commission Criteria'!$L$3:$M$11,2,1),VLOOKUP('Order SUmmary'!R30,'Commission Criteria'!$P$3:$Q$11,2,1))</f>
        <v>0.03</v>
      </c>
      <c r="U30" s="36">
        <f>VLOOKUP(R30,IF(P30&lt;5,'Commission Criteria'!$L$3:$M$11,'Commission Criteria'!$P$3:$Q$11),2,1)</f>
        <v>0.03</v>
      </c>
      <c r="V30" s="8" t="s">
        <v>50</v>
      </c>
      <c r="W30" s="36">
        <f t="shared" ca="1" si="3"/>
        <v>0.03</v>
      </c>
      <c r="X30" s="8" t="str">
        <f>_xlfn.XLOOKUP(F30,'Product List'!$B$1:$B$299,'Product List'!$A$1:$A$299)</f>
        <v>Xerox 211</v>
      </c>
      <c r="Y30" s="8"/>
      <c r="Z30" s="8" t="str" cm="1">
        <f t="array" ref="Z30:AD30">_xlfn.XLOOKUP(D30,'Customer Details'!$A$1:$A$17,'Customer Details'!$B$1:$F$17,"",0,1)</f>
        <v>Reliance Industries Limited</v>
      </c>
      <c r="AA30" s="8" t="str">
        <v>12020 Shamrock Rd., Suite 333</v>
      </c>
      <c r="AB30" s="8" t="str">
        <v>Chestnut Ridge</v>
      </c>
      <c r="AC30" s="8" t="str">
        <v>NY</v>
      </c>
      <c r="AD30" s="8" t="str">
        <v>10977</v>
      </c>
    </row>
    <row r="31" spans="1:30">
      <c r="A31" s="8" t="s">
        <v>81</v>
      </c>
      <c r="B31" s="19">
        <v>41314</v>
      </c>
      <c r="C31" s="8" t="s">
        <v>66</v>
      </c>
      <c r="D31" s="8">
        <v>10005</v>
      </c>
      <c r="E31" s="8" t="str">
        <f>VLOOKUP($D31,'Customer Details'!$A$1:$F$17,4,FALSE)</f>
        <v>Goleta</v>
      </c>
      <c r="F31" s="8" t="s">
        <v>84</v>
      </c>
      <c r="G31" s="8">
        <v>2</v>
      </c>
      <c r="H31" s="2" t="str">
        <f>VLOOKUP($D31,'Customer Details'!$A$1:$F$17,MATCH('Order SUmmary'!H$2,'Customer Details'!$A$1:$F$1,0),0)</f>
        <v>Fortis Healthcare Ltd.</v>
      </c>
      <c r="I31" s="2" t="str">
        <f>VLOOKUP($D31,'Customer Details'!$A$1:$F$17,4,0)</f>
        <v>Goleta</v>
      </c>
      <c r="J31" s="2" t="str">
        <f>VLOOKUP($D31,'Customer Details'!$A$1:$F$17,6,0)</f>
        <v>93117</v>
      </c>
      <c r="K31" s="8" t="str">
        <f>VLOOKUP(VLOOKUP(D31,'Customer Details'!$A$1:$F$17,5,0),'Region INfo'!$A$1:$C$52,3,0)</f>
        <v xml:space="preserve">Pacific   </v>
      </c>
      <c r="L31" s="8" t="str">
        <f>INDEX(Product_List,MATCH($F31,'Product List'!$B$1:$B$299,0),MATCH('Order SUmmary'!L$2,'Product List'!$A$1:$E$1,0))</f>
        <v>Xerox 1979</v>
      </c>
      <c r="M31" s="8">
        <f>INDEX(Product_List,MATCH($F31,'Product List'!$B$1:$B$299,0),MATCH('Order SUmmary'!M$2,'Product List'!$A$1:$E$1,0))</f>
        <v>4731</v>
      </c>
      <c r="N31" s="8">
        <f>INDEX(Product_List,MATCH($F31,'Product List'!$B$1:$B$299,0),MATCH('Order SUmmary'!N$2,'Product List'!$A$1:$E$1,0))</f>
        <v>1858</v>
      </c>
      <c r="O31" s="8" t="str">
        <f>INDEX(Product_List,MATCH($F31,'Product List'!$B$1:$B$299,0),MATCH('Order SUmmary'!O$2,'Product List'!$A$1:$E$1,0))</f>
        <v>Paper</v>
      </c>
      <c r="P31" s="12">
        <f>HLOOKUP(C31,'Commission Criteria'!$A$2:$I$4,3,FALSE)</f>
        <v>5</v>
      </c>
      <c r="Q31" s="8">
        <f t="shared" si="1"/>
        <v>3716</v>
      </c>
      <c r="R31" s="8">
        <f t="shared" si="2"/>
        <v>9462</v>
      </c>
      <c r="S31" s="36">
        <f>VLOOKUP(R31,'Commission Criteria'!$L$3:$M$11,2,TRUE)</f>
        <v>0.03</v>
      </c>
      <c r="T31" s="36">
        <f>IF(P31&lt;5,VLOOKUP(R31,'Commission Criteria'!$L$3:$M$11,2,1),VLOOKUP('Order SUmmary'!R31,'Commission Criteria'!$P$3:$Q$11,2,1))</f>
        <v>0.02</v>
      </c>
      <c r="U31" s="36">
        <f>VLOOKUP(R31,IF(P31&lt;5,'Commission Criteria'!$L$3:$M$11,'Commission Criteria'!$P$3:$Q$11),2,1)</f>
        <v>0.02</v>
      </c>
      <c r="V31" s="8" t="s">
        <v>32</v>
      </c>
      <c r="W31" s="36">
        <f t="shared" ca="1" si="3"/>
        <v>0</v>
      </c>
      <c r="X31" s="8" t="str">
        <f>_xlfn.XLOOKUP(F31,'Product List'!$B$1:$B$299,'Product List'!$A$1:$A$299)</f>
        <v>Xerox 1979</v>
      </c>
      <c r="Y31" s="8"/>
      <c r="Z31" s="8" t="str" cm="1">
        <f t="array" ref="Z31:AD31">_xlfn.XLOOKUP(D31,'Customer Details'!$A$1:$A$17,'Customer Details'!$B$1:$F$17,"",0,1)</f>
        <v>Fortis Healthcare Ltd.</v>
      </c>
      <c r="AA31" s="8" t="str">
        <v>14 Elsworthy Terrace</v>
      </c>
      <c r="AB31" s="8" t="str">
        <v>Goleta</v>
      </c>
      <c r="AC31" s="8" t="str">
        <v>CA</v>
      </c>
      <c r="AD31" s="8" t="str">
        <v>93117</v>
      </c>
    </row>
    <row r="32" spans="1:30">
      <c r="A32" s="8" t="s">
        <v>85</v>
      </c>
      <c r="B32" s="19">
        <v>41316</v>
      </c>
      <c r="C32" s="8" t="s">
        <v>51</v>
      </c>
      <c r="D32" s="8">
        <v>10014</v>
      </c>
      <c r="E32" s="8" t="str">
        <f>VLOOKUP($D32,'Customer Details'!$A$1:$F$17,4,FALSE)</f>
        <v>Honolulu</v>
      </c>
      <c r="F32" s="8" t="s">
        <v>86</v>
      </c>
      <c r="G32" s="8">
        <v>1</v>
      </c>
      <c r="H32" s="2" t="str">
        <f>VLOOKUP($D32,'Customer Details'!$A$1:$F$17,MATCH('Order SUmmary'!H$2,'Customer Details'!$A$1:$F$1,0),0)</f>
        <v>Hindusthan National Glass &amp; Industries Ltd.</v>
      </c>
      <c r="I32" s="2" t="str">
        <f>VLOOKUP($D32,'Customer Details'!$A$1:$F$17,4,0)</f>
        <v>Honolulu</v>
      </c>
      <c r="J32" s="2" t="str">
        <f>VLOOKUP($D32,'Customer Details'!$A$1:$F$17,6,0)</f>
        <v>96825</v>
      </c>
      <c r="K32" s="8" t="str">
        <f>VLOOKUP(VLOOKUP(D32,'Customer Details'!$A$1:$F$17,5,0),'Region INfo'!$A$1:$C$52,3,0)</f>
        <v xml:space="preserve">Pacific   </v>
      </c>
      <c r="L32" s="8" t="str">
        <f>INDEX(Product_List,MATCH($F32,'Product List'!$B$1:$B$299,0),MATCH('Order SUmmary'!L$2,'Product List'!$A$1:$E$1,0))</f>
        <v>Newell 316</v>
      </c>
      <c r="M32" s="8">
        <f>INDEX(Product_List,MATCH($F32,'Product List'!$B$1:$B$299,0),MATCH('Order SUmmary'!M$2,'Product List'!$A$1:$E$1,0))</f>
        <v>2958</v>
      </c>
      <c r="N32" s="8">
        <f>INDEX(Product_List,MATCH($F32,'Product List'!$B$1:$B$299,0),MATCH('Order SUmmary'!N$2,'Product List'!$A$1:$E$1,0))</f>
        <v>1678</v>
      </c>
      <c r="O32" s="8" t="str">
        <f>INDEX(Product_List,MATCH($F32,'Product List'!$B$1:$B$299,0),MATCH('Order SUmmary'!O$2,'Product List'!$A$1:$E$1,0))</f>
        <v>Art</v>
      </c>
      <c r="P32" s="12">
        <f>HLOOKUP(C32,'Commission Criteria'!$A$2:$I$4,3,FALSE)</f>
        <v>10</v>
      </c>
      <c r="Q32" s="8">
        <f t="shared" si="1"/>
        <v>1678</v>
      </c>
      <c r="R32" s="8">
        <f t="shared" si="2"/>
        <v>2958</v>
      </c>
      <c r="S32" s="36">
        <f>VLOOKUP(R32,'Commission Criteria'!$L$3:$M$11,2,TRUE)</f>
        <v>0.01</v>
      </c>
      <c r="T32" s="36">
        <f>IF(P32&lt;5,VLOOKUP(R32,'Commission Criteria'!$L$3:$M$11,2,1),VLOOKUP('Order SUmmary'!R32,'Commission Criteria'!$P$3:$Q$11,2,1))</f>
        <v>0.02</v>
      </c>
      <c r="U32" s="36">
        <f>VLOOKUP(R32,IF(P32&lt;5,'Commission Criteria'!$L$3:$M$11,'Commission Criteria'!$P$3:$Q$11),2,1)</f>
        <v>0.02</v>
      </c>
      <c r="V32" s="8" t="s">
        <v>29</v>
      </c>
      <c r="W32" s="36">
        <f t="shared" ca="1" si="3"/>
        <v>0.04</v>
      </c>
      <c r="X32" s="8" t="str">
        <f>_xlfn.XLOOKUP(F32,'Product List'!$B$1:$B$299,'Product List'!$A$1:$A$299)</f>
        <v>Newell 316</v>
      </c>
      <c r="Y32" s="8"/>
      <c r="Z32" s="8" t="str" cm="1">
        <f t="array" ref="Z32:AD32">_xlfn.XLOOKUP(D32,'Customer Details'!$A$1:$A$17,'Customer Details'!$B$1:$F$17,"",0,1)</f>
        <v>Hindusthan National Glass &amp; Industries Ltd.</v>
      </c>
      <c r="AA32" s="8" t="str">
        <v>11 Cathy St.</v>
      </c>
      <c r="AB32" s="8" t="str">
        <v>Honolulu</v>
      </c>
      <c r="AC32" s="8" t="str">
        <v>HI</v>
      </c>
      <c r="AD32" s="8" t="str">
        <v>96825</v>
      </c>
    </row>
    <row r="33" spans="1:30">
      <c r="A33" s="8" t="s">
        <v>87</v>
      </c>
      <c r="B33" s="19">
        <v>41319</v>
      </c>
      <c r="C33" s="8" t="s">
        <v>27</v>
      </c>
      <c r="D33" s="8">
        <v>10014</v>
      </c>
      <c r="E33" s="8" t="str">
        <f>VLOOKUP($D33,'Customer Details'!$A$1:$F$17,4,FALSE)</f>
        <v>Honolulu</v>
      </c>
      <c r="F33" s="8" t="s">
        <v>88</v>
      </c>
      <c r="G33" s="8">
        <v>2</v>
      </c>
      <c r="H33" s="2" t="str">
        <f>VLOOKUP($D33,'Customer Details'!$A$1:$F$17,MATCH('Order SUmmary'!H$2,'Customer Details'!$A$1:$F$1,0),0)</f>
        <v>Hindusthan National Glass &amp; Industries Ltd.</v>
      </c>
      <c r="I33" s="2" t="str">
        <f>VLOOKUP($D33,'Customer Details'!$A$1:$F$17,4,0)</f>
        <v>Honolulu</v>
      </c>
      <c r="J33" s="2" t="str">
        <f>VLOOKUP($D33,'Customer Details'!$A$1:$F$17,6,0)</f>
        <v>96825</v>
      </c>
      <c r="K33" s="8" t="str">
        <f>VLOOKUP(VLOOKUP(D33,'Customer Details'!$A$1:$F$17,5,0),'Region INfo'!$A$1:$C$52,3,0)</f>
        <v xml:space="preserve">Pacific   </v>
      </c>
      <c r="L33" s="8" t="str">
        <f>INDEX(Product_List,MATCH($F33,'Product List'!$B$1:$B$299,0),MATCH('Order SUmmary'!L$2,'Product List'!$A$1:$E$1,0))</f>
        <v>Xerox 1922</v>
      </c>
      <c r="M33" s="8">
        <f>INDEX(Product_List,MATCH($F33,'Product List'!$B$1:$B$299,0),MATCH('Order SUmmary'!M$2,'Product List'!$A$1:$E$1,0))</f>
        <v>3493</v>
      </c>
      <c r="N33" s="8">
        <f>INDEX(Product_List,MATCH($F33,'Product List'!$B$1:$B$299,0),MATCH('Order SUmmary'!N$2,'Product List'!$A$1:$E$1,0))</f>
        <v>2180</v>
      </c>
      <c r="O33" s="8" t="str">
        <f>INDEX(Product_List,MATCH($F33,'Product List'!$B$1:$B$299,0),MATCH('Order SUmmary'!O$2,'Product List'!$A$1:$E$1,0))</f>
        <v>Paper</v>
      </c>
      <c r="P33" s="12">
        <f>HLOOKUP(C33,'Commission Criteria'!$A$2:$I$4,3,FALSE)</f>
        <v>4</v>
      </c>
      <c r="Q33" s="8">
        <f t="shared" si="1"/>
        <v>4360</v>
      </c>
      <c r="R33" s="8">
        <f t="shared" si="2"/>
        <v>6986</v>
      </c>
      <c r="S33" s="36">
        <f>VLOOKUP(R33,'Commission Criteria'!$L$3:$M$11,2,TRUE)</f>
        <v>0.03</v>
      </c>
      <c r="T33" s="36">
        <f>IF(P33&lt;5,VLOOKUP(R33,'Commission Criteria'!$L$3:$M$11,2,1),VLOOKUP('Order SUmmary'!R33,'Commission Criteria'!$P$3:$Q$11,2,1))</f>
        <v>0.03</v>
      </c>
      <c r="U33" s="36">
        <f>VLOOKUP(R33,IF(P33&lt;5,'Commission Criteria'!$L$3:$M$11,'Commission Criteria'!$P$3:$Q$11),2,1)</f>
        <v>0.03</v>
      </c>
      <c r="V33" s="8" t="s">
        <v>43</v>
      </c>
      <c r="W33" s="36">
        <f t="shared" ca="1" si="3"/>
        <v>0.05</v>
      </c>
      <c r="X33" s="8" t="str">
        <f>_xlfn.XLOOKUP(F33,'Product List'!$B$1:$B$299,'Product List'!$A$1:$A$299)</f>
        <v>Xerox 1922</v>
      </c>
      <c r="Y33" s="8"/>
      <c r="Z33" s="8" t="str" cm="1">
        <f t="array" ref="Z33:AD33">_xlfn.XLOOKUP(D33,'Customer Details'!$A$1:$A$17,'Customer Details'!$B$1:$F$17,"",0,1)</f>
        <v>Hindusthan National Glass &amp; Industries Ltd.</v>
      </c>
      <c r="AA33" s="8" t="str">
        <v>11 Cathy St.</v>
      </c>
      <c r="AB33" s="8" t="str">
        <v>Honolulu</v>
      </c>
      <c r="AC33" s="8" t="str">
        <v>HI</v>
      </c>
      <c r="AD33" s="8" t="str">
        <v>96825</v>
      </c>
    </row>
    <row r="34" spans="1:30">
      <c r="A34" s="8" t="s">
        <v>89</v>
      </c>
      <c r="B34" s="19">
        <v>41320</v>
      </c>
      <c r="C34" s="8" t="s">
        <v>36</v>
      </c>
      <c r="D34" s="8">
        <v>10015</v>
      </c>
      <c r="E34" s="8" t="str">
        <f>VLOOKUP($D34,'Customer Details'!$A$1:$F$17,4,FALSE)</f>
        <v>South Windsor</v>
      </c>
      <c r="F34" s="8" t="s">
        <v>60</v>
      </c>
      <c r="G34" s="8">
        <v>1</v>
      </c>
      <c r="H34" s="2" t="str">
        <f>VLOOKUP($D34,'Customer Details'!$A$1:$F$17,MATCH('Order SUmmary'!H$2,'Customer Details'!$A$1:$F$1,0),0)</f>
        <v>Punj Lloyd Ltd.</v>
      </c>
      <c r="I34" s="2" t="str">
        <f>VLOOKUP($D34,'Customer Details'!$A$1:$F$17,4,0)</f>
        <v>South Windsor</v>
      </c>
      <c r="J34" s="2" t="str">
        <f>VLOOKUP($D34,'Customer Details'!$A$1:$F$17,6,0)</f>
        <v>06074</v>
      </c>
      <c r="K34" s="8" t="str">
        <f>VLOOKUP(VLOOKUP(D34,'Customer Details'!$A$1:$F$17,5,0),'Region INfo'!$A$1:$C$52,3,0)</f>
        <v xml:space="preserve">Northern </v>
      </c>
      <c r="L34" s="8" t="str">
        <f>INDEX(Product_List,MATCH($F34,'Product List'!$B$1:$B$299,0),MATCH('Order SUmmary'!L$2,'Product List'!$A$1:$E$1,0))</f>
        <v>Xerox 1889</v>
      </c>
      <c r="M34" s="8">
        <f>INDEX(Product_List,MATCH($F34,'Product List'!$B$1:$B$299,0),MATCH('Order SUmmary'!M$2,'Product List'!$A$1:$E$1,0))</f>
        <v>4831</v>
      </c>
      <c r="N34" s="8">
        <f>INDEX(Product_List,MATCH($F34,'Product List'!$B$1:$B$299,0),MATCH('Order SUmmary'!N$2,'Product List'!$A$1:$E$1,0))</f>
        <v>2265</v>
      </c>
      <c r="O34" s="8" t="str">
        <f>INDEX(Product_List,MATCH($F34,'Product List'!$B$1:$B$299,0),MATCH('Order SUmmary'!O$2,'Product List'!$A$1:$E$1,0))</f>
        <v>Paper</v>
      </c>
      <c r="P34" s="12">
        <f>HLOOKUP(C34,'Commission Criteria'!$A$2:$I$4,3,FALSE)</f>
        <v>6</v>
      </c>
      <c r="Q34" s="8">
        <f t="shared" si="1"/>
        <v>2265</v>
      </c>
      <c r="R34" s="8">
        <f t="shared" si="2"/>
        <v>4831</v>
      </c>
      <c r="S34" s="36">
        <f>VLOOKUP(R34,'Commission Criteria'!$L$3:$M$11,2,TRUE)</f>
        <v>0.01</v>
      </c>
      <c r="T34" s="36">
        <f>IF(P34&lt;5,VLOOKUP(R34,'Commission Criteria'!$L$3:$M$11,2,1),VLOOKUP('Order SUmmary'!R34,'Commission Criteria'!$P$3:$Q$11,2,1))</f>
        <v>0.02</v>
      </c>
      <c r="U34" s="36">
        <f>VLOOKUP(R34,IF(P34&lt;5,'Commission Criteria'!$L$3:$M$11,'Commission Criteria'!$P$3:$Q$11),2,1)</f>
        <v>0.02</v>
      </c>
      <c r="V34" s="8" t="s">
        <v>50</v>
      </c>
      <c r="W34" s="36">
        <f t="shared" ca="1" si="3"/>
        <v>0.03</v>
      </c>
      <c r="X34" s="8" t="str">
        <f>_xlfn.XLOOKUP(F34,'Product List'!$B$1:$B$299,'Product List'!$A$1:$A$299)</f>
        <v>Xerox 1889</v>
      </c>
      <c r="Y34" s="8"/>
      <c r="Z34" s="8" t="str" cm="1">
        <f t="array" ref="Z34:AD34">_xlfn.XLOOKUP(D34,'Customer Details'!$A$1:$A$17,'Customer Details'!$B$1:$F$17,"",0,1)</f>
        <v>Punj Lloyd Ltd.</v>
      </c>
      <c r="AA34" s="8" t="str">
        <v>Box 3263</v>
      </c>
      <c r="AB34" s="8" t="str">
        <v>South Windsor</v>
      </c>
      <c r="AC34" s="8" t="str">
        <v>CT</v>
      </c>
      <c r="AD34" s="8" t="str">
        <v>06074</v>
      </c>
    </row>
    <row r="35" spans="1:30">
      <c r="A35" s="8" t="s">
        <v>89</v>
      </c>
      <c r="B35" s="19">
        <v>41320</v>
      </c>
      <c r="C35" s="8" t="s">
        <v>46</v>
      </c>
      <c r="D35" s="8">
        <v>10003</v>
      </c>
      <c r="E35" s="8" t="str">
        <f>VLOOKUP($D35,'Customer Details'!$A$1:$F$17,4,FALSE)</f>
        <v>Miami</v>
      </c>
      <c r="F35" s="8" t="s">
        <v>90</v>
      </c>
      <c r="G35" s="8">
        <v>3</v>
      </c>
      <c r="H35" s="2" t="str">
        <f>VLOOKUP($D35,'Customer Details'!$A$1:$F$17,MATCH('Order SUmmary'!H$2,'Customer Details'!$A$1:$F$1,0),0)</f>
        <v>Honeywell Automation</v>
      </c>
      <c r="I35" s="2" t="str">
        <f>VLOOKUP($D35,'Customer Details'!$A$1:$F$17,4,0)</f>
        <v>Miami</v>
      </c>
      <c r="J35" s="2" t="str">
        <f>VLOOKUP($D35,'Customer Details'!$A$1:$F$17,6,0)</f>
        <v>33732</v>
      </c>
      <c r="K35" s="8" t="str">
        <f>VLOOKUP(VLOOKUP(D35,'Customer Details'!$A$1:$F$17,5,0),'Region INfo'!$A$1:$C$52,3,0)</f>
        <v>Southern</v>
      </c>
      <c r="L35" s="8" t="str">
        <f>INDEX(Product_List,MATCH($F35,'Product List'!$B$1:$B$299,0),MATCH('Order SUmmary'!L$2,'Product List'!$A$1:$E$1,0))</f>
        <v>Xerox 1974</v>
      </c>
      <c r="M35" s="8">
        <f>INDEX(Product_List,MATCH($F35,'Product List'!$B$1:$B$299,0),MATCH('Order SUmmary'!M$2,'Product List'!$A$1:$E$1,0))</f>
        <v>2734</v>
      </c>
      <c r="N35" s="8">
        <f>INDEX(Product_List,MATCH($F35,'Product List'!$B$1:$B$299,0),MATCH('Order SUmmary'!N$2,'Product List'!$A$1:$E$1,0))</f>
        <v>1596</v>
      </c>
      <c r="O35" s="8" t="str">
        <f>INDEX(Product_List,MATCH($F35,'Product List'!$B$1:$B$299,0),MATCH('Order SUmmary'!O$2,'Product List'!$A$1:$E$1,0))</f>
        <v>Paper</v>
      </c>
      <c r="P35" s="12">
        <f>HLOOKUP(C35,'Commission Criteria'!$A$2:$I$4,3,FALSE)</f>
        <v>8</v>
      </c>
      <c r="Q35" s="8">
        <f t="shared" si="1"/>
        <v>4788</v>
      </c>
      <c r="R35" s="8">
        <f t="shared" si="2"/>
        <v>8202</v>
      </c>
      <c r="S35" s="36">
        <f>VLOOKUP(R35,'Commission Criteria'!$L$3:$M$11,2,TRUE)</f>
        <v>0.03</v>
      </c>
      <c r="T35" s="36">
        <f>IF(P35&lt;5,VLOOKUP(R35,'Commission Criteria'!$L$3:$M$11,2,1),VLOOKUP('Order SUmmary'!R35,'Commission Criteria'!$P$3:$Q$11,2,1))</f>
        <v>0.02</v>
      </c>
      <c r="U35" s="36">
        <f>VLOOKUP(R35,IF(P35&lt;5,'Commission Criteria'!$L$3:$M$11,'Commission Criteria'!$P$3:$Q$11),2,1)</f>
        <v>0.02</v>
      </c>
      <c r="V35" s="8" t="s">
        <v>50</v>
      </c>
      <c r="W35" s="36">
        <f t="shared" ca="1" si="3"/>
        <v>0.01</v>
      </c>
      <c r="X35" s="8" t="str">
        <f>_xlfn.XLOOKUP(F35,'Product List'!$B$1:$B$299,'Product List'!$A$1:$A$299)</f>
        <v>Xerox 1974</v>
      </c>
      <c r="Y35" s="8"/>
      <c r="Z35" s="8" t="str" cm="1">
        <f t="array" ref="Z35:AD35">_xlfn.XLOOKUP(D35,'Customer Details'!$A$1:$A$17,'Customer Details'!$B$1:$F$17,"",0,1)</f>
        <v>Honeywell Automation</v>
      </c>
      <c r="AA35" s="8" t="str">
        <v>1272 Harbor Road</v>
      </c>
      <c r="AB35" s="8" t="str">
        <v>Miami</v>
      </c>
      <c r="AC35" s="8" t="str">
        <v>FL</v>
      </c>
      <c r="AD35" s="8" t="str">
        <v>33732</v>
      </c>
    </row>
    <row r="36" spans="1:30">
      <c r="A36" s="8" t="s">
        <v>89</v>
      </c>
      <c r="B36" s="19">
        <v>41320</v>
      </c>
      <c r="C36" s="8" t="s">
        <v>44</v>
      </c>
      <c r="D36" s="8">
        <v>10002</v>
      </c>
      <c r="E36" s="8" t="str">
        <f>VLOOKUP($D36,'Customer Details'!$A$1:$F$17,4,FALSE)</f>
        <v>Omaha</v>
      </c>
      <c r="F36" s="8" t="s">
        <v>91</v>
      </c>
      <c r="G36" s="8">
        <v>2</v>
      </c>
      <c r="H36" s="2" t="str">
        <f>VLOOKUP($D36,'Customer Details'!$A$1:$F$17,MATCH('Order SUmmary'!H$2,'Customer Details'!$A$1:$F$1,0),0)</f>
        <v>Elder Pharmaceuticals</v>
      </c>
      <c r="I36" s="2" t="str">
        <f>VLOOKUP($D36,'Customer Details'!$A$1:$F$17,4,0)</f>
        <v>Omaha</v>
      </c>
      <c r="J36" s="2" t="str">
        <f>VLOOKUP($D36,'Customer Details'!$A$1:$F$17,6,0)</f>
        <v>68127</v>
      </c>
      <c r="K36" s="8" t="str">
        <f>VLOOKUP(VLOOKUP(D36,'Customer Details'!$A$1:$F$17,5,0),'Region INfo'!$A$1:$C$52,3,0)</f>
        <v>Western</v>
      </c>
      <c r="L36" s="8" t="str">
        <f>INDEX(Product_List,MATCH($F36,'Product List'!$B$1:$B$299,0),MATCH('Order SUmmary'!L$2,'Product List'!$A$1:$E$1,0))</f>
        <v>Avery 475</v>
      </c>
      <c r="M36" s="8">
        <f>INDEX(Product_List,MATCH($F36,'Product List'!$B$1:$B$299,0),MATCH('Order SUmmary'!M$2,'Product List'!$A$1:$E$1,0))</f>
        <v>4711</v>
      </c>
      <c r="N36" s="8">
        <f>INDEX(Product_List,MATCH($F36,'Product List'!$B$1:$B$299,0),MATCH('Order SUmmary'!N$2,'Product List'!$A$1:$E$1,0))</f>
        <v>1267</v>
      </c>
      <c r="O36" s="8" t="str">
        <f>INDEX(Product_List,MATCH($F36,'Product List'!$B$1:$B$299,0),MATCH('Order SUmmary'!O$2,'Product List'!$A$1:$E$1,0))</f>
        <v>Labels</v>
      </c>
      <c r="P36" s="12">
        <f>HLOOKUP(C36,'Commission Criteria'!$A$2:$I$4,3,FALSE)</f>
        <v>4</v>
      </c>
      <c r="Q36" s="8">
        <f t="shared" si="1"/>
        <v>2534</v>
      </c>
      <c r="R36" s="8">
        <f t="shared" si="2"/>
        <v>9422</v>
      </c>
      <c r="S36" s="36">
        <f>VLOOKUP(R36,'Commission Criteria'!$L$3:$M$11,2,TRUE)</f>
        <v>0.03</v>
      </c>
      <c r="T36" s="36">
        <f>IF(P36&lt;5,VLOOKUP(R36,'Commission Criteria'!$L$3:$M$11,2,1),VLOOKUP('Order SUmmary'!R36,'Commission Criteria'!$P$3:$Q$11,2,1))</f>
        <v>0.03</v>
      </c>
      <c r="U36" s="36">
        <f>VLOOKUP(R36,IF(P36&lt;5,'Commission Criteria'!$L$3:$M$11,'Commission Criteria'!$P$3:$Q$11),2,1)</f>
        <v>0.03</v>
      </c>
      <c r="V36" s="8" t="s">
        <v>29</v>
      </c>
      <c r="W36" s="36">
        <f t="shared" ca="1" si="3"/>
        <v>0.04</v>
      </c>
      <c r="X36" s="8" t="str">
        <f>_xlfn.XLOOKUP(F36,'Product List'!$B$1:$B$299,'Product List'!$A$1:$A$299)</f>
        <v>Avery 475</v>
      </c>
      <c r="Y36" s="8"/>
      <c r="Z36" s="8" t="str" cm="1">
        <f t="array" ref="Z36:AD36">_xlfn.XLOOKUP(D36,'Customer Details'!$A$1:$A$17,'Customer Details'!$B$1:$F$17,"",0,1)</f>
        <v>Elder Pharmaceuticals</v>
      </c>
      <c r="AA36" s="8" t="str">
        <v>57 Neriba Cres</v>
      </c>
      <c r="AB36" s="8" t="str">
        <v>Omaha</v>
      </c>
      <c r="AC36" s="8" t="str">
        <v>NE</v>
      </c>
      <c r="AD36" s="8" t="str">
        <v>68127</v>
      </c>
    </row>
    <row r="37" spans="1:30">
      <c r="A37" s="8" t="s">
        <v>92</v>
      </c>
      <c r="B37" s="19">
        <v>41321</v>
      </c>
      <c r="C37" s="8" t="s">
        <v>66</v>
      </c>
      <c r="D37" s="8">
        <v>10009</v>
      </c>
      <c r="E37" s="8" t="str">
        <f>VLOOKUP($D37,'Customer Details'!$A$1:$F$17,4,FALSE)</f>
        <v>Salt Lake City</v>
      </c>
      <c r="F37" s="8" t="s">
        <v>93</v>
      </c>
      <c r="G37" s="8">
        <v>1</v>
      </c>
      <c r="H37" s="2" t="str">
        <f>VLOOKUP($D37,'Customer Details'!$A$1:$F$17,MATCH('Order SUmmary'!H$2,'Customer Details'!$A$1:$F$1,0),0)</f>
        <v>Godfrey Philips India Ltd.</v>
      </c>
      <c r="I37" s="2" t="str">
        <f>VLOOKUP($D37,'Customer Details'!$A$1:$F$17,4,0)</f>
        <v>Salt Lake City</v>
      </c>
      <c r="J37" s="2" t="str">
        <f>VLOOKUP($D37,'Customer Details'!$A$1:$F$17,6,0)</f>
        <v>84118</v>
      </c>
      <c r="K37" s="8" t="str">
        <f>VLOOKUP(VLOOKUP(D37,'Customer Details'!$A$1:$F$17,5,0),'Region INfo'!$A$1:$C$52,3,0)</f>
        <v xml:space="preserve">Pacific   </v>
      </c>
      <c r="L37" s="8" t="str">
        <f>INDEX(Product_List,MATCH($F37,'Product List'!$B$1:$B$299,0),MATCH('Order SUmmary'!L$2,'Product List'!$A$1:$E$1,0))</f>
        <v>Xerox 1943</v>
      </c>
      <c r="M37" s="8">
        <f>INDEX(Product_List,MATCH($F37,'Product List'!$B$1:$B$299,0),MATCH('Order SUmmary'!M$2,'Product List'!$A$1:$E$1,0))</f>
        <v>2529</v>
      </c>
      <c r="N37" s="8">
        <f>INDEX(Product_List,MATCH($F37,'Product List'!$B$1:$B$299,0),MATCH('Order SUmmary'!N$2,'Product List'!$A$1:$E$1,0))</f>
        <v>1630</v>
      </c>
      <c r="O37" s="8" t="str">
        <f>INDEX(Product_List,MATCH($F37,'Product List'!$B$1:$B$299,0),MATCH('Order SUmmary'!O$2,'Product List'!$A$1:$E$1,0))</f>
        <v>Paper</v>
      </c>
      <c r="P37" s="12">
        <f>HLOOKUP(C37,'Commission Criteria'!$A$2:$I$4,3,FALSE)</f>
        <v>5</v>
      </c>
      <c r="Q37" s="8">
        <f t="shared" si="1"/>
        <v>1630</v>
      </c>
      <c r="R37" s="8">
        <f t="shared" si="2"/>
        <v>2529</v>
      </c>
      <c r="S37" s="36">
        <f>VLOOKUP(R37,'Commission Criteria'!$L$3:$M$11,2,TRUE)</f>
        <v>0.01</v>
      </c>
      <c r="T37" s="36">
        <f>IF(P37&lt;5,VLOOKUP(R37,'Commission Criteria'!$L$3:$M$11,2,1),VLOOKUP('Order SUmmary'!R37,'Commission Criteria'!$P$3:$Q$11,2,1))</f>
        <v>0.02</v>
      </c>
      <c r="U37" s="36">
        <f>VLOOKUP(R37,IF(P37&lt;5,'Commission Criteria'!$L$3:$M$11,'Commission Criteria'!$P$3:$Q$11),2,1)</f>
        <v>0.02</v>
      </c>
      <c r="V37" s="8" t="s">
        <v>40</v>
      </c>
      <c r="W37" s="36">
        <f t="shared" ca="1" si="3"/>
        <v>0.03</v>
      </c>
      <c r="X37" s="8" t="str">
        <f>_xlfn.XLOOKUP(F37,'Product List'!$B$1:$B$299,'Product List'!$A$1:$A$299)</f>
        <v>Xerox 1943</v>
      </c>
      <c r="Y37" s="8"/>
      <c r="Z37" s="8" t="str" cm="1">
        <f t="array" ref="Z37:AD37">_xlfn.XLOOKUP(D37,'Customer Details'!$A$1:$A$17,'Customer Details'!$B$1:$F$17,"",0,1)</f>
        <v>Godfrey Philips India Ltd.</v>
      </c>
      <c r="AA37" s="8" t="str">
        <v>20501 Ania Ave #2</v>
      </c>
      <c r="AB37" s="8" t="str">
        <v>Salt Lake City</v>
      </c>
      <c r="AC37" s="8" t="str">
        <v>UT</v>
      </c>
      <c r="AD37" s="8" t="str">
        <v>84118</v>
      </c>
    </row>
    <row r="38" spans="1:30">
      <c r="A38" s="8" t="s">
        <v>92</v>
      </c>
      <c r="B38" s="19">
        <v>41321</v>
      </c>
      <c r="C38" s="8" t="s">
        <v>46</v>
      </c>
      <c r="D38" s="8">
        <v>10008</v>
      </c>
      <c r="E38" s="8" t="str">
        <f>VLOOKUP($D38,'Customer Details'!$A$1:$F$17,4,FALSE)</f>
        <v>Chestnut Ridge</v>
      </c>
      <c r="F38" s="8" t="s">
        <v>94</v>
      </c>
      <c r="G38" s="8">
        <v>2</v>
      </c>
      <c r="H38" s="2" t="str">
        <f>VLOOKUP($D38,'Customer Details'!$A$1:$F$17,MATCH('Order SUmmary'!H$2,'Customer Details'!$A$1:$F$1,0),0)</f>
        <v>Reliance Industries Limited</v>
      </c>
      <c r="I38" s="2" t="str">
        <f>VLOOKUP($D38,'Customer Details'!$A$1:$F$17,4,0)</f>
        <v>Chestnut Ridge</v>
      </c>
      <c r="J38" s="2" t="str">
        <f>VLOOKUP($D38,'Customer Details'!$A$1:$F$17,6,0)</f>
        <v>10977</v>
      </c>
      <c r="K38" s="8" t="str">
        <f>VLOOKUP(VLOOKUP(D38,'Customer Details'!$A$1:$F$17,5,0),'Region INfo'!$A$1:$C$52,3,0)</f>
        <v xml:space="preserve">Northern </v>
      </c>
      <c r="L38" s="8" t="str">
        <f>INDEX(Product_List,MATCH($F38,'Product List'!$B$1:$B$299,0),MATCH('Order SUmmary'!L$2,'Product List'!$A$1:$E$1,0))</f>
        <v>Xerox 191</v>
      </c>
      <c r="M38" s="8">
        <f>INDEX(Product_List,MATCH($F38,'Product List'!$B$1:$B$299,0),MATCH('Order SUmmary'!M$2,'Product List'!$A$1:$E$1,0))</f>
        <v>3768</v>
      </c>
      <c r="N38" s="8">
        <f>INDEX(Product_List,MATCH($F38,'Product List'!$B$1:$B$299,0),MATCH('Order SUmmary'!N$2,'Product List'!$A$1:$E$1,0))</f>
        <v>1353</v>
      </c>
      <c r="O38" s="8" t="str">
        <f>INDEX(Product_List,MATCH($F38,'Product List'!$B$1:$B$299,0),MATCH('Order SUmmary'!O$2,'Product List'!$A$1:$E$1,0))</f>
        <v>Paper</v>
      </c>
      <c r="P38" s="12">
        <f>HLOOKUP(C38,'Commission Criteria'!$A$2:$I$4,3,FALSE)</f>
        <v>8</v>
      </c>
      <c r="Q38" s="8">
        <f t="shared" si="1"/>
        <v>2706</v>
      </c>
      <c r="R38" s="8">
        <f t="shared" si="2"/>
        <v>7536</v>
      </c>
      <c r="S38" s="36">
        <f>VLOOKUP(R38,'Commission Criteria'!$L$3:$M$11,2,TRUE)</f>
        <v>0.03</v>
      </c>
      <c r="T38" s="36">
        <f>IF(P38&lt;5,VLOOKUP(R38,'Commission Criteria'!$L$3:$M$11,2,1),VLOOKUP('Order SUmmary'!R38,'Commission Criteria'!$P$3:$Q$11,2,1))</f>
        <v>0.02</v>
      </c>
      <c r="U38" s="36">
        <f>VLOOKUP(R38,IF(P38&lt;5,'Commission Criteria'!$L$3:$M$11,'Commission Criteria'!$P$3:$Q$11),2,1)</f>
        <v>0.02</v>
      </c>
      <c r="V38" s="8" t="s">
        <v>50</v>
      </c>
      <c r="W38" s="36">
        <f t="shared" ca="1" si="3"/>
        <v>0.03</v>
      </c>
      <c r="X38" s="8" t="str">
        <f>_xlfn.XLOOKUP(F38,'Product List'!$B$1:$B$299,'Product List'!$A$1:$A$299)</f>
        <v>Xerox 191</v>
      </c>
      <c r="Y38" s="8"/>
      <c r="Z38" s="8" t="str" cm="1">
        <f t="array" ref="Z38:AD38">_xlfn.XLOOKUP(D38,'Customer Details'!$A$1:$A$17,'Customer Details'!$B$1:$F$17,"",0,1)</f>
        <v>Reliance Industries Limited</v>
      </c>
      <c r="AA38" s="8" t="str">
        <v>12020 Shamrock Rd., Suite 333</v>
      </c>
      <c r="AB38" s="8" t="str">
        <v>Chestnut Ridge</v>
      </c>
      <c r="AC38" s="8" t="str">
        <v>NY</v>
      </c>
      <c r="AD38" s="8" t="str">
        <v>10977</v>
      </c>
    </row>
    <row r="39" spans="1:30">
      <c r="A39" s="8" t="s">
        <v>95</v>
      </c>
      <c r="B39" s="19">
        <v>41325</v>
      </c>
      <c r="C39" s="8" t="s">
        <v>27</v>
      </c>
      <c r="D39" s="8">
        <v>10007</v>
      </c>
      <c r="E39" s="8" t="str">
        <f>VLOOKUP($D39,'Customer Details'!$A$1:$F$17,4,FALSE)</f>
        <v>Richmond</v>
      </c>
      <c r="F39" s="8" t="s">
        <v>84</v>
      </c>
      <c r="G39" s="8">
        <v>1</v>
      </c>
      <c r="H39" s="2" t="str">
        <f>VLOOKUP($D39,'Customer Details'!$A$1:$F$17,MATCH('Order SUmmary'!H$2,'Customer Details'!$A$1:$F$1,0),0)</f>
        <v>GHCL Ltd.</v>
      </c>
      <c r="I39" s="2" t="str">
        <f>VLOOKUP($D39,'Customer Details'!$A$1:$F$17,4,0)</f>
        <v>Richmond</v>
      </c>
      <c r="J39" s="2" t="str">
        <f>VLOOKUP($D39,'Customer Details'!$A$1:$F$17,6,0)</f>
        <v>94805</v>
      </c>
      <c r="K39" s="8" t="str">
        <f>VLOOKUP(VLOOKUP(D39,'Customer Details'!$A$1:$F$17,5,0),'Region INfo'!$A$1:$C$52,3,0)</f>
        <v xml:space="preserve">Pacific   </v>
      </c>
      <c r="L39" s="8" t="str">
        <f>INDEX(Product_List,MATCH($F39,'Product List'!$B$1:$B$299,0),MATCH('Order SUmmary'!L$2,'Product List'!$A$1:$E$1,0))</f>
        <v>Xerox 1979</v>
      </c>
      <c r="M39" s="8">
        <f>INDEX(Product_List,MATCH($F39,'Product List'!$B$1:$B$299,0),MATCH('Order SUmmary'!M$2,'Product List'!$A$1:$E$1,0))</f>
        <v>4731</v>
      </c>
      <c r="N39" s="8">
        <f>INDEX(Product_List,MATCH($F39,'Product List'!$B$1:$B$299,0),MATCH('Order SUmmary'!N$2,'Product List'!$A$1:$E$1,0))</f>
        <v>1858</v>
      </c>
      <c r="O39" s="8" t="str">
        <f>INDEX(Product_List,MATCH($F39,'Product List'!$B$1:$B$299,0),MATCH('Order SUmmary'!O$2,'Product List'!$A$1:$E$1,0))</f>
        <v>Paper</v>
      </c>
      <c r="P39" s="12">
        <f>HLOOKUP(C39,'Commission Criteria'!$A$2:$I$4,3,FALSE)</f>
        <v>4</v>
      </c>
      <c r="Q39" s="8">
        <f t="shared" si="1"/>
        <v>1858</v>
      </c>
      <c r="R39" s="8">
        <f t="shared" si="2"/>
        <v>4731</v>
      </c>
      <c r="S39" s="36">
        <f>VLOOKUP(R39,'Commission Criteria'!$L$3:$M$11,2,TRUE)</f>
        <v>0.01</v>
      </c>
      <c r="T39" s="36">
        <f>IF(P39&lt;5,VLOOKUP(R39,'Commission Criteria'!$L$3:$M$11,2,1),VLOOKUP('Order SUmmary'!R39,'Commission Criteria'!$P$3:$Q$11,2,1))</f>
        <v>0.01</v>
      </c>
      <c r="U39" s="36">
        <f>VLOOKUP(R39,IF(P39&lt;5,'Commission Criteria'!$L$3:$M$11,'Commission Criteria'!$P$3:$Q$11),2,1)</f>
        <v>0.01</v>
      </c>
      <c r="V39" s="8" t="s">
        <v>40</v>
      </c>
      <c r="W39" s="36">
        <f t="shared" ca="1" si="3"/>
        <v>0.02</v>
      </c>
      <c r="X39" s="8" t="str">
        <f>_xlfn.XLOOKUP(F39,'Product List'!$B$1:$B$299,'Product List'!$A$1:$A$299)</f>
        <v>Xerox 1979</v>
      </c>
      <c r="Y39" s="8"/>
      <c r="Z39" s="8" t="str" cm="1">
        <f t="array" ref="Z39:AD39">_xlfn.XLOOKUP(D39,'Customer Details'!$A$1:$A$17,'Customer Details'!$B$1:$F$17,"",0,1)</f>
        <v>GHCL Ltd.</v>
      </c>
      <c r="AA39" s="8" t="str">
        <v>58 Clarence St</v>
      </c>
      <c r="AB39" s="8" t="str">
        <v>Richmond</v>
      </c>
      <c r="AC39" s="8" t="str">
        <v>CA</v>
      </c>
      <c r="AD39" s="8" t="str">
        <v>94805</v>
      </c>
    </row>
    <row r="40" spans="1:30">
      <c r="A40" s="8" t="s">
        <v>96</v>
      </c>
      <c r="B40" s="19">
        <v>41329</v>
      </c>
      <c r="C40" s="8" t="s">
        <v>44</v>
      </c>
      <c r="D40" s="8">
        <v>10005</v>
      </c>
      <c r="E40" s="8" t="str">
        <f>VLOOKUP($D40,'Customer Details'!$A$1:$F$17,4,FALSE)</f>
        <v>Goleta</v>
      </c>
      <c r="F40" s="8" t="s">
        <v>97</v>
      </c>
      <c r="G40" s="8">
        <v>1</v>
      </c>
      <c r="H40" s="2" t="str">
        <f>VLOOKUP($D40,'Customer Details'!$A$1:$F$17,MATCH('Order SUmmary'!H$2,'Customer Details'!$A$1:$F$1,0),0)</f>
        <v>Fortis Healthcare Ltd.</v>
      </c>
      <c r="I40" s="2" t="str">
        <f>VLOOKUP($D40,'Customer Details'!$A$1:$F$17,4,0)</f>
        <v>Goleta</v>
      </c>
      <c r="J40" s="2" t="str">
        <f>VLOOKUP($D40,'Customer Details'!$A$1:$F$17,6,0)</f>
        <v>93117</v>
      </c>
      <c r="K40" s="8" t="str">
        <f>VLOOKUP(VLOOKUP(D40,'Customer Details'!$A$1:$F$17,5,0),'Region INfo'!$A$1:$C$52,3,0)</f>
        <v xml:space="preserve">Pacific   </v>
      </c>
      <c r="L40" s="8" t="str">
        <f>INDEX(Product_List,MATCH($F40,'Product List'!$B$1:$B$299,0),MATCH('Order SUmmary'!L$2,'Product List'!$A$1:$E$1,0))</f>
        <v>Xerox 204</v>
      </c>
      <c r="M40" s="8">
        <f>INDEX(Product_List,MATCH($F40,'Product List'!$B$1:$B$299,0),MATCH('Order SUmmary'!M$2,'Product List'!$A$1:$E$1,0))</f>
        <v>3245</v>
      </c>
      <c r="N40" s="8">
        <f>INDEX(Product_List,MATCH($F40,'Product List'!$B$1:$B$299,0),MATCH('Order SUmmary'!N$2,'Product List'!$A$1:$E$1,0))</f>
        <v>1964</v>
      </c>
      <c r="O40" s="8" t="str">
        <f>INDEX(Product_List,MATCH($F40,'Product List'!$B$1:$B$299,0),MATCH('Order SUmmary'!O$2,'Product List'!$A$1:$E$1,0))</f>
        <v>Paper</v>
      </c>
      <c r="P40" s="12">
        <f>HLOOKUP(C40,'Commission Criteria'!$A$2:$I$4,3,FALSE)</f>
        <v>4</v>
      </c>
      <c r="Q40" s="8">
        <f t="shared" si="1"/>
        <v>1964</v>
      </c>
      <c r="R40" s="8">
        <f t="shared" si="2"/>
        <v>3245</v>
      </c>
      <c r="S40" s="36">
        <f>VLOOKUP(R40,'Commission Criteria'!$L$3:$M$11,2,TRUE)</f>
        <v>0.01</v>
      </c>
      <c r="T40" s="36">
        <f>IF(P40&lt;5,VLOOKUP(R40,'Commission Criteria'!$L$3:$M$11,2,1),VLOOKUP('Order SUmmary'!R40,'Commission Criteria'!$P$3:$Q$11,2,1))</f>
        <v>0.01</v>
      </c>
      <c r="U40" s="36">
        <f>VLOOKUP(R40,IF(P40&lt;5,'Commission Criteria'!$L$3:$M$11,'Commission Criteria'!$P$3:$Q$11),2,1)</f>
        <v>0.01</v>
      </c>
      <c r="V40" s="8" t="s">
        <v>32</v>
      </c>
      <c r="W40" s="36">
        <f t="shared" ca="1" si="3"/>
        <v>0.05</v>
      </c>
      <c r="X40" s="8" t="str">
        <f>_xlfn.XLOOKUP(F40,'Product List'!$B$1:$B$299,'Product List'!$A$1:$A$299)</f>
        <v>Xerox 204</v>
      </c>
      <c r="Y40" s="8"/>
      <c r="Z40" s="8" t="str" cm="1">
        <f t="array" ref="Z40:AD40">_xlfn.XLOOKUP(D40,'Customer Details'!$A$1:$A$17,'Customer Details'!$B$1:$F$17,"",0,1)</f>
        <v>Fortis Healthcare Ltd.</v>
      </c>
      <c r="AA40" s="8" t="str">
        <v>14 Elsworthy Terrace</v>
      </c>
      <c r="AB40" s="8" t="str">
        <v>Goleta</v>
      </c>
      <c r="AC40" s="8" t="str">
        <v>CA</v>
      </c>
      <c r="AD40" s="8" t="str">
        <v>93117</v>
      </c>
    </row>
    <row r="41" spans="1:30">
      <c r="A41" s="8" t="s">
        <v>96</v>
      </c>
      <c r="B41" s="19">
        <v>41329</v>
      </c>
      <c r="C41" s="8" t="s">
        <v>54</v>
      </c>
      <c r="D41" s="8">
        <v>10005</v>
      </c>
      <c r="E41" s="8" t="str">
        <f>VLOOKUP($D41,'Customer Details'!$A$1:$F$17,4,FALSE)</f>
        <v>Goleta</v>
      </c>
      <c r="F41" s="8" t="s">
        <v>98</v>
      </c>
      <c r="G41" s="8">
        <v>1</v>
      </c>
      <c r="H41" s="2" t="str">
        <f>VLOOKUP($D41,'Customer Details'!$A$1:$F$17,MATCH('Order SUmmary'!H$2,'Customer Details'!$A$1:$F$1,0),0)</f>
        <v>Fortis Healthcare Ltd.</v>
      </c>
      <c r="I41" s="2" t="str">
        <f>VLOOKUP($D41,'Customer Details'!$A$1:$F$17,4,0)</f>
        <v>Goleta</v>
      </c>
      <c r="J41" s="2" t="str">
        <f>VLOOKUP($D41,'Customer Details'!$A$1:$F$17,6,0)</f>
        <v>93117</v>
      </c>
      <c r="K41" s="8" t="str">
        <f>VLOOKUP(VLOOKUP(D41,'Customer Details'!$A$1:$F$17,5,0),'Region INfo'!$A$1:$C$52,3,0)</f>
        <v xml:space="preserve">Pacific   </v>
      </c>
      <c r="L41" s="8" t="str">
        <f>INDEX(Product_List,MATCH($F41,'Product List'!$B$1:$B$299,0),MATCH('Order SUmmary'!L$2,'Product List'!$A$1:$E$1,0))</f>
        <v>Newell 349</v>
      </c>
      <c r="M41" s="8">
        <f>INDEX(Product_List,MATCH($F41,'Product List'!$B$1:$B$299,0),MATCH('Order SUmmary'!M$2,'Product List'!$A$1:$E$1,0))</f>
        <v>4342</v>
      </c>
      <c r="N41" s="8">
        <f>INDEX(Product_List,MATCH($F41,'Product List'!$B$1:$B$299,0),MATCH('Order SUmmary'!N$2,'Product List'!$A$1:$E$1,0))</f>
        <v>1689</v>
      </c>
      <c r="O41" s="8" t="str">
        <f>INDEX(Product_List,MATCH($F41,'Product List'!$B$1:$B$299,0),MATCH('Order SUmmary'!O$2,'Product List'!$A$1:$E$1,0))</f>
        <v>Art</v>
      </c>
      <c r="P41" s="12">
        <f>HLOOKUP(C41,'Commission Criteria'!$A$2:$I$4,3,FALSE)</f>
        <v>3</v>
      </c>
      <c r="Q41" s="8">
        <f t="shared" si="1"/>
        <v>1689</v>
      </c>
      <c r="R41" s="8">
        <f t="shared" si="2"/>
        <v>4342</v>
      </c>
      <c r="S41" s="36">
        <f>VLOOKUP(R41,'Commission Criteria'!$L$3:$M$11,2,TRUE)</f>
        <v>0.01</v>
      </c>
      <c r="T41" s="36">
        <f>IF(P41&lt;5,VLOOKUP(R41,'Commission Criteria'!$L$3:$M$11,2,1),VLOOKUP('Order SUmmary'!R41,'Commission Criteria'!$P$3:$Q$11,2,1))</f>
        <v>0.01</v>
      </c>
      <c r="U41" s="36">
        <f>VLOOKUP(R41,IF(P41&lt;5,'Commission Criteria'!$L$3:$M$11,'Commission Criteria'!$P$3:$Q$11),2,1)</f>
        <v>0.01</v>
      </c>
      <c r="V41" s="8" t="s">
        <v>40</v>
      </c>
      <c r="W41" s="36">
        <f t="shared" ca="1" si="3"/>
        <v>0.04</v>
      </c>
      <c r="X41" s="8" t="str">
        <f>_xlfn.XLOOKUP(F41,'Product List'!$B$1:$B$299,'Product List'!$A$1:$A$299)</f>
        <v>Newell 349</v>
      </c>
      <c r="Y41" s="8"/>
      <c r="Z41" s="8" t="str" cm="1">
        <f t="array" ref="Z41:AD41">_xlfn.XLOOKUP(D41,'Customer Details'!$A$1:$A$17,'Customer Details'!$B$1:$F$17,"",0,1)</f>
        <v>Fortis Healthcare Ltd.</v>
      </c>
      <c r="AA41" s="8" t="str">
        <v>14 Elsworthy Terrace</v>
      </c>
      <c r="AB41" s="8" t="str">
        <v>Goleta</v>
      </c>
      <c r="AC41" s="8" t="str">
        <v>CA</v>
      </c>
      <c r="AD41" s="8" t="str">
        <v>93117</v>
      </c>
    </row>
    <row r="42" spans="1:30">
      <c r="A42" s="8" t="s">
        <v>99</v>
      </c>
      <c r="B42" s="19">
        <v>41329</v>
      </c>
      <c r="C42" s="8" t="s">
        <v>44</v>
      </c>
      <c r="D42" s="8">
        <v>10008</v>
      </c>
      <c r="E42" s="8" t="str">
        <f>VLOOKUP($D42,'Customer Details'!$A$1:$F$17,4,FALSE)</f>
        <v>Chestnut Ridge</v>
      </c>
      <c r="F42" s="8" t="s">
        <v>100</v>
      </c>
      <c r="G42" s="8">
        <v>1</v>
      </c>
      <c r="H42" s="2" t="str">
        <f>VLOOKUP($D42,'Customer Details'!$A$1:$F$17,MATCH('Order SUmmary'!H$2,'Customer Details'!$A$1:$F$1,0),0)</f>
        <v>Reliance Industries Limited</v>
      </c>
      <c r="I42" s="2" t="str">
        <f>VLOOKUP($D42,'Customer Details'!$A$1:$F$17,4,0)</f>
        <v>Chestnut Ridge</v>
      </c>
      <c r="J42" s="2" t="str">
        <f>VLOOKUP($D42,'Customer Details'!$A$1:$F$17,6,0)</f>
        <v>10977</v>
      </c>
      <c r="K42" s="8" t="str">
        <f>VLOOKUP(VLOOKUP(D42,'Customer Details'!$A$1:$F$17,5,0),'Region INfo'!$A$1:$C$52,3,0)</f>
        <v xml:space="preserve">Northern </v>
      </c>
      <c r="L42" s="8" t="str">
        <f>INDEX(Product_List,MATCH($F42,'Product List'!$B$1:$B$299,0),MATCH('Order SUmmary'!L$2,'Product List'!$A$1:$E$1,0))</f>
        <v>Xerox 1893</v>
      </c>
      <c r="M42" s="8">
        <f>INDEX(Product_List,MATCH($F42,'Product List'!$B$1:$B$299,0),MATCH('Order SUmmary'!M$2,'Product List'!$A$1:$E$1,0))</f>
        <v>4874</v>
      </c>
      <c r="N42" s="8">
        <f>INDEX(Product_List,MATCH($F42,'Product List'!$B$1:$B$299,0),MATCH('Order SUmmary'!N$2,'Product List'!$A$1:$E$1,0))</f>
        <v>1503</v>
      </c>
      <c r="O42" s="8" t="str">
        <f>INDEX(Product_List,MATCH($F42,'Product List'!$B$1:$B$299,0),MATCH('Order SUmmary'!O$2,'Product List'!$A$1:$E$1,0))</f>
        <v>Paper</v>
      </c>
      <c r="P42" s="12">
        <f>HLOOKUP(C42,'Commission Criteria'!$A$2:$I$4,3,FALSE)</f>
        <v>4</v>
      </c>
      <c r="Q42" s="8">
        <f t="shared" si="1"/>
        <v>1503</v>
      </c>
      <c r="R42" s="8">
        <f t="shared" si="2"/>
        <v>4874</v>
      </c>
      <c r="S42" s="36">
        <f>VLOOKUP(R42,'Commission Criteria'!$L$3:$M$11,2,TRUE)</f>
        <v>0.01</v>
      </c>
      <c r="T42" s="36">
        <f>IF(P42&lt;5,VLOOKUP(R42,'Commission Criteria'!$L$3:$M$11,2,1),VLOOKUP('Order SUmmary'!R42,'Commission Criteria'!$P$3:$Q$11,2,1))</f>
        <v>0.01</v>
      </c>
      <c r="U42" s="36">
        <f>VLOOKUP(R42,IF(P42&lt;5,'Commission Criteria'!$L$3:$M$11,'Commission Criteria'!$P$3:$Q$11),2,1)</f>
        <v>0.01</v>
      </c>
      <c r="V42" s="8" t="s">
        <v>43</v>
      </c>
      <c r="W42" s="36">
        <f t="shared" ca="1" si="3"/>
        <v>0.05</v>
      </c>
      <c r="X42" s="8" t="str">
        <f>_xlfn.XLOOKUP(F42,'Product List'!$B$1:$B$299,'Product List'!$A$1:$A$299)</f>
        <v>Xerox 1893</v>
      </c>
      <c r="Y42" s="8"/>
      <c r="Z42" s="8" t="str" cm="1">
        <f t="array" ref="Z42:AD42">_xlfn.XLOOKUP(D42,'Customer Details'!$A$1:$A$17,'Customer Details'!$B$1:$F$17,"",0,1)</f>
        <v>Reliance Industries Limited</v>
      </c>
      <c r="AA42" s="8" t="str">
        <v>12020 Shamrock Rd., Suite 333</v>
      </c>
      <c r="AB42" s="8" t="str">
        <v>Chestnut Ridge</v>
      </c>
      <c r="AC42" s="8" t="str">
        <v>NY</v>
      </c>
      <c r="AD42" s="8" t="str">
        <v>10977</v>
      </c>
    </row>
    <row r="43" spans="1:30">
      <c r="A43" s="8" t="s">
        <v>101</v>
      </c>
      <c r="B43" s="19">
        <v>41329</v>
      </c>
      <c r="C43" s="8" t="s">
        <v>66</v>
      </c>
      <c r="D43" s="8">
        <v>10010</v>
      </c>
      <c r="E43" s="8" t="str">
        <f>VLOOKUP($D43,'Customer Details'!$A$1:$F$17,4,FALSE)</f>
        <v>Tracy</v>
      </c>
      <c r="F43" s="8" t="s">
        <v>102</v>
      </c>
      <c r="G43" s="8">
        <v>2</v>
      </c>
      <c r="H43" s="2" t="str">
        <f>VLOOKUP($D43,'Customer Details'!$A$1:$F$17,MATCH('Order SUmmary'!H$2,'Customer Details'!$A$1:$F$1,0),0)</f>
        <v>Suzlon Energy Ltd.</v>
      </c>
      <c r="I43" s="2" t="str">
        <f>VLOOKUP($D43,'Customer Details'!$A$1:$F$17,4,0)</f>
        <v>Tracy</v>
      </c>
      <c r="J43" s="2" t="str">
        <f>VLOOKUP($D43,'Customer Details'!$A$1:$F$17,6,0)</f>
        <v>95376</v>
      </c>
      <c r="K43" s="8" t="str">
        <f>VLOOKUP(VLOOKUP(D43,'Customer Details'!$A$1:$F$17,5,0),'Region INfo'!$A$1:$C$52,3,0)</f>
        <v xml:space="preserve">Pacific   </v>
      </c>
      <c r="L43" s="8" t="str">
        <f>INDEX(Product_List,MATCH($F43,'Product List'!$B$1:$B$299,0),MATCH('Order SUmmary'!L$2,'Product List'!$A$1:$E$1,0))</f>
        <v>Xerox 1997</v>
      </c>
      <c r="M43" s="8">
        <f>INDEX(Product_List,MATCH($F43,'Product List'!$B$1:$B$299,0),MATCH('Order SUmmary'!M$2,'Product List'!$A$1:$E$1,0))</f>
        <v>3844</v>
      </c>
      <c r="N43" s="8">
        <f>INDEX(Product_List,MATCH($F43,'Product List'!$B$1:$B$299,0),MATCH('Order SUmmary'!N$2,'Product List'!$A$1:$E$1,0))</f>
        <v>2157</v>
      </c>
      <c r="O43" s="8" t="str">
        <f>INDEX(Product_List,MATCH($F43,'Product List'!$B$1:$B$299,0),MATCH('Order SUmmary'!O$2,'Product List'!$A$1:$E$1,0))</f>
        <v>Paper</v>
      </c>
      <c r="P43" s="12">
        <f>HLOOKUP(C43,'Commission Criteria'!$A$2:$I$4,3,FALSE)</f>
        <v>5</v>
      </c>
      <c r="Q43" s="8">
        <f t="shared" si="1"/>
        <v>4314</v>
      </c>
      <c r="R43" s="8">
        <f t="shared" si="2"/>
        <v>7688</v>
      </c>
      <c r="S43" s="36">
        <f>VLOOKUP(R43,'Commission Criteria'!$L$3:$M$11,2,TRUE)</f>
        <v>0.03</v>
      </c>
      <c r="T43" s="36">
        <f>IF(P43&lt;5,VLOOKUP(R43,'Commission Criteria'!$L$3:$M$11,2,1),VLOOKUP('Order SUmmary'!R43,'Commission Criteria'!$P$3:$Q$11,2,1))</f>
        <v>0.02</v>
      </c>
      <c r="U43" s="36">
        <f>VLOOKUP(R43,IF(P43&lt;5,'Commission Criteria'!$L$3:$M$11,'Commission Criteria'!$P$3:$Q$11),2,1)</f>
        <v>0.02</v>
      </c>
      <c r="V43" s="8" t="s">
        <v>40</v>
      </c>
      <c r="W43" s="36">
        <f t="shared" ca="1" si="3"/>
        <v>0.01</v>
      </c>
      <c r="X43" s="8" t="str">
        <f>_xlfn.XLOOKUP(F43,'Product List'!$B$1:$B$299,'Product List'!$A$1:$A$299)</f>
        <v>Xerox 1997</v>
      </c>
      <c r="Y43" s="8"/>
      <c r="Z43" s="8" t="str" cm="1">
        <f t="array" ref="Z43:AD43">_xlfn.XLOOKUP(D43,'Customer Details'!$A$1:$A$17,'Customer Details'!$B$1:$F$17,"",0,1)</f>
        <v>Suzlon Energy Ltd.</v>
      </c>
      <c r="AA43" s="8" t="str">
        <v>501 Marsh Trail Circle</v>
      </c>
      <c r="AB43" s="8" t="str">
        <v>Tracy</v>
      </c>
      <c r="AC43" s="8" t="str">
        <v>CA</v>
      </c>
      <c r="AD43" s="8" t="str">
        <v>95376</v>
      </c>
    </row>
    <row r="44" spans="1:30">
      <c r="A44" s="8" t="s">
        <v>99</v>
      </c>
      <c r="B44" s="19">
        <v>41329</v>
      </c>
      <c r="C44" s="8" t="s">
        <v>33</v>
      </c>
      <c r="D44" s="8">
        <v>10011</v>
      </c>
      <c r="E44" s="8" t="str">
        <f>VLOOKUP($D44,'Customer Details'!$A$1:$F$17,4,FALSE)</f>
        <v>Olympia</v>
      </c>
      <c r="F44" s="8" t="s">
        <v>103</v>
      </c>
      <c r="G44" s="8">
        <v>3</v>
      </c>
      <c r="H44" s="2" t="str">
        <f>VLOOKUP($D44,'Customer Details'!$A$1:$F$17,MATCH('Order SUmmary'!H$2,'Customer Details'!$A$1:$F$1,0),0)</f>
        <v>Sonata Software</v>
      </c>
      <c r="I44" s="2" t="str">
        <f>VLOOKUP($D44,'Customer Details'!$A$1:$F$17,4,0)</f>
        <v>Olympia</v>
      </c>
      <c r="J44" s="2" t="str">
        <f>VLOOKUP($D44,'Customer Details'!$A$1:$F$17,6,0)</f>
        <v>98502</v>
      </c>
      <c r="K44" s="8" t="str">
        <f>VLOOKUP(VLOOKUP(D44,'Customer Details'!$A$1:$F$17,5,0),'Region INfo'!$A$1:$C$52,3,0)</f>
        <v xml:space="preserve">Pacific   </v>
      </c>
      <c r="L44" s="8" t="str">
        <f>INDEX(Product_List,MATCH($F44,'Product List'!$B$1:$B$299,0),MATCH('Order SUmmary'!L$2,'Product List'!$A$1:$E$1,0))</f>
        <v>Xerox 1981</v>
      </c>
      <c r="M44" s="8">
        <f>INDEX(Product_List,MATCH($F44,'Product List'!$B$1:$B$299,0),MATCH('Order SUmmary'!M$2,'Product List'!$A$1:$E$1,0))</f>
        <v>2658</v>
      </c>
      <c r="N44" s="8">
        <f>INDEX(Product_List,MATCH($F44,'Product List'!$B$1:$B$299,0),MATCH('Order SUmmary'!N$2,'Product List'!$A$1:$E$1,0))</f>
        <v>1274</v>
      </c>
      <c r="O44" s="8" t="str">
        <f>INDEX(Product_List,MATCH($F44,'Product List'!$B$1:$B$299,0),MATCH('Order SUmmary'!O$2,'Product List'!$A$1:$E$1,0))</f>
        <v>Paper</v>
      </c>
      <c r="P44" s="12">
        <f>HLOOKUP(C44,'Commission Criteria'!$A$2:$I$4,3,FALSE)</f>
        <v>1</v>
      </c>
      <c r="Q44" s="8">
        <f t="shared" si="1"/>
        <v>3822</v>
      </c>
      <c r="R44" s="8">
        <f t="shared" si="2"/>
        <v>7974</v>
      </c>
      <c r="S44" s="36">
        <f>VLOOKUP(R44,'Commission Criteria'!$L$3:$M$11,2,TRUE)</f>
        <v>0.03</v>
      </c>
      <c r="T44" s="36">
        <f>IF(P44&lt;5,VLOOKUP(R44,'Commission Criteria'!$L$3:$M$11,2,1),VLOOKUP('Order SUmmary'!R44,'Commission Criteria'!$P$3:$Q$11,2,1))</f>
        <v>0.03</v>
      </c>
      <c r="U44" s="36">
        <f>VLOOKUP(R44,IF(P44&lt;5,'Commission Criteria'!$L$3:$M$11,'Commission Criteria'!$P$3:$Q$11),2,1)</f>
        <v>0.03</v>
      </c>
      <c r="V44" s="8" t="s">
        <v>35</v>
      </c>
      <c r="W44" s="36">
        <f t="shared" ca="1" si="3"/>
        <v>0.04</v>
      </c>
      <c r="X44" s="8" t="str">
        <f>_xlfn.XLOOKUP(F44,'Product List'!$B$1:$B$299,'Product List'!$A$1:$A$299)</f>
        <v>Xerox 1981</v>
      </c>
      <c r="Y44" s="8"/>
      <c r="Z44" s="8" t="str" cm="1">
        <f t="array" ref="Z44:AD44">_xlfn.XLOOKUP(D44,'Customer Details'!$A$1:$A$17,'Customer Details'!$B$1:$F$17,"",0,1)</f>
        <v>Sonata Software</v>
      </c>
      <c r="AA44" s="8" t="str">
        <v>1331 Kimberly Dr.</v>
      </c>
      <c r="AB44" s="8" t="str">
        <v>Olympia</v>
      </c>
      <c r="AC44" s="8" t="str">
        <v>WA</v>
      </c>
      <c r="AD44" s="8" t="str">
        <v>98502</v>
      </c>
    </row>
    <row r="45" spans="1:30">
      <c r="A45" s="8" t="s">
        <v>96</v>
      </c>
      <c r="B45" s="19">
        <v>41329</v>
      </c>
      <c r="C45" s="8" t="s">
        <v>44</v>
      </c>
      <c r="D45" s="8">
        <v>10014</v>
      </c>
      <c r="E45" s="8" t="str">
        <f>VLOOKUP($D45,'Customer Details'!$A$1:$F$17,4,FALSE)</f>
        <v>Honolulu</v>
      </c>
      <c r="F45" s="8" t="s">
        <v>47</v>
      </c>
      <c r="G45" s="8">
        <v>3</v>
      </c>
      <c r="H45" s="2" t="str">
        <f>VLOOKUP($D45,'Customer Details'!$A$1:$F$17,MATCH('Order SUmmary'!H$2,'Customer Details'!$A$1:$F$1,0),0)</f>
        <v>Hindusthan National Glass &amp; Industries Ltd.</v>
      </c>
      <c r="I45" s="2" t="str">
        <f>VLOOKUP($D45,'Customer Details'!$A$1:$F$17,4,0)</f>
        <v>Honolulu</v>
      </c>
      <c r="J45" s="2" t="str">
        <f>VLOOKUP($D45,'Customer Details'!$A$1:$F$17,6,0)</f>
        <v>96825</v>
      </c>
      <c r="K45" s="8" t="str">
        <f>VLOOKUP(VLOOKUP(D45,'Customer Details'!$A$1:$F$17,5,0),'Region INfo'!$A$1:$C$52,3,0)</f>
        <v xml:space="preserve">Pacific   </v>
      </c>
      <c r="L45" s="8" t="str">
        <f>INDEX(Product_List,MATCH($F45,'Product List'!$B$1:$B$299,0),MATCH('Order SUmmary'!L$2,'Product List'!$A$1:$E$1,0))</f>
        <v>Xerox 1907</v>
      </c>
      <c r="M45" s="8">
        <f>INDEX(Product_List,MATCH($F45,'Product List'!$B$1:$B$299,0),MATCH('Order SUmmary'!M$2,'Product List'!$A$1:$E$1,0))</f>
        <v>4990</v>
      </c>
      <c r="N45" s="8">
        <f>INDEX(Product_List,MATCH($F45,'Product List'!$B$1:$B$299,0),MATCH('Order SUmmary'!N$2,'Product List'!$A$1:$E$1,0))</f>
        <v>1360</v>
      </c>
      <c r="O45" s="8" t="str">
        <f>INDEX(Product_List,MATCH($F45,'Product List'!$B$1:$B$299,0),MATCH('Order SUmmary'!O$2,'Product List'!$A$1:$E$1,0))</f>
        <v>Paper</v>
      </c>
      <c r="P45" s="12">
        <f>HLOOKUP(C45,'Commission Criteria'!$A$2:$I$4,3,FALSE)</f>
        <v>4</v>
      </c>
      <c r="Q45" s="8">
        <f t="shared" si="1"/>
        <v>4080</v>
      </c>
      <c r="R45" s="8">
        <f t="shared" si="2"/>
        <v>14970</v>
      </c>
      <c r="S45" s="36">
        <f>VLOOKUP(R45,'Commission Criteria'!$L$3:$M$11,2,TRUE)</f>
        <v>0.03</v>
      </c>
      <c r="T45" s="36">
        <f>IF(P45&lt;5,VLOOKUP(R45,'Commission Criteria'!$L$3:$M$11,2,1),VLOOKUP('Order SUmmary'!R45,'Commission Criteria'!$P$3:$Q$11,2,1))</f>
        <v>0.03</v>
      </c>
      <c r="U45" s="36">
        <f>VLOOKUP(R45,IF(P45&lt;5,'Commission Criteria'!$L$3:$M$11,'Commission Criteria'!$P$3:$Q$11),2,1)</f>
        <v>0.03</v>
      </c>
      <c r="V45" s="8" t="s">
        <v>40</v>
      </c>
      <c r="W45" s="36">
        <f t="shared" ca="1" si="3"/>
        <v>0</v>
      </c>
      <c r="X45" s="8" t="str">
        <f>_xlfn.XLOOKUP(F45,'Product List'!$B$1:$B$299,'Product List'!$A$1:$A$299)</f>
        <v>Xerox 1907</v>
      </c>
      <c r="Y45" s="8"/>
      <c r="Z45" s="8" t="str" cm="1">
        <f t="array" ref="Z45:AD45">_xlfn.XLOOKUP(D45,'Customer Details'!$A$1:$A$17,'Customer Details'!$B$1:$F$17,"",0,1)</f>
        <v>Hindusthan National Glass &amp; Industries Ltd.</v>
      </c>
      <c r="AA45" s="8" t="str">
        <v>11 Cathy St.</v>
      </c>
      <c r="AB45" s="8" t="str">
        <v>Honolulu</v>
      </c>
      <c r="AC45" s="8" t="str">
        <v>HI</v>
      </c>
      <c r="AD45" s="8" t="str">
        <v>96825</v>
      </c>
    </row>
    <row r="46" spans="1:30">
      <c r="A46" s="8" t="s">
        <v>104</v>
      </c>
      <c r="B46" s="19">
        <v>41333</v>
      </c>
      <c r="C46" s="8" t="s">
        <v>54</v>
      </c>
      <c r="D46" s="8">
        <v>10015</v>
      </c>
      <c r="E46" s="8" t="str">
        <f>VLOOKUP($D46,'Customer Details'!$A$1:$F$17,4,FALSE)</f>
        <v>South Windsor</v>
      </c>
      <c r="F46" s="8" t="s">
        <v>105</v>
      </c>
      <c r="G46" s="8">
        <v>1</v>
      </c>
      <c r="H46" s="2" t="str">
        <f>VLOOKUP($D46,'Customer Details'!$A$1:$F$17,MATCH('Order SUmmary'!H$2,'Customer Details'!$A$1:$F$1,0),0)</f>
        <v>Punj Lloyd Ltd.</v>
      </c>
      <c r="I46" s="2" t="str">
        <f>VLOOKUP($D46,'Customer Details'!$A$1:$F$17,4,0)</f>
        <v>South Windsor</v>
      </c>
      <c r="J46" s="2" t="str">
        <f>VLOOKUP($D46,'Customer Details'!$A$1:$F$17,6,0)</f>
        <v>06074</v>
      </c>
      <c r="K46" s="8" t="str">
        <f>VLOOKUP(VLOOKUP(D46,'Customer Details'!$A$1:$F$17,5,0),'Region INfo'!$A$1:$C$52,3,0)</f>
        <v xml:space="preserve">Northern </v>
      </c>
      <c r="L46" s="8" t="str">
        <f>INDEX(Product_List,MATCH($F46,'Product List'!$B$1:$B$299,0),MATCH('Order SUmmary'!L$2,'Product List'!$A$1:$E$1,0))</f>
        <v>Xerox 201</v>
      </c>
      <c r="M46" s="8">
        <f>INDEX(Product_List,MATCH($F46,'Product List'!$B$1:$B$299,0),MATCH('Order SUmmary'!M$2,'Product List'!$A$1:$E$1,0))</f>
        <v>2509</v>
      </c>
      <c r="N46" s="8">
        <f>INDEX(Product_List,MATCH($F46,'Product List'!$B$1:$B$299,0),MATCH('Order SUmmary'!N$2,'Product List'!$A$1:$E$1,0))</f>
        <v>1452</v>
      </c>
      <c r="O46" s="8" t="str">
        <f>INDEX(Product_List,MATCH($F46,'Product List'!$B$1:$B$299,0),MATCH('Order SUmmary'!O$2,'Product List'!$A$1:$E$1,0))</f>
        <v>Paper</v>
      </c>
      <c r="P46" s="12">
        <f>HLOOKUP(C46,'Commission Criteria'!$A$2:$I$4,3,FALSE)</f>
        <v>3</v>
      </c>
      <c r="Q46" s="8">
        <f t="shared" si="1"/>
        <v>1452</v>
      </c>
      <c r="R46" s="8">
        <f t="shared" si="2"/>
        <v>2509</v>
      </c>
      <c r="S46" s="36">
        <f>VLOOKUP(R46,'Commission Criteria'!$L$3:$M$11,2,TRUE)</f>
        <v>0.01</v>
      </c>
      <c r="T46" s="36">
        <f>IF(P46&lt;5,VLOOKUP(R46,'Commission Criteria'!$L$3:$M$11,2,1),VLOOKUP('Order SUmmary'!R46,'Commission Criteria'!$P$3:$Q$11,2,1))</f>
        <v>0.01</v>
      </c>
      <c r="U46" s="36">
        <f>VLOOKUP(R46,IF(P46&lt;5,'Commission Criteria'!$L$3:$M$11,'Commission Criteria'!$P$3:$Q$11),2,1)</f>
        <v>0.01</v>
      </c>
      <c r="V46" s="8" t="s">
        <v>32</v>
      </c>
      <c r="W46" s="36">
        <f t="shared" ca="1" si="3"/>
        <v>0.01</v>
      </c>
      <c r="X46" s="8" t="str">
        <f>_xlfn.XLOOKUP(F46,'Product List'!$B$1:$B$299,'Product List'!$A$1:$A$299)</f>
        <v>Xerox 201</v>
      </c>
      <c r="Y46" s="8"/>
      <c r="Z46" s="8" t="str" cm="1">
        <f t="array" ref="Z46:AD46">_xlfn.XLOOKUP(D46,'Customer Details'!$A$1:$A$17,'Customer Details'!$B$1:$F$17,"",0,1)</f>
        <v>Punj Lloyd Ltd.</v>
      </c>
      <c r="AA46" s="8" t="str">
        <v>Box 3263</v>
      </c>
      <c r="AB46" s="8" t="str">
        <v>South Windsor</v>
      </c>
      <c r="AC46" s="8" t="str">
        <v>CT</v>
      </c>
      <c r="AD46" s="8" t="str">
        <v>06074</v>
      </c>
    </row>
    <row r="47" spans="1:30">
      <c r="A47" s="8" t="s">
        <v>106</v>
      </c>
      <c r="B47" s="19">
        <v>41333</v>
      </c>
      <c r="C47" s="8" t="s">
        <v>27</v>
      </c>
      <c r="D47" s="8">
        <v>10009</v>
      </c>
      <c r="E47" s="8" t="str">
        <f>VLOOKUP($D47,'Customer Details'!$A$1:$F$17,4,FALSE)</f>
        <v>Salt Lake City</v>
      </c>
      <c r="F47" s="8" t="s">
        <v>31</v>
      </c>
      <c r="G47" s="8">
        <v>1</v>
      </c>
      <c r="H47" s="2" t="str">
        <f>VLOOKUP($D47,'Customer Details'!$A$1:$F$17,MATCH('Order SUmmary'!H$2,'Customer Details'!$A$1:$F$1,0),0)</f>
        <v>Godfrey Philips India Ltd.</v>
      </c>
      <c r="I47" s="2" t="str">
        <f>VLOOKUP($D47,'Customer Details'!$A$1:$F$17,4,0)</f>
        <v>Salt Lake City</v>
      </c>
      <c r="J47" s="2" t="str">
        <f>VLOOKUP($D47,'Customer Details'!$A$1:$F$17,6,0)</f>
        <v>84118</v>
      </c>
      <c r="K47" s="8" t="str">
        <f>VLOOKUP(VLOOKUP(D47,'Customer Details'!$A$1:$F$17,5,0),'Region INfo'!$A$1:$C$52,3,0)</f>
        <v xml:space="preserve">Pacific   </v>
      </c>
      <c r="L47" s="8" t="str">
        <f>INDEX(Product_List,MATCH($F47,'Product List'!$B$1:$B$299,0),MATCH('Order SUmmary'!L$2,'Product List'!$A$1:$E$1,0))</f>
        <v>Avery 494</v>
      </c>
      <c r="M47" s="8">
        <f>INDEX(Product_List,MATCH($F47,'Product List'!$B$1:$B$299,0),MATCH('Order SUmmary'!M$2,'Product List'!$A$1:$E$1,0))</f>
        <v>2923</v>
      </c>
      <c r="N47" s="8">
        <f>INDEX(Product_List,MATCH($F47,'Product List'!$B$1:$B$299,0),MATCH('Order SUmmary'!N$2,'Product List'!$A$1:$E$1,0))</f>
        <v>2480</v>
      </c>
      <c r="O47" s="8" t="str">
        <f>INDEX(Product_List,MATCH($F47,'Product List'!$B$1:$B$299,0),MATCH('Order SUmmary'!O$2,'Product List'!$A$1:$E$1,0))</f>
        <v>Labels</v>
      </c>
      <c r="P47" s="12">
        <f>HLOOKUP(C47,'Commission Criteria'!$A$2:$I$4,3,FALSE)</f>
        <v>4</v>
      </c>
      <c r="Q47" s="8">
        <f t="shared" si="1"/>
        <v>2480</v>
      </c>
      <c r="R47" s="8">
        <f t="shared" si="2"/>
        <v>2923</v>
      </c>
      <c r="S47" s="36">
        <f>VLOOKUP(R47,'Commission Criteria'!$L$3:$M$11,2,TRUE)</f>
        <v>0.01</v>
      </c>
      <c r="T47" s="36">
        <f>IF(P47&lt;5,VLOOKUP(R47,'Commission Criteria'!$L$3:$M$11,2,1),VLOOKUP('Order SUmmary'!R47,'Commission Criteria'!$P$3:$Q$11,2,1))</f>
        <v>0.01</v>
      </c>
      <c r="U47" s="36">
        <f>VLOOKUP(R47,IF(P47&lt;5,'Commission Criteria'!$L$3:$M$11,'Commission Criteria'!$P$3:$Q$11),2,1)</f>
        <v>0.01</v>
      </c>
      <c r="V47" s="8" t="s">
        <v>29</v>
      </c>
      <c r="W47" s="36">
        <f t="shared" ca="1" si="3"/>
        <v>0.01</v>
      </c>
      <c r="X47" s="8" t="str">
        <f>_xlfn.XLOOKUP(F47,'Product List'!$B$1:$B$299,'Product List'!$A$1:$A$299)</f>
        <v>Avery 494</v>
      </c>
      <c r="Y47" s="8"/>
      <c r="Z47" s="8" t="str" cm="1">
        <f t="array" ref="Z47:AD47">_xlfn.XLOOKUP(D47,'Customer Details'!$A$1:$A$17,'Customer Details'!$B$1:$F$17,"",0,1)</f>
        <v>Godfrey Philips India Ltd.</v>
      </c>
      <c r="AA47" s="8" t="str">
        <v>20501 Ania Ave #2</v>
      </c>
      <c r="AB47" s="8" t="str">
        <v>Salt Lake City</v>
      </c>
      <c r="AC47" s="8" t="str">
        <v>UT</v>
      </c>
      <c r="AD47" s="8" t="str">
        <v>84118</v>
      </c>
    </row>
    <row r="48" spans="1:30">
      <c r="A48" s="8" t="s">
        <v>104</v>
      </c>
      <c r="B48" s="19">
        <v>41333</v>
      </c>
      <c r="C48" s="8" t="s">
        <v>66</v>
      </c>
      <c r="D48" s="8">
        <v>10010</v>
      </c>
      <c r="E48" s="8" t="str">
        <f>VLOOKUP($D48,'Customer Details'!$A$1:$F$17,4,FALSE)</f>
        <v>Tracy</v>
      </c>
      <c r="F48" s="8" t="s">
        <v>34</v>
      </c>
      <c r="G48" s="8">
        <v>2</v>
      </c>
      <c r="H48" s="2" t="str">
        <f>VLOOKUP($D48,'Customer Details'!$A$1:$F$17,MATCH('Order SUmmary'!H$2,'Customer Details'!$A$1:$F$1,0),0)</f>
        <v>Suzlon Energy Ltd.</v>
      </c>
      <c r="I48" s="2" t="str">
        <f>VLOOKUP($D48,'Customer Details'!$A$1:$F$17,4,0)</f>
        <v>Tracy</v>
      </c>
      <c r="J48" s="2" t="str">
        <f>VLOOKUP($D48,'Customer Details'!$A$1:$F$17,6,0)</f>
        <v>95376</v>
      </c>
      <c r="K48" s="8" t="str">
        <f>VLOOKUP(VLOOKUP(D48,'Customer Details'!$A$1:$F$17,5,0),'Region INfo'!$A$1:$C$52,3,0)</f>
        <v xml:space="preserve">Pacific   </v>
      </c>
      <c r="L48" s="8" t="str">
        <f>INDEX(Product_List,MATCH($F48,'Product List'!$B$1:$B$299,0),MATCH('Order SUmmary'!L$2,'Product List'!$A$1:$E$1,0))</f>
        <v>Xerox 203</v>
      </c>
      <c r="M48" s="8">
        <f>INDEX(Product_List,MATCH($F48,'Product List'!$B$1:$B$299,0),MATCH('Order SUmmary'!M$2,'Product List'!$A$1:$E$1,0))</f>
        <v>3637</v>
      </c>
      <c r="N48" s="8">
        <f>INDEX(Product_List,MATCH($F48,'Product List'!$B$1:$B$299,0),MATCH('Order SUmmary'!N$2,'Product List'!$A$1:$E$1,0))</f>
        <v>2463</v>
      </c>
      <c r="O48" s="8" t="str">
        <f>INDEX(Product_List,MATCH($F48,'Product List'!$B$1:$B$299,0),MATCH('Order SUmmary'!O$2,'Product List'!$A$1:$E$1,0))</f>
        <v>Paper</v>
      </c>
      <c r="P48" s="12">
        <f>HLOOKUP(C48,'Commission Criteria'!$A$2:$I$4,3,FALSE)</f>
        <v>5</v>
      </c>
      <c r="Q48" s="8">
        <f t="shared" si="1"/>
        <v>4926</v>
      </c>
      <c r="R48" s="8">
        <f t="shared" si="2"/>
        <v>7274</v>
      </c>
      <c r="S48" s="36">
        <f>VLOOKUP(R48,'Commission Criteria'!$L$3:$M$11,2,TRUE)</f>
        <v>0.03</v>
      </c>
      <c r="T48" s="36">
        <f>IF(P48&lt;5,VLOOKUP(R48,'Commission Criteria'!$L$3:$M$11,2,1),VLOOKUP('Order SUmmary'!R48,'Commission Criteria'!$P$3:$Q$11,2,1))</f>
        <v>0.02</v>
      </c>
      <c r="U48" s="36">
        <f>VLOOKUP(R48,IF(P48&lt;5,'Commission Criteria'!$L$3:$M$11,'Commission Criteria'!$P$3:$Q$11),2,1)</f>
        <v>0.02</v>
      </c>
      <c r="V48" s="8" t="s">
        <v>50</v>
      </c>
      <c r="W48" s="36">
        <f t="shared" ca="1" si="3"/>
        <v>0.02</v>
      </c>
      <c r="X48" s="8" t="str">
        <f>_xlfn.XLOOKUP(F48,'Product List'!$B$1:$B$299,'Product List'!$A$1:$A$299)</f>
        <v>Xerox 203</v>
      </c>
      <c r="Y48" s="8"/>
      <c r="Z48" s="8" t="str" cm="1">
        <f t="array" ref="Z48:AD48">_xlfn.XLOOKUP(D48,'Customer Details'!$A$1:$A$17,'Customer Details'!$B$1:$F$17,"",0,1)</f>
        <v>Suzlon Energy Ltd.</v>
      </c>
      <c r="AA48" s="8" t="str">
        <v>501 Marsh Trail Circle</v>
      </c>
      <c r="AB48" s="8" t="str">
        <v>Tracy</v>
      </c>
      <c r="AC48" s="8" t="str">
        <v>CA</v>
      </c>
      <c r="AD48" s="8" t="str">
        <v>95376</v>
      </c>
    </row>
    <row r="49" spans="1:30">
      <c r="A49" s="8" t="s">
        <v>106</v>
      </c>
      <c r="B49" s="19">
        <v>41333</v>
      </c>
      <c r="C49" s="8" t="s">
        <v>27</v>
      </c>
      <c r="D49" s="8">
        <v>10007</v>
      </c>
      <c r="E49" s="8" t="str">
        <f>VLOOKUP($D49,'Customer Details'!$A$1:$F$17,4,FALSE)</f>
        <v>Richmond</v>
      </c>
      <c r="F49" s="8" t="s">
        <v>107</v>
      </c>
      <c r="G49" s="8">
        <v>3</v>
      </c>
      <c r="H49" s="2" t="str">
        <f>VLOOKUP($D49,'Customer Details'!$A$1:$F$17,MATCH('Order SUmmary'!H$2,'Customer Details'!$A$1:$F$1,0),0)</f>
        <v>GHCL Ltd.</v>
      </c>
      <c r="I49" s="2" t="str">
        <f>VLOOKUP($D49,'Customer Details'!$A$1:$F$17,4,0)</f>
        <v>Richmond</v>
      </c>
      <c r="J49" s="2" t="str">
        <f>VLOOKUP($D49,'Customer Details'!$A$1:$F$17,6,0)</f>
        <v>94805</v>
      </c>
      <c r="K49" s="8" t="str">
        <f>VLOOKUP(VLOOKUP(D49,'Customer Details'!$A$1:$F$17,5,0),'Region INfo'!$A$1:$C$52,3,0)</f>
        <v xml:space="preserve">Pacific   </v>
      </c>
      <c r="L49" s="8" t="str">
        <f>INDEX(Product_List,MATCH($F49,'Product List'!$B$1:$B$299,0),MATCH('Order SUmmary'!L$2,'Product List'!$A$1:$E$1,0))</f>
        <v>Avery 493</v>
      </c>
      <c r="M49" s="8">
        <f>INDEX(Product_List,MATCH($F49,'Product List'!$B$1:$B$299,0),MATCH('Order SUmmary'!M$2,'Product List'!$A$1:$E$1,0))</f>
        <v>3457</v>
      </c>
      <c r="N49" s="8">
        <f>INDEX(Product_List,MATCH($F49,'Product List'!$B$1:$B$299,0),MATCH('Order SUmmary'!N$2,'Product List'!$A$1:$E$1,0))</f>
        <v>2070</v>
      </c>
      <c r="O49" s="8" t="str">
        <f>INDEX(Product_List,MATCH($F49,'Product List'!$B$1:$B$299,0),MATCH('Order SUmmary'!O$2,'Product List'!$A$1:$E$1,0))</f>
        <v>Labels</v>
      </c>
      <c r="P49" s="12">
        <f>HLOOKUP(C49,'Commission Criteria'!$A$2:$I$4,3,FALSE)</f>
        <v>4</v>
      </c>
      <c r="Q49" s="8">
        <f t="shared" si="1"/>
        <v>6210</v>
      </c>
      <c r="R49" s="8">
        <f t="shared" si="2"/>
        <v>10371</v>
      </c>
      <c r="S49" s="36">
        <f>VLOOKUP(R49,'Commission Criteria'!$L$3:$M$11,2,TRUE)</f>
        <v>0.03</v>
      </c>
      <c r="T49" s="36">
        <f>IF(P49&lt;5,VLOOKUP(R49,'Commission Criteria'!$L$3:$M$11,2,1),VLOOKUP('Order SUmmary'!R49,'Commission Criteria'!$P$3:$Q$11,2,1))</f>
        <v>0.03</v>
      </c>
      <c r="U49" s="36">
        <f>VLOOKUP(R49,IF(P49&lt;5,'Commission Criteria'!$L$3:$M$11,'Commission Criteria'!$P$3:$Q$11),2,1)</f>
        <v>0.03</v>
      </c>
      <c r="V49" s="8" t="s">
        <v>32</v>
      </c>
      <c r="W49" s="36">
        <f t="shared" ca="1" si="3"/>
        <v>0.02</v>
      </c>
      <c r="X49" s="8" t="str">
        <f>_xlfn.XLOOKUP(F49,'Product List'!$B$1:$B$299,'Product List'!$A$1:$A$299)</f>
        <v>Avery 493</v>
      </c>
      <c r="Y49" s="8"/>
      <c r="Z49" s="8" t="str" cm="1">
        <f t="array" ref="Z49:AD49">_xlfn.XLOOKUP(D49,'Customer Details'!$A$1:$A$17,'Customer Details'!$B$1:$F$17,"",0,1)</f>
        <v>GHCL Ltd.</v>
      </c>
      <c r="AA49" s="8" t="str">
        <v>58 Clarence St</v>
      </c>
      <c r="AB49" s="8" t="str">
        <v>Richmond</v>
      </c>
      <c r="AC49" s="8" t="str">
        <v>CA</v>
      </c>
      <c r="AD49" s="8" t="str">
        <v>94805</v>
      </c>
    </row>
    <row r="50" spans="1:30">
      <c r="A50" s="8" t="s">
        <v>108</v>
      </c>
      <c r="B50" s="19">
        <v>41336</v>
      </c>
      <c r="C50" s="8" t="s">
        <v>66</v>
      </c>
      <c r="D50" s="8">
        <v>10002</v>
      </c>
      <c r="E50" s="8" t="str">
        <f>VLOOKUP($D50,'Customer Details'!$A$1:$F$17,4,FALSE)</f>
        <v>Omaha</v>
      </c>
      <c r="F50" s="8" t="s">
        <v>93</v>
      </c>
      <c r="G50" s="8">
        <v>9</v>
      </c>
      <c r="H50" s="2" t="str">
        <f>VLOOKUP($D50,'Customer Details'!$A$1:$F$17,MATCH('Order SUmmary'!H$2,'Customer Details'!$A$1:$F$1,0),0)</f>
        <v>Elder Pharmaceuticals</v>
      </c>
      <c r="I50" s="2" t="str">
        <f>VLOOKUP($D50,'Customer Details'!$A$1:$F$17,4,0)</f>
        <v>Omaha</v>
      </c>
      <c r="J50" s="2" t="str">
        <f>VLOOKUP($D50,'Customer Details'!$A$1:$F$17,6,0)</f>
        <v>68127</v>
      </c>
      <c r="K50" s="8" t="str">
        <f>VLOOKUP(VLOOKUP(D50,'Customer Details'!$A$1:$F$17,5,0),'Region INfo'!$A$1:$C$52,3,0)</f>
        <v>Western</v>
      </c>
      <c r="L50" s="8" t="str">
        <f>INDEX(Product_List,MATCH($F50,'Product List'!$B$1:$B$299,0),MATCH('Order SUmmary'!L$2,'Product List'!$A$1:$E$1,0))</f>
        <v>Xerox 1943</v>
      </c>
      <c r="M50" s="8">
        <f>INDEX(Product_List,MATCH($F50,'Product List'!$B$1:$B$299,0),MATCH('Order SUmmary'!M$2,'Product List'!$A$1:$E$1,0))</f>
        <v>2529</v>
      </c>
      <c r="N50" s="8">
        <f>INDEX(Product_List,MATCH($F50,'Product List'!$B$1:$B$299,0),MATCH('Order SUmmary'!N$2,'Product List'!$A$1:$E$1,0))</f>
        <v>1630</v>
      </c>
      <c r="O50" s="8" t="str">
        <f>INDEX(Product_List,MATCH($F50,'Product List'!$B$1:$B$299,0),MATCH('Order SUmmary'!O$2,'Product List'!$A$1:$E$1,0))</f>
        <v>Paper</v>
      </c>
      <c r="P50" s="12">
        <f>HLOOKUP(C50,'Commission Criteria'!$A$2:$I$4,3,FALSE)</f>
        <v>5</v>
      </c>
      <c r="Q50" s="8">
        <f t="shared" si="1"/>
        <v>14670</v>
      </c>
      <c r="R50" s="8">
        <f t="shared" si="2"/>
        <v>22761</v>
      </c>
      <c r="S50" s="36">
        <f>VLOOKUP(R50,'Commission Criteria'!$L$3:$M$11,2,TRUE)</f>
        <v>0.03</v>
      </c>
      <c r="T50" s="36">
        <f>IF(P50&lt;5,VLOOKUP(R50,'Commission Criteria'!$L$3:$M$11,2,1),VLOOKUP('Order SUmmary'!R50,'Commission Criteria'!$P$3:$Q$11,2,1))</f>
        <v>0.02</v>
      </c>
      <c r="U50" s="36">
        <f>VLOOKUP(R50,IF(P50&lt;5,'Commission Criteria'!$L$3:$M$11,'Commission Criteria'!$P$3:$Q$11),2,1)</f>
        <v>0.02</v>
      </c>
      <c r="V50" s="8" t="s">
        <v>50</v>
      </c>
      <c r="W50" s="36">
        <f t="shared" ca="1" si="3"/>
        <v>0.05</v>
      </c>
      <c r="X50" s="8" t="str">
        <f>_xlfn.XLOOKUP(F50,'Product List'!$B$1:$B$299,'Product List'!$A$1:$A$299)</f>
        <v>Xerox 1943</v>
      </c>
      <c r="Y50" s="8"/>
      <c r="Z50" s="8" t="str" cm="1">
        <f t="array" ref="Z50:AD50">_xlfn.XLOOKUP(D50,'Customer Details'!$A$1:$A$17,'Customer Details'!$B$1:$F$17,"",0,1)</f>
        <v>Elder Pharmaceuticals</v>
      </c>
      <c r="AA50" s="8" t="str">
        <v>57 Neriba Cres</v>
      </c>
      <c r="AB50" s="8" t="str">
        <v>Omaha</v>
      </c>
      <c r="AC50" s="8" t="str">
        <v>NE</v>
      </c>
      <c r="AD50" s="8" t="str">
        <v>68127</v>
      </c>
    </row>
    <row r="51" spans="1:30">
      <c r="A51" s="8" t="s">
        <v>109</v>
      </c>
      <c r="B51" s="19">
        <v>41344</v>
      </c>
      <c r="C51" s="8" t="s">
        <v>54</v>
      </c>
      <c r="D51" s="8">
        <v>10012</v>
      </c>
      <c r="E51" s="8" t="str">
        <f>VLOOKUP($D51,'Customer Details'!$A$1:$F$17,4,FALSE)</f>
        <v>Santa Barbara</v>
      </c>
      <c r="F51" s="8" t="s">
        <v>110</v>
      </c>
      <c r="G51" s="8">
        <v>1</v>
      </c>
      <c r="H51" s="2" t="str">
        <f>VLOOKUP($D51,'Customer Details'!$A$1:$F$17,MATCH('Order SUmmary'!H$2,'Customer Details'!$A$1:$F$1,0),0)</f>
        <v>Dynamatic Technologies Ltd.</v>
      </c>
      <c r="I51" s="2" t="str">
        <f>VLOOKUP($D51,'Customer Details'!$A$1:$F$17,4,0)</f>
        <v>Santa Barbara</v>
      </c>
      <c r="J51" s="2" t="str">
        <f>VLOOKUP($D51,'Customer Details'!$A$1:$F$17,6,0)</f>
        <v>93110</v>
      </c>
      <c r="K51" s="8" t="str">
        <f>VLOOKUP(VLOOKUP(D51,'Customer Details'!$A$1:$F$17,5,0),'Region INfo'!$A$1:$C$52,3,0)</f>
        <v xml:space="preserve">Pacific   </v>
      </c>
      <c r="L51" s="8" t="str">
        <f>INDEX(Product_List,MATCH($F51,'Product List'!$B$1:$B$299,0),MATCH('Order SUmmary'!L$2,'Product List'!$A$1:$E$1,0))</f>
        <v>Newell 332</v>
      </c>
      <c r="M51" s="8">
        <f>INDEX(Product_List,MATCH($F51,'Product List'!$B$1:$B$299,0),MATCH('Order SUmmary'!M$2,'Product List'!$A$1:$E$1,0))</f>
        <v>4623</v>
      </c>
      <c r="N51" s="8">
        <f>INDEX(Product_List,MATCH($F51,'Product List'!$B$1:$B$299,0),MATCH('Order SUmmary'!N$2,'Product List'!$A$1:$E$1,0))</f>
        <v>1878</v>
      </c>
      <c r="O51" s="8" t="str">
        <f>INDEX(Product_List,MATCH($F51,'Product List'!$B$1:$B$299,0),MATCH('Order SUmmary'!O$2,'Product List'!$A$1:$E$1,0))</f>
        <v>Art</v>
      </c>
      <c r="P51" s="12">
        <f>HLOOKUP(C51,'Commission Criteria'!$A$2:$I$4,3,FALSE)</f>
        <v>3</v>
      </c>
      <c r="Q51" s="8">
        <f t="shared" si="1"/>
        <v>1878</v>
      </c>
      <c r="R51" s="8">
        <f t="shared" si="2"/>
        <v>4623</v>
      </c>
      <c r="S51" s="36">
        <f>VLOOKUP(R51,'Commission Criteria'!$L$3:$M$11,2,TRUE)</f>
        <v>0.01</v>
      </c>
      <c r="T51" s="36">
        <f>IF(P51&lt;5,VLOOKUP(R51,'Commission Criteria'!$L$3:$M$11,2,1),VLOOKUP('Order SUmmary'!R51,'Commission Criteria'!$P$3:$Q$11,2,1))</f>
        <v>0.01</v>
      </c>
      <c r="U51" s="36">
        <f>VLOOKUP(R51,IF(P51&lt;5,'Commission Criteria'!$L$3:$M$11,'Commission Criteria'!$P$3:$Q$11),2,1)</f>
        <v>0.01</v>
      </c>
      <c r="V51" s="8" t="s">
        <v>50</v>
      </c>
      <c r="W51" s="36">
        <f t="shared" ca="1" si="3"/>
        <v>0.04</v>
      </c>
      <c r="X51" s="8" t="str">
        <f>_xlfn.XLOOKUP(F51,'Product List'!$B$1:$B$299,'Product List'!$A$1:$A$299)</f>
        <v>Newell 332</v>
      </c>
      <c r="Y51" s="8"/>
      <c r="Z51" s="8" t="str" cm="1">
        <f t="array" ref="Z51:AD51">_xlfn.XLOOKUP(D51,'Customer Details'!$A$1:$A$17,'Customer Details'!$B$1:$F$17,"No such customer",0,1)</f>
        <v>Dynamatic Technologies Ltd.</v>
      </c>
      <c r="AA51" s="8" t="str">
        <v>402 Pinkster Lane</v>
      </c>
      <c r="AB51" s="8" t="str">
        <v>Santa Barbara</v>
      </c>
      <c r="AC51" s="8" t="str">
        <v>CA</v>
      </c>
      <c r="AD51" s="8" t="str">
        <v>93110</v>
      </c>
    </row>
    <row r="52" spans="1:30">
      <c r="A52" s="8" t="s">
        <v>111</v>
      </c>
      <c r="B52" s="19">
        <v>41345</v>
      </c>
      <c r="C52" s="8" t="s">
        <v>33</v>
      </c>
      <c r="D52" s="8">
        <v>10015</v>
      </c>
      <c r="E52" s="8" t="str">
        <f>VLOOKUP($D52,'Customer Details'!$A$1:$F$17,4,FALSE)</f>
        <v>South Windsor</v>
      </c>
      <c r="F52" s="8" t="s">
        <v>112</v>
      </c>
      <c r="G52" s="8">
        <v>1</v>
      </c>
      <c r="H52" s="2" t="str">
        <f>VLOOKUP($D52,'Customer Details'!$A$1:$F$17,MATCH('Order SUmmary'!H$2,'Customer Details'!$A$1:$F$1,0),0)</f>
        <v>Punj Lloyd Ltd.</v>
      </c>
      <c r="I52" s="2" t="str">
        <f>VLOOKUP($D52,'Customer Details'!$A$1:$F$17,4,0)</f>
        <v>South Windsor</v>
      </c>
      <c r="J52" s="2" t="str">
        <f>VLOOKUP($D52,'Customer Details'!$A$1:$F$17,6,0)</f>
        <v>06074</v>
      </c>
      <c r="K52" s="8" t="str">
        <f>VLOOKUP(VLOOKUP(D52,'Customer Details'!$A$1:$F$17,5,0),'Region INfo'!$A$1:$C$52,3,0)</f>
        <v xml:space="preserve">Northern </v>
      </c>
      <c r="L52" s="8" t="str">
        <f>INDEX(Product_List,MATCH($F52,'Product List'!$B$1:$B$299,0),MATCH('Order SUmmary'!L$2,'Product List'!$A$1:$E$1,0))</f>
        <v>Newell 317</v>
      </c>
      <c r="M52" s="8">
        <f>INDEX(Product_List,MATCH($F52,'Product List'!$B$1:$B$299,0),MATCH('Order SUmmary'!M$2,'Product List'!$A$1:$E$1,0))</f>
        <v>4891</v>
      </c>
      <c r="N52" s="8">
        <f>INDEX(Product_List,MATCH($F52,'Product List'!$B$1:$B$299,0),MATCH('Order SUmmary'!N$2,'Product List'!$A$1:$E$1,0))</f>
        <v>1745</v>
      </c>
      <c r="O52" s="8" t="str">
        <f>INDEX(Product_List,MATCH($F52,'Product List'!$B$1:$B$299,0),MATCH('Order SUmmary'!O$2,'Product List'!$A$1:$E$1,0))</f>
        <v>Art</v>
      </c>
      <c r="P52" s="12">
        <f>HLOOKUP(C52,'Commission Criteria'!$A$2:$I$4,3,FALSE)</f>
        <v>1</v>
      </c>
      <c r="Q52" s="8">
        <f t="shared" si="1"/>
        <v>1745</v>
      </c>
      <c r="R52" s="8">
        <f t="shared" si="2"/>
        <v>4891</v>
      </c>
      <c r="S52" s="36">
        <f>VLOOKUP(R52,'Commission Criteria'!$L$3:$M$11,2,TRUE)</f>
        <v>0.01</v>
      </c>
      <c r="T52" s="36">
        <f>IF(P52&lt;5,VLOOKUP(R52,'Commission Criteria'!$L$3:$M$11,2,1),VLOOKUP('Order SUmmary'!R52,'Commission Criteria'!$P$3:$Q$11,2,1))</f>
        <v>0.01</v>
      </c>
      <c r="U52" s="36">
        <f>VLOOKUP(R52,IF(P52&lt;5,'Commission Criteria'!$L$3:$M$11,'Commission Criteria'!$P$3:$Q$11),2,1)</f>
        <v>0.01</v>
      </c>
      <c r="V52" s="8" t="s">
        <v>43</v>
      </c>
      <c r="W52" s="36">
        <f t="shared" ca="1" si="3"/>
        <v>0.05</v>
      </c>
      <c r="X52" s="8" t="str">
        <f>_xlfn.XLOOKUP(F52,'Product List'!$B$1:$B$299,'Product List'!$A$1:$A$299)</f>
        <v>Newell 317</v>
      </c>
      <c r="Y52" s="8"/>
      <c r="Z52" s="8" t="str" cm="1">
        <f t="array" ref="Z52:AD52">_xlfn.XLOOKUP(D52,'Customer Details'!$A$1:$A$17,'Customer Details'!$B$1:$F$17,"No such customer",0,1)</f>
        <v>Punj Lloyd Ltd.</v>
      </c>
      <c r="AA52" s="8" t="str">
        <v>Box 3263</v>
      </c>
      <c r="AB52" s="8" t="str">
        <v>South Windsor</v>
      </c>
      <c r="AC52" s="8" t="str">
        <v>CT</v>
      </c>
      <c r="AD52" s="8" t="str">
        <v>06074</v>
      </c>
    </row>
    <row r="53" spans="1:30">
      <c r="A53" s="8" t="s">
        <v>113</v>
      </c>
      <c r="B53" s="19">
        <v>41352</v>
      </c>
      <c r="C53" s="8" t="s">
        <v>66</v>
      </c>
      <c r="D53" s="8">
        <v>10003</v>
      </c>
      <c r="E53" s="8" t="str">
        <f>VLOOKUP($D53,'Customer Details'!$A$1:$F$17,4,FALSE)</f>
        <v>Miami</v>
      </c>
      <c r="F53" s="8" t="s">
        <v>114</v>
      </c>
      <c r="G53" s="8">
        <v>1</v>
      </c>
      <c r="H53" s="2" t="str">
        <f>VLOOKUP($D53,'Customer Details'!$A$1:$F$17,MATCH('Order SUmmary'!H$2,'Customer Details'!$A$1:$F$1,0),0)</f>
        <v>Honeywell Automation</v>
      </c>
      <c r="I53" s="2" t="str">
        <f>VLOOKUP($D53,'Customer Details'!$A$1:$F$17,4,0)</f>
        <v>Miami</v>
      </c>
      <c r="J53" s="2" t="str">
        <f>VLOOKUP($D53,'Customer Details'!$A$1:$F$17,6,0)</f>
        <v>33732</v>
      </c>
      <c r="K53" s="8" t="str">
        <f>VLOOKUP(VLOOKUP(D53,'Customer Details'!$A$1:$F$17,5,0),'Region INfo'!$A$1:$C$52,3,0)</f>
        <v>Southern</v>
      </c>
      <c r="L53" s="8" t="str">
        <f>INDEX(Product_List,MATCH($F53,'Product List'!$B$1:$B$299,0),MATCH('Order SUmmary'!L$2,'Product List'!$A$1:$E$1,0))</f>
        <v>Xerox 1910</v>
      </c>
      <c r="M53" s="8">
        <f>INDEX(Product_List,MATCH($F53,'Product List'!$B$1:$B$299,0),MATCH('Order SUmmary'!M$2,'Product List'!$A$1:$E$1,0))</f>
        <v>2588</v>
      </c>
      <c r="N53" s="8">
        <f>INDEX(Product_List,MATCH($F53,'Product List'!$B$1:$B$299,0),MATCH('Order SUmmary'!N$2,'Product List'!$A$1:$E$1,0))</f>
        <v>2069</v>
      </c>
      <c r="O53" s="8" t="str">
        <f>INDEX(Product_List,MATCH($F53,'Product List'!$B$1:$B$299,0),MATCH('Order SUmmary'!O$2,'Product List'!$A$1:$E$1,0))</f>
        <v>Paper</v>
      </c>
      <c r="P53" s="12">
        <f>HLOOKUP(C53,'Commission Criteria'!$A$2:$I$4,3,FALSE)</f>
        <v>5</v>
      </c>
      <c r="Q53" s="8">
        <f t="shared" si="1"/>
        <v>2069</v>
      </c>
      <c r="R53" s="8">
        <f t="shared" si="2"/>
        <v>2588</v>
      </c>
      <c r="S53" s="36">
        <f>VLOOKUP(R53,'Commission Criteria'!$L$3:$M$11,2,TRUE)</f>
        <v>0.01</v>
      </c>
      <c r="T53" s="36">
        <f>IF(P53&lt;5,VLOOKUP(R53,'Commission Criteria'!$L$3:$M$11,2,1),VLOOKUP('Order SUmmary'!R53,'Commission Criteria'!$P$3:$Q$11,2,1))</f>
        <v>0.02</v>
      </c>
      <c r="U53" s="36">
        <f>VLOOKUP(R53,IF(P53&lt;5,'Commission Criteria'!$L$3:$M$11,'Commission Criteria'!$P$3:$Q$11),2,1)</f>
        <v>0.02</v>
      </c>
      <c r="V53" s="8" t="s">
        <v>35</v>
      </c>
      <c r="W53" s="36">
        <f t="shared" ca="1" si="3"/>
        <v>0.03</v>
      </c>
      <c r="X53" s="8" t="str">
        <f>_xlfn.XLOOKUP(F53,'Product List'!$B$1:$B$299,'Product List'!$A$1:$A$299)</f>
        <v>Xerox 1910</v>
      </c>
      <c r="Y53" s="8"/>
      <c r="Z53" s="8" t="str" cm="1">
        <f t="array" ref="Z53:AD53">_xlfn.XLOOKUP(D53,'Customer Details'!$A$1:$A$17,'Customer Details'!$B$1:$F$17,"No such customer",0,1)</f>
        <v>Honeywell Automation</v>
      </c>
      <c r="AA53" s="8" t="str">
        <v>1272 Harbor Road</v>
      </c>
      <c r="AB53" s="8" t="str">
        <v>Miami</v>
      </c>
      <c r="AC53" s="8" t="str">
        <v>FL</v>
      </c>
      <c r="AD53" s="8" t="str">
        <v>33732</v>
      </c>
    </row>
    <row r="54" spans="1:30">
      <c r="A54" s="8" t="s">
        <v>115</v>
      </c>
      <c r="B54" s="19">
        <v>41356</v>
      </c>
      <c r="C54" s="8" t="s">
        <v>33</v>
      </c>
      <c r="D54" s="8">
        <v>10011</v>
      </c>
      <c r="E54" s="8" t="str">
        <f>VLOOKUP($D54,'Customer Details'!$A$1:$F$17,4,FALSE)</f>
        <v>Olympia</v>
      </c>
      <c r="F54" s="8" t="s">
        <v>116</v>
      </c>
      <c r="G54" s="8">
        <v>1</v>
      </c>
      <c r="H54" s="2" t="str">
        <f>VLOOKUP($D54,'Customer Details'!$A$1:$F$17,MATCH('Order SUmmary'!H$2,'Customer Details'!$A$1:$F$1,0),0)</f>
        <v>Sonata Software</v>
      </c>
      <c r="I54" s="2" t="str">
        <f>VLOOKUP($D54,'Customer Details'!$A$1:$F$17,4,0)</f>
        <v>Olympia</v>
      </c>
      <c r="J54" s="2" t="str">
        <f>VLOOKUP($D54,'Customer Details'!$A$1:$F$17,6,0)</f>
        <v>98502</v>
      </c>
      <c r="K54" s="8" t="str">
        <f>VLOOKUP(VLOOKUP(D54,'Customer Details'!$A$1:$F$17,5,0),'Region INfo'!$A$1:$C$52,3,0)</f>
        <v xml:space="preserve">Pacific   </v>
      </c>
      <c r="L54" s="8" t="str">
        <f>INDEX(Product_List,MATCH($F54,'Product List'!$B$1:$B$299,0),MATCH('Order SUmmary'!L$2,'Product List'!$A$1:$E$1,0))</f>
        <v>Newell 326</v>
      </c>
      <c r="M54" s="8">
        <f>INDEX(Product_List,MATCH($F54,'Product List'!$B$1:$B$299,0),MATCH('Order SUmmary'!M$2,'Product List'!$A$1:$E$1,0))</f>
        <v>3645</v>
      </c>
      <c r="N54" s="8">
        <f>INDEX(Product_List,MATCH($F54,'Product List'!$B$1:$B$299,0),MATCH('Order SUmmary'!N$2,'Product List'!$A$1:$E$1,0))</f>
        <v>2466</v>
      </c>
      <c r="O54" s="8" t="str">
        <f>INDEX(Product_List,MATCH($F54,'Product List'!$B$1:$B$299,0),MATCH('Order SUmmary'!O$2,'Product List'!$A$1:$E$1,0))</f>
        <v>Art</v>
      </c>
      <c r="P54" s="12">
        <f>HLOOKUP(C54,'Commission Criteria'!$A$2:$I$4,3,FALSE)</f>
        <v>1</v>
      </c>
      <c r="Q54" s="8">
        <f t="shared" si="1"/>
        <v>2466</v>
      </c>
      <c r="R54" s="8">
        <f t="shared" si="2"/>
        <v>3645</v>
      </c>
      <c r="S54" s="36">
        <f>VLOOKUP(R54,'Commission Criteria'!$L$3:$M$11,2,TRUE)</f>
        <v>0.01</v>
      </c>
      <c r="T54" s="36">
        <f>IF(P54&lt;5,VLOOKUP(R54,'Commission Criteria'!$L$3:$M$11,2,1),VLOOKUP('Order SUmmary'!R54,'Commission Criteria'!$P$3:$Q$11,2,1))</f>
        <v>0.01</v>
      </c>
      <c r="U54" s="36">
        <f>VLOOKUP(R54,IF(P54&lt;5,'Commission Criteria'!$L$3:$M$11,'Commission Criteria'!$P$3:$Q$11),2,1)</f>
        <v>0.01</v>
      </c>
      <c r="V54" s="8" t="s">
        <v>50</v>
      </c>
      <c r="W54" s="36">
        <f t="shared" ca="1" si="3"/>
        <v>0.04</v>
      </c>
      <c r="X54" s="8" t="str">
        <f>_xlfn.XLOOKUP(F54,'Product List'!$B$1:$B$299,'Product List'!$A$1:$A$299)</f>
        <v>Newell 326</v>
      </c>
      <c r="Y54" s="8"/>
      <c r="Z54" s="8" t="str" cm="1">
        <f t="array" ref="Z54:AD54">_xlfn.XLOOKUP(D54,'Customer Details'!$A$1:$A$17,'Customer Details'!$B$1:$F$17,"No such customer",0,1)</f>
        <v>Sonata Software</v>
      </c>
      <c r="AA54" s="8" t="str">
        <v>1331 Kimberly Dr.</v>
      </c>
      <c r="AB54" s="8" t="str">
        <v>Olympia</v>
      </c>
      <c r="AC54" s="8" t="str">
        <v>WA</v>
      </c>
      <c r="AD54" s="8" t="str">
        <v>98502</v>
      </c>
    </row>
    <row r="55" spans="1:30">
      <c r="A55" s="8" t="s">
        <v>117</v>
      </c>
      <c r="B55" s="19">
        <v>41357</v>
      </c>
      <c r="C55" s="8" t="s">
        <v>44</v>
      </c>
      <c r="D55" s="8">
        <v>10005</v>
      </c>
      <c r="E55" s="8" t="str">
        <f>VLOOKUP($D55,'Customer Details'!$A$1:$F$17,4,FALSE)</f>
        <v>Goleta</v>
      </c>
      <c r="F55" s="8" t="s">
        <v>118</v>
      </c>
      <c r="G55" s="8">
        <v>2</v>
      </c>
      <c r="H55" s="2" t="str">
        <f>VLOOKUP($D55,'Customer Details'!$A$1:$F$17,MATCH('Order SUmmary'!H$2,'Customer Details'!$A$1:$F$1,0),0)</f>
        <v>Fortis Healthcare Ltd.</v>
      </c>
      <c r="I55" s="2" t="str">
        <f>VLOOKUP($D55,'Customer Details'!$A$1:$F$17,4,0)</f>
        <v>Goleta</v>
      </c>
      <c r="J55" s="2" t="str">
        <f>VLOOKUP($D55,'Customer Details'!$A$1:$F$17,6,0)</f>
        <v>93117</v>
      </c>
      <c r="K55" s="8" t="str">
        <f>VLOOKUP(VLOOKUP(D55,'Customer Details'!$A$1:$F$17,5,0),'Region INfo'!$A$1:$C$52,3,0)</f>
        <v xml:space="preserve">Pacific   </v>
      </c>
      <c r="L55" s="8" t="str">
        <f>INDEX(Product_List,MATCH($F55,'Product List'!$B$1:$B$299,0),MATCH('Order SUmmary'!L$2,'Product List'!$A$1:$E$1,0))</f>
        <v>Xerox 1998</v>
      </c>
      <c r="M55" s="8">
        <f>INDEX(Product_List,MATCH($F55,'Product List'!$B$1:$B$299,0),MATCH('Order SUmmary'!M$2,'Product List'!$A$1:$E$1,0))</f>
        <v>4003</v>
      </c>
      <c r="N55" s="8">
        <f>INDEX(Product_List,MATCH($F55,'Product List'!$B$1:$B$299,0),MATCH('Order SUmmary'!N$2,'Product List'!$A$1:$E$1,0))</f>
        <v>2255</v>
      </c>
      <c r="O55" s="8" t="str">
        <f>INDEX(Product_List,MATCH($F55,'Product List'!$B$1:$B$299,0),MATCH('Order SUmmary'!O$2,'Product List'!$A$1:$E$1,0))</f>
        <v>Paper</v>
      </c>
      <c r="P55" s="12">
        <f>HLOOKUP(C55,'Commission Criteria'!$A$2:$I$4,3,FALSE)</f>
        <v>4</v>
      </c>
      <c r="Q55" s="8">
        <f t="shared" si="1"/>
        <v>4510</v>
      </c>
      <c r="R55" s="8">
        <f t="shared" si="2"/>
        <v>8006</v>
      </c>
      <c r="S55" s="36">
        <f>VLOOKUP(R55,'Commission Criteria'!$L$3:$M$11,2,TRUE)</f>
        <v>0.03</v>
      </c>
      <c r="T55" s="36">
        <f>IF(P55&lt;5,VLOOKUP(R55,'Commission Criteria'!$L$3:$M$11,2,1),VLOOKUP('Order SUmmary'!R55,'Commission Criteria'!$P$3:$Q$11,2,1))</f>
        <v>0.03</v>
      </c>
      <c r="U55" s="36">
        <f>VLOOKUP(R55,IF(P55&lt;5,'Commission Criteria'!$L$3:$M$11,'Commission Criteria'!$P$3:$Q$11),2,1)</f>
        <v>0.03</v>
      </c>
      <c r="V55" s="8" t="s">
        <v>43</v>
      </c>
      <c r="W55" s="36">
        <f t="shared" ca="1" si="3"/>
        <v>0.05</v>
      </c>
      <c r="X55" s="8" t="str">
        <f>_xlfn.XLOOKUP(F55,'Product List'!$B$1:$B$299,'Product List'!$A$1:$A$299)</f>
        <v>Xerox 1998</v>
      </c>
      <c r="Y55" s="8"/>
      <c r="Z55" s="8" t="str" cm="1">
        <f t="array" ref="Z55:AD55">_xlfn.XLOOKUP(D55,'Customer Details'!$A$1:$A$17,'Customer Details'!$B$1:$F$17,"No such customer",0,1)</f>
        <v>Fortis Healthcare Ltd.</v>
      </c>
      <c r="AA55" s="8" t="str">
        <v>14 Elsworthy Terrace</v>
      </c>
      <c r="AB55" s="8" t="str">
        <v>Goleta</v>
      </c>
      <c r="AC55" s="8" t="str">
        <v>CA</v>
      </c>
      <c r="AD55" s="8" t="str">
        <v>93117</v>
      </c>
    </row>
    <row r="56" spans="1:30">
      <c r="A56" s="8" t="s">
        <v>119</v>
      </c>
      <c r="B56" s="19">
        <v>41361</v>
      </c>
      <c r="C56" s="8" t="s">
        <v>51</v>
      </c>
      <c r="D56" s="8">
        <v>10009</v>
      </c>
      <c r="E56" s="8" t="str">
        <f>VLOOKUP($D56,'Customer Details'!$A$1:$F$17,4,FALSE)</f>
        <v>Salt Lake City</v>
      </c>
      <c r="F56" s="8" t="s">
        <v>120</v>
      </c>
      <c r="G56" s="8">
        <v>1</v>
      </c>
      <c r="H56" s="2" t="str">
        <f>VLOOKUP($D56,'Customer Details'!$A$1:$F$17,MATCH('Order SUmmary'!H$2,'Customer Details'!$A$1:$F$1,0),0)</f>
        <v>Godfrey Philips India Ltd.</v>
      </c>
      <c r="I56" s="2" t="str">
        <f>VLOOKUP($D56,'Customer Details'!$A$1:$F$17,4,0)</f>
        <v>Salt Lake City</v>
      </c>
      <c r="J56" s="2" t="str">
        <f>VLOOKUP($D56,'Customer Details'!$A$1:$F$17,6,0)</f>
        <v>84118</v>
      </c>
      <c r="K56" s="8" t="str">
        <f>VLOOKUP(VLOOKUP(D56,'Customer Details'!$A$1:$F$17,5,0),'Region INfo'!$A$1:$C$52,3,0)</f>
        <v xml:space="preserve">Pacific   </v>
      </c>
      <c r="L56" s="8" t="str">
        <f>INDEX(Product_List,MATCH($F56,'Product List'!$B$1:$B$299,0),MATCH('Order SUmmary'!L$2,'Product List'!$A$1:$E$1,0))</f>
        <v>Xerox 1902</v>
      </c>
      <c r="M56" s="8">
        <f>INDEX(Product_List,MATCH($F56,'Product List'!$B$1:$B$299,0),MATCH('Order SUmmary'!M$2,'Product List'!$A$1:$E$1,0))</f>
        <v>4172</v>
      </c>
      <c r="N56" s="8">
        <f>INDEX(Product_List,MATCH($F56,'Product List'!$B$1:$B$299,0),MATCH('Order SUmmary'!N$2,'Product List'!$A$1:$E$1,0))</f>
        <v>1415</v>
      </c>
      <c r="O56" s="8" t="str">
        <f>INDEX(Product_List,MATCH($F56,'Product List'!$B$1:$B$299,0),MATCH('Order SUmmary'!O$2,'Product List'!$A$1:$E$1,0))</f>
        <v>Paper</v>
      </c>
      <c r="P56" s="12">
        <f>HLOOKUP(C56,'Commission Criteria'!$A$2:$I$4,3,FALSE)</f>
        <v>10</v>
      </c>
      <c r="Q56" s="8">
        <f t="shared" si="1"/>
        <v>1415</v>
      </c>
      <c r="R56" s="8">
        <f t="shared" si="2"/>
        <v>4172</v>
      </c>
      <c r="S56" s="36">
        <f>VLOOKUP(R56,'Commission Criteria'!$L$3:$M$11,2,TRUE)</f>
        <v>0.01</v>
      </c>
      <c r="T56" s="36">
        <f>IF(P56&lt;5,VLOOKUP(R56,'Commission Criteria'!$L$3:$M$11,2,1),VLOOKUP('Order SUmmary'!R56,'Commission Criteria'!$P$3:$Q$11,2,1))</f>
        <v>0.02</v>
      </c>
      <c r="U56" s="36">
        <f>VLOOKUP(R56,IF(P56&lt;5,'Commission Criteria'!$L$3:$M$11,'Commission Criteria'!$P$3:$Q$11),2,1)</f>
        <v>0.02</v>
      </c>
      <c r="V56" s="8" t="s">
        <v>32</v>
      </c>
      <c r="W56" s="36">
        <f t="shared" ca="1" si="3"/>
        <v>0.05</v>
      </c>
      <c r="X56" s="8" t="str">
        <f>_xlfn.XLOOKUP(F56,'Product List'!$B$1:$B$299,'Product List'!$A$1:$A$299)</f>
        <v>Xerox 1902</v>
      </c>
      <c r="Y56" s="8"/>
      <c r="Z56" s="8" t="str" cm="1">
        <f t="array" ref="Z56:AD56">_xlfn.XLOOKUP(D56,'Customer Details'!$A$1:$A$17,'Customer Details'!$B$1:$F$17,"No such customer",0,1)</f>
        <v>Godfrey Philips India Ltd.</v>
      </c>
      <c r="AA56" s="8" t="str">
        <v>20501 Ania Ave #2</v>
      </c>
      <c r="AB56" s="8" t="str">
        <v>Salt Lake City</v>
      </c>
      <c r="AC56" s="8" t="str">
        <v>UT</v>
      </c>
      <c r="AD56" s="8" t="str">
        <v>84118</v>
      </c>
    </row>
    <row r="57" spans="1:30">
      <c r="A57" s="8" t="s">
        <v>121</v>
      </c>
      <c r="B57" s="19">
        <v>41361</v>
      </c>
      <c r="C57" s="8" t="s">
        <v>54</v>
      </c>
      <c r="D57" s="8">
        <v>10004</v>
      </c>
      <c r="E57" s="8" t="str">
        <f>VLOOKUP($D57,'Customer Details'!$A$1:$F$17,4,FALSE)</f>
        <v>New York</v>
      </c>
      <c r="F57" s="8" t="s">
        <v>122</v>
      </c>
      <c r="G57" s="8">
        <v>1</v>
      </c>
      <c r="H57" s="2" t="str">
        <f>VLOOKUP($D57,'Customer Details'!$A$1:$F$17,MATCH('Order SUmmary'!H$2,'Customer Details'!$A$1:$F$1,0),0)</f>
        <v>Lupin Ltd.</v>
      </c>
      <c r="I57" s="2" t="str">
        <f>VLOOKUP($D57,'Customer Details'!$A$1:$F$17,4,0)</f>
        <v>New York</v>
      </c>
      <c r="J57" s="2" t="str">
        <f>VLOOKUP($D57,'Customer Details'!$A$1:$F$17,6,0)</f>
        <v>10019</v>
      </c>
      <c r="K57" s="8" t="str">
        <f>VLOOKUP(VLOOKUP(D57,'Customer Details'!$A$1:$F$17,5,0),'Region INfo'!$A$1:$C$52,3,0)</f>
        <v xml:space="preserve">Northern </v>
      </c>
      <c r="L57" s="8" t="str">
        <f>INDEX(Product_List,MATCH($F57,'Product List'!$B$1:$B$299,0),MATCH('Order SUmmary'!L$2,'Product List'!$A$1:$E$1,0))</f>
        <v>Avery 510</v>
      </c>
      <c r="M57" s="8">
        <f>INDEX(Product_List,MATCH($F57,'Product List'!$B$1:$B$299,0),MATCH('Order SUmmary'!M$2,'Product List'!$A$1:$E$1,0))</f>
        <v>4788</v>
      </c>
      <c r="N57" s="8">
        <f>INDEX(Product_List,MATCH($F57,'Product List'!$B$1:$B$299,0),MATCH('Order SUmmary'!N$2,'Product List'!$A$1:$E$1,0))</f>
        <v>2063</v>
      </c>
      <c r="O57" s="8" t="str">
        <f>INDEX(Product_List,MATCH($F57,'Product List'!$B$1:$B$299,0),MATCH('Order SUmmary'!O$2,'Product List'!$A$1:$E$1,0))</f>
        <v>Labels</v>
      </c>
      <c r="P57" s="12">
        <f>HLOOKUP(C57,'Commission Criteria'!$A$2:$I$4,3,FALSE)</f>
        <v>3</v>
      </c>
      <c r="Q57" s="8">
        <f t="shared" si="1"/>
        <v>2063</v>
      </c>
      <c r="R57" s="8">
        <f t="shared" si="2"/>
        <v>4788</v>
      </c>
      <c r="S57" s="36">
        <f>VLOOKUP(R57,'Commission Criteria'!$L$3:$M$11,2,TRUE)</f>
        <v>0.01</v>
      </c>
      <c r="T57" s="36">
        <f>IF(P57&lt;5,VLOOKUP(R57,'Commission Criteria'!$L$3:$M$11,2,1),VLOOKUP('Order SUmmary'!R57,'Commission Criteria'!$P$3:$Q$11,2,1))</f>
        <v>0.01</v>
      </c>
      <c r="U57" s="36">
        <f>VLOOKUP(R57,IF(P57&lt;5,'Commission Criteria'!$L$3:$M$11,'Commission Criteria'!$P$3:$Q$11),2,1)</f>
        <v>0.01</v>
      </c>
      <c r="V57" s="8" t="s">
        <v>29</v>
      </c>
      <c r="W57" s="36">
        <f t="shared" ca="1" si="3"/>
        <v>0.03</v>
      </c>
      <c r="X57" s="8" t="str">
        <f>_xlfn.XLOOKUP(F57,'Product List'!$B$1:$B$299,'Product List'!$A$1:$A$299)</f>
        <v>Avery 510</v>
      </c>
      <c r="Y57" s="8"/>
      <c r="Z57" s="8" t="str" cm="1">
        <f t="array" ref="Z57:AD57">_xlfn.XLOOKUP(D57,'Customer Details'!$A$1:$A$17,'Customer Details'!$B$1:$F$17,"No such customer",0,1)</f>
        <v>Lupin Ltd.</v>
      </c>
      <c r="AA57" s="8" t="str">
        <v>Abbey Wood</v>
      </c>
      <c r="AB57" s="8" t="str">
        <v>New York</v>
      </c>
      <c r="AC57" s="8" t="str">
        <v>NY</v>
      </c>
      <c r="AD57" s="8" t="str">
        <v>10019</v>
      </c>
    </row>
    <row r="58" spans="1:30">
      <c r="A58" s="8" t="s">
        <v>119</v>
      </c>
      <c r="B58" s="19">
        <v>41361</v>
      </c>
      <c r="C58" s="8" t="s">
        <v>44</v>
      </c>
      <c r="D58" s="8">
        <v>10007</v>
      </c>
      <c r="E58" s="8" t="str">
        <f>VLOOKUP($D58,'Customer Details'!$A$1:$F$17,4,FALSE)</f>
        <v>Richmond</v>
      </c>
      <c r="F58" s="8" t="s">
        <v>123</v>
      </c>
      <c r="G58" s="8">
        <v>2</v>
      </c>
      <c r="H58" s="2" t="str">
        <f>VLOOKUP($D58,'Customer Details'!$A$1:$F$17,MATCH('Order SUmmary'!H$2,'Customer Details'!$A$1:$F$1,0),0)</f>
        <v>GHCL Ltd.</v>
      </c>
      <c r="I58" s="2" t="str">
        <f>VLOOKUP($D58,'Customer Details'!$A$1:$F$17,4,0)</f>
        <v>Richmond</v>
      </c>
      <c r="J58" s="2" t="str">
        <f>VLOOKUP($D58,'Customer Details'!$A$1:$F$17,6,0)</f>
        <v>94805</v>
      </c>
      <c r="K58" s="8" t="str">
        <f>VLOOKUP(VLOOKUP(D58,'Customer Details'!$A$1:$F$17,5,0),'Region INfo'!$A$1:$C$52,3,0)</f>
        <v xml:space="preserve">Pacific   </v>
      </c>
      <c r="L58" s="8" t="str">
        <f>INDEX(Product_List,MATCH($F58,'Product List'!$B$1:$B$299,0),MATCH('Order SUmmary'!L$2,'Product List'!$A$1:$E$1,0))</f>
        <v>Avery 503</v>
      </c>
      <c r="M58" s="8">
        <f>INDEX(Product_List,MATCH($F58,'Product List'!$B$1:$B$299,0),MATCH('Order SUmmary'!M$2,'Product List'!$A$1:$E$1,0))</f>
        <v>2820</v>
      </c>
      <c r="N58" s="8">
        <f>INDEX(Product_List,MATCH($F58,'Product List'!$B$1:$B$299,0),MATCH('Order SUmmary'!N$2,'Product List'!$A$1:$E$1,0))</f>
        <v>1504</v>
      </c>
      <c r="O58" s="8" t="str">
        <f>INDEX(Product_List,MATCH($F58,'Product List'!$B$1:$B$299,0),MATCH('Order SUmmary'!O$2,'Product List'!$A$1:$E$1,0))</f>
        <v>Labels</v>
      </c>
      <c r="P58" s="12">
        <f>HLOOKUP(C58,'Commission Criteria'!$A$2:$I$4,3,FALSE)</f>
        <v>4</v>
      </c>
      <c r="Q58" s="8">
        <f t="shared" si="1"/>
        <v>3008</v>
      </c>
      <c r="R58" s="8">
        <f t="shared" si="2"/>
        <v>5640</v>
      </c>
      <c r="S58" s="36">
        <f>VLOOKUP(R58,'Commission Criteria'!$L$3:$M$11,2,TRUE)</f>
        <v>0.03</v>
      </c>
      <c r="T58" s="36">
        <f>IF(P58&lt;5,VLOOKUP(R58,'Commission Criteria'!$L$3:$M$11,2,1),VLOOKUP('Order SUmmary'!R58,'Commission Criteria'!$P$3:$Q$11,2,1))</f>
        <v>0.03</v>
      </c>
      <c r="U58" s="36">
        <f>VLOOKUP(R58,IF(P58&lt;5,'Commission Criteria'!$L$3:$M$11,'Commission Criteria'!$P$3:$Q$11),2,1)</f>
        <v>0.03</v>
      </c>
      <c r="V58" s="8" t="s">
        <v>32</v>
      </c>
      <c r="W58" s="36">
        <f t="shared" ca="1" si="3"/>
        <v>0.04</v>
      </c>
      <c r="X58" s="8" t="str">
        <f>_xlfn.XLOOKUP(F58,'Product List'!$B$1:$B$299,'Product List'!$A$1:$A$299)</f>
        <v>Avery 503</v>
      </c>
      <c r="Y58" s="8"/>
      <c r="Z58" s="8" t="str" cm="1">
        <f t="array" ref="Z58:AD58">_xlfn.XLOOKUP(D58,'Customer Details'!$A$1:$A$17,'Customer Details'!$B$1:$F$17,"No such customer",0,1)</f>
        <v>GHCL Ltd.</v>
      </c>
      <c r="AA58" s="8" t="str">
        <v>58 Clarence St</v>
      </c>
      <c r="AB58" s="8" t="str">
        <v>Richmond</v>
      </c>
      <c r="AC58" s="8" t="str">
        <v>CA</v>
      </c>
      <c r="AD58" s="8" t="str">
        <v>94805</v>
      </c>
    </row>
    <row r="59" spans="1:30">
      <c r="A59" s="8" t="s">
        <v>124</v>
      </c>
      <c r="B59" s="19">
        <v>41361</v>
      </c>
      <c r="C59" s="8" t="s">
        <v>51</v>
      </c>
      <c r="D59" s="8">
        <v>10003</v>
      </c>
      <c r="E59" s="8" t="str">
        <f>VLOOKUP($D59,'Customer Details'!$A$1:$F$17,4,FALSE)</f>
        <v>Miami</v>
      </c>
      <c r="F59" s="8" t="s">
        <v>125</v>
      </c>
      <c r="G59" s="8">
        <v>2</v>
      </c>
      <c r="H59" s="2" t="str">
        <f>VLOOKUP($D59,'Customer Details'!$A$1:$F$17,MATCH('Order SUmmary'!H$2,'Customer Details'!$A$1:$F$1,0),0)</f>
        <v>Honeywell Automation</v>
      </c>
      <c r="I59" s="2" t="str">
        <f>VLOOKUP($D59,'Customer Details'!$A$1:$F$17,4,0)</f>
        <v>Miami</v>
      </c>
      <c r="J59" s="2" t="str">
        <f>VLOOKUP($D59,'Customer Details'!$A$1:$F$17,6,0)</f>
        <v>33732</v>
      </c>
      <c r="K59" s="8" t="str">
        <f>VLOOKUP(VLOOKUP(D59,'Customer Details'!$A$1:$F$17,5,0),'Region INfo'!$A$1:$C$52,3,0)</f>
        <v>Southern</v>
      </c>
      <c r="L59" s="8" t="str">
        <f>INDEX(Product_List,MATCH($F59,'Product List'!$B$1:$B$299,0),MATCH('Order SUmmary'!L$2,'Product List'!$A$1:$E$1,0))</f>
        <v>Xerox 1921</v>
      </c>
      <c r="M59" s="8">
        <f>INDEX(Product_List,MATCH($F59,'Product List'!$B$1:$B$299,0),MATCH('Order SUmmary'!M$2,'Product List'!$A$1:$E$1,0))</f>
        <v>3150</v>
      </c>
      <c r="N59" s="8">
        <f>INDEX(Product_List,MATCH($F59,'Product List'!$B$1:$B$299,0),MATCH('Order SUmmary'!N$2,'Product List'!$A$1:$E$1,0))</f>
        <v>1218</v>
      </c>
      <c r="O59" s="8" t="str">
        <f>INDEX(Product_List,MATCH($F59,'Product List'!$B$1:$B$299,0),MATCH('Order SUmmary'!O$2,'Product List'!$A$1:$E$1,0))</f>
        <v>Paper</v>
      </c>
      <c r="P59" s="12">
        <f>HLOOKUP(C59,'Commission Criteria'!$A$2:$I$4,3,FALSE)</f>
        <v>10</v>
      </c>
      <c r="Q59" s="8">
        <f t="shared" si="1"/>
        <v>2436</v>
      </c>
      <c r="R59" s="8">
        <f t="shared" si="2"/>
        <v>6300</v>
      </c>
      <c r="S59" s="36">
        <f>VLOOKUP(R59,'Commission Criteria'!$L$3:$M$11,2,TRUE)</f>
        <v>0.03</v>
      </c>
      <c r="T59" s="36">
        <f>IF(P59&lt;5,VLOOKUP(R59,'Commission Criteria'!$L$3:$M$11,2,1),VLOOKUP('Order SUmmary'!R59,'Commission Criteria'!$P$3:$Q$11,2,1))</f>
        <v>0.02</v>
      </c>
      <c r="U59" s="36">
        <f>VLOOKUP(R59,IF(P59&lt;5,'Commission Criteria'!$L$3:$M$11,'Commission Criteria'!$P$3:$Q$11),2,1)</f>
        <v>0.02</v>
      </c>
      <c r="V59" s="8" t="s">
        <v>43</v>
      </c>
      <c r="W59" s="36">
        <f t="shared" ca="1" si="3"/>
        <v>0.02</v>
      </c>
      <c r="X59" s="8" t="str">
        <f>_xlfn.XLOOKUP(F59,'Product List'!$B$1:$B$299,'Product List'!$A$1:$A$299)</f>
        <v>Xerox 1921</v>
      </c>
      <c r="Y59" s="8"/>
      <c r="Z59" s="8" t="str" cm="1">
        <f t="array" ref="Z59:AD59">_xlfn.XLOOKUP(D59,'Customer Details'!$A$1:$A$17,'Customer Details'!$B$1:$F$17,"No such customer",0,1)</f>
        <v>Honeywell Automation</v>
      </c>
      <c r="AA59" s="8" t="str">
        <v>1272 Harbor Road</v>
      </c>
      <c r="AB59" s="8" t="str">
        <v>Miami</v>
      </c>
      <c r="AC59" s="8" t="str">
        <v>FL</v>
      </c>
      <c r="AD59" s="8" t="str">
        <v>33732</v>
      </c>
    </row>
    <row r="60" spans="1:30">
      <c r="A60" s="8" t="s">
        <v>119</v>
      </c>
      <c r="B60" s="19">
        <v>41361</v>
      </c>
      <c r="C60" s="8" t="s">
        <v>54</v>
      </c>
      <c r="D60" s="8">
        <v>10004</v>
      </c>
      <c r="E60" s="8" t="str">
        <f>VLOOKUP($D60,'Customer Details'!$A$1:$F$17,4,FALSE)</f>
        <v>New York</v>
      </c>
      <c r="F60" s="8" t="s">
        <v>126</v>
      </c>
      <c r="G60" s="8">
        <v>2</v>
      </c>
      <c r="H60" s="2" t="str">
        <f>VLOOKUP($D60,'Customer Details'!$A$1:$F$17,MATCH('Order SUmmary'!H$2,'Customer Details'!$A$1:$F$1,0),0)</f>
        <v>Lupin Ltd.</v>
      </c>
      <c r="I60" s="2" t="str">
        <f>VLOOKUP($D60,'Customer Details'!$A$1:$F$17,4,0)</f>
        <v>New York</v>
      </c>
      <c r="J60" s="2" t="str">
        <f>VLOOKUP($D60,'Customer Details'!$A$1:$F$17,6,0)</f>
        <v>10019</v>
      </c>
      <c r="K60" s="8" t="str">
        <f>VLOOKUP(VLOOKUP(D60,'Customer Details'!$A$1:$F$17,5,0),'Region INfo'!$A$1:$C$52,3,0)</f>
        <v xml:space="preserve">Northern </v>
      </c>
      <c r="L60" s="8" t="str">
        <f>INDEX(Product_List,MATCH($F60,'Product List'!$B$1:$B$299,0),MATCH('Order SUmmary'!L$2,'Product List'!$A$1:$E$1,0))</f>
        <v>Xerox 1964</v>
      </c>
      <c r="M60" s="8">
        <f>INDEX(Product_List,MATCH($F60,'Product List'!$B$1:$B$299,0),MATCH('Order SUmmary'!M$2,'Product List'!$A$1:$E$1,0))</f>
        <v>4477</v>
      </c>
      <c r="N60" s="8">
        <f>INDEX(Product_List,MATCH($F60,'Product List'!$B$1:$B$299,0),MATCH('Order SUmmary'!N$2,'Product List'!$A$1:$E$1,0))</f>
        <v>1589</v>
      </c>
      <c r="O60" s="8" t="str">
        <f>INDEX(Product_List,MATCH($F60,'Product List'!$B$1:$B$299,0),MATCH('Order SUmmary'!O$2,'Product List'!$A$1:$E$1,0))</f>
        <v>Paper</v>
      </c>
      <c r="P60" s="12">
        <f>HLOOKUP(C60,'Commission Criteria'!$A$2:$I$4,3,FALSE)</f>
        <v>3</v>
      </c>
      <c r="Q60" s="8">
        <f t="shared" si="1"/>
        <v>3178</v>
      </c>
      <c r="R60" s="8">
        <f t="shared" si="2"/>
        <v>8954</v>
      </c>
      <c r="S60" s="36">
        <f>VLOOKUP(R60,'Commission Criteria'!$L$3:$M$11,2,TRUE)</f>
        <v>0.03</v>
      </c>
      <c r="T60" s="36">
        <f>IF(P60&lt;5,VLOOKUP(R60,'Commission Criteria'!$L$3:$M$11,2,1),VLOOKUP('Order SUmmary'!R60,'Commission Criteria'!$P$3:$Q$11,2,1))</f>
        <v>0.03</v>
      </c>
      <c r="U60" s="36">
        <f>VLOOKUP(R60,IF(P60&lt;5,'Commission Criteria'!$L$3:$M$11,'Commission Criteria'!$P$3:$Q$11),2,1)</f>
        <v>0.03</v>
      </c>
      <c r="V60" s="8" t="s">
        <v>40</v>
      </c>
      <c r="W60" s="36">
        <f t="shared" ca="1" si="3"/>
        <v>0.03</v>
      </c>
      <c r="X60" s="8" t="str">
        <f>_xlfn.XLOOKUP(F60,'Product List'!$B$1:$B$299,'Product List'!$A$1:$A$299)</f>
        <v>Xerox 1964</v>
      </c>
      <c r="Y60" s="8"/>
      <c r="Z60" s="8" t="str" cm="1">
        <f t="array" ref="Z60:AD60">_xlfn.XLOOKUP(D60,'Customer Details'!$A$1:$A$17,'Customer Details'!$B$1:$F$17,"No such customer",0,1)</f>
        <v>Lupin Ltd.</v>
      </c>
      <c r="AA60" s="8" t="str">
        <v>Abbey Wood</v>
      </c>
      <c r="AB60" s="8" t="str">
        <v>New York</v>
      </c>
      <c r="AC60" s="8" t="str">
        <v>NY</v>
      </c>
      <c r="AD60" s="8" t="str">
        <v>10019</v>
      </c>
    </row>
    <row r="61" spans="1:30">
      <c r="A61" s="8" t="s">
        <v>127</v>
      </c>
      <c r="B61" s="19">
        <v>41361</v>
      </c>
      <c r="C61" s="8" t="s">
        <v>36</v>
      </c>
      <c r="D61" s="8">
        <v>10002</v>
      </c>
      <c r="E61" s="8" t="str">
        <f>VLOOKUP($D61,'Customer Details'!$A$1:$F$17,4,FALSE)</f>
        <v>Omaha</v>
      </c>
      <c r="F61" s="8" t="s">
        <v>128</v>
      </c>
      <c r="G61" s="8">
        <v>3</v>
      </c>
      <c r="H61" s="2" t="str">
        <f>VLOOKUP($D61,'Customer Details'!$A$1:$F$17,MATCH('Order SUmmary'!H$2,'Customer Details'!$A$1:$F$1,0),0)</f>
        <v>Elder Pharmaceuticals</v>
      </c>
      <c r="I61" s="2" t="str">
        <f>VLOOKUP($D61,'Customer Details'!$A$1:$F$17,4,0)</f>
        <v>Omaha</v>
      </c>
      <c r="J61" s="2" t="str">
        <f>VLOOKUP($D61,'Customer Details'!$A$1:$F$17,6,0)</f>
        <v>68127</v>
      </c>
      <c r="K61" s="8" t="str">
        <f>VLOOKUP(VLOOKUP(D61,'Customer Details'!$A$1:$F$17,5,0),'Region INfo'!$A$1:$C$52,3,0)</f>
        <v>Western</v>
      </c>
      <c r="L61" s="8" t="str">
        <f>INDEX(Product_List,MATCH($F61,'Product List'!$B$1:$B$299,0),MATCH('Order SUmmary'!L$2,'Product List'!$A$1:$E$1,0))</f>
        <v>Xerox 19</v>
      </c>
      <c r="M61" s="8">
        <f>INDEX(Product_List,MATCH($F61,'Product List'!$B$1:$B$299,0),MATCH('Order SUmmary'!M$2,'Product List'!$A$1:$E$1,0))</f>
        <v>4845</v>
      </c>
      <c r="N61" s="8">
        <f>INDEX(Product_List,MATCH($F61,'Product List'!$B$1:$B$299,0),MATCH('Order SUmmary'!N$2,'Product List'!$A$1:$E$1,0))</f>
        <v>1433</v>
      </c>
      <c r="O61" s="8" t="str">
        <f>INDEX(Product_List,MATCH($F61,'Product List'!$B$1:$B$299,0),MATCH('Order SUmmary'!O$2,'Product List'!$A$1:$E$1,0))</f>
        <v>Paper</v>
      </c>
      <c r="P61" s="12">
        <f>HLOOKUP(C61,'Commission Criteria'!$A$2:$I$4,3,FALSE)</f>
        <v>6</v>
      </c>
      <c r="Q61" s="8">
        <f t="shared" si="1"/>
        <v>4299</v>
      </c>
      <c r="R61" s="8">
        <f t="shared" si="2"/>
        <v>14535</v>
      </c>
      <c r="S61" s="36">
        <f>VLOOKUP(R61,'Commission Criteria'!$L$3:$M$11,2,TRUE)</f>
        <v>0.03</v>
      </c>
      <c r="T61" s="36">
        <f>IF(P61&lt;5,VLOOKUP(R61,'Commission Criteria'!$L$3:$M$11,2,1),VLOOKUP('Order SUmmary'!R61,'Commission Criteria'!$P$3:$Q$11,2,1))</f>
        <v>0.02</v>
      </c>
      <c r="U61" s="36">
        <f>VLOOKUP(R61,IF(P61&lt;5,'Commission Criteria'!$L$3:$M$11,'Commission Criteria'!$P$3:$Q$11),2,1)</f>
        <v>0.02</v>
      </c>
      <c r="V61" s="8" t="s">
        <v>29</v>
      </c>
      <c r="W61" s="36">
        <f t="shared" ca="1" si="3"/>
        <v>0.01</v>
      </c>
      <c r="X61" s="8" t="str">
        <f>_xlfn.XLOOKUP(F61,'Product List'!$B$1:$B$299,'Product List'!$A$1:$A$299)</f>
        <v>Xerox 19</v>
      </c>
      <c r="Y61" s="8"/>
      <c r="Z61" s="8" t="str" cm="1">
        <f t="array" ref="Z61:AD61">_xlfn.XLOOKUP(D61,'Customer Details'!$A$1:$A$17,'Customer Details'!$B$1:$F$17,"No such customer",0,1)</f>
        <v>Elder Pharmaceuticals</v>
      </c>
      <c r="AA61" s="8" t="str">
        <v>57 Neriba Cres</v>
      </c>
      <c r="AB61" s="8" t="str">
        <v>Omaha</v>
      </c>
      <c r="AC61" s="8" t="str">
        <v>NE</v>
      </c>
      <c r="AD61" s="8" t="str">
        <v>68127</v>
      </c>
    </row>
    <row r="62" spans="1:30">
      <c r="A62" s="8" t="s">
        <v>129</v>
      </c>
      <c r="B62" s="19">
        <v>41363</v>
      </c>
      <c r="C62" s="8" t="s">
        <v>46</v>
      </c>
      <c r="D62" s="8">
        <v>10007</v>
      </c>
      <c r="E62" s="8" t="str">
        <f>VLOOKUP($D62,'Customer Details'!$A$1:$F$17,4,FALSE)</f>
        <v>Richmond</v>
      </c>
      <c r="F62" s="8" t="s">
        <v>130</v>
      </c>
      <c r="G62" s="8">
        <v>1</v>
      </c>
      <c r="H62" s="2" t="str">
        <f>VLOOKUP($D62,'Customer Details'!$A$1:$F$17,MATCH('Order SUmmary'!H$2,'Customer Details'!$A$1:$F$1,0),0)</f>
        <v>GHCL Ltd.</v>
      </c>
      <c r="I62" s="2" t="str">
        <f>VLOOKUP($D62,'Customer Details'!$A$1:$F$17,4,0)</f>
        <v>Richmond</v>
      </c>
      <c r="J62" s="2" t="str">
        <f>VLOOKUP($D62,'Customer Details'!$A$1:$F$17,6,0)</f>
        <v>94805</v>
      </c>
      <c r="K62" s="8" t="str">
        <f>VLOOKUP(VLOOKUP(D62,'Customer Details'!$A$1:$F$17,5,0),'Region INfo'!$A$1:$C$52,3,0)</f>
        <v xml:space="preserve">Pacific   </v>
      </c>
      <c r="L62" s="8" t="str">
        <f>INDEX(Product_List,MATCH($F62,'Product List'!$B$1:$B$299,0),MATCH('Order SUmmary'!L$2,'Product List'!$A$1:$E$1,0))</f>
        <v>Xerox 212</v>
      </c>
      <c r="M62" s="8">
        <f>INDEX(Product_List,MATCH($F62,'Product List'!$B$1:$B$299,0),MATCH('Order SUmmary'!M$2,'Product List'!$A$1:$E$1,0))</f>
        <v>4564</v>
      </c>
      <c r="N62" s="8">
        <f>INDEX(Product_List,MATCH($F62,'Product List'!$B$1:$B$299,0),MATCH('Order SUmmary'!N$2,'Product List'!$A$1:$E$1,0))</f>
        <v>1823</v>
      </c>
      <c r="O62" s="8" t="str">
        <f>INDEX(Product_List,MATCH($F62,'Product List'!$B$1:$B$299,0),MATCH('Order SUmmary'!O$2,'Product List'!$A$1:$E$1,0))</f>
        <v>Paper</v>
      </c>
      <c r="P62" s="12">
        <f>HLOOKUP(C62,'Commission Criteria'!$A$2:$I$4,3,FALSE)</f>
        <v>8</v>
      </c>
      <c r="Q62" s="8">
        <f t="shared" si="1"/>
        <v>1823</v>
      </c>
      <c r="R62" s="8">
        <f t="shared" si="2"/>
        <v>4564</v>
      </c>
      <c r="S62" s="36">
        <f>VLOOKUP(R62,'Commission Criteria'!$L$3:$M$11,2,TRUE)</f>
        <v>0.01</v>
      </c>
      <c r="T62" s="36">
        <f>IF(P62&lt;5,VLOOKUP(R62,'Commission Criteria'!$L$3:$M$11,2,1),VLOOKUP('Order SUmmary'!R62,'Commission Criteria'!$P$3:$Q$11,2,1))</f>
        <v>0.02</v>
      </c>
      <c r="U62" s="36">
        <f>VLOOKUP(R62,IF(P62&lt;5,'Commission Criteria'!$L$3:$M$11,'Commission Criteria'!$P$3:$Q$11),2,1)</f>
        <v>0.02</v>
      </c>
      <c r="V62" s="8" t="s">
        <v>29</v>
      </c>
      <c r="W62" s="36">
        <f t="shared" ca="1" si="3"/>
        <v>0.02</v>
      </c>
      <c r="X62" s="8" t="str">
        <f>_xlfn.XLOOKUP(F62,'Product List'!$B$1:$B$299,'Product List'!$A$1:$A$299)</f>
        <v>Xerox 212</v>
      </c>
      <c r="Y62" s="8"/>
      <c r="Z62" s="8" t="str" cm="1">
        <f t="array" ref="Z62:AD62">_xlfn.XLOOKUP(D62,'Customer Details'!$A$1:$A$17,'Customer Details'!$B$1:$F$17,"No such customer",0,1)</f>
        <v>GHCL Ltd.</v>
      </c>
      <c r="AA62" s="8" t="str">
        <v>58 Clarence St</v>
      </c>
      <c r="AB62" s="8" t="str">
        <v>Richmond</v>
      </c>
      <c r="AC62" s="8" t="str">
        <v>CA</v>
      </c>
      <c r="AD62" s="8" t="str">
        <v>94805</v>
      </c>
    </row>
    <row r="63" spans="1:30">
      <c r="A63" s="8" t="s">
        <v>129</v>
      </c>
      <c r="B63" s="19">
        <v>41363</v>
      </c>
      <c r="C63" s="8" t="s">
        <v>44</v>
      </c>
      <c r="D63" s="8">
        <v>10005</v>
      </c>
      <c r="E63" s="8" t="str">
        <f>VLOOKUP($D63,'Customer Details'!$A$1:$F$17,4,FALSE)</f>
        <v>Goleta</v>
      </c>
      <c r="F63" s="8" t="s">
        <v>131</v>
      </c>
      <c r="G63" s="8">
        <v>2</v>
      </c>
      <c r="H63" s="2" t="str">
        <f>VLOOKUP($D63,'Customer Details'!$A$1:$F$17,MATCH('Order SUmmary'!H$2,'Customer Details'!$A$1:$F$1,0),0)</f>
        <v>Fortis Healthcare Ltd.</v>
      </c>
      <c r="I63" s="2" t="str">
        <f>VLOOKUP($D63,'Customer Details'!$A$1:$F$17,4,0)</f>
        <v>Goleta</v>
      </c>
      <c r="J63" s="2" t="str">
        <f>VLOOKUP($D63,'Customer Details'!$A$1:$F$17,6,0)</f>
        <v>93117</v>
      </c>
      <c r="K63" s="8" t="str">
        <f>VLOOKUP(VLOOKUP(D63,'Customer Details'!$A$1:$F$17,5,0),'Region INfo'!$A$1:$C$52,3,0)</f>
        <v xml:space="preserve">Pacific   </v>
      </c>
      <c r="L63" s="8" t="str">
        <f>INDEX(Product_List,MATCH($F63,'Product List'!$B$1:$B$299,0),MATCH('Order SUmmary'!L$2,'Product List'!$A$1:$E$1,0))</f>
        <v>Avery 490</v>
      </c>
      <c r="M63" s="8">
        <f>INDEX(Product_List,MATCH($F63,'Product List'!$B$1:$B$299,0),MATCH('Order SUmmary'!M$2,'Product List'!$A$1:$E$1,0))</f>
        <v>3303</v>
      </c>
      <c r="N63" s="8">
        <f>INDEX(Product_List,MATCH($F63,'Product List'!$B$1:$B$299,0),MATCH('Order SUmmary'!N$2,'Product List'!$A$1:$E$1,0))</f>
        <v>2271</v>
      </c>
      <c r="O63" s="8" t="str">
        <f>INDEX(Product_List,MATCH($F63,'Product List'!$B$1:$B$299,0),MATCH('Order SUmmary'!O$2,'Product List'!$A$1:$E$1,0))</f>
        <v>Labels</v>
      </c>
      <c r="P63" s="12">
        <f>HLOOKUP(C63,'Commission Criteria'!$A$2:$I$4,3,FALSE)</f>
        <v>4</v>
      </c>
      <c r="Q63" s="8">
        <f t="shared" si="1"/>
        <v>4542</v>
      </c>
      <c r="R63" s="8">
        <f t="shared" si="2"/>
        <v>6606</v>
      </c>
      <c r="S63" s="36">
        <f>VLOOKUP(R63,'Commission Criteria'!$L$3:$M$11,2,TRUE)</f>
        <v>0.03</v>
      </c>
      <c r="T63" s="36">
        <f>IF(P63&lt;5,VLOOKUP(R63,'Commission Criteria'!$L$3:$M$11,2,1),VLOOKUP('Order SUmmary'!R63,'Commission Criteria'!$P$3:$Q$11,2,1))</f>
        <v>0.03</v>
      </c>
      <c r="U63" s="36">
        <f>VLOOKUP(R63,IF(P63&lt;5,'Commission Criteria'!$L$3:$M$11,'Commission Criteria'!$P$3:$Q$11),2,1)</f>
        <v>0.03</v>
      </c>
      <c r="V63" s="8" t="s">
        <v>43</v>
      </c>
      <c r="W63" s="36">
        <f t="shared" ca="1" si="3"/>
        <v>0.01</v>
      </c>
      <c r="X63" s="8" t="str">
        <f>_xlfn.XLOOKUP(F63,'Product List'!$B$1:$B$299,'Product List'!$A$1:$A$299)</f>
        <v>Avery 490</v>
      </c>
      <c r="Y63" s="8"/>
      <c r="Z63" s="8" t="str" cm="1">
        <f t="array" ref="Z63:AD63">_xlfn.XLOOKUP(D63,'Customer Details'!$A$1:$A$17,'Customer Details'!$B$1:$F$17,"No such customer",0,1)</f>
        <v>Fortis Healthcare Ltd.</v>
      </c>
      <c r="AA63" s="8" t="str">
        <v>14 Elsworthy Terrace</v>
      </c>
      <c r="AB63" s="8" t="str">
        <v>Goleta</v>
      </c>
      <c r="AC63" s="8" t="str">
        <v>CA</v>
      </c>
      <c r="AD63" s="8" t="str">
        <v>93117</v>
      </c>
    </row>
    <row r="64" spans="1:30">
      <c r="A64" s="8" t="s">
        <v>129</v>
      </c>
      <c r="B64" s="19">
        <v>41363</v>
      </c>
      <c r="C64" s="8" t="s">
        <v>27</v>
      </c>
      <c r="D64" s="8">
        <v>10001</v>
      </c>
      <c r="E64" s="8" t="str">
        <f>VLOOKUP($D64,'Customer Details'!$A$1:$F$17,4,FALSE)</f>
        <v>New York</v>
      </c>
      <c r="F64" s="8" t="s">
        <v>130</v>
      </c>
      <c r="G64" s="8">
        <v>2</v>
      </c>
      <c r="H64" s="2" t="str">
        <f>VLOOKUP($D64,'Customer Details'!$A$1:$F$17,MATCH('Order SUmmary'!H$2,'Customer Details'!$A$1:$F$1,0),0)</f>
        <v>Chambal Fertilisers and Chemicals Ltd.</v>
      </c>
      <c r="I64" s="2" t="str">
        <f>VLOOKUP($D64,'Customer Details'!$A$1:$F$17,4,0)</f>
        <v>New York</v>
      </c>
      <c r="J64" s="2" t="str">
        <f>VLOOKUP($D64,'Customer Details'!$A$1:$F$17,6,0)</f>
        <v>10025</v>
      </c>
      <c r="K64" s="8" t="str">
        <f>VLOOKUP(VLOOKUP(D64,'Customer Details'!$A$1:$F$17,5,0),'Region INfo'!$A$1:$C$52,3,0)</f>
        <v xml:space="preserve">Northern </v>
      </c>
      <c r="L64" s="8" t="str">
        <f>INDEX(Product_List,MATCH($F64,'Product List'!$B$1:$B$299,0),MATCH('Order SUmmary'!L$2,'Product List'!$A$1:$E$1,0))</f>
        <v>Xerox 212</v>
      </c>
      <c r="M64" s="8">
        <f>INDEX(Product_List,MATCH($F64,'Product List'!$B$1:$B$299,0),MATCH('Order SUmmary'!M$2,'Product List'!$A$1:$E$1,0))</f>
        <v>4564</v>
      </c>
      <c r="N64" s="8">
        <f>INDEX(Product_List,MATCH($F64,'Product List'!$B$1:$B$299,0),MATCH('Order SUmmary'!N$2,'Product List'!$A$1:$E$1,0))</f>
        <v>1823</v>
      </c>
      <c r="O64" s="8" t="str">
        <f>INDEX(Product_List,MATCH($F64,'Product List'!$B$1:$B$299,0),MATCH('Order SUmmary'!O$2,'Product List'!$A$1:$E$1,0))</f>
        <v>Paper</v>
      </c>
      <c r="P64" s="12">
        <f>HLOOKUP(C64,'Commission Criteria'!$A$2:$I$4,3,FALSE)</f>
        <v>4</v>
      </c>
      <c r="Q64" s="8">
        <f t="shared" si="1"/>
        <v>3646</v>
      </c>
      <c r="R64" s="8">
        <f t="shared" si="2"/>
        <v>9128</v>
      </c>
      <c r="S64" s="36">
        <f>VLOOKUP(R64,'Commission Criteria'!$L$3:$M$11,2,TRUE)</f>
        <v>0.03</v>
      </c>
      <c r="T64" s="36">
        <f>IF(P64&lt;5,VLOOKUP(R64,'Commission Criteria'!$L$3:$M$11,2,1),VLOOKUP('Order SUmmary'!R64,'Commission Criteria'!$P$3:$Q$11,2,1))</f>
        <v>0.03</v>
      </c>
      <c r="U64" s="36">
        <f>VLOOKUP(R64,IF(P64&lt;5,'Commission Criteria'!$L$3:$M$11,'Commission Criteria'!$P$3:$Q$11),2,1)</f>
        <v>0.03</v>
      </c>
      <c r="V64" s="8" t="s">
        <v>50</v>
      </c>
      <c r="W64" s="36">
        <f t="shared" ca="1" si="3"/>
        <v>0.03</v>
      </c>
      <c r="X64" s="8" t="str">
        <f>_xlfn.XLOOKUP(F64,'Product List'!$B$1:$B$299,'Product List'!$A$1:$A$299)</f>
        <v>Xerox 212</v>
      </c>
      <c r="Y64" s="8"/>
      <c r="Z64" s="8" t="str" cm="1">
        <f t="array" ref="Z64:AD64">_xlfn.XLOOKUP(D64,'Customer Details'!$A$1:$A$17,'Customer Details'!$B$1:$F$17,"No such customer",0,1)</f>
        <v>Chambal Fertilisers and Chemicals Ltd.</v>
      </c>
      <c r="AA64" s="8" t="str">
        <v>4951 Indiana Ave.</v>
      </c>
      <c r="AB64" s="8" t="str">
        <v>New York</v>
      </c>
      <c r="AC64" s="8" t="str">
        <v>NY</v>
      </c>
      <c r="AD64" s="8" t="str">
        <v>10025</v>
      </c>
    </row>
    <row r="65" spans="1:30">
      <c r="A65" s="8" t="s">
        <v>132</v>
      </c>
      <c r="B65" s="19">
        <v>41363</v>
      </c>
      <c r="C65" s="8" t="s">
        <v>36</v>
      </c>
      <c r="D65" s="8">
        <v>10002</v>
      </c>
      <c r="E65" s="8" t="str">
        <f>VLOOKUP($D65,'Customer Details'!$A$1:$F$17,4,FALSE)</f>
        <v>Omaha</v>
      </c>
      <c r="F65" s="8" t="s">
        <v>133</v>
      </c>
      <c r="G65" s="8">
        <v>2</v>
      </c>
      <c r="H65" s="2" t="str">
        <f>VLOOKUP($D65,'Customer Details'!$A$1:$F$17,MATCH('Order SUmmary'!H$2,'Customer Details'!$A$1:$F$1,0),0)</f>
        <v>Elder Pharmaceuticals</v>
      </c>
      <c r="I65" s="2" t="str">
        <f>VLOOKUP($D65,'Customer Details'!$A$1:$F$17,4,0)</f>
        <v>Omaha</v>
      </c>
      <c r="J65" s="2" t="str">
        <f>VLOOKUP($D65,'Customer Details'!$A$1:$F$17,6,0)</f>
        <v>68127</v>
      </c>
      <c r="K65" s="8" t="str">
        <f>VLOOKUP(VLOOKUP(D65,'Customer Details'!$A$1:$F$17,5,0),'Region INfo'!$A$1:$C$52,3,0)</f>
        <v>Western</v>
      </c>
      <c r="L65" s="8" t="str">
        <f>INDEX(Product_List,MATCH($F65,'Product List'!$B$1:$B$299,0),MATCH('Order SUmmary'!L$2,'Product List'!$A$1:$E$1,0))</f>
        <v>Xerox 213</v>
      </c>
      <c r="M65" s="8">
        <f>INDEX(Product_List,MATCH($F65,'Product List'!$B$1:$B$299,0),MATCH('Order SUmmary'!M$2,'Product List'!$A$1:$E$1,0))</f>
        <v>4906</v>
      </c>
      <c r="N65" s="8">
        <f>INDEX(Product_List,MATCH($F65,'Product List'!$B$1:$B$299,0),MATCH('Order SUmmary'!N$2,'Product List'!$A$1:$E$1,0))</f>
        <v>2269</v>
      </c>
      <c r="O65" s="8" t="str">
        <f>INDEX(Product_List,MATCH($F65,'Product List'!$B$1:$B$299,0),MATCH('Order SUmmary'!O$2,'Product List'!$A$1:$E$1,0))</f>
        <v>Paper</v>
      </c>
      <c r="P65" s="12">
        <f>HLOOKUP(C65,'Commission Criteria'!$A$2:$I$4,3,FALSE)</f>
        <v>6</v>
      </c>
      <c r="Q65" s="8">
        <f t="shared" si="1"/>
        <v>4538</v>
      </c>
      <c r="R65" s="8">
        <f t="shared" si="2"/>
        <v>9812</v>
      </c>
      <c r="S65" s="36">
        <f>VLOOKUP(R65,'Commission Criteria'!$L$3:$M$11,2,TRUE)</f>
        <v>0.03</v>
      </c>
      <c r="T65" s="36">
        <f>IF(P65&lt;5,VLOOKUP(R65,'Commission Criteria'!$L$3:$M$11,2,1),VLOOKUP('Order SUmmary'!R65,'Commission Criteria'!$P$3:$Q$11,2,1))</f>
        <v>0.02</v>
      </c>
      <c r="U65" s="36">
        <f>VLOOKUP(R65,IF(P65&lt;5,'Commission Criteria'!$L$3:$M$11,'Commission Criteria'!$P$3:$Q$11),2,1)</f>
        <v>0.02</v>
      </c>
      <c r="V65" s="8" t="s">
        <v>35</v>
      </c>
      <c r="W65" s="36">
        <f t="shared" ca="1" si="3"/>
        <v>0.02</v>
      </c>
      <c r="X65" s="8" t="str">
        <f>_xlfn.XLOOKUP(F65,'Product List'!$B$1:$B$299,'Product List'!$A$1:$A$299)</f>
        <v>Xerox 213</v>
      </c>
      <c r="Y65" s="8"/>
      <c r="Z65" s="8" t="str" cm="1">
        <f t="array" ref="Z65:AD65">_xlfn.XLOOKUP(D65,'Customer Details'!$A$1:$A$17,'Customer Details'!$B$1:$F$17,"No such customer",0,1)</f>
        <v>Elder Pharmaceuticals</v>
      </c>
      <c r="AA65" s="8" t="str">
        <v>57 Neriba Cres</v>
      </c>
      <c r="AB65" s="8" t="str">
        <v>Omaha</v>
      </c>
      <c r="AC65" s="8" t="str">
        <v>NE</v>
      </c>
      <c r="AD65" s="8" t="str">
        <v>68127</v>
      </c>
    </row>
    <row r="66" spans="1:30">
      <c r="A66" s="8" t="s">
        <v>134</v>
      </c>
      <c r="B66" s="19">
        <v>41366</v>
      </c>
      <c r="C66" s="8" t="s">
        <v>51</v>
      </c>
      <c r="D66" s="8">
        <v>10006</v>
      </c>
      <c r="E66" s="8" t="str">
        <f>VLOOKUP($D66,'Customer Details'!$A$1:$F$17,4,FALSE)</f>
        <v>Midland</v>
      </c>
      <c r="F66" s="8" t="s">
        <v>135</v>
      </c>
      <c r="G66" s="8">
        <v>1</v>
      </c>
      <c r="H66" s="2" t="str">
        <f>VLOOKUP($D66,'Customer Details'!$A$1:$F$17,MATCH('Order SUmmary'!H$2,'Customer Details'!$A$1:$F$1,0),0)</f>
        <v>Supreme Ind</v>
      </c>
      <c r="I66" s="2" t="str">
        <f>VLOOKUP($D66,'Customer Details'!$A$1:$F$17,4,0)</f>
        <v>Midland</v>
      </c>
      <c r="J66" s="2" t="str">
        <f>VLOOKUP($D66,'Customer Details'!$A$1:$F$17,6,0)</f>
        <v>79706</v>
      </c>
      <c r="K66" s="8" t="str">
        <f>VLOOKUP(VLOOKUP(D66,'Customer Details'!$A$1:$F$17,5,0),'Region INfo'!$A$1:$C$52,3,0)</f>
        <v>Western</v>
      </c>
      <c r="L66" s="8" t="str">
        <f>INDEX(Product_List,MATCH($F66,'Product List'!$B$1:$B$299,0),MATCH('Order SUmmary'!L$2,'Product List'!$A$1:$E$1,0))</f>
        <v>Xerox 1939</v>
      </c>
      <c r="M66" s="8">
        <f>INDEX(Product_List,MATCH($F66,'Product List'!$B$1:$B$299,0),MATCH('Order SUmmary'!M$2,'Product List'!$A$1:$E$1,0))</f>
        <v>3408</v>
      </c>
      <c r="N66" s="8">
        <f>INDEX(Product_List,MATCH($F66,'Product List'!$B$1:$B$299,0),MATCH('Order SUmmary'!N$2,'Product List'!$A$1:$E$1,0))</f>
        <v>2467</v>
      </c>
      <c r="O66" s="8" t="str">
        <f>INDEX(Product_List,MATCH($F66,'Product List'!$B$1:$B$299,0),MATCH('Order SUmmary'!O$2,'Product List'!$A$1:$E$1,0))</f>
        <v>Paper</v>
      </c>
      <c r="P66" s="12">
        <f>HLOOKUP(C66,'Commission Criteria'!$A$2:$I$4,3,FALSE)</f>
        <v>10</v>
      </c>
      <c r="Q66" s="8">
        <f t="shared" si="1"/>
        <v>2467</v>
      </c>
      <c r="R66" s="8">
        <f t="shared" si="2"/>
        <v>3408</v>
      </c>
      <c r="S66" s="36">
        <f>VLOOKUP(R66,'Commission Criteria'!$L$3:$M$11,2,TRUE)</f>
        <v>0.01</v>
      </c>
      <c r="T66" s="36">
        <f>IF(P66&lt;5,VLOOKUP(R66,'Commission Criteria'!$L$3:$M$11,2,1),VLOOKUP('Order SUmmary'!R66,'Commission Criteria'!$P$3:$Q$11,2,1))</f>
        <v>0.02</v>
      </c>
      <c r="U66" s="36">
        <f>VLOOKUP(R66,IF(P66&lt;5,'Commission Criteria'!$L$3:$M$11,'Commission Criteria'!$P$3:$Q$11),2,1)</f>
        <v>0.02</v>
      </c>
      <c r="V66" s="8" t="s">
        <v>40</v>
      </c>
      <c r="W66" s="36">
        <f t="shared" ca="1" si="3"/>
        <v>0.01</v>
      </c>
      <c r="X66" s="8" t="str">
        <f>_xlfn.XLOOKUP(F66,'Product List'!$B$1:$B$299,'Product List'!$A$1:$A$299)</f>
        <v>Xerox 1939</v>
      </c>
      <c r="Y66" s="8"/>
      <c r="Z66" s="8" t="str" cm="1">
        <f t="array" ref="Z66:AD66">_xlfn.XLOOKUP(D66,'Customer Details'!$A$1:$A$17,'Customer Details'!$B$1:$F$17,"No such customer",0,1)</f>
        <v>Supreme Ind</v>
      </c>
      <c r="AA66" s="8" t="str">
        <v>P.O. Box 1367</v>
      </c>
      <c r="AB66" s="8" t="str">
        <v>Midland</v>
      </c>
      <c r="AC66" s="8" t="str">
        <v>TX</v>
      </c>
      <c r="AD66" s="8" t="str">
        <v>79706</v>
      </c>
    </row>
    <row r="67" spans="1:30">
      <c r="A67" s="8" t="s">
        <v>136</v>
      </c>
      <c r="B67" s="19">
        <v>41371</v>
      </c>
      <c r="C67" s="8" t="s">
        <v>46</v>
      </c>
      <c r="D67" s="8">
        <v>10004</v>
      </c>
      <c r="E67" s="8" t="str">
        <f>VLOOKUP($D67,'Customer Details'!$A$1:$F$17,4,FALSE)</f>
        <v>New York</v>
      </c>
      <c r="F67" s="8" t="s">
        <v>137</v>
      </c>
      <c r="G67" s="8">
        <v>2</v>
      </c>
      <c r="H67" s="2" t="str">
        <f>VLOOKUP($D67,'Customer Details'!$A$1:$F$17,MATCH('Order SUmmary'!H$2,'Customer Details'!$A$1:$F$1,0),0)</f>
        <v>Lupin Ltd.</v>
      </c>
      <c r="I67" s="2" t="str">
        <f>VLOOKUP($D67,'Customer Details'!$A$1:$F$17,4,0)</f>
        <v>New York</v>
      </c>
      <c r="J67" s="2" t="str">
        <f>VLOOKUP($D67,'Customer Details'!$A$1:$F$17,6,0)</f>
        <v>10019</v>
      </c>
      <c r="K67" s="8" t="str">
        <f>VLOOKUP(VLOOKUP(D67,'Customer Details'!$A$1:$F$17,5,0),'Region INfo'!$A$1:$C$52,3,0)</f>
        <v xml:space="preserve">Northern </v>
      </c>
      <c r="L67" s="8" t="str">
        <f>INDEX(Product_List,MATCH($F67,'Product List'!$B$1:$B$299,0),MATCH('Order SUmmary'!L$2,'Product List'!$A$1:$E$1,0))</f>
        <v>Newell 35</v>
      </c>
      <c r="M67" s="8">
        <f>INDEX(Product_List,MATCH($F67,'Product List'!$B$1:$B$299,0),MATCH('Order SUmmary'!M$2,'Product List'!$A$1:$E$1,0))</f>
        <v>4209</v>
      </c>
      <c r="N67" s="8">
        <f>INDEX(Product_List,MATCH($F67,'Product List'!$B$1:$B$299,0),MATCH('Order SUmmary'!N$2,'Product List'!$A$1:$E$1,0))</f>
        <v>1692</v>
      </c>
      <c r="O67" s="8" t="str">
        <f>INDEX(Product_List,MATCH($F67,'Product List'!$B$1:$B$299,0),MATCH('Order SUmmary'!O$2,'Product List'!$A$1:$E$1,0))</f>
        <v>Art</v>
      </c>
      <c r="P67" s="12">
        <f>HLOOKUP(C67,'Commission Criteria'!$A$2:$I$4,3,FALSE)</f>
        <v>8</v>
      </c>
      <c r="Q67" s="8">
        <f t="shared" si="1"/>
        <v>3384</v>
      </c>
      <c r="R67" s="8">
        <f t="shared" si="2"/>
        <v>8418</v>
      </c>
      <c r="S67" s="36">
        <f>VLOOKUP(R67,'Commission Criteria'!$L$3:$M$11,2,TRUE)</f>
        <v>0.03</v>
      </c>
      <c r="T67" s="36">
        <f>IF(P67&lt;5,VLOOKUP(R67,'Commission Criteria'!$L$3:$M$11,2,1),VLOOKUP('Order SUmmary'!R67,'Commission Criteria'!$P$3:$Q$11,2,1))</f>
        <v>0.02</v>
      </c>
      <c r="U67" s="36">
        <f>VLOOKUP(R67,IF(P67&lt;5,'Commission Criteria'!$L$3:$M$11,'Commission Criteria'!$P$3:$Q$11),2,1)</f>
        <v>0.02</v>
      </c>
      <c r="V67" s="8" t="s">
        <v>32</v>
      </c>
      <c r="W67" s="36">
        <f t="shared" ca="1" si="3"/>
        <v>0.05</v>
      </c>
      <c r="X67" s="8" t="str">
        <f>_xlfn.XLOOKUP(F67,'Product List'!$B$1:$B$299,'Product List'!$A$1:$A$299)</f>
        <v>Newell 35</v>
      </c>
      <c r="Y67" s="8"/>
      <c r="Z67" s="8" t="str" cm="1">
        <f t="array" ref="Z67:AD67">_xlfn.XLOOKUP(D67,'Customer Details'!$A$1:$A$17,'Customer Details'!$B$1:$F$17,"No such customer",0,1)</f>
        <v>Lupin Ltd.</v>
      </c>
      <c r="AA67" s="8" t="str">
        <v>Abbey Wood</v>
      </c>
      <c r="AB67" s="8" t="str">
        <v>New York</v>
      </c>
      <c r="AC67" s="8" t="str">
        <v>NY</v>
      </c>
      <c r="AD67" s="8" t="str">
        <v>10019</v>
      </c>
    </row>
    <row r="68" spans="1:30">
      <c r="A68" s="8" t="s">
        <v>138</v>
      </c>
      <c r="B68" s="19">
        <v>41372</v>
      </c>
      <c r="C68" s="8" t="s">
        <v>36</v>
      </c>
      <c r="D68" s="8">
        <v>10008</v>
      </c>
      <c r="E68" s="8" t="str">
        <f>VLOOKUP($D68,'Customer Details'!$A$1:$F$17,4,FALSE)</f>
        <v>Chestnut Ridge</v>
      </c>
      <c r="F68" s="8" t="s">
        <v>84</v>
      </c>
      <c r="G68" s="8">
        <v>1</v>
      </c>
      <c r="H68" s="2" t="str">
        <f>VLOOKUP($D68,'Customer Details'!$A$1:$F$17,MATCH('Order SUmmary'!H$2,'Customer Details'!$A$1:$F$1,0),0)</f>
        <v>Reliance Industries Limited</v>
      </c>
      <c r="I68" s="2" t="str">
        <f>VLOOKUP($D68,'Customer Details'!$A$1:$F$17,4,0)</f>
        <v>Chestnut Ridge</v>
      </c>
      <c r="J68" s="2" t="str">
        <f>VLOOKUP($D68,'Customer Details'!$A$1:$F$17,6,0)</f>
        <v>10977</v>
      </c>
      <c r="K68" s="8" t="str">
        <f>VLOOKUP(VLOOKUP(D68,'Customer Details'!$A$1:$F$17,5,0),'Region INfo'!$A$1:$C$52,3,0)</f>
        <v xml:space="preserve">Northern </v>
      </c>
      <c r="L68" s="8" t="str">
        <f>INDEX(Product_List,MATCH($F68,'Product List'!$B$1:$B$299,0),MATCH('Order SUmmary'!L$2,'Product List'!$A$1:$E$1,0))</f>
        <v>Xerox 1979</v>
      </c>
      <c r="M68" s="8">
        <f>INDEX(Product_List,MATCH($F68,'Product List'!$B$1:$B$299,0),MATCH('Order SUmmary'!M$2,'Product List'!$A$1:$E$1,0))</f>
        <v>4731</v>
      </c>
      <c r="N68" s="8">
        <f>INDEX(Product_List,MATCH($F68,'Product List'!$B$1:$B$299,0),MATCH('Order SUmmary'!N$2,'Product List'!$A$1:$E$1,0))</f>
        <v>1858</v>
      </c>
      <c r="O68" s="8" t="str">
        <f>INDEX(Product_List,MATCH($F68,'Product List'!$B$1:$B$299,0),MATCH('Order SUmmary'!O$2,'Product List'!$A$1:$E$1,0))</f>
        <v>Paper</v>
      </c>
      <c r="P68" s="12">
        <f>HLOOKUP(C68,'Commission Criteria'!$A$2:$I$4,3,FALSE)</f>
        <v>6</v>
      </c>
      <c r="Q68" s="8">
        <f t="shared" ref="Q68:Q131" si="4">N68*G68</f>
        <v>1858</v>
      </c>
      <c r="R68" s="8">
        <f t="shared" ref="R68:R131" si="5">M68*G68</f>
        <v>4731</v>
      </c>
      <c r="S68" s="36">
        <f>VLOOKUP(R68,'Commission Criteria'!$L$3:$M$11,2,TRUE)</f>
        <v>0.01</v>
      </c>
      <c r="T68" s="36">
        <f>IF(P68&lt;5,VLOOKUP(R68,'Commission Criteria'!$L$3:$M$11,2,1),VLOOKUP('Order SUmmary'!R68,'Commission Criteria'!$P$3:$Q$11,2,1))</f>
        <v>0.02</v>
      </c>
      <c r="U68" s="36">
        <f>VLOOKUP(R68,IF(P68&lt;5,'Commission Criteria'!$L$3:$M$11,'Commission Criteria'!$P$3:$Q$11),2,1)</f>
        <v>0.02</v>
      </c>
      <c r="V68" s="8" t="s">
        <v>40</v>
      </c>
      <c r="W68" s="36">
        <f t="shared" ref="W68:W131" ca="1" si="6">VLOOKUP(F68,INDIRECT(V68&amp;"!$A$1:$B$296"),2,0)</f>
        <v>0.02</v>
      </c>
      <c r="X68" s="8" t="str">
        <f>_xlfn.XLOOKUP(F68,'Product List'!$B$1:$B$299,'Product List'!$A$1:$A$299)</f>
        <v>Xerox 1979</v>
      </c>
      <c r="Y68" s="8"/>
      <c r="Z68" s="8" t="str" cm="1">
        <f t="array" ref="Z68:AD68">_xlfn.XLOOKUP(D68,'Customer Details'!$A$1:$A$17,'Customer Details'!$B$1:$F$17,"No such customer",0,1)</f>
        <v>Reliance Industries Limited</v>
      </c>
      <c r="AA68" s="8" t="str">
        <v>12020 Shamrock Rd., Suite 333</v>
      </c>
      <c r="AB68" s="8" t="str">
        <v>Chestnut Ridge</v>
      </c>
      <c r="AC68" s="8" t="str">
        <v>NY</v>
      </c>
      <c r="AD68" s="8" t="str">
        <v>10977</v>
      </c>
    </row>
    <row r="69" spans="1:30">
      <c r="A69" s="8" t="s">
        <v>139</v>
      </c>
      <c r="B69" s="19">
        <v>41372</v>
      </c>
      <c r="C69" s="8" t="s">
        <v>36</v>
      </c>
      <c r="D69" s="8">
        <v>10009</v>
      </c>
      <c r="E69" s="8" t="str">
        <f>VLOOKUP($D69,'Customer Details'!$A$1:$F$17,4,FALSE)</f>
        <v>Salt Lake City</v>
      </c>
      <c r="F69" s="8" t="s">
        <v>140</v>
      </c>
      <c r="G69" s="8">
        <v>1</v>
      </c>
      <c r="H69" s="2" t="str">
        <f>VLOOKUP($D69,'Customer Details'!$A$1:$F$17,MATCH('Order SUmmary'!H$2,'Customer Details'!$A$1:$F$1,0),0)</f>
        <v>Godfrey Philips India Ltd.</v>
      </c>
      <c r="I69" s="2" t="str">
        <f>VLOOKUP($D69,'Customer Details'!$A$1:$F$17,4,0)</f>
        <v>Salt Lake City</v>
      </c>
      <c r="J69" s="2" t="str">
        <f>VLOOKUP($D69,'Customer Details'!$A$1:$F$17,6,0)</f>
        <v>84118</v>
      </c>
      <c r="K69" s="8" t="str">
        <f>VLOOKUP(VLOOKUP(D69,'Customer Details'!$A$1:$F$17,5,0),'Region INfo'!$A$1:$C$52,3,0)</f>
        <v xml:space="preserve">Pacific   </v>
      </c>
      <c r="L69" s="8" t="str">
        <f>INDEX(Product_List,MATCH($F69,'Product List'!$B$1:$B$299,0),MATCH('Order SUmmary'!L$2,'Product List'!$A$1:$E$1,0))</f>
        <v>Xerox 1899</v>
      </c>
      <c r="M69" s="8">
        <f>INDEX(Product_List,MATCH($F69,'Product List'!$B$1:$B$299,0),MATCH('Order SUmmary'!M$2,'Product List'!$A$1:$E$1,0))</f>
        <v>4816</v>
      </c>
      <c r="N69" s="8">
        <f>INDEX(Product_List,MATCH($F69,'Product List'!$B$1:$B$299,0),MATCH('Order SUmmary'!N$2,'Product List'!$A$1:$E$1,0))</f>
        <v>2201</v>
      </c>
      <c r="O69" s="8" t="str">
        <f>INDEX(Product_List,MATCH($F69,'Product List'!$B$1:$B$299,0),MATCH('Order SUmmary'!O$2,'Product List'!$A$1:$E$1,0))</f>
        <v>Paper</v>
      </c>
      <c r="P69" s="12">
        <f>HLOOKUP(C69,'Commission Criteria'!$A$2:$I$4,3,FALSE)</f>
        <v>6</v>
      </c>
      <c r="Q69" s="8">
        <f t="shared" si="4"/>
        <v>2201</v>
      </c>
      <c r="R69" s="8">
        <f t="shared" si="5"/>
        <v>4816</v>
      </c>
      <c r="S69" s="36">
        <f>VLOOKUP(R69,'Commission Criteria'!$L$3:$M$11,2,TRUE)</f>
        <v>0.01</v>
      </c>
      <c r="T69" s="36">
        <f>IF(P69&lt;5,VLOOKUP(R69,'Commission Criteria'!$L$3:$M$11,2,1),VLOOKUP('Order SUmmary'!R69,'Commission Criteria'!$P$3:$Q$11,2,1))</f>
        <v>0.02</v>
      </c>
      <c r="U69" s="36">
        <f>VLOOKUP(R69,IF(P69&lt;5,'Commission Criteria'!$L$3:$M$11,'Commission Criteria'!$P$3:$Q$11),2,1)</f>
        <v>0.02</v>
      </c>
      <c r="V69" s="8" t="s">
        <v>32</v>
      </c>
      <c r="W69" s="36">
        <f t="shared" ca="1" si="6"/>
        <v>0.04</v>
      </c>
      <c r="X69" s="8" t="str">
        <f>_xlfn.XLOOKUP(F69,'Product List'!$B$1:$B$299,'Product List'!$A$1:$A$299)</f>
        <v>Xerox 1899</v>
      </c>
      <c r="Y69" s="8"/>
      <c r="Z69" s="8" t="str" cm="1">
        <f t="array" ref="Z69:AD69">_xlfn.XLOOKUP(D69,'Customer Details'!$A$1:$A$17,'Customer Details'!$B$1:$F$17,"No such customer",0,1)</f>
        <v>Godfrey Philips India Ltd.</v>
      </c>
      <c r="AA69" s="8" t="str">
        <v>20501 Ania Ave #2</v>
      </c>
      <c r="AB69" s="8" t="str">
        <v>Salt Lake City</v>
      </c>
      <c r="AC69" s="8" t="str">
        <v>UT</v>
      </c>
      <c r="AD69" s="8" t="str">
        <v>84118</v>
      </c>
    </row>
    <row r="70" spans="1:30">
      <c r="A70" s="8" t="s">
        <v>138</v>
      </c>
      <c r="B70" s="19">
        <v>41372</v>
      </c>
      <c r="C70" s="8" t="s">
        <v>27</v>
      </c>
      <c r="D70" s="8">
        <v>10007</v>
      </c>
      <c r="E70" s="8" t="str">
        <f>VLOOKUP($D70,'Customer Details'!$A$1:$F$17,4,FALSE)</f>
        <v>Richmond</v>
      </c>
      <c r="F70" s="8" t="s">
        <v>141</v>
      </c>
      <c r="G70" s="8">
        <v>2</v>
      </c>
      <c r="H70" s="2" t="str">
        <f>VLOOKUP($D70,'Customer Details'!$A$1:$F$17,MATCH('Order SUmmary'!H$2,'Customer Details'!$A$1:$F$1,0),0)</f>
        <v>GHCL Ltd.</v>
      </c>
      <c r="I70" s="2" t="str">
        <f>VLOOKUP($D70,'Customer Details'!$A$1:$F$17,4,0)</f>
        <v>Richmond</v>
      </c>
      <c r="J70" s="2" t="str">
        <f>VLOOKUP($D70,'Customer Details'!$A$1:$F$17,6,0)</f>
        <v>94805</v>
      </c>
      <c r="K70" s="8" t="str">
        <f>VLOOKUP(VLOOKUP(D70,'Customer Details'!$A$1:$F$17,5,0),'Region INfo'!$A$1:$C$52,3,0)</f>
        <v xml:space="preserve">Pacific   </v>
      </c>
      <c r="L70" s="8" t="str">
        <f>INDEX(Product_List,MATCH($F70,'Product List'!$B$1:$B$299,0),MATCH('Order SUmmary'!L$2,'Product List'!$A$1:$E$1,0))</f>
        <v>Xerox 1994</v>
      </c>
      <c r="M70" s="8">
        <f>INDEX(Product_List,MATCH($F70,'Product List'!$B$1:$B$299,0),MATCH('Order SUmmary'!M$2,'Product List'!$A$1:$E$1,0))</f>
        <v>4901</v>
      </c>
      <c r="N70" s="8">
        <f>INDEX(Product_List,MATCH($F70,'Product List'!$B$1:$B$299,0),MATCH('Order SUmmary'!N$2,'Product List'!$A$1:$E$1,0))</f>
        <v>1789</v>
      </c>
      <c r="O70" s="8" t="str">
        <f>INDEX(Product_List,MATCH($F70,'Product List'!$B$1:$B$299,0),MATCH('Order SUmmary'!O$2,'Product List'!$A$1:$E$1,0))</f>
        <v>Paper</v>
      </c>
      <c r="P70" s="12">
        <f>HLOOKUP(C70,'Commission Criteria'!$A$2:$I$4,3,FALSE)</f>
        <v>4</v>
      </c>
      <c r="Q70" s="8">
        <f t="shared" si="4"/>
        <v>3578</v>
      </c>
      <c r="R70" s="8">
        <f t="shared" si="5"/>
        <v>9802</v>
      </c>
      <c r="S70" s="36">
        <f>VLOOKUP(R70,'Commission Criteria'!$L$3:$M$11,2,TRUE)</f>
        <v>0.03</v>
      </c>
      <c r="T70" s="36">
        <f>IF(P70&lt;5,VLOOKUP(R70,'Commission Criteria'!$L$3:$M$11,2,1),VLOOKUP('Order SUmmary'!R70,'Commission Criteria'!$P$3:$Q$11,2,1))</f>
        <v>0.03</v>
      </c>
      <c r="U70" s="36">
        <f>VLOOKUP(R70,IF(P70&lt;5,'Commission Criteria'!$L$3:$M$11,'Commission Criteria'!$P$3:$Q$11),2,1)</f>
        <v>0.03</v>
      </c>
      <c r="V70" s="8" t="s">
        <v>32</v>
      </c>
      <c r="W70" s="36">
        <f t="shared" ca="1" si="6"/>
        <v>0.05</v>
      </c>
      <c r="X70" s="8" t="str">
        <f>_xlfn.XLOOKUP(F70,'Product List'!$B$1:$B$299,'Product List'!$A$1:$A$299)</f>
        <v>Xerox 1994</v>
      </c>
      <c r="Y70" s="8"/>
      <c r="Z70" s="8" t="str" cm="1">
        <f t="array" ref="Z70:AD70">_xlfn.XLOOKUP(D70,'Customer Details'!$A$1:$A$17,'Customer Details'!$B$1:$F$17,"No such customer",0,1)</f>
        <v>GHCL Ltd.</v>
      </c>
      <c r="AA70" s="8" t="str">
        <v>58 Clarence St</v>
      </c>
      <c r="AB70" s="8" t="str">
        <v>Richmond</v>
      </c>
      <c r="AC70" s="8" t="str">
        <v>CA</v>
      </c>
      <c r="AD70" s="8" t="str">
        <v>94805</v>
      </c>
    </row>
    <row r="71" spans="1:30">
      <c r="A71" s="8" t="s">
        <v>139</v>
      </c>
      <c r="B71" s="19">
        <v>41372</v>
      </c>
      <c r="C71" s="8" t="s">
        <v>66</v>
      </c>
      <c r="D71" s="8">
        <v>10004</v>
      </c>
      <c r="E71" s="8" t="str">
        <f>VLOOKUP($D71,'Customer Details'!$A$1:$F$17,4,FALSE)</f>
        <v>New York</v>
      </c>
      <c r="F71" s="8" t="s">
        <v>62</v>
      </c>
      <c r="G71" s="8">
        <v>3</v>
      </c>
      <c r="H71" s="2" t="str">
        <f>VLOOKUP($D71,'Customer Details'!$A$1:$F$17,MATCH('Order SUmmary'!H$2,'Customer Details'!$A$1:$F$1,0),0)</f>
        <v>Lupin Ltd.</v>
      </c>
      <c r="I71" s="2" t="str">
        <f>VLOOKUP($D71,'Customer Details'!$A$1:$F$17,4,0)</f>
        <v>New York</v>
      </c>
      <c r="J71" s="2" t="str">
        <f>VLOOKUP($D71,'Customer Details'!$A$1:$F$17,6,0)</f>
        <v>10019</v>
      </c>
      <c r="K71" s="8" t="str">
        <f>VLOOKUP(VLOOKUP(D71,'Customer Details'!$A$1:$F$17,5,0),'Region INfo'!$A$1:$C$52,3,0)</f>
        <v xml:space="preserve">Northern </v>
      </c>
      <c r="L71" s="8" t="str">
        <f>INDEX(Product_List,MATCH($F71,'Product List'!$B$1:$B$299,0),MATCH('Order SUmmary'!L$2,'Product List'!$A$1:$E$1,0))</f>
        <v>Newell 308</v>
      </c>
      <c r="M71" s="8">
        <f>INDEX(Product_List,MATCH($F71,'Product List'!$B$1:$B$299,0),MATCH('Order SUmmary'!M$2,'Product List'!$A$1:$E$1,0))</f>
        <v>4515</v>
      </c>
      <c r="N71" s="8">
        <f>INDEX(Product_List,MATCH($F71,'Product List'!$B$1:$B$299,0),MATCH('Order SUmmary'!N$2,'Product List'!$A$1:$E$1,0))</f>
        <v>1550</v>
      </c>
      <c r="O71" s="8" t="str">
        <f>INDEX(Product_List,MATCH($F71,'Product List'!$B$1:$B$299,0),MATCH('Order SUmmary'!O$2,'Product List'!$A$1:$E$1,0))</f>
        <v>Art</v>
      </c>
      <c r="P71" s="12">
        <f>HLOOKUP(C71,'Commission Criteria'!$A$2:$I$4,3,FALSE)</f>
        <v>5</v>
      </c>
      <c r="Q71" s="8">
        <f t="shared" si="4"/>
        <v>4650</v>
      </c>
      <c r="R71" s="8">
        <f t="shared" si="5"/>
        <v>13545</v>
      </c>
      <c r="S71" s="36">
        <f>VLOOKUP(R71,'Commission Criteria'!$L$3:$M$11,2,TRUE)</f>
        <v>0.03</v>
      </c>
      <c r="T71" s="36">
        <f>IF(P71&lt;5,VLOOKUP(R71,'Commission Criteria'!$L$3:$M$11,2,1),VLOOKUP('Order SUmmary'!R71,'Commission Criteria'!$P$3:$Q$11,2,1))</f>
        <v>0.02</v>
      </c>
      <c r="U71" s="36">
        <f>VLOOKUP(R71,IF(P71&lt;5,'Commission Criteria'!$L$3:$M$11,'Commission Criteria'!$P$3:$Q$11),2,1)</f>
        <v>0.02</v>
      </c>
      <c r="V71" s="8" t="s">
        <v>43</v>
      </c>
      <c r="W71" s="36">
        <f t="shared" ca="1" si="6"/>
        <v>0.01</v>
      </c>
      <c r="X71" s="8" t="str">
        <f>_xlfn.XLOOKUP(F71,'Product List'!$B$1:$B$299,'Product List'!$A$1:$A$299)</f>
        <v>Newell 308</v>
      </c>
      <c r="Y71" s="8"/>
      <c r="Z71" s="8" t="str" cm="1">
        <f t="array" ref="Z71:AD71">_xlfn.XLOOKUP(D71,'Customer Details'!$A$1:$A$17,'Customer Details'!$B$1:$F$17,"No such customer",0,1)</f>
        <v>Lupin Ltd.</v>
      </c>
      <c r="AA71" s="8" t="str">
        <v>Abbey Wood</v>
      </c>
      <c r="AB71" s="8" t="str">
        <v>New York</v>
      </c>
      <c r="AC71" s="8" t="str">
        <v>NY</v>
      </c>
      <c r="AD71" s="8" t="str">
        <v>10019</v>
      </c>
    </row>
    <row r="72" spans="1:30">
      <c r="A72" s="8" t="s">
        <v>142</v>
      </c>
      <c r="B72" s="19">
        <v>41378</v>
      </c>
      <c r="C72" s="8" t="s">
        <v>46</v>
      </c>
      <c r="D72" s="8">
        <v>10003</v>
      </c>
      <c r="E72" s="8" t="str">
        <f>VLOOKUP($D72,'Customer Details'!$A$1:$F$17,4,FALSE)</f>
        <v>Miami</v>
      </c>
      <c r="F72" s="8" t="s">
        <v>143</v>
      </c>
      <c r="G72" s="8">
        <v>1</v>
      </c>
      <c r="H72" s="2" t="str">
        <f>VLOOKUP($D72,'Customer Details'!$A$1:$F$17,MATCH('Order SUmmary'!H$2,'Customer Details'!$A$1:$F$1,0),0)</f>
        <v>Honeywell Automation</v>
      </c>
      <c r="I72" s="2" t="str">
        <f>VLOOKUP($D72,'Customer Details'!$A$1:$F$17,4,0)</f>
        <v>Miami</v>
      </c>
      <c r="J72" s="2" t="str">
        <f>VLOOKUP($D72,'Customer Details'!$A$1:$F$17,6,0)</f>
        <v>33732</v>
      </c>
      <c r="K72" s="8" t="str">
        <f>VLOOKUP(VLOOKUP(D72,'Customer Details'!$A$1:$F$17,5,0),'Region INfo'!$A$1:$C$52,3,0)</f>
        <v>Southern</v>
      </c>
      <c r="L72" s="8" t="str">
        <f>INDEX(Product_List,MATCH($F72,'Product List'!$B$1:$B$299,0),MATCH('Order SUmmary'!L$2,'Product List'!$A$1:$E$1,0))</f>
        <v>Xerox 1932</v>
      </c>
      <c r="M72" s="8">
        <f>INDEX(Product_List,MATCH($F72,'Product List'!$B$1:$B$299,0),MATCH('Order SUmmary'!M$2,'Product List'!$A$1:$E$1,0))</f>
        <v>4309</v>
      </c>
      <c r="N72" s="8">
        <f>INDEX(Product_List,MATCH($F72,'Product List'!$B$1:$B$299,0),MATCH('Order SUmmary'!N$2,'Product List'!$A$1:$E$1,0))</f>
        <v>1779</v>
      </c>
      <c r="O72" s="8" t="str">
        <f>INDEX(Product_List,MATCH($F72,'Product List'!$B$1:$B$299,0),MATCH('Order SUmmary'!O$2,'Product List'!$A$1:$E$1,0))</f>
        <v>Paper</v>
      </c>
      <c r="P72" s="12">
        <f>HLOOKUP(C72,'Commission Criteria'!$A$2:$I$4,3,FALSE)</f>
        <v>8</v>
      </c>
      <c r="Q72" s="8">
        <f t="shared" si="4"/>
        <v>1779</v>
      </c>
      <c r="R72" s="8">
        <f t="shared" si="5"/>
        <v>4309</v>
      </c>
      <c r="S72" s="36">
        <f>VLOOKUP(R72,'Commission Criteria'!$L$3:$M$11,2,TRUE)</f>
        <v>0.01</v>
      </c>
      <c r="T72" s="36">
        <f>IF(P72&lt;5,VLOOKUP(R72,'Commission Criteria'!$L$3:$M$11,2,1),VLOOKUP('Order SUmmary'!R72,'Commission Criteria'!$P$3:$Q$11,2,1))</f>
        <v>0.02</v>
      </c>
      <c r="U72" s="36">
        <f>VLOOKUP(R72,IF(P72&lt;5,'Commission Criteria'!$L$3:$M$11,'Commission Criteria'!$P$3:$Q$11),2,1)</f>
        <v>0.02</v>
      </c>
      <c r="V72" s="8" t="s">
        <v>29</v>
      </c>
      <c r="W72" s="36">
        <f t="shared" ca="1" si="6"/>
        <v>0.03</v>
      </c>
      <c r="X72" s="8" t="str">
        <f>_xlfn.XLOOKUP(F72,'Product List'!$B$1:$B$299,'Product List'!$A$1:$A$299)</f>
        <v>Xerox 1932</v>
      </c>
      <c r="Y72" s="8"/>
      <c r="Z72" s="8" t="str" cm="1">
        <f t="array" ref="Z72:AD72">_xlfn.XLOOKUP(D72,'Customer Details'!$A$1:$A$17,'Customer Details'!$B$1:$F$17,"No such customer",0,1)</f>
        <v>Honeywell Automation</v>
      </c>
      <c r="AA72" s="8" t="str">
        <v>1272 Harbor Road</v>
      </c>
      <c r="AB72" s="8" t="str">
        <v>Miami</v>
      </c>
      <c r="AC72" s="8" t="str">
        <v>FL</v>
      </c>
      <c r="AD72" s="8" t="str">
        <v>33732</v>
      </c>
    </row>
    <row r="73" spans="1:30">
      <c r="A73" s="8" t="s">
        <v>144</v>
      </c>
      <c r="B73" s="19">
        <v>41379</v>
      </c>
      <c r="C73" s="8" t="s">
        <v>44</v>
      </c>
      <c r="D73" s="8">
        <v>10010</v>
      </c>
      <c r="E73" s="8" t="str">
        <f>VLOOKUP($D73,'Customer Details'!$A$1:$F$17,4,FALSE)</f>
        <v>Tracy</v>
      </c>
      <c r="F73" s="8" t="s">
        <v>145</v>
      </c>
      <c r="G73" s="8">
        <v>2</v>
      </c>
      <c r="H73" s="2" t="str">
        <f>VLOOKUP($D73,'Customer Details'!$A$1:$F$17,MATCH('Order SUmmary'!H$2,'Customer Details'!$A$1:$F$1,0),0)</f>
        <v>Suzlon Energy Ltd.</v>
      </c>
      <c r="I73" s="2" t="str">
        <f>VLOOKUP($D73,'Customer Details'!$A$1:$F$17,4,0)</f>
        <v>Tracy</v>
      </c>
      <c r="J73" s="2" t="str">
        <f>VLOOKUP($D73,'Customer Details'!$A$1:$F$17,6,0)</f>
        <v>95376</v>
      </c>
      <c r="K73" s="8" t="str">
        <f>VLOOKUP(VLOOKUP(D73,'Customer Details'!$A$1:$F$17,5,0),'Region INfo'!$A$1:$C$52,3,0)</f>
        <v xml:space="preserve">Pacific   </v>
      </c>
      <c r="L73" s="8" t="str">
        <f>INDEX(Product_List,MATCH($F73,'Product List'!$B$1:$B$299,0),MATCH('Order SUmmary'!L$2,'Product List'!$A$1:$E$1,0))</f>
        <v>Xerox 1913</v>
      </c>
      <c r="M73" s="8">
        <f>INDEX(Product_List,MATCH($F73,'Product List'!$B$1:$B$299,0),MATCH('Order SUmmary'!M$2,'Product List'!$A$1:$E$1,0))</f>
        <v>2547</v>
      </c>
      <c r="N73" s="8">
        <f>INDEX(Product_List,MATCH($F73,'Product List'!$B$1:$B$299,0),MATCH('Order SUmmary'!N$2,'Product List'!$A$1:$E$1,0))</f>
        <v>1419</v>
      </c>
      <c r="O73" s="8" t="str">
        <f>INDEX(Product_List,MATCH($F73,'Product List'!$B$1:$B$299,0),MATCH('Order SUmmary'!O$2,'Product List'!$A$1:$E$1,0))</f>
        <v>Paper</v>
      </c>
      <c r="P73" s="12">
        <f>HLOOKUP(C73,'Commission Criteria'!$A$2:$I$4,3,FALSE)</f>
        <v>4</v>
      </c>
      <c r="Q73" s="8">
        <f t="shared" si="4"/>
        <v>2838</v>
      </c>
      <c r="R73" s="8">
        <f t="shared" si="5"/>
        <v>5094</v>
      </c>
      <c r="S73" s="36">
        <f>VLOOKUP(R73,'Commission Criteria'!$L$3:$M$11,2,TRUE)</f>
        <v>0.03</v>
      </c>
      <c r="T73" s="36">
        <f>IF(P73&lt;5,VLOOKUP(R73,'Commission Criteria'!$L$3:$M$11,2,1),VLOOKUP('Order SUmmary'!R73,'Commission Criteria'!$P$3:$Q$11,2,1))</f>
        <v>0.03</v>
      </c>
      <c r="U73" s="36">
        <f>VLOOKUP(R73,IF(P73&lt;5,'Commission Criteria'!$L$3:$M$11,'Commission Criteria'!$P$3:$Q$11),2,1)</f>
        <v>0.03</v>
      </c>
      <c r="V73" s="8" t="s">
        <v>32</v>
      </c>
      <c r="W73" s="36">
        <f t="shared" ca="1" si="6"/>
        <v>0.05</v>
      </c>
      <c r="X73" s="8" t="str">
        <f>_xlfn.XLOOKUP(F73,'Product List'!$B$1:$B$299,'Product List'!$A$1:$A$299)</f>
        <v>Xerox 1913</v>
      </c>
      <c r="Y73" s="8"/>
      <c r="Z73" s="8" t="str" cm="1">
        <f t="array" ref="Z73:AD73">_xlfn.XLOOKUP(D73,'Customer Details'!$A$1:$A$17,'Customer Details'!$B$1:$F$17,"No such customer",0,1)</f>
        <v>Suzlon Energy Ltd.</v>
      </c>
      <c r="AA73" s="8" t="str">
        <v>501 Marsh Trail Circle</v>
      </c>
      <c r="AB73" s="8" t="str">
        <v>Tracy</v>
      </c>
      <c r="AC73" s="8" t="str">
        <v>CA</v>
      </c>
      <c r="AD73" s="8" t="str">
        <v>95376</v>
      </c>
    </row>
    <row r="74" spans="1:30">
      <c r="A74" s="8" t="s">
        <v>146</v>
      </c>
      <c r="B74" s="19">
        <v>41379</v>
      </c>
      <c r="C74" s="8" t="s">
        <v>27</v>
      </c>
      <c r="D74" s="8">
        <v>10015</v>
      </c>
      <c r="E74" s="8" t="str">
        <f>VLOOKUP($D74,'Customer Details'!$A$1:$F$17,4,FALSE)</f>
        <v>South Windsor</v>
      </c>
      <c r="F74" s="8" t="s">
        <v>147</v>
      </c>
      <c r="G74" s="8">
        <v>3</v>
      </c>
      <c r="H74" s="2" t="str">
        <f>VLOOKUP($D74,'Customer Details'!$A$1:$F$17,MATCH('Order SUmmary'!H$2,'Customer Details'!$A$1:$F$1,0),0)</f>
        <v>Punj Lloyd Ltd.</v>
      </c>
      <c r="I74" s="2" t="str">
        <f>VLOOKUP($D74,'Customer Details'!$A$1:$F$17,4,0)</f>
        <v>South Windsor</v>
      </c>
      <c r="J74" s="2" t="str">
        <f>VLOOKUP($D74,'Customer Details'!$A$1:$F$17,6,0)</f>
        <v>06074</v>
      </c>
      <c r="K74" s="8" t="str">
        <f>VLOOKUP(VLOOKUP(D74,'Customer Details'!$A$1:$F$17,5,0),'Region INfo'!$A$1:$C$52,3,0)</f>
        <v xml:space="preserve">Northern </v>
      </c>
      <c r="L74" s="8" t="str">
        <f>INDEX(Product_List,MATCH($F74,'Product List'!$B$1:$B$299,0),MATCH('Order SUmmary'!L$2,'Product List'!$A$1:$E$1,0))</f>
        <v>Xerox 1936</v>
      </c>
      <c r="M74" s="8">
        <f>INDEX(Product_List,MATCH($F74,'Product List'!$B$1:$B$299,0),MATCH('Order SUmmary'!M$2,'Product List'!$A$1:$E$1,0))</f>
        <v>2539</v>
      </c>
      <c r="N74" s="8">
        <f>INDEX(Product_List,MATCH($F74,'Product List'!$B$1:$B$299,0),MATCH('Order SUmmary'!N$2,'Product List'!$A$1:$E$1,0))</f>
        <v>1656</v>
      </c>
      <c r="O74" s="8" t="str">
        <f>INDEX(Product_List,MATCH($F74,'Product List'!$B$1:$B$299,0),MATCH('Order SUmmary'!O$2,'Product List'!$A$1:$E$1,0))</f>
        <v>Paper</v>
      </c>
      <c r="P74" s="12">
        <f>HLOOKUP(C74,'Commission Criteria'!$A$2:$I$4,3,FALSE)</f>
        <v>4</v>
      </c>
      <c r="Q74" s="8">
        <f t="shared" si="4"/>
        <v>4968</v>
      </c>
      <c r="R74" s="8">
        <f t="shared" si="5"/>
        <v>7617</v>
      </c>
      <c r="S74" s="36">
        <f>VLOOKUP(R74,'Commission Criteria'!$L$3:$M$11,2,TRUE)</f>
        <v>0.03</v>
      </c>
      <c r="T74" s="36">
        <f>IF(P74&lt;5,VLOOKUP(R74,'Commission Criteria'!$L$3:$M$11,2,1),VLOOKUP('Order SUmmary'!R74,'Commission Criteria'!$P$3:$Q$11,2,1))</f>
        <v>0.03</v>
      </c>
      <c r="U74" s="36">
        <f>VLOOKUP(R74,IF(P74&lt;5,'Commission Criteria'!$L$3:$M$11,'Commission Criteria'!$P$3:$Q$11),2,1)</f>
        <v>0.03</v>
      </c>
      <c r="V74" s="8" t="s">
        <v>50</v>
      </c>
      <c r="W74" s="36">
        <f t="shared" ca="1" si="6"/>
        <v>0</v>
      </c>
      <c r="X74" s="8" t="str">
        <f>_xlfn.XLOOKUP(F74,'Product List'!$B$1:$B$299,'Product List'!$A$1:$A$299)</f>
        <v>Xerox 1936</v>
      </c>
      <c r="Y74" s="8"/>
      <c r="Z74" s="8" t="str" cm="1">
        <f t="array" ref="Z74:AD74">_xlfn.XLOOKUP(D74,'Customer Details'!$A$1:$A$17,'Customer Details'!$B$1:$F$17,"No such customer",0,1)</f>
        <v>Punj Lloyd Ltd.</v>
      </c>
      <c r="AA74" s="8" t="str">
        <v>Box 3263</v>
      </c>
      <c r="AB74" s="8" t="str">
        <v>South Windsor</v>
      </c>
      <c r="AC74" s="8" t="str">
        <v>CT</v>
      </c>
      <c r="AD74" s="8" t="str">
        <v>06074</v>
      </c>
    </row>
    <row r="75" spans="1:30">
      <c r="A75" s="8" t="s">
        <v>148</v>
      </c>
      <c r="B75" s="19">
        <v>41379</v>
      </c>
      <c r="C75" s="8" t="s">
        <v>27</v>
      </c>
      <c r="D75" s="8">
        <v>10005</v>
      </c>
      <c r="E75" s="8" t="str">
        <f>VLOOKUP($D75,'Customer Details'!$A$1:$F$17,4,FALSE)</f>
        <v>Goleta</v>
      </c>
      <c r="F75" s="8" t="s">
        <v>149</v>
      </c>
      <c r="G75" s="8">
        <v>2</v>
      </c>
      <c r="H75" s="2" t="str">
        <f>VLOOKUP($D75,'Customer Details'!$A$1:$F$17,MATCH('Order SUmmary'!H$2,'Customer Details'!$A$1:$F$1,0),0)</f>
        <v>Fortis Healthcare Ltd.</v>
      </c>
      <c r="I75" s="2" t="str">
        <f>VLOOKUP($D75,'Customer Details'!$A$1:$F$17,4,0)</f>
        <v>Goleta</v>
      </c>
      <c r="J75" s="2" t="str">
        <f>VLOOKUP($D75,'Customer Details'!$A$1:$F$17,6,0)</f>
        <v>93117</v>
      </c>
      <c r="K75" s="8" t="str">
        <f>VLOOKUP(VLOOKUP(D75,'Customer Details'!$A$1:$F$17,5,0),'Region INfo'!$A$1:$C$52,3,0)</f>
        <v xml:space="preserve">Pacific   </v>
      </c>
      <c r="L75" s="8" t="str">
        <f>INDEX(Product_List,MATCH($F75,'Product List'!$B$1:$B$299,0),MATCH('Order SUmmary'!L$2,'Product List'!$A$1:$E$1,0))</f>
        <v>Xerox 1992</v>
      </c>
      <c r="M75" s="8">
        <f>INDEX(Product_List,MATCH($F75,'Product List'!$B$1:$B$299,0),MATCH('Order SUmmary'!M$2,'Product List'!$A$1:$E$1,0))</f>
        <v>4218</v>
      </c>
      <c r="N75" s="8">
        <f>INDEX(Product_List,MATCH($F75,'Product List'!$B$1:$B$299,0),MATCH('Order SUmmary'!N$2,'Product List'!$A$1:$E$1,0))</f>
        <v>2421</v>
      </c>
      <c r="O75" s="8" t="str">
        <f>INDEX(Product_List,MATCH($F75,'Product List'!$B$1:$B$299,0),MATCH('Order SUmmary'!O$2,'Product List'!$A$1:$E$1,0))</f>
        <v>Paper</v>
      </c>
      <c r="P75" s="12">
        <f>HLOOKUP(C75,'Commission Criteria'!$A$2:$I$4,3,FALSE)</f>
        <v>4</v>
      </c>
      <c r="Q75" s="8">
        <f t="shared" si="4"/>
        <v>4842</v>
      </c>
      <c r="R75" s="8">
        <f t="shared" si="5"/>
        <v>8436</v>
      </c>
      <c r="S75" s="36">
        <f>VLOOKUP(R75,'Commission Criteria'!$L$3:$M$11,2,TRUE)</f>
        <v>0.03</v>
      </c>
      <c r="T75" s="36">
        <f>IF(P75&lt;5,VLOOKUP(R75,'Commission Criteria'!$L$3:$M$11,2,1),VLOOKUP('Order SUmmary'!R75,'Commission Criteria'!$P$3:$Q$11,2,1))</f>
        <v>0.03</v>
      </c>
      <c r="U75" s="36">
        <f>VLOOKUP(R75,IF(P75&lt;5,'Commission Criteria'!$L$3:$M$11,'Commission Criteria'!$P$3:$Q$11),2,1)</f>
        <v>0.03</v>
      </c>
      <c r="V75" s="8" t="s">
        <v>32</v>
      </c>
      <c r="W75" s="36">
        <f t="shared" ca="1" si="6"/>
        <v>0</v>
      </c>
      <c r="X75" s="8" t="str">
        <f>_xlfn.XLOOKUP(F75,'Product List'!$B$1:$B$299,'Product List'!$A$1:$A$299)</f>
        <v>Xerox 1992</v>
      </c>
      <c r="Y75" s="8"/>
      <c r="Z75" s="8" t="str" cm="1">
        <f t="array" ref="Z75:AD75">_xlfn.XLOOKUP(D75,'Customer Details'!$A$1:$A$17,'Customer Details'!$B$1:$F$17,"No such customer",0,1)</f>
        <v>Fortis Healthcare Ltd.</v>
      </c>
      <c r="AA75" s="8" t="str">
        <v>14 Elsworthy Terrace</v>
      </c>
      <c r="AB75" s="8" t="str">
        <v>Goleta</v>
      </c>
      <c r="AC75" s="8" t="str">
        <v>CA</v>
      </c>
      <c r="AD75" s="8" t="str">
        <v>93117</v>
      </c>
    </row>
    <row r="76" spans="1:30">
      <c r="A76" s="8" t="s">
        <v>150</v>
      </c>
      <c r="B76" s="19">
        <v>41380</v>
      </c>
      <c r="C76" s="8" t="s">
        <v>51</v>
      </c>
      <c r="D76" s="8">
        <v>10003</v>
      </c>
      <c r="E76" s="8" t="str">
        <f>VLOOKUP($D76,'Customer Details'!$A$1:$F$17,4,FALSE)</f>
        <v>Miami</v>
      </c>
      <c r="F76" s="8" t="s">
        <v>151</v>
      </c>
      <c r="G76" s="8">
        <v>2</v>
      </c>
      <c r="H76" s="2" t="str">
        <f>VLOOKUP($D76,'Customer Details'!$A$1:$F$17,MATCH('Order SUmmary'!H$2,'Customer Details'!$A$1:$F$1,0),0)</f>
        <v>Honeywell Automation</v>
      </c>
      <c r="I76" s="2" t="str">
        <f>VLOOKUP($D76,'Customer Details'!$A$1:$F$17,4,0)</f>
        <v>Miami</v>
      </c>
      <c r="J76" s="2" t="str">
        <f>VLOOKUP($D76,'Customer Details'!$A$1:$F$17,6,0)</f>
        <v>33732</v>
      </c>
      <c r="K76" s="8" t="str">
        <f>VLOOKUP(VLOOKUP(D76,'Customer Details'!$A$1:$F$17,5,0),'Region INfo'!$A$1:$C$52,3,0)</f>
        <v>Southern</v>
      </c>
      <c r="L76" s="8" t="str">
        <f>INDEX(Product_List,MATCH($F76,'Product List'!$B$1:$B$299,0),MATCH('Order SUmmary'!L$2,'Product List'!$A$1:$E$1,0))</f>
        <v>Newell 346</v>
      </c>
      <c r="M76" s="8">
        <f>INDEX(Product_List,MATCH($F76,'Product List'!$B$1:$B$299,0),MATCH('Order SUmmary'!M$2,'Product List'!$A$1:$E$1,0))</f>
        <v>3039</v>
      </c>
      <c r="N76" s="8">
        <f>INDEX(Product_List,MATCH($F76,'Product List'!$B$1:$B$299,0),MATCH('Order SUmmary'!N$2,'Product List'!$A$1:$E$1,0))</f>
        <v>2426</v>
      </c>
      <c r="O76" s="8" t="str">
        <f>INDEX(Product_List,MATCH($F76,'Product List'!$B$1:$B$299,0),MATCH('Order SUmmary'!O$2,'Product List'!$A$1:$E$1,0))</f>
        <v>Art</v>
      </c>
      <c r="P76" s="12">
        <f>HLOOKUP(C76,'Commission Criteria'!$A$2:$I$4,3,FALSE)</f>
        <v>10</v>
      </c>
      <c r="Q76" s="8">
        <f t="shared" si="4"/>
        <v>4852</v>
      </c>
      <c r="R76" s="8">
        <f t="shared" si="5"/>
        <v>6078</v>
      </c>
      <c r="S76" s="36">
        <f>VLOOKUP(R76,'Commission Criteria'!$L$3:$M$11,2,TRUE)</f>
        <v>0.03</v>
      </c>
      <c r="T76" s="36">
        <f>IF(P76&lt;5,VLOOKUP(R76,'Commission Criteria'!$L$3:$M$11,2,1),VLOOKUP('Order SUmmary'!R76,'Commission Criteria'!$P$3:$Q$11,2,1))</f>
        <v>0.02</v>
      </c>
      <c r="U76" s="36">
        <f>VLOOKUP(R76,IF(P76&lt;5,'Commission Criteria'!$L$3:$M$11,'Commission Criteria'!$P$3:$Q$11),2,1)</f>
        <v>0.02</v>
      </c>
      <c r="V76" s="8" t="s">
        <v>35</v>
      </c>
      <c r="W76" s="36">
        <f t="shared" ca="1" si="6"/>
        <v>0.01</v>
      </c>
      <c r="X76" s="8" t="str">
        <f>_xlfn.XLOOKUP(F76,'Product List'!$B$1:$B$299,'Product List'!$A$1:$A$299)</f>
        <v>Newell 346</v>
      </c>
      <c r="Y76" s="8"/>
      <c r="Z76" s="8" t="str" cm="1">
        <f t="array" ref="Z76:AD76">_xlfn.XLOOKUP(D76,'Customer Details'!$A$1:$A$17,'Customer Details'!$B$1:$F$17,"No such customer",0,1)</f>
        <v>Honeywell Automation</v>
      </c>
      <c r="AA76" s="8" t="str">
        <v>1272 Harbor Road</v>
      </c>
      <c r="AB76" s="8" t="str">
        <v>Miami</v>
      </c>
      <c r="AC76" s="8" t="str">
        <v>FL</v>
      </c>
      <c r="AD76" s="8" t="str">
        <v>33732</v>
      </c>
    </row>
    <row r="77" spans="1:30">
      <c r="A77" s="8" t="s">
        <v>152</v>
      </c>
      <c r="B77" s="19">
        <v>41381</v>
      </c>
      <c r="C77" s="8" t="s">
        <v>36</v>
      </c>
      <c r="D77" s="8">
        <v>10010</v>
      </c>
      <c r="E77" s="8" t="str">
        <f>VLOOKUP($D77,'Customer Details'!$A$1:$F$17,4,FALSE)</f>
        <v>Tracy</v>
      </c>
      <c r="F77" s="8" t="s">
        <v>153</v>
      </c>
      <c r="G77" s="8">
        <v>1</v>
      </c>
      <c r="H77" s="2" t="str">
        <f>VLOOKUP($D77,'Customer Details'!$A$1:$F$17,MATCH('Order SUmmary'!H$2,'Customer Details'!$A$1:$F$1,0),0)</f>
        <v>Suzlon Energy Ltd.</v>
      </c>
      <c r="I77" s="2" t="str">
        <f>VLOOKUP($D77,'Customer Details'!$A$1:$F$17,4,0)</f>
        <v>Tracy</v>
      </c>
      <c r="J77" s="2" t="str">
        <f>VLOOKUP($D77,'Customer Details'!$A$1:$F$17,6,0)</f>
        <v>95376</v>
      </c>
      <c r="K77" s="8" t="str">
        <f>VLOOKUP(VLOOKUP(D77,'Customer Details'!$A$1:$F$17,5,0),'Region INfo'!$A$1:$C$52,3,0)</f>
        <v xml:space="preserve">Pacific   </v>
      </c>
      <c r="L77" s="8" t="str">
        <f>INDEX(Product_List,MATCH($F77,'Product List'!$B$1:$B$299,0),MATCH('Order SUmmary'!L$2,'Product List'!$A$1:$E$1,0))</f>
        <v>LG G2</v>
      </c>
      <c r="M77" s="8">
        <f>INDEX(Product_List,MATCH($F77,'Product List'!$B$1:$B$299,0),MATCH('Order SUmmary'!M$2,'Product List'!$A$1:$E$1,0))</f>
        <v>4305</v>
      </c>
      <c r="N77" s="8">
        <f>INDEX(Product_List,MATCH($F77,'Product List'!$B$1:$B$299,0),MATCH('Order SUmmary'!N$2,'Product List'!$A$1:$E$1,0))</f>
        <v>1703</v>
      </c>
      <c r="O77" s="8" t="str">
        <f>INDEX(Product_List,MATCH($F77,'Product List'!$B$1:$B$299,0),MATCH('Order SUmmary'!O$2,'Product List'!$A$1:$E$1,0))</f>
        <v>Phones</v>
      </c>
      <c r="P77" s="12">
        <f>HLOOKUP(C77,'Commission Criteria'!$A$2:$I$4,3,FALSE)</f>
        <v>6</v>
      </c>
      <c r="Q77" s="8">
        <f t="shared" si="4"/>
        <v>1703</v>
      </c>
      <c r="R77" s="8">
        <f t="shared" si="5"/>
        <v>4305</v>
      </c>
      <c r="S77" s="36">
        <f>VLOOKUP(R77,'Commission Criteria'!$L$3:$M$11,2,TRUE)</f>
        <v>0.01</v>
      </c>
      <c r="T77" s="36">
        <f>IF(P77&lt;5,VLOOKUP(R77,'Commission Criteria'!$L$3:$M$11,2,1),VLOOKUP('Order SUmmary'!R77,'Commission Criteria'!$P$3:$Q$11,2,1))</f>
        <v>0.02</v>
      </c>
      <c r="U77" s="36">
        <f>VLOOKUP(R77,IF(P77&lt;5,'Commission Criteria'!$L$3:$M$11,'Commission Criteria'!$P$3:$Q$11),2,1)</f>
        <v>0.02</v>
      </c>
      <c r="V77" s="8" t="s">
        <v>29</v>
      </c>
      <c r="W77" s="36">
        <f t="shared" ca="1" si="6"/>
        <v>0.02</v>
      </c>
      <c r="X77" s="8" t="str">
        <f>_xlfn.XLOOKUP(F77,'Product List'!$B$1:$B$299,'Product List'!$A$1:$A$299)</f>
        <v>LG G2</v>
      </c>
      <c r="Y77" s="8"/>
      <c r="Z77" s="8" t="str" cm="1">
        <f t="array" ref="Z77:AD77">_xlfn.XLOOKUP(D77,'Customer Details'!$A$1:$A$17,'Customer Details'!$B$1:$F$17,"No such customer",0,1)</f>
        <v>Suzlon Energy Ltd.</v>
      </c>
      <c r="AA77" s="8" t="str">
        <v>501 Marsh Trail Circle</v>
      </c>
      <c r="AB77" s="8" t="str">
        <v>Tracy</v>
      </c>
      <c r="AC77" s="8" t="str">
        <v>CA</v>
      </c>
      <c r="AD77" s="8" t="str">
        <v>95376</v>
      </c>
    </row>
    <row r="78" spans="1:30">
      <c r="A78" s="8" t="s">
        <v>152</v>
      </c>
      <c r="B78" s="19">
        <v>41381</v>
      </c>
      <c r="C78" s="8" t="s">
        <v>66</v>
      </c>
      <c r="D78" s="8">
        <v>10011</v>
      </c>
      <c r="E78" s="8" t="str">
        <f>VLOOKUP($D78,'Customer Details'!$A$1:$F$17,4,FALSE)</f>
        <v>Olympia</v>
      </c>
      <c r="F78" s="8" t="s">
        <v>154</v>
      </c>
      <c r="G78" s="8">
        <v>3</v>
      </c>
      <c r="H78" s="2" t="str">
        <f>VLOOKUP($D78,'Customer Details'!$A$1:$F$17,MATCH('Order SUmmary'!H$2,'Customer Details'!$A$1:$F$1,0),0)</f>
        <v>Sonata Software</v>
      </c>
      <c r="I78" s="2" t="str">
        <f>VLOOKUP($D78,'Customer Details'!$A$1:$F$17,4,0)</f>
        <v>Olympia</v>
      </c>
      <c r="J78" s="2" t="str">
        <f>VLOOKUP($D78,'Customer Details'!$A$1:$F$17,6,0)</f>
        <v>98502</v>
      </c>
      <c r="K78" s="8" t="str">
        <f>VLOOKUP(VLOOKUP(D78,'Customer Details'!$A$1:$F$17,5,0),'Region INfo'!$A$1:$C$52,3,0)</f>
        <v xml:space="preserve">Pacific   </v>
      </c>
      <c r="L78" s="8" t="str">
        <f>INDEX(Product_List,MATCH($F78,'Product List'!$B$1:$B$299,0),MATCH('Order SUmmary'!L$2,'Product List'!$A$1:$E$1,0))</f>
        <v>Xerox 228</v>
      </c>
      <c r="M78" s="8">
        <f>INDEX(Product_List,MATCH($F78,'Product List'!$B$1:$B$299,0),MATCH('Order SUmmary'!M$2,'Product List'!$A$1:$E$1,0))</f>
        <v>3912</v>
      </c>
      <c r="N78" s="8">
        <f>INDEX(Product_List,MATCH($F78,'Product List'!$B$1:$B$299,0),MATCH('Order SUmmary'!N$2,'Product List'!$A$1:$E$1,0))</f>
        <v>1569</v>
      </c>
      <c r="O78" s="8" t="str">
        <f>INDEX(Product_List,MATCH($F78,'Product List'!$B$1:$B$299,0),MATCH('Order SUmmary'!O$2,'Product List'!$A$1:$E$1,0))</f>
        <v>Paper</v>
      </c>
      <c r="P78" s="12">
        <f>HLOOKUP(C78,'Commission Criteria'!$A$2:$I$4,3,FALSE)</f>
        <v>5</v>
      </c>
      <c r="Q78" s="8">
        <f t="shared" si="4"/>
        <v>4707</v>
      </c>
      <c r="R78" s="8">
        <f t="shared" si="5"/>
        <v>11736</v>
      </c>
      <c r="S78" s="36">
        <f>VLOOKUP(R78,'Commission Criteria'!$L$3:$M$11,2,TRUE)</f>
        <v>0.03</v>
      </c>
      <c r="T78" s="36">
        <f>IF(P78&lt;5,VLOOKUP(R78,'Commission Criteria'!$L$3:$M$11,2,1),VLOOKUP('Order SUmmary'!R78,'Commission Criteria'!$P$3:$Q$11,2,1))</f>
        <v>0.02</v>
      </c>
      <c r="U78" s="36">
        <f>VLOOKUP(R78,IF(P78&lt;5,'Commission Criteria'!$L$3:$M$11,'Commission Criteria'!$P$3:$Q$11),2,1)</f>
        <v>0.02</v>
      </c>
      <c r="V78" s="8" t="s">
        <v>29</v>
      </c>
      <c r="W78" s="36">
        <f t="shared" ca="1" si="6"/>
        <v>0.02</v>
      </c>
      <c r="X78" s="8" t="str">
        <f>_xlfn.XLOOKUP(F78,'Product List'!$B$1:$B$299,'Product List'!$A$1:$A$299)</f>
        <v>Xerox 228</v>
      </c>
      <c r="Y78" s="8"/>
      <c r="Z78" s="8" t="str" cm="1">
        <f t="array" ref="Z78:AD78">_xlfn.XLOOKUP(D78,'Customer Details'!$A$1:$A$17,'Customer Details'!$B$1:$F$17,"No such customer",0,1)</f>
        <v>Sonata Software</v>
      </c>
      <c r="AA78" s="8" t="str">
        <v>1331 Kimberly Dr.</v>
      </c>
      <c r="AB78" s="8" t="str">
        <v>Olympia</v>
      </c>
      <c r="AC78" s="8" t="str">
        <v>WA</v>
      </c>
      <c r="AD78" s="8" t="str">
        <v>98502</v>
      </c>
    </row>
    <row r="79" spans="1:30">
      <c r="A79" s="8" t="s">
        <v>155</v>
      </c>
      <c r="B79" s="19">
        <v>41384</v>
      </c>
      <c r="C79" s="8" t="s">
        <v>66</v>
      </c>
      <c r="D79" s="8">
        <v>10008</v>
      </c>
      <c r="E79" s="8" t="str">
        <f>VLOOKUP($D79,'Customer Details'!$A$1:$F$17,4,FALSE)</f>
        <v>Chestnut Ridge</v>
      </c>
      <c r="F79" s="8" t="s">
        <v>156</v>
      </c>
      <c r="G79" s="8">
        <v>1</v>
      </c>
      <c r="H79" s="2" t="str">
        <f>VLOOKUP($D79,'Customer Details'!$A$1:$F$17,MATCH('Order SUmmary'!H$2,'Customer Details'!$A$1:$F$1,0),0)</f>
        <v>Reliance Industries Limited</v>
      </c>
      <c r="I79" s="2" t="str">
        <f>VLOOKUP($D79,'Customer Details'!$A$1:$F$17,4,0)</f>
        <v>Chestnut Ridge</v>
      </c>
      <c r="J79" s="2" t="str">
        <f>VLOOKUP($D79,'Customer Details'!$A$1:$F$17,6,0)</f>
        <v>10977</v>
      </c>
      <c r="K79" s="8" t="str">
        <f>VLOOKUP(VLOOKUP(D79,'Customer Details'!$A$1:$F$17,5,0),'Region INfo'!$A$1:$C$52,3,0)</f>
        <v xml:space="preserve">Northern </v>
      </c>
      <c r="L79" s="8" t="str">
        <f>INDEX(Product_List,MATCH($F79,'Product List'!$B$1:$B$299,0),MATCH('Order SUmmary'!L$2,'Product List'!$A$1:$E$1,0))</f>
        <v>Avery 505</v>
      </c>
      <c r="M79" s="8">
        <f>INDEX(Product_List,MATCH($F79,'Product List'!$B$1:$B$299,0),MATCH('Order SUmmary'!M$2,'Product List'!$A$1:$E$1,0))</f>
        <v>4305</v>
      </c>
      <c r="N79" s="8">
        <f>INDEX(Product_List,MATCH($F79,'Product List'!$B$1:$B$299,0),MATCH('Order SUmmary'!N$2,'Product List'!$A$1:$E$1,0))</f>
        <v>2027</v>
      </c>
      <c r="O79" s="8" t="str">
        <f>INDEX(Product_List,MATCH($F79,'Product List'!$B$1:$B$299,0),MATCH('Order SUmmary'!O$2,'Product List'!$A$1:$E$1,0))</f>
        <v>Labels</v>
      </c>
      <c r="P79" s="12">
        <f>HLOOKUP(C79,'Commission Criteria'!$A$2:$I$4,3,FALSE)</f>
        <v>5</v>
      </c>
      <c r="Q79" s="8">
        <f t="shared" si="4"/>
        <v>2027</v>
      </c>
      <c r="R79" s="8">
        <f t="shared" si="5"/>
        <v>4305</v>
      </c>
      <c r="S79" s="36">
        <f>VLOOKUP(R79,'Commission Criteria'!$L$3:$M$11,2,TRUE)</f>
        <v>0.01</v>
      </c>
      <c r="T79" s="36">
        <f>IF(P79&lt;5,VLOOKUP(R79,'Commission Criteria'!$L$3:$M$11,2,1),VLOOKUP('Order SUmmary'!R79,'Commission Criteria'!$P$3:$Q$11,2,1))</f>
        <v>0.02</v>
      </c>
      <c r="U79" s="36">
        <f>VLOOKUP(R79,IF(P79&lt;5,'Commission Criteria'!$L$3:$M$11,'Commission Criteria'!$P$3:$Q$11),2,1)</f>
        <v>0.02</v>
      </c>
      <c r="V79" s="8" t="s">
        <v>50</v>
      </c>
      <c r="W79" s="36">
        <f t="shared" ca="1" si="6"/>
        <v>0.01</v>
      </c>
      <c r="X79" s="8" t="str">
        <f>_xlfn.XLOOKUP(F79,'Product List'!$B$1:$B$299,'Product List'!$A$1:$A$299)</f>
        <v>Avery 505</v>
      </c>
      <c r="Y79" s="8"/>
      <c r="Z79" s="8" t="str" cm="1">
        <f t="array" ref="Z79:AD79">_xlfn.XLOOKUP(D79,'Customer Details'!$A$1:$A$17,'Customer Details'!$B$1:$F$17,"No such customer",0,1)</f>
        <v>Reliance Industries Limited</v>
      </c>
      <c r="AA79" s="8" t="str">
        <v>12020 Shamrock Rd., Suite 333</v>
      </c>
      <c r="AB79" s="8" t="str">
        <v>Chestnut Ridge</v>
      </c>
      <c r="AC79" s="8" t="str">
        <v>NY</v>
      </c>
      <c r="AD79" s="8" t="str">
        <v>10977</v>
      </c>
    </row>
    <row r="80" spans="1:30">
      <c r="A80" s="8" t="s">
        <v>157</v>
      </c>
      <c r="B80" s="19">
        <v>41387</v>
      </c>
      <c r="C80" s="8" t="s">
        <v>46</v>
      </c>
      <c r="D80" s="8">
        <v>10006</v>
      </c>
      <c r="E80" s="8" t="str">
        <f>VLOOKUP($D80,'Customer Details'!$A$1:$F$17,4,FALSE)</f>
        <v>Midland</v>
      </c>
      <c r="F80" s="8" t="s">
        <v>158</v>
      </c>
      <c r="G80" s="8">
        <v>2</v>
      </c>
      <c r="H80" s="2" t="str">
        <f>VLOOKUP($D80,'Customer Details'!$A$1:$F$17,MATCH('Order SUmmary'!H$2,'Customer Details'!$A$1:$F$1,0),0)</f>
        <v>Supreme Ind</v>
      </c>
      <c r="I80" s="2" t="str">
        <f>VLOOKUP($D80,'Customer Details'!$A$1:$F$17,4,0)</f>
        <v>Midland</v>
      </c>
      <c r="J80" s="2" t="str">
        <f>VLOOKUP($D80,'Customer Details'!$A$1:$F$17,6,0)</f>
        <v>79706</v>
      </c>
      <c r="K80" s="8" t="str">
        <f>VLOOKUP(VLOOKUP(D80,'Customer Details'!$A$1:$F$17,5,0),'Region INfo'!$A$1:$C$52,3,0)</f>
        <v>Western</v>
      </c>
      <c r="L80" s="8" t="str">
        <f>INDEX(Product_List,MATCH($F80,'Product List'!$B$1:$B$299,0),MATCH('Order SUmmary'!L$2,'Product List'!$A$1:$E$1,0))</f>
        <v>Vtech CS6719</v>
      </c>
      <c r="M80" s="8">
        <f>INDEX(Product_List,MATCH($F80,'Product List'!$B$1:$B$299,0),MATCH('Order SUmmary'!M$2,'Product List'!$A$1:$E$1,0))</f>
        <v>3553</v>
      </c>
      <c r="N80" s="8">
        <f>INDEX(Product_List,MATCH($F80,'Product List'!$B$1:$B$299,0),MATCH('Order SUmmary'!N$2,'Product List'!$A$1:$E$1,0))</f>
        <v>2174</v>
      </c>
      <c r="O80" s="8" t="str">
        <f>INDEX(Product_List,MATCH($F80,'Product List'!$B$1:$B$299,0),MATCH('Order SUmmary'!O$2,'Product List'!$A$1:$E$1,0))</f>
        <v>Phones</v>
      </c>
      <c r="P80" s="12">
        <f>HLOOKUP(C80,'Commission Criteria'!$A$2:$I$4,3,FALSE)</f>
        <v>8</v>
      </c>
      <c r="Q80" s="8">
        <f t="shared" si="4"/>
        <v>4348</v>
      </c>
      <c r="R80" s="8">
        <f t="shared" si="5"/>
        <v>7106</v>
      </c>
      <c r="S80" s="36">
        <f>VLOOKUP(R80,'Commission Criteria'!$L$3:$M$11,2,TRUE)</f>
        <v>0.03</v>
      </c>
      <c r="T80" s="36">
        <f>IF(P80&lt;5,VLOOKUP(R80,'Commission Criteria'!$L$3:$M$11,2,1),VLOOKUP('Order SUmmary'!R80,'Commission Criteria'!$P$3:$Q$11,2,1))</f>
        <v>0.02</v>
      </c>
      <c r="U80" s="36">
        <f>VLOOKUP(R80,IF(P80&lt;5,'Commission Criteria'!$L$3:$M$11,'Commission Criteria'!$P$3:$Q$11),2,1)</f>
        <v>0.02</v>
      </c>
      <c r="V80" s="8" t="s">
        <v>43</v>
      </c>
      <c r="W80" s="36">
        <f t="shared" ca="1" si="6"/>
        <v>0.03</v>
      </c>
      <c r="X80" s="8" t="str">
        <f>_xlfn.XLOOKUP(F80,'Product List'!$B$1:$B$299,'Product List'!$A$1:$A$299)</f>
        <v>Vtech CS6719</v>
      </c>
      <c r="Y80" s="8"/>
      <c r="Z80" s="8" t="str" cm="1">
        <f t="array" ref="Z80:AD80">_xlfn.XLOOKUP(D80,'Customer Details'!$A$1:$A$17,'Customer Details'!$B$1:$F$17,"No such customer",0,1)</f>
        <v>Supreme Ind</v>
      </c>
      <c r="AA80" s="8" t="str">
        <v>P.O. Box 1367</v>
      </c>
      <c r="AB80" s="8" t="str">
        <v>Midland</v>
      </c>
      <c r="AC80" s="8" t="str">
        <v>TX</v>
      </c>
      <c r="AD80" s="8" t="str">
        <v>79706</v>
      </c>
    </row>
    <row r="81" spans="1:30">
      <c r="A81" s="8" t="s">
        <v>159</v>
      </c>
      <c r="B81" s="19">
        <v>41387</v>
      </c>
      <c r="C81" s="8" t="s">
        <v>51</v>
      </c>
      <c r="D81" s="8">
        <v>10012</v>
      </c>
      <c r="E81" s="8" t="str">
        <f>VLOOKUP($D81,'Customer Details'!$A$1:$F$17,4,FALSE)</f>
        <v>Santa Barbara</v>
      </c>
      <c r="F81" s="8" t="s">
        <v>160</v>
      </c>
      <c r="G81" s="8">
        <v>3</v>
      </c>
      <c r="H81" s="2" t="str">
        <f>VLOOKUP($D81,'Customer Details'!$A$1:$F$17,MATCH('Order SUmmary'!H$2,'Customer Details'!$A$1:$F$1,0),0)</f>
        <v>Dynamatic Technologies Ltd.</v>
      </c>
      <c r="I81" s="2" t="str">
        <f>VLOOKUP($D81,'Customer Details'!$A$1:$F$17,4,0)</f>
        <v>Santa Barbara</v>
      </c>
      <c r="J81" s="2" t="str">
        <f>VLOOKUP($D81,'Customer Details'!$A$1:$F$17,6,0)</f>
        <v>93110</v>
      </c>
      <c r="K81" s="8" t="str">
        <f>VLOOKUP(VLOOKUP(D81,'Customer Details'!$A$1:$F$17,5,0),'Region INfo'!$A$1:$C$52,3,0)</f>
        <v xml:space="preserve">Pacific   </v>
      </c>
      <c r="L81" s="8" t="str">
        <f>INDEX(Product_List,MATCH($F81,'Product List'!$B$1:$B$299,0),MATCH('Order SUmmary'!L$2,'Product List'!$A$1:$E$1,0))</f>
        <v>Newell 34</v>
      </c>
      <c r="M81" s="8">
        <f>INDEX(Product_List,MATCH($F81,'Product List'!$B$1:$B$299,0),MATCH('Order SUmmary'!M$2,'Product List'!$A$1:$E$1,0))</f>
        <v>2616</v>
      </c>
      <c r="N81" s="8">
        <f>INDEX(Product_List,MATCH($F81,'Product List'!$B$1:$B$299,0),MATCH('Order SUmmary'!N$2,'Product List'!$A$1:$E$1,0))</f>
        <v>1965</v>
      </c>
      <c r="O81" s="8" t="str">
        <f>INDEX(Product_List,MATCH($F81,'Product List'!$B$1:$B$299,0),MATCH('Order SUmmary'!O$2,'Product List'!$A$1:$E$1,0))</f>
        <v>Art</v>
      </c>
      <c r="P81" s="12">
        <f>HLOOKUP(C81,'Commission Criteria'!$A$2:$I$4,3,FALSE)</f>
        <v>10</v>
      </c>
      <c r="Q81" s="8">
        <f t="shared" si="4"/>
        <v>5895</v>
      </c>
      <c r="R81" s="8">
        <f t="shared" si="5"/>
        <v>7848</v>
      </c>
      <c r="S81" s="36">
        <f>VLOOKUP(R81,'Commission Criteria'!$L$3:$M$11,2,TRUE)</f>
        <v>0.03</v>
      </c>
      <c r="T81" s="36">
        <f>IF(P81&lt;5,VLOOKUP(R81,'Commission Criteria'!$L$3:$M$11,2,1),VLOOKUP('Order SUmmary'!R81,'Commission Criteria'!$P$3:$Q$11,2,1))</f>
        <v>0.02</v>
      </c>
      <c r="U81" s="36">
        <f>VLOOKUP(R81,IF(P81&lt;5,'Commission Criteria'!$L$3:$M$11,'Commission Criteria'!$P$3:$Q$11),2,1)</f>
        <v>0.02</v>
      </c>
      <c r="V81" s="8" t="s">
        <v>40</v>
      </c>
      <c r="W81" s="36">
        <f t="shared" ca="1" si="6"/>
        <v>0.01</v>
      </c>
      <c r="X81" s="8" t="str">
        <f>_xlfn.XLOOKUP(F81,'Product List'!$B$1:$B$299,'Product List'!$A$1:$A$299)</f>
        <v>Newell 34</v>
      </c>
      <c r="Y81" s="8"/>
      <c r="Z81" s="8" t="str" cm="1">
        <f t="array" ref="Z81:AD81">_xlfn.XLOOKUP(D81,'Customer Details'!$A$1:$A$17,'Customer Details'!$B$1:$F$17,"No such customer",0,1)</f>
        <v>Dynamatic Technologies Ltd.</v>
      </c>
      <c r="AA81" s="8" t="str">
        <v>402 Pinkster Lane</v>
      </c>
      <c r="AB81" s="8" t="str">
        <v>Santa Barbara</v>
      </c>
      <c r="AC81" s="8" t="str">
        <v>CA</v>
      </c>
      <c r="AD81" s="8" t="str">
        <v>93110</v>
      </c>
    </row>
    <row r="82" spans="1:30">
      <c r="A82" s="8" t="s">
        <v>161</v>
      </c>
      <c r="B82" s="19">
        <v>41391</v>
      </c>
      <c r="C82" s="8" t="s">
        <v>27</v>
      </c>
      <c r="D82" s="8">
        <v>10004</v>
      </c>
      <c r="E82" s="8" t="str">
        <f>VLOOKUP($D82,'Customer Details'!$A$1:$F$17,4,FALSE)</f>
        <v>New York</v>
      </c>
      <c r="F82" s="8" t="s">
        <v>162</v>
      </c>
      <c r="G82" s="8">
        <v>1</v>
      </c>
      <c r="H82" s="2" t="str">
        <f>VLOOKUP($D82,'Customer Details'!$A$1:$F$17,MATCH('Order SUmmary'!H$2,'Customer Details'!$A$1:$F$1,0),0)</f>
        <v>Lupin Ltd.</v>
      </c>
      <c r="I82" s="2" t="str">
        <f>VLOOKUP($D82,'Customer Details'!$A$1:$F$17,4,0)</f>
        <v>New York</v>
      </c>
      <c r="J82" s="2" t="str">
        <f>VLOOKUP($D82,'Customer Details'!$A$1:$F$17,6,0)</f>
        <v>10019</v>
      </c>
      <c r="K82" s="8" t="str">
        <f>VLOOKUP(VLOOKUP(D82,'Customer Details'!$A$1:$F$17,5,0),'Region INfo'!$A$1:$C$52,3,0)</f>
        <v xml:space="preserve">Northern </v>
      </c>
      <c r="L82" s="8" t="str">
        <f>INDEX(Product_List,MATCH($F82,'Product List'!$B$1:$B$299,0),MATCH('Order SUmmary'!L$2,'Product List'!$A$1:$E$1,0))</f>
        <v>Avery 483</v>
      </c>
      <c r="M82" s="8">
        <f>INDEX(Product_List,MATCH($F82,'Product List'!$B$1:$B$299,0),MATCH('Order SUmmary'!M$2,'Product List'!$A$1:$E$1,0))</f>
        <v>3694</v>
      </c>
      <c r="N82" s="8">
        <f>INDEX(Product_List,MATCH($F82,'Product List'!$B$1:$B$299,0),MATCH('Order SUmmary'!N$2,'Product List'!$A$1:$E$1,0))</f>
        <v>1616</v>
      </c>
      <c r="O82" s="8" t="str">
        <f>INDEX(Product_List,MATCH($F82,'Product List'!$B$1:$B$299,0),MATCH('Order SUmmary'!O$2,'Product List'!$A$1:$E$1,0))</f>
        <v>Labels</v>
      </c>
      <c r="P82" s="12">
        <f>HLOOKUP(C82,'Commission Criteria'!$A$2:$I$4,3,FALSE)</f>
        <v>4</v>
      </c>
      <c r="Q82" s="8">
        <f t="shared" si="4"/>
        <v>1616</v>
      </c>
      <c r="R82" s="8">
        <f t="shared" si="5"/>
        <v>3694</v>
      </c>
      <c r="S82" s="36">
        <f>VLOOKUP(R82,'Commission Criteria'!$L$3:$M$11,2,TRUE)</f>
        <v>0.01</v>
      </c>
      <c r="T82" s="36">
        <f>IF(P82&lt;5,VLOOKUP(R82,'Commission Criteria'!$L$3:$M$11,2,1),VLOOKUP('Order SUmmary'!R82,'Commission Criteria'!$P$3:$Q$11,2,1))</f>
        <v>0.01</v>
      </c>
      <c r="U82" s="36">
        <f>VLOOKUP(R82,IF(P82&lt;5,'Commission Criteria'!$L$3:$M$11,'Commission Criteria'!$P$3:$Q$11),2,1)</f>
        <v>0.01</v>
      </c>
      <c r="V82" s="8" t="s">
        <v>29</v>
      </c>
      <c r="W82" s="36">
        <f t="shared" ca="1" si="6"/>
        <v>0</v>
      </c>
      <c r="X82" s="8" t="str">
        <f>_xlfn.XLOOKUP(F82,'Product List'!$B$1:$B$299,'Product List'!$A$1:$A$299)</f>
        <v>Avery 483</v>
      </c>
      <c r="Y82" s="8"/>
      <c r="Z82" s="8" t="str" cm="1">
        <f t="array" ref="Z82:AD82">_xlfn.XLOOKUP(D82,'Customer Details'!$A$1:$A$17,'Customer Details'!$B$1:$F$17,"No such customer",0,1)</f>
        <v>Lupin Ltd.</v>
      </c>
      <c r="AA82" s="8" t="str">
        <v>Abbey Wood</v>
      </c>
      <c r="AB82" s="8" t="str">
        <v>New York</v>
      </c>
      <c r="AC82" s="8" t="str">
        <v>NY</v>
      </c>
      <c r="AD82" s="8" t="str">
        <v>10019</v>
      </c>
    </row>
    <row r="83" spans="1:30">
      <c r="A83" s="8" t="s">
        <v>163</v>
      </c>
      <c r="B83" s="19">
        <v>41391</v>
      </c>
      <c r="C83" s="8" t="s">
        <v>66</v>
      </c>
      <c r="D83" s="8">
        <v>10006</v>
      </c>
      <c r="E83" s="8" t="str">
        <f>VLOOKUP($D83,'Customer Details'!$A$1:$F$17,4,FALSE)</f>
        <v>Midland</v>
      </c>
      <c r="F83" s="8" t="s">
        <v>73</v>
      </c>
      <c r="G83" s="8">
        <v>2</v>
      </c>
      <c r="H83" s="2" t="str">
        <f>VLOOKUP($D83,'Customer Details'!$A$1:$F$17,MATCH('Order SUmmary'!H$2,'Customer Details'!$A$1:$F$1,0),0)</f>
        <v>Supreme Ind</v>
      </c>
      <c r="I83" s="2" t="str">
        <f>VLOOKUP($D83,'Customer Details'!$A$1:$F$17,4,0)</f>
        <v>Midland</v>
      </c>
      <c r="J83" s="2" t="str">
        <f>VLOOKUP($D83,'Customer Details'!$A$1:$F$17,6,0)</f>
        <v>79706</v>
      </c>
      <c r="K83" s="8" t="str">
        <f>VLOOKUP(VLOOKUP(D83,'Customer Details'!$A$1:$F$17,5,0),'Region INfo'!$A$1:$C$52,3,0)</f>
        <v>Western</v>
      </c>
      <c r="L83" s="8" t="str">
        <f>INDEX(Product_List,MATCH($F83,'Product List'!$B$1:$B$299,0),MATCH('Order SUmmary'!L$2,'Product List'!$A$1:$E$1,0))</f>
        <v>Xerox 1916</v>
      </c>
      <c r="M83" s="8">
        <f>INDEX(Product_List,MATCH($F83,'Product List'!$B$1:$B$299,0),MATCH('Order SUmmary'!M$2,'Product List'!$A$1:$E$1,0))</f>
        <v>3499</v>
      </c>
      <c r="N83" s="8">
        <f>INDEX(Product_List,MATCH($F83,'Product List'!$B$1:$B$299,0),MATCH('Order SUmmary'!N$2,'Product List'!$A$1:$E$1,0))</f>
        <v>2342</v>
      </c>
      <c r="O83" s="8" t="str">
        <f>INDEX(Product_List,MATCH($F83,'Product List'!$B$1:$B$299,0),MATCH('Order SUmmary'!O$2,'Product List'!$A$1:$E$1,0))</f>
        <v>Paper</v>
      </c>
      <c r="P83" s="12">
        <f>HLOOKUP(C83,'Commission Criteria'!$A$2:$I$4,3,FALSE)</f>
        <v>5</v>
      </c>
      <c r="Q83" s="8">
        <f t="shared" si="4"/>
        <v>4684</v>
      </c>
      <c r="R83" s="8">
        <f t="shared" si="5"/>
        <v>6998</v>
      </c>
      <c r="S83" s="36">
        <f>VLOOKUP(R83,'Commission Criteria'!$L$3:$M$11,2,TRUE)</f>
        <v>0.03</v>
      </c>
      <c r="T83" s="36">
        <f>IF(P83&lt;5,VLOOKUP(R83,'Commission Criteria'!$L$3:$M$11,2,1),VLOOKUP('Order SUmmary'!R83,'Commission Criteria'!$P$3:$Q$11,2,1))</f>
        <v>0.02</v>
      </c>
      <c r="U83" s="36">
        <f>VLOOKUP(R83,IF(P83&lt;5,'Commission Criteria'!$L$3:$M$11,'Commission Criteria'!$P$3:$Q$11),2,1)</f>
        <v>0.02</v>
      </c>
      <c r="V83" s="8" t="s">
        <v>35</v>
      </c>
      <c r="W83" s="36">
        <f t="shared" ca="1" si="6"/>
        <v>0.04</v>
      </c>
      <c r="X83" s="8" t="str">
        <f>_xlfn.XLOOKUP(F83,'Product List'!$B$1:$B$299,'Product List'!$A$1:$A$299)</f>
        <v>Xerox 1916</v>
      </c>
      <c r="Y83" s="8"/>
      <c r="Z83" s="8" t="str" cm="1">
        <f t="array" ref="Z83:AD83">_xlfn.XLOOKUP(D83,'Customer Details'!$A$1:$A$17,'Customer Details'!$B$1:$F$17,"No such customer",0,1)</f>
        <v>Supreme Ind</v>
      </c>
      <c r="AA83" s="8" t="str">
        <v>P.O. Box 1367</v>
      </c>
      <c r="AB83" s="8" t="str">
        <v>Midland</v>
      </c>
      <c r="AC83" s="8" t="str">
        <v>TX</v>
      </c>
      <c r="AD83" s="8" t="str">
        <v>79706</v>
      </c>
    </row>
    <row r="84" spans="1:30">
      <c r="A84" s="8" t="s">
        <v>161</v>
      </c>
      <c r="B84" s="19">
        <v>41391</v>
      </c>
      <c r="C84" s="8" t="s">
        <v>27</v>
      </c>
      <c r="D84" s="8">
        <v>10004</v>
      </c>
      <c r="E84" s="8" t="str">
        <f>VLOOKUP($D84,'Customer Details'!$A$1:$F$17,4,FALSE)</f>
        <v>New York</v>
      </c>
      <c r="F84" s="8" t="s">
        <v>102</v>
      </c>
      <c r="G84" s="8">
        <v>2</v>
      </c>
      <c r="H84" s="2" t="str">
        <f>VLOOKUP($D84,'Customer Details'!$A$1:$F$17,MATCH('Order SUmmary'!H$2,'Customer Details'!$A$1:$F$1,0),0)</f>
        <v>Lupin Ltd.</v>
      </c>
      <c r="I84" s="2" t="str">
        <f>VLOOKUP($D84,'Customer Details'!$A$1:$F$17,4,0)</f>
        <v>New York</v>
      </c>
      <c r="J84" s="2" t="str">
        <f>VLOOKUP($D84,'Customer Details'!$A$1:$F$17,6,0)</f>
        <v>10019</v>
      </c>
      <c r="K84" s="8" t="str">
        <f>VLOOKUP(VLOOKUP(D84,'Customer Details'!$A$1:$F$17,5,0),'Region INfo'!$A$1:$C$52,3,0)</f>
        <v xml:space="preserve">Northern </v>
      </c>
      <c r="L84" s="8" t="str">
        <f>INDEX(Product_List,MATCH($F84,'Product List'!$B$1:$B$299,0),MATCH('Order SUmmary'!L$2,'Product List'!$A$1:$E$1,0))</f>
        <v>Xerox 1997</v>
      </c>
      <c r="M84" s="8">
        <f>INDEX(Product_List,MATCH($F84,'Product List'!$B$1:$B$299,0),MATCH('Order SUmmary'!M$2,'Product List'!$A$1:$E$1,0))</f>
        <v>3844</v>
      </c>
      <c r="N84" s="8">
        <f>INDEX(Product_List,MATCH($F84,'Product List'!$B$1:$B$299,0),MATCH('Order SUmmary'!N$2,'Product List'!$A$1:$E$1,0))</f>
        <v>2157</v>
      </c>
      <c r="O84" s="8" t="str">
        <f>INDEX(Product_List,MATCH($F84,'Product List'!$B$1:$B$299,0),MATCH('Order SUmmary'!O$2,'Product List'!$A$1:$E$1,0))</f>
        <v>Paper</v>
      </c>
      <c r="P84" s="12">
        <f>HLOOKUP(C84,'Commission Criteria'!$A$2:$I$4,3,FALSE)</f>
        <v>4</v>
      </c>
      <c r="Q84" s="8">
        <f t="shared" si="4"/>
        <v>4314</v>
      </c>
      <c r="R84" s="8">
        <f t="shared" si="5"/>
        <v>7688</v>
      </c>
      <c r="S84" s="36">
        <f>VLOOKUP(R84,'Commission Criteria'!$L$3:$M$11,2,TRUE)</f>
        <v>0.03</v>
      </c>
      <c r="T84" s="36">
        <f>IF(P84&lt;5,VLOOKUP(R84,'Commission Criteria'!$L$3:$M$11,2,1),VLOOKUP('Order SUmmary'!R84,'Commission Criteria'!$P$3:$Q$11,2,1))</f>
        <v>0.03</v>
      </c>
      <c r="U84" s="36">
        <f>VLOOKUP(R84,IF(P84&lt;5,'Commission Criteria'!$L$3:$M$11,'Commission Criteria'!$P$3:$Q$11),2,1)</f>
        <v>0.03</v>
      </c>
      <c r="V84" s="8" t="s">
        <v>32</v>
      </c>
      <c r="W84" s="36">
        <f t="shared" ca="1" si="6"/>
        <v>0.05</v>
      </c>
      <c r="X84" s="8" t="str">
        <f>_xlfn.XLOOKUP(F84,'Product List'!$B$1:$B$299,'Product List'!$A$1:$A$299)</f>
        <v>Xerox 1997</v>
      </c>
      <c r="Y84" s="8"/>
      <c r="Z84" s="8" t="str" cm="1">
        <f t="array" ref="Z84:AD84">_xlfn.XLOOKUP(D84,'Customer Details'!$A$1:$A$17,'Customer Details'!$B$1:$F$17,"No such customer",0,1)</f>
        <v>Lupin Ltd.</v>
      </c>
      <c r="AA84" s="8" t="str">
        <v>Abbey Wood</v>
      </c>
      <c r="AB84" s="8" t="str">
        <v>New York</v>
      </c>
      <c r="AC84" s="8" t="str">
        <v>NY</v>
      </c>
      <c r="AD84" s="8" t="str">
        <v>10019</v>
      </c>
    </row>
    <row r="85" spans="1:30">
      <c r="A85" s="8" t="s">
        <v>161</v>
      </c>
      <c r="B85" s="19">
        <v>41391</v>
      </c>
      <c r="C85" s="8" t="s">
        <v>44</v>
      </c>
      <c r="D85" s="8">
        <v>10013</v>
      </c>
      <c r="E85" s="8" t="str">
        <f>VLOOKUP($D85,'Customer Details'!$A$1:$F$17,4,FALSE)</f>
        <v>Naugatuck</v>
      </c>
      <c r="F85" s="8" t="s">
        <v>164</v>
      </c>
      <c r="G85" s="8">
        <v>9</v>
      </c>
      <c r="H85" s="2" t="str">
        <f>VLOOKUP($D85,'Customer Details'!$A$1:$F$17,MATCH('Order SUmmary'!H$2,'Customer Details'!$A$1:$F$1,0),0)</f>
        <v>GMR Infrastructure Ltd.</v>
      </c>
      <c r="I85" s="2" t="str">
        <f>VLOOKUP($D85,'Customer Details'!$A$1:$F$17,4,0)</f>
        <v>Naugatuck</v>
      </c>
      <c r="J85" s="2" t="str">
        <f>VLOOKUP($D85,'Customer Details'!$A$1:$F$17,6,0)</f>
        <v>06770</v>
      </c>
      <c r="K85" s="8" t="str">
        <f>VLOOKUP(VLOOKUP(D85,'Customer Details'!$A$1:$F$17,5,0),'Region INfo'!$A$1:$C$52,3,0)</f>
        <v xml:space="preserve">Northern </v>
      </c>
      <c r="L85" s="8" t="str">
        <f>INDEX(Product_List,MATCH($F85,'Product List'!$B$1:$B$299,0),MATCH('Order SUmmary'!L$2,'Product List'!$A$1:$E$1,0))</f>
        <v>Avery 52</v>
      </c>
      <c r="M85" s="8">
        <f>INDEX(Product_List,MATCH($F85,'Product List'!$B$1:$B$299,0),MATCH('Order SUmmary'!M$2,'Product List'!$A$1:$E$1,0))</f>
        <v>4744</v>
      </c>
      <c r="N85" s="8">
        <f>INDEX(Product_List,MATCH($F85,'Product List'!$B$1:$B$299,0),MATCH('Order SUmmary'!N$2,'Product List'!$A$1:$E$1,0))</f>
        <v>1465</v>
      </c>
      <c r="O85" s="8" t="str">
        <f>INDEX(Product_List,MATCH($F85,'Product List'!$B$1:$B$299,0),MATCH('Order SUmmary'!O$2,'Product List'!$A$1:$E$1,0))</f>
        <v>Labels</v>
      </c>
      <c r="P85" s="12">
        <f>HLOOKUP(C85,'Commission Criteria'!$A$2:$I$4,3,FALSE)</f>
        <v>4</v>
      </c>
      <c r="Q85" s="8">
        <f t="shared" si="4"/>
        <v>13185</v>
      </c>
      <c r="R85" s="8">
        <f t="shared" si="5"/>
        <v>42696</v>
      </c>
      <c r="S85" s="36">
        <f>VLOOKUP(R85,'Commission Criteria'!$L$3:$M$11,2,TRUE)</f>
        <v>0.05</v>
      </c>
      <c r="T85" s="36">
        <f>IF(P85&lt;5,VLOOKUP(R85,'Commission Criteria'!$L$3:$M$11,2,1),VLOOKUP('Order SUmmary'!R85,'Commission Criteria'!$P$3:$Q$11,2,1))</f>
        <v>0.05</v>
      </c>
      <c r="U85" s="36">
        <f>VLOOKUP(R85,IF(P85&lt;5,'Commission Criteria'!$L$3:$M$11,'Commission Criteria'!$P$3:$Q$11),2,1)</f>
        <v>0.05</v>
      </c>
      <c r="V85" s="8" t="s">
        <v>29</v>
      </c>
      <c r="W85" s="36">
        <f t="shared" ca="1" si="6"/>
        <v>0.02</v>
      </c>
      <c r="X85" s="8" t="str">
        <f>_xlfn.XLOOKUP(F85,'Product List'!$B$1:$B$299,'Product List'!$A$1:$A$299)</f>
        <v>Avery 52</v>
      </c>
      <c r="Y85" s="8"/>
      <c r="Z85" s="8" t="str" cm="1">
        <f t="array" ref="Z85:AD85">_xlfn.XLOOKUP(D85,'Customer Details'!$A$1:$A$17,'Customer Details'!$B$1:$F$17,"No such customer",0,1)</f>
        <v>GMR Infrastructure Ltd.</v>
      </c>
      <c r="AA85" s="8" t="str">
        <v>P.O. Box 4421</v>
      </c>
      <c r="AB85" s="8" t="str">
        <v>Naugatuck</v>
      </c>
      <c r="AC85" s="8" t="str">
        <v>CT</v>
      </c>
      <c r="AD85" s="8" t="str">
        <v>06770</v>
      </c>
    </row>
    <row r="86" spans="1:30">
      <c r="A86" s="8" t="s">
        <v>165</v>
      </c>
      <c r="B86" s="19">
        <v>41393</v>
      </c>
      <c r="C86" s="8" t="s">
        <v>46</v>
      </c>
      <c r="D86" s="8">
        <v>10011</v>
      </c>
      <c r="E86" s="8" t="str">
        <f>VLOOKUP($D86,'Customer Details'!$A$1:$F$17,4,FALSE)</f>
        <v>Olympia</v>
      </c>
      <c r="F86" s="8" t="s">
        <v>166</v>
      </c>
      <c r="G86" s="8">
        <v>2</v>
      </c>
      <c r="H86" s="2" t="str">
        <f>VLOOKUP($D86,'Customer Details'!$A$1:$F$17,MATCH('Order SUmmary'!H$2,'Customer Details'!$A$1:$F$1,0),0)</f>
        <v>Sonata Software</v>
      </c>
      <c r="I86" s="2" t="str">
        <f>VLOOKUP($D86,'Customer Details'!$A$1:$F$17,4,0)</f>
        <v>Olympia</v>
      </c>
      <c r="J86" s="2" t="str">
        <f>VLOOKUP($D86,'Customer Details'!$A$1:$F$17,6,0)</f>
        <v>98502</v>
      </c>
      <c r="K86" s="8" t="str">
        <f>VLOOKUP(VLOOKUP(D86,'Customer Details'!$A$1:$F$17,5,0),'Region INfo'!$A$1:$C$52,3,0)</f>
        <v xml:space="preserve">Pacific   </v>
      </c>
      <c r="L86" s="8" t="str">
        <f>INDEX(Product_List,MATCH($F86,'Product List'!$B$1:$B$299,0),MATCH('Order SUmmary'!L$2,'Product List'!$A$1:$E$1,0))</f>
        <v>Xerox 1891</v>
      </c>
      <c r="M86" s="8">
        <f>INDEX(Product_List,MATCH($F86,'Product List'!$B$1:$B$299,0),MATCH('Order SUmmary'!M$2,'Product List'!$A$1:$E$1,0))</f>
        <v>4357</v>
      </c>
      <c r="N86" s="8">
        <f>INDEX(Product_List,MATCH($F86,'Product List'!$B$1:$B$299,0),MATCH('Order SUmmary'!N$2,'Product List'!$A$1:$E$1,0))</f>
        <v>1806</v>
      </c>
      <c r="O86" s="8" t="str">
        <f>INDEX(Product_List,MATCH($F86,'Product List'!$B$1:$B$299,0),MATCH('Order SUmmary'!O$2,'Product List'!$A$1:$E$1,0))</f>
        <v>Paper</v>
      </c>
      <c r="P86" s="12">
        <f>HLOOKUP(C86,'Commission Criteria'!$A$2:$I$4,3,FALSE)</f>
        <v>8</v>
      </c>
      <c r="Q86" s="8">
        <f t="shared" si="4"/>
        <v>3612</v>
      </c>
      <c r="R86" s="8">
        <f t="shared" si="5"/>
        <v>8714</v>
      </c>
      <c r="S86" s="36">
        <f>VLOOKUP(R86,'Commission Criteria'!$L$3:$M$11,2,TRUE)</f>
        <v>0.03</v>
      </c>
      <c r="T86" s="36">
        <f>IF(P86&lt;5,VLOOKUP(R86,'Commission Criteria'!$L$3:$M$11,2,1),VLOOKUP('Order SUmmary'!R86,'Commission Criteria'!$P$3:$Q$11,2,1))</f>
        <v>0.02</v>
      </c>
      <c r="U86" s="36">
        <f>VLOOKUP(R86,IF(P86&lt;5,'Commission Criteria'!$L$3:$M$11,'Commission Criteria'!$P$3:$Q$11),2,1)</f>
        <v>0.02</v>
      </c>
      <c r="V86" s="8" t="s">
        <v>43</v>
      </c>
      <c r="W86" s="36">
        <f t="shared" ca="1" si="6"/>
        <v>0.01</v>
      </c>
      <c r="X86" s="8" t="str">
        <f>_xlfn.XLOOKUP(F86,'Product List'!$B$1:$B$299,'Product List'!$A$1:$A$299)</f>
        <v>Xerox 1891</v>
      </c>
      <c r="Y86" s="8"/>
      <c r="Z86" s="8" t="str" cm="1">
        <f t="array" ref="Z86:AD86">_xlfn.XLOOKUP(D86,'Customer Details'!$A$1:$A$17,'Customer Details'!$B$1:$F$17,"No such customer",0,1)</f>
        <v>Sonata Software</v>
      </c>
      <c r="AA86" s="8" t="str">
        <v>1331 Kimberly Dr.</v>
      </c>
      <c r="AB86" s="8" t="str">
        <v>Olympia</v>
      </c>
      <c r="AC86" s="8" t="str">
        <v>WA</v>
      </c>
      <c r="AD86" s="8" t="str">
        <v>98502</v>
      </c>
    </row>
    <row r="87" spans="1:30">
      <c r="A87" s="8" t="s">
        <v>167</v>
      </c>
      <c r="B87" s="19">
        <v>41393</v>
      </c>
      <c r="C87" s="8" t="s">
        <v>66</v>
      </c>
      <c r="D87" s="8">
        <v>10012</v>
      </c>
      <c r="E87" s="8" t="str">
        <f>VLOOKUP($D87,'Customer Details'!$A$1:$F$17,4,FALSE)</f>
        <v>Santa Barbara</v>
      </c>
      <c r="F87" s="8" t="s">
        <v>168</v>
      </c>
      <c r="G87" s="8">
        <v>2</v>
      </c>
      <c r="H87" s="2" t="str">
        <f>VLOOKUP($D87,'Customer Details'!$A$1:$F$17,MATCH('Order SUmmary'!H$2,'Customer Details'!$A$1:$F$1,0),0)</f>
        <v>Dynamatic Technologies Ltd.</v>
      </c>
      <c r="I87" s="2" t="str">
        <f>VLOOKUP($D87,'Customer Details'!$A$1:$F$17,4,0)</f>
        <v>Santa Barbara</v>
      </c>
      <c r="J87" s="2" t="str">
        <f>VLOOKUP($D87,'Customer Details'!$A$1:$F$17,6,0)</f>
        <v>93110</v>
      </c>
      <c r="K87" s="8" t="str">
        <f>VLOOKUP(VLOOKUP(D87,'Customer Details'!$A$1:$F$17,5,0),'Region INfo'!$A$1:$C$52,3,0)</f>
        <v xml:space="preserve">Pacific   </v>
      </c>
      <c r="L87" s="8" t="str">
        <f>INDEX(Product_List,MATCH($F87,'Product List'!$B$1:$B$299,0),MATCH('Order SUmmary'!L$2,'Product List'!$A$1:$E$1,0))</f>
        <v>Newell 334</v>
      </c>
      <c r="M87" s="8">
        <f>INDEX(Product_List,MATCH($F87,'Product List'!$B$1:$B$299,0),MATCH('Order SUmmary'!M$2,'Product List'!$A$1:$E$1,0))</f>
        <v>4589</v>
      </c>
      <c r="N87" s="8">
        <f>INDEX(Product_List,MATCH($F87,'Product List'!$B$1:$B$299,0),MATCH('Order SUmmary'!N$2,'Product List'!$A$1:$E$1,0))</f>
        <v>1478</v>
      </c>
      <c r="O87" s="8" t="str">
        <f>INDEX(Product_List,MATCH($F87,'Product List'!$B$1:$B$299,0),MATCH('Order SUmmary'!O$2,'Product List'!$A$1:$E$1,0))</f>
        <v>Art</v>
      </c>
      <c r="P87" s="12">
        <f>HLOOKUP(C87,'Commission Criteria'!$A$2:$I$4,3,FALSE)</f>
        <v>5</v>
      </c>
      <c r="Q87" s="8">
        <f t="shared" si="4"/>
        <v>2956</v>
      </c>
      <c r="R87" s="8">
        <f t="shared" si="5"/>
        <v>9178</v>
      </c>
      <c r="S87" s="36">
        <f>VLOOKUP(R87,'Commission Criteria'!$L$3:$M$11,2,TRUE)</f>
        <v>0.03</v>
      </c>
      <c r="T87" s="36">
        <f>IF(P87&lt;5,VLOOKUP(R87,'Commission Criteria'!$L$3:$M$11,2,1),VLOOKUP('Order SUmmary'!R87,'Commission Criteria'!$P$3:$Q$11,2,1))</f>
        <v>0.02</v>
      </c>
      <c r="U87" s="36">
        <f>VLOOKUP(R87,IF(P87&lt;5,'Commission Criteria'!$L$3:$M$11,'Commission Criteria'!$P$3:$Q$11),2,1)</f>
        <v>0.02</v>
      </c>
      <c r="V87" s="8" t="s">
        <v>43</v>
      </c>
      <c r="W87" s="36">
        <f t="shared" ca="1" si="6"/>
        <v>0.04</v>
      </c>
      <c r="X87" s="8" t="str">
        <f>_xlfn.XLOOKUP(F87,'Product List'!$B$1:$B$299,'Product List'!$A$1:$A$299)</f>
        <v>Newell 334</v>
      </c>
      <c r="Y87" s="8"/>
      <c r="Z87" s="8" t="str" cm="1">
        <f t="array" ref="Z87:AD87">_xlfn.XLOOKUP(D87,'Customer Details'!$A$1:$A$17,'Customer Details'!$B$1:$F$17,"No such customer",0,1)</f>
        <v>Dynamatic Technologies Ltd.</v>
      </c>
      <c r="AA87" s="8" t="str">
        <v>402 Pinkster Lane</v>
      </c>
      <c r="AB87" s="8" t="str">
        <v>Santa Barbara</v>
      </c>
      <c r="AC87" s="8" t="str">
        <v>CA</v>
      </c>
      <c r="AD87" s="8" t="str">
        <v>93110</v>
      </c>
    </row>
    <row r="88" spans="1:30">
      <c r="A88" s="8" t="s">
        <v>169</v>
      </c>
      <c r="B88" s="19">
        <v>41395</v>
      </c>
      <c r="C88" s="8" t="s">
        <v>46</v>
      </c>
      <c r="D88" s="8">
        <v>10001</v>
      </c>
      <c r="E88" s="8" t="str">
        <f>VLOOKUP($D88,'Customer Details'!$A$1:$F$17,4,FALSE)</f>
        <v>New York</v>
      </c>
      <c r="F88" s="8" t="s">
        <v>170</v>
      </c>
      <c r="G88" s="8">
        <v>1</v>
      </c>
      <c r="H88" s="2" t="str">
        <f>VLOOKUP($D88,'Customer Details'!$A$1:$F$17,MATCH('Order SUmmary'!H$2,'Customer Details'!$A$1:$F$1,0),0)</f>
        <v>Chambal Fertilisers and Chemicals Ltd.</v>
      </c>
      <c r="I88" s="2" t="str">
        <f>VLOOKUP($D88,'Customer Details'!$A$1:$F$17,4,0)</f>
        <v>New York</v>
      </c>
      <c r="J88" s="2" t="str">
        <f>VLOOKUP($D88,'Customer Details'!$A$1:$F$17,6,0)</f>
        <v>10025</v>
      </c>
      <c r="K88" s="8" t="str">
        <f>VLOOKUP(VLOOKUP(D88,'Customer Details'!$A$1:$F$17,5,0),'Region INfo'!$A$1:$C$52,3,0)</f>
        <v xml:space="preserve">Northern </v>
      </c>
      <c r="L88" s="8" t="str">
        <f>INDEX(Product_List,MATCH($F88,'Product List'!$B$1:$B$299,0),MATCH('Order SUmmary'!L$2,'Product List'!$A$1:$E$1,0))</f>
        <v>Xerox 1930</v>
      </c>
      <c r="M88" s="8">
        <f>INDEX(Product_List,MATCH($F88,'Product List'!$B$1:$B$299,0),MATCH('Order SUmmary'!M$2,'Product List'!$A$1:$E$1,0))</f>
        <v>2796</v>
      </c>
      <c r="N88" s="8">
        <f>INDEX(Product_List,MATCH($F88,'Product List'!$B$1:$B$299,0),MATCH('Order SUmmary'!N$2,'Product List'!$A$1:$E$1,0))</f>
        <v>2307</v>
      </c>
      <c r="O88" s="8" t="str">
        <f>INDEX(Product_List,MATCH($F88,'Product List'!$B$1:$B$299,0),MATCH('Order SUmmary'!O$2,'Product List'!$A$1:$E$1,0))</f>
        <v>Paper</v>
      </c>
      <c r="P88" s="12">
        <f>HLOOKUP(C88,'Commission Criteria'!$A$2:$I$4,3,FALSE)</f>
        <v>8</v>
      </c>
      <c r="Q88" s="8">
        <f t="shared" si="4"/>
        <v>2307</v>
      </c>
      <c r="R88" s="8">
        <f t="shared" si="5"/>
        <v>2796</v>
      </c>
      <c r="S88" s="36">
        <f>VLOOKUP(R88,'Commission Criteria'!$L$3:$M$11,2,TRUE)</f>
        <v>0.01</v>
      </c>
      <c r="T88" s="36">
        <f>IF(P88&lt;5,VLOOKUP(R88,'Commission Criteria'!$L$3:$M$11,2,1),VLOOKUP('Order SUmmary'!R88,'Commission Criteria'!$P$3:$Q$11,2,1))</f>
        <v>0.02</v>
      </c>
      <c r="U88" s="36">
        <f>VLOOKUP(R88,IF(P88&lt;5,'Commission Criteria'!$L$3:$M$11,'Commission Criteria'!$P$3:$Q$11),2,1)</f>
        <v>0.02</v>
      </c>
      <c r="V88" s="8" t="s">
        <v>43</v>
      </c>
      <c r="W88" s="36">
        <f t="shared" ca="1" si="6"/>
        <v>0.04</v>
      </c>
      <c r="X88" s="8" t="str">
        <f>_xlfn.XLOOKUP(F88,'Product List'!$B$1:$B$299,'Product List'!$A$1:$A$299)</f>
        <v>Xerox 1930</v>
      </c>
      <c r="Y88" s="8"/>
      <c r="Z88" s="8" t="str" cm="1">
        <f t="array" ref="Z88:AD88">_xlfn.XLOOKUP(D88,'Customer Details'!$A$1:$A$17,'Customer Details'!$B$1:$F$17,"No such customer",0,1)</f>
        <v>Chambal Fertilisers and Chemicals Ltd.</v>
      </c>
      <c r="AA88" s="8" t="str">
        <v>4951 Indiana Ave.</v>
      </c>
      <c r="AB88" s="8" t="str">
        <v>New York</v>
      </c>
      <c r="AC88" s="8" t="str">
        <v>NY</v>
      </c>
      <c r="AD88" s="8" t="str">
        <v>10025</v>
      </c>
    </row>
    <row r="89" spans="1:30">
      <c r="A89" s="8" t="s">
        <v>171</v>
      </c>
      <c r="B89" s="19">
        <v>41395</v>
      </c>
      <c r="C89" s="8" t="s">
        <v>36</v>
      </c>
      <c r="D89" s="8">
        <v>10002</v>
      </c>
      <c r="E89" s="8" t="str">
        <f>VLOOKUP($D89,'Customer Details'!$A$1:$F$17,4,FALSE)</f>
        <v>Omaha</v>
      </c>
      <c r="F89" s="8" t="s">
        <v>172</v>
      </c>
      <c r="G89" s="8">
        <v>1</v>
      </c>
      <c r="H89" s="2" t="str">
        <f>VLOOKUP($D89,'Customer Details'!$A$1:$F$17,MATCH('Order SUmmary'!H$2,'Customer Details'!$A$1:$F$1,0),0)</f>
        <v>Elder Pharmaceuticals</v>
      </c>
      <c r="I89" s="2" t="str">
        <f>VLOOKUP($D89,'Customer Details'!$A$1:$F$17,4,0)</f>
        <v>Omaha</v>
      </c>
      <c r="J89" s="2" t="str">
        <f>VLOOKUP($D89,'Customer Details'!$A$1:$F$17,6,0)</f>
        <v>68127</v>
      </c>
      <c r="K89" s="8" t="str">
        <f>VLOOKUP(VLOOKUP(D89,'Customer Details'!$A$1:$F$17,5,0),'Region INfo'!$A$1:$C$52,3,0)</f>
        <v>Western</v>
      </c>
      <c r="L89" s="8" t="str">
        <f>INDEX(Product_List,MATCH($F89,'Product List'!$B$1:$B$299,0),MATCH('Order SUmmary'!L$2,'Product List'!$A$1:$E$1,0))</f>
        <v>Xerox 223</v>
      </c>
      <c r="M89" s="8">
        <f>INDEX(Product_List,MATCH($F89,'Product List'!$B$1:$B$299,0),MATCH('Order SUmmary'!M$2,'Product List'!$A$1:$E$1,0))</f>
        <v>4733</v>
      </c>
      <c r="N89" s="8">
        <f>INDEX(Product_List,MATCH($F89,'Product List'!$B$1:$B$299,0),MATCH('Order SUmmary'!N$2,'Product List'!$A$1:$E$1,0))</f>
        <v>1415</v>
      </c>
      <c r="O89" s="8" t="str">
        <f>INDEX(Product_List,MATCH($F89,'Product List'!$B$1:$B$299,0),MATCH('Order SUmmary'!O$2,'Product List'!$A$1:$E$1,0))</f>
        <v>Paper</v>
      </c>
      <c r="P89" s="12">
        <f>HLOOKUP(C89,'Commission Criteria'!$A$2:$I$4,3,FALSE)</f>
        <v>6</v>
      </c>
      <c r="Q89" s="8">
        <f t="shared" si="4"/>
        <v>1415</v>
      </c>
      <c r="R89" s="8">
        <f t="shared" si="5"/>
        <v>4733</v>
      </c>
      <c r="S89" s="36">
        <f>VLOOKUP(R89,'Commission Criteria'!$L$3:$M$11,2,TRUE)</f>
        <v>0.01</v>
      </c>
      <c r="T89" s="36">
        <f>IF(P89&lt;5,VLOOKUP(R89,'Commission Criteria'!$L$3:$M$11,2,1),VLOOKUP('Order SUmmary'!R89,'Commission Criteria'!$P$3:$Q$11,2,1))</f>
        <v>0.02</v>
      </c>
      <c r="U89" s="36">
        <f>VLOOKUP(R89,IF(P89&lt;5,'Commission Criteria'!$L$3:$M$11,'Commission Criteria'!$P$3:$Q$11),2,1)</f>
        <v>0.02</v>
      </c>
      <c r="V89" s="8" t="s">
        <v>35</v>
      </c>
      <c r="W89" s="36">
        <f t="shared" ca="1" si="6"/>
        <v>0.04</v>
      </c>
      <c r="X89" s="8" t="str">
        <f>_xlfn.XLOOKUP(F89,'Product List'!$B$1:$B$299,'Product List'!$A$1:$A$299)</f>
        <v>Xerox 223</v>
      </c>
      <c r="Y89" s="8"/>
      <c r="Z89" s="8" t="str" cm="1">
        <f t="array" ref="Z89:AD89">_xlfn.XLOOKUP(D89,'Customer Details'!$A$1:$A$17,'Customer Details'!$B$1:$F$17,"No such customer",0,1)</f>
        <v>Elder Pharmaceuticals</v>
      </c>
      <c r="AA89" s="8" t="str">
        <v>57 Neriba Cres</v>
      </c>
      <c r="AB89" s="8" t="str">
        <v>Omaha</v>
      </c>
      <c r="AC89" s="8" t="str">
        <v>NE</v>
      </c>
      <c r="AD89" s="8" t="str">
        <v>68127</v>
      </c>
    </row>
    <row r="90" spans="1:30">
      <c r="A90" s="8" t="s">
        <v>173</v>
      </c>
      <c r="B90" s="19">
        <v>41398</v>
      </c>
      <c r="C90" s="8" t="s">
        <v>51</v>
      </c>
      <c r="D90" s="8">
        <v>10002</v>
      </c>
      <c r="E90" s="8" t="str">
        <f>VLOOKUP($D90,'Customer Details'!$A$1:$F$17,4,FALSE)</f>
        <v>Omaha</v>
      </c>
      <c r="F90" s="8" t="s">
        <v>145</v>
      </c>
      <c r="G90" s="8">
        <v>1</v>
      </c>
      <c r="H90" s="2" t="str">
        <f>VLOOKUP($D90,'Customer Details'!$A$1:$F$17,MATCH('Order SUmmary'!H$2,'Customer Details'!$A$1:$F$1,0),0)</f>
        <v>Elder Pharmaceuticals</v>
      </c>
      <c r="I90" s="2" t="str">
        <f>VLOOKUP($D90,'Customer Details'!$A$1:$F$17,4,0)</f>
        <v>Omaha</v>
      </c>
      <c r="J90" s="2" t="str">
        <f>VLOOKUP($D90,'Customer Details'!$A$1:$F$17,6,0)</f>
        <v>68127</v>
      </c>
      <c r="K90" s="8" t="str">
        <f>VLOOKUP(VLOOKUP(D90,'Customer Details'!$A$1:$F$17,5,0),'Region INfo'!$A$1:$C$52,3,0)</f>
        <v>Western</v>
      </c>
      <c r="L90" s="8" t="str">
        <f>INDEX(Product_List,MATCH($F90,'Product List'!$B$1:$B$299,0),MATCH('Order SUmmary'!L$2,'Product List'!$A$1:$E$1,0))</f>
        <v>Xerox 1913</v>
      </c>
      <c r="M90" s="8">
        <f>INDEX(Product_List,MATCH($F90,'Product List'!$B$1:$B$299,0),MATCH('Order SUmmary'!M$2,'Product List'!$A$1:$E$1,0))</f>
        <v>2547</v>
      </c>
      <c r="N90" s="8">
        <f>INDEX(Product_List,MATCH($F90,'Product List'!$B$1:$B$299,0),MATCH('Order SUmmary'!N$2,'Product List'!$A$1:$E$1,0))</f>
        <v>1419</v>
      </c>
      <c r="O90" s="8" t="str">
        <f>INDEX(Product_List,MATCH($F90,'Product List'!$B$1:$B$299,0),MATCH('Order SUmmary'!O$2,'Product List'!$A$1:$E$1,0))</f>
        <v>Paper</v>
      </c>
      <c r="P90" s="12">
        <f>HLOOKUP(C90,'Commission Criteria'!$A$2:$I$4,3,FALSE)</f>
        <v>10</v>
      </c>
      <c r="Q90" s="8">
        <f t="shared" si="4"/>
        <v>1419</v>
      </c>
      <c r="R90" s="8">
        <f t="shared" si="5"/>
        <v>2547</v>
      </c>
      <c r="S90" s="36">
        <f>VLOOKUP(R90,'Commission Criteria'!$L$3:$M$11,2,TRUE)</f>
        <v>0.01</v>
      </c>
      <c r="T90" s="36">
        <f>IF(P90&lt;5,VLOOKUP(R90,'Commission Criteria'!$L$3:$M$11,2,1),VLOOKUP('Order SUmmary'!R90,'Commission Criteria'!$P$3:$Q$11,2,1))</f>
        <v>0.02</v>
      </c>
      <c r="U90" s="36">
        <f>VLOOKUP(R90,IF(P90&lt;5,'Commission Criteria'!$L$3:$M$11,'Commission Criteria'!$P$3:$Q$11),2,1)</f>
        <v>0.02</v>
      </c>
      <c r="V90" s="8" t="s">
        <v>43</v>
      </c>
      <c r="W90" s="36">
        <f t="shared" ca="1" si="6"/>
        <v>0.04</v>
      </c>
      <c r="X90" s="8" t="str">
        <f>_xlfn.XLOOKUP(F90,'Product List'!$B$1:$B$299,'Product List'!$A$1:$A$299)</f>
        <v>Xerox 1913</v>
      </c>
      <c r="Y90" s="8"/>
      <c r="Z90" s="8" t="str" cm="1">
        <f t="array" ref="Z90:AD90">_xlfn.XLOOKUP(D90,'Customer Details'!$A$1:$A$17,'Customer Details'!$B$1:$F$17,"No such customer",0,1)</f>
        <v>Elder Pharmaceuticals</v>
      </c>
      <c r="AA90" s="8" t="str">
        <v>57 Neriba Cres</v>
      </c>
      <c r="AB90" s="8" t="str">
        <v>Omaha</v>
      </c>
      <c r="AC90" s="8" t="str">
        <v>NE</v>
      </c>
      <c r="AD90" s="8" t="str">
        <v>68127</v>
      </c>
    </row>
    <row r="91" spans="1:30">
      <c r="A91" s="8" t="s">
        <v>173</v>
      </c>
      <c r="B91" s="19">
        <v>41398</v>
      </c>
      <c r="C91" s="8" t="s">
        <v>27</v>
      </c>
      <c r="D91" s="8">
        <v>10014</v>
      </c>
      <c r="E91" s="8" t="str">
        <f>VLOOKUP($D91,'Customer Details'!$A$1:$F$17,4,FALSE)</f>
        <v>Honolulu</v>
      </c>
      <c r="F91" s="8" t="s">
        <v>174</v>
      </c>
      <c r="G91" s="8">
        <v>1</v>
      </c>
      <c r="H91" s="2" t="str">
        <f>VLOOKUP($D91,'Customer Details'!$A$1:$F$17,MATCH('Order SUmmary'!H$2,'Customer Details'!$A$1:$F$1,0),0)</f>
        <v>Hindusthan National Glass &amp; Industries Ltd.</v>
      </c>
      <c r="I91" s="2" t="str">
        <f>VLOOKUP($D91,'Customer Details'!$A$1:$F$17,4,0)</f>
        <v>Honolulu</v>
      </c>
      <c r="J91" s="2" t="str">
        <f>VLOOKUP($D91,'Customer Details'!$A$1:$F$17,6,0)</f>
        <v>96825</v>
      </c>
      <c r="K91" s="8" t="str">
        <f>VLOOKUP(VLOOKUP(D91,'Customer Details'!$A$1:$F$17,5,0),'Region INfo'!$A$1:$C$52,3,0)</f>
        <v xml:space="preserve">Pacific   </v>
      </c>
      <c r="L91" s="8" t="str">
        <f>INDEX(Product_List,MATCH($F91,'Product List'!$B$1:$B$299,0),MATCH('Order SUmmary'!L$2,'Product List'!$A$1:$E$1,0))</f>
        <v>Staples</v>
      </c>
      <c r="M91" s="8">
        <f>INDEX(Product_List,MATCH($F91,'Product List'!$B$1:$B$299,0),MATCH('Order SUmmary'!M$2,'Product List'!$A$1:$E$1,0))</f>
        <v>2747</v>
      </c>
      <c r="N91" s="8">
        <f>INDEX(Product_List,MATCH($F91,'Product List'!$B$1:$B$299,0),MATCH('Order SUmmary'!N$2,'Product List'!$A$1:$E$1,0))</f>
        <v>2098</v>
      </c>
      <c r="O91" s="8" t="str">
        <f>INDEX(Product_List,MATCH($F91,'Product List'!$B$1:$B$299,0),MATCH('Order SUmmary'!O$2,'Product List'!$A$1:$E$1,0))</f>
        <v>Fasteners</v>
      </c>
      <c r="P91" s="12">
        <f>HLOOKUP(C91,'Commission Criteria'!$A$2:$I$4,3,FALSE)</f>
        <v>4</v>
      </c>
      <c r="Q91" s="8">
        <f t="shared" si="4"/>
        <v>2098</v>
      </c>
      <c r="R91" s="8">
        <f t="shared" si="5"/>
        <v>2747</v>
      </c>
      <c r="S91" s="36">
        <f>VLOOKUP(R91,'Commission Criteria'!$L$3:$M$11,2,TRUE)</f>
        <v>0.01</v>
      </c>
      <c r="T91" s="36">
        <f>IF(P91&lt;5,VLOOKUP(R91,'Commission Criteria'!$L$3:$M$11,2,1),VLOOKUP('Order SUmmary'!R91,'Commission Criteria'!$P$3:$Q$11,2,1))</f>
        <v>0.01</v>
      </c>
      <c r="U91" s="36">
        <f>VLOOKUP(R91,IF(P91&lt;5,'Commission Criteria'!$L$3:$M$11,'Commission Criteria'!$P$3:$Q$11),2,1)</f>
        <v>0.01</v>
      </c>
      <c r="V91" s="8" t="s">
        <v>50</v>
      </c>
      <c r="W91" s="36">
        <f t="shared" ca="1" si="6"/>
        <v>0.01</v>
      </c>
      <c r="X91" s="8" t="str">
        <f>_xlfn.XLOOKUP(F91,'Product List'!$B$1:$B$299,'Product List'!$A$1:$A$299)</f>
        <v>Staples</v>
      </c>
      <c r="Y91" s="8"/>
      <c r="Z91" s="8" t="str" cm="1">
        <f t="array" ref="Z91:AD91">_xlfn.XLOOKUP(D91,'Customer Details'!$A$1:$A$17,'Customer Details'!$B$1:$F$17,"No such customer",0,1)</f>
        <v>Hindusthan National Glass &amp; Industries Ltd.</v>
      </c>
      <c r="AA91" s="8" t="str">
        <v>11 Cathy St.</v>
      </c>
      <c r="AB91" s="8" t="str">
        <v>Honolulu</v>
      </c>
      <c r="AC91" s="8" t="str">
        <v>HI</v>
      </c>
      <c r="AD91" s="8" t="str">
        <v>96825</v>
      </c>
    </row>
    <row r="92" spans="1:30">
      <c r="A92" s="8" t="s">
        <v>173</v>
      </c>
      <c r="B92" s="19">
        <v>41398</v>
      </c>
      <c r="C92" s="8" t="s">
        <v>44</v>
      </c>
      <c r="D92" s="8">
        <v>10009</v>
      </c>
      <c r="E92" s="8" t="str">
        <f>VLOOKUP($D92,'Customer Details'!$A$1:$F$17,4,FALSE)</f>
        <v>Salt Lake City</v>
      </c>
      <c r="F92" s="8" t="s">
        <v>60</v>
      </c>
      <c r="G92" s="8">
        <v>2</v>
      </c>
      <c r="H92" s="2" t="str">
        <f>VLOOKUP($D92,'Customer Details'!$A$1:$F$17,MATCH('Order SUmmary'!H$2,'Customer Details'!$A$1:$F$1,0),0)</f>
        <v>Godfrey Philips India Ltd.</v>
      </c>
      <c r="I92" s="2" t="str">
        <f>VLOOKUP($D92,'Customer Details'!$A$1:$F$17,4,0)</f>
        <v>Salt Lake City</v>
      </c>
      <c r="J92" s="2" t="str">
        <f>VLOOKUP($D92,'Customer Details'!$A$1:$F$17,6,0)</f>
        <v>84118</v>
      </c>
      <c r="K92" s="8" t="str">
        <f>VLOOKUP(VLOOKUP(D92,'Customer Details'!$A$1:$F$17,5,0),'Region INfo'!$A$1:$C$52,3,0)</f>
        <v xml:space="preserve">Pacific   </v>
      </c>
      <c r="L92" s="8" t="str">
        <f>INDEX(Product_List,MATCH($F92,'Product List'!$B$1:$B$299,0),MATCH('Order SUmmary'!L$2,'Product List'!$A$1:$E$1,0))</f>
        <v>Xerox 1889</v>
      </c>
      <c r="M92" s="8">
        <f>INDEX(Product_List,MATCH($F92,'Product List'!$B$1:$B$299,0),MATCH('Order SUmmary'!M$2,'Product List'!$A$1:$E$1,0))</f>
        <v>4831</v>
      </c>
      <c r="N92" s="8">
        <f>INDEX(Product_List,MATCH($F92,'Product List'!$B$1:$B$299,0),MATCH('Order SUmmary'!N$2,'Product List'!$A$1:$E$1,0))</f>
        <v>2265</v>
      </c>
      <c r="O92" s="8" t="str">
        <f>INDEX(Product_List,MATCH($F92,'Product List'!$B$1:$B$299,0),MATCH('Order SUmmary'!O$2,'Product List'!$A$1:$E$1,0))</f>
        <v>Paper</v>
      </c>
      <c r="P92" s="12">
        <f>HLOOKUP(C92,'Commission Criteria'!$A$2:$I$4,3,FALSE)</f>
        <v>4</v>
      </c>
      <c r="Q92" s="8">
        <f t="shared" si="4"/>
        <v>4530</v>
      </c>
      <c r="R92" s="8">
        <f t="shared" si="5"/>
        <v>9662</v>
      </c>
      <c r="S92" s="36">
        <f>VLOOKUP(R92,'Commission Criteria'!$L$3:$M$11,2,TRUE)</f>
        <v>0.03</v>
      </c>
      <c r="T92" s="36">
        <f>IF(P92&lt;5,VLOOKUP(R92,'Commission Criteria'!$L$3:$M$11,2,1),VLOOKUP('Order SUmmary'!R92,'Commission Criteria'!$P$3:$Q$11,2,1))</f>
        <v>0.03</v>
      </c>
      <c r="U92" s="36">
        <f>VLOOKUP(R92,IF(P92&lt;5,'Commission Criteria'!$L$3:$M$11,'Commission Criteria'!$P$3:$Q$11),2,1)</f>
        <v>0.03</v>
      </c>
      <c r="V92" s="8" t="s">
        <v>40</v>
      </c>
      <c r="W92" s="36">
        <f t="shared" ca="1" si="6"/>
        <v>0.03</v>
      </c>
      <c r="X92" s="8" t="str">
        <f>_xlfn.XLOOKUP(F92,'Product List'!$B$1:$B$299,'Product List'!$A$1:$A$299)</f>
        <v>Xerox 1889</v>
      </c>
      <c r="Y92" s="8"/>
      <c r="Z92" s="8" t="str" cm="1">
        <f t="array" ref="Z92:AD92">_xlfn.XLOOKUP(D92,'Customer Details'!$A$1:$A$17,'Customer Details'!$B$1:$F$17,"No such customer",0,1)</f>
        <v>Godfrey Philips India Ltd.</v>
      </c>
      <c r="AA92" s="8" t="str">
        <v>20501 Ania Ave #2</v>
      </c>
      <c r="AB92" s="8" t="str">
        <v>Salt Lake City</v>
      </c>
      <c r="AC92" s="8" t="str">
        <v>UT</v>
      </c>
      <c r="AD92" s="8" t="str">
        <v>84118</v>
      </c>
    </row>
    <row r="93" spans="1:30">
      <c r="A93" s="8" t="s">
        <v>175</v>
      </c>
      <c r="B93" s="19">
        <v>41399</v>
      </c>
      <c r="C93" s="8" t="s">
        <v>44</v>
      </c>
      <c r="D93" s="8">
        <v>10003</v>
      </c>
      <c r="E93" s="8" t="str">
        <f>VLOOKUP($D93,'Customer Details'!$A$1:$F$17,4,FALSE)</f>
        <v>Miami</v>
      </c>
      <c r="F93" s="8" t="s">
        <v>176</v>
      </c>
      <c r="G93" s="8">
        <v>1</v>
      </c>
      <c r="H93" s="2" t="str">
        <f>VLOOKUP($D93,'Customer Details'!$A$1:$F$17,MATCH('Order SUmmary'!H$2,'Customer Details'!$A$1:$F$1,0),0)</f>
        <v>Honeywell Automation</v>
      </c>
      <c r="I93" s="2" t="str">
        <f>VLOOKUP($D93,'Customer Details'!$A$1:$F$17,4,0)</f>
        <v>Miami</v>
      </c>
      <c r="J93" s="2" t="str">
        <f>VLOOKUP($D93,'Customer Details'!$A$1:$F$17,6,0)</f>
        <v>33732</v>
      </c>
      <c r="K93" s="8" t="str">
        <f>VLOOKUP(VLOOKUP(D93,'Customer Details'!$A$1:$F$17,5,0),'Region INfo'!$A$1:$C$52,3,0)</f>
        <v>Southern</v>
      </c>
      <c r="L93" s="8" t="str">
        <f>INDEX(Product_List,MATCH($F93,'Product List'!$B$1:$B$299,0),MATCH('Order SUmmary'!L$2,'Product List'!$A$1:$E$1,0))</f>
        <v>Xerox 1989</v>
      </c>
      <c r="M93" s="8">
        <f>INDEX(Product_List,MATCH($F93,'Product List'!$B$1:$B$299,0),MATCH('Order SUmmary'!M$2,'Product List'!$A$1:$E$1,0))</f>
        <v>3100</v>
      </c>
      <c r="N93" s="8">
        <f>INDEX(Product_List,MATCH($F93,'Product List'!$B$1:$B$299,0),MATCH('Order SUmmary'!N$2,'Product List'!$A$1:$E$1,0))</f>
        <v>2261</v>
      </c>
      <c r="O93" s="8" t="str">
        <f>INDEX(Product_List,MATCH($F93,'Product List'!$B$1:$B$299,0),MATCH('Order SUmmary'!O$2,'Product List'!$A$1:$E$1,0))</f>
        <v>Paper</v>
      </c>
      <c r="P93" s="12">
        <f>HLOOKUP(C93,'Commission Criteria'!$A$2:$I$4,3,FALSE)</f>
        <v>4</v>
      </c>
      <c r="Q93" s="8">
        <f t="shared" si="4"/>
        <v>2261</v>
      </c>
      <c r="R93" s="8">
        <f t="shared" si="5"/>
        <v>3100</v>
      </c>
      <c r="S93" s="36">
        <f>VLOOKUP(R93,'Commission Criteria'!$L$3:$M$11,2,TRUE)</f>
        <v>0.01</v>
      </c>
      <c r="T93" s="36">
        <f>IF(P93&lt;5,VLOOKUP(R93,'Commission Criteria'!$L$3:$M$11,2,1),VLOOKUP('Order SUmmary'!R93,'Commission Criteria'!$P$3:$Q$11,2,1))</f>
        <v>0.01</v>
      </c>
      <c r="U93" s="36">
        <f>VLOOKUP(R93,IF(P93&lt;5,'Commission Criteria'!$L$3:$M$11,'Commission Criteria'!$P$3:$Q$11),2,1)</f>
        <v>0.01</v>
      </c>
      <c r="V93" s="8" t="s">
        <v>50</v>
      </c>
      <c r="W93" s="36">
        <f t="shared" ca="1" si="6"/>
        <v>0.02</v>
      </c>
      <c r="X93" s="8" t="str">
        <f>_xlfn.XLOOKUP(F93,'Product List'!$B$1:$B$299,'Product List'!$A$1:$A$299)</f>
        <v>Xerox 1989</v>
      </c>
      <c r="Y93" s="8"/>
      <c r="Z93" s="8" t="str" cm="1">
        <f t="array" ref="Z93:AD93">_xlfn.XLOOKUP(D93,'Customer Details'!$A$1:$A$17,'Customer Details'!$B$1:$F$17,"No such customer",0,1)</f>
        <v>Honeywell Automation</v>
      </c>
      <c r="AA93" s="8" t="str">
        <v>1272 Harbor Road</v>
      </c>
      <c r="AB93" s="8" t="str">
        <v>Miami</v>
      </c>
      <c r="AC93" s="8" t="str">
        <v>FL</v>
      </c>
      <c r="AD93" s="8" t="str">
        <v>33732</v>
      </c>
    </row>
    <row r="94" spans="1:30">
      <c r="A94" s="8" t="s">
        <v>177</v>
      </c>
      <c r="B94" s="19">
        <v>41400</v>
      </c>
      <c r="C94" s="8" t="s">
        <v>46</v>
      </c>
      <c r="D94" s="8">
        <v>10006</v>
      </c>
      <c r="E94" s="8" t="str">
        <f>VLOOKUP($D94,'Customer Details'!$A$1:$F$17,4,FALSE)</f>
        <v>Midland</v>
      </c>
      <c r="F94" s="8" t="s">
        <v>178</v>
      </c>
      <c r="G94" s="8">
        <v>1</v>
      </c>
      <c r="H94" s="2" t="str">
        <f>VLOOKUP($D94,'Customer Details'!$A$1:$F$17,MATCH('Order SUmmary'!H$2,'Customer Details'!$A$1:$F$1,0),0)</f>
        <v>Supreme Ind</v>
      </c>
      <c r="I94" s="2" t="str">
        <f>VLOOKUP($D94,'Customer Details'!$A$1:$F$17,4,0)</f>
        <v>Midland</v>
      </c>
      <c r="J94" s="2" t="str">
        <f>VLOOKUP($D94,'Customer Details'!$A$1:$F$17,6,0)</f>
        <v>79706</v>
      </c>
      <c r="K94" s="8" t="str">
        <f>VLOOKUP(VLOOKUP(D94,'Customer Details'!$A$1:$F$17,5,0),'Region INfo'!$A$1:$C$52,3,0)</f>
        <v>Western</v>
      </c>
      <c r="L94" s="8" t="str">
        <f>INDEX(Product_List,MATCH($F94,'Product List'!$B$1:$B$299,0),MATCH('Order SUmmary'!L$2,'Product List'!$A$1:$E$1,0))</f>
        <v>Xerox 1912</v>
      </c>
      <c r="M94" s="8">
        <f>INDEX(Product_List,MATCH($F94,'Product List'!$B$1:$B$299,0),MATCH('Order SUmmary'!M$2,'Product List'!$A$1:$E$1,0))</f>
        <v>2803</v>
      </c>
      <c r="N94" s="8">
        <f>INDEX(Product_List,MATCH($F94,'Product List'!$B$1:$B$299,0),MATCH('Order SUmmary'!N$2,'Product List'!$A$1:$E$1,0))</f>
        <v>1344</v>
      </c>
      <c r="O94" s="8" t="str">
        <f>INDEX(Product_List,MATCH($F94,'Product List'!$B$1:$B$299,0),MATCH('Order SUmmary'!O$2,'Product List'!$A$1:$E$1,0))</f>
        <v>Paper</v>
      </c>
      <c r="P94" s="12">
        <f>HLOOKUP(C94,'Commission Criteria'!$A$2:$I$4,3,FALSE)</f>
        <v>8</v>
      </c>
      <c r="Q94" s="8">
        <f t="shared" si="4"/>
        <v>1344</v>
      </c>
      <c r="R94" s="8">
        <f t="shared" si="5"/>
        <v>2803</v>
      </c>
      <c r="S94" s="36">
        <f>VLOOKUP(R94,'Commission Criteria'!$L$3:$M$11,2,TRUE)</f>
        <v>0.01</v>
      </c>
      <c r="T94" s="36">
        <f>IF(P94&lt;5,VLOOKUP(R94,'Commission Criteria'!$L$3:$M$11,2,1),VLOOKUP('Order SUmmary'!R94,'Commission Criteria'!$P$3:$Q$11,2,1))</f>
        <v>0.02</v>
      </c>
      <c r="U94" s="36">
        <f>VLOOKUP(R94,IF(P94&lt;5,'Commission Criteria'!$L$3:$M$11,'Commission Criteria'!$P$3:$Q$11),2,1)</f>
        <v>0.02</v>
      </c>
      <c r="V94" s="8" t="s">
        <v>40</v>
      </c>
      <c r="W94" s="36">
        <f t="shared" ca="1" si="6"/>
        <v>0.05</v>
      </c>
      <c r="X94" s="8" t="str">
        <f>_xlfn.XLOOKUP(F94,'Product List'!$B$1:$B$299,'Product List'!$A$1:$A$299)</f>
        <v>Xerox 1912</v>
      </c>
      <c r="Y94" s="8"/>
      <c r="Z94" s="8" t="str" cm="1">
        <f t="array" ref="Z94:AD94">_xlfn.XLOOKUP(D94,'Customer Details'!$A$1:$A$17,'Customer Details'!$B$1:$F$17,"No such customer",0,1)</f>
        <v>Supreme Ind</v>
      </c>
      <c r="AA94" s="8" t="str">
        <v>P.O. Box 1367</v>
      </c>
      <c r="AB94" s="8" t="str">
        <v>Midland</v>
      </c>
      <c r="AC94" s="8" t="str">
        <v>TX</v>
      </c>
      <c r="AD94" s="8" t="str">
        <v>79706</v>
      </c>
    </row>
    <row r="95" spans="1:30">
      <c r="A95" s="8" t="s">
        <v>179</v>
      </c>
      <c r="B95" s="19">
        <v>41400</v>
      </c>
      <c r="C95" s="8" t="s">
        <v>66</v>
      </c>
      <c r="D95" s="8">
        <v>10004</v>
      </c>
      <c r="E95" s="8" t="str">
        <f>VLOOKUP($D95,'Customer Details'!$A$1:$F$17,4,FALSE)</f>
        <v>New York</v>
      </c>
      <c r="F95" s="8" t="s">
        <v>180</v>
      </c>
      <c r="G95" s="8">
        <v>3</v>
      </c>
      <c r="H95" s="2" t="str">
        <f>VLOOKUP($D95,'Customer Details'!$A$1:$F$17,MATCH('Order SUmmary'!H$2,'Customer Details'!$A$1:$F$1,0),0)</f>
        <v>Lupin Ltd.</v>
      </c>
      <c r="I95" s="2" t="str">
        <f>VLOOKUP($D95,'Customer Details'!$A$1:$F$17,4,0)</f>
        <v>New York</v>
      </c>
      <c r="J95" s="2" t="str">
        <f>VLOOKUP($D95,'Customer Details'!$A$1:$F$17,6,0)</f>
        <v>10019</v>
      </c>
      <c r="K95" s="8" t="str">
        <f>VLOOKUP(VLOOKUP(D95,'Customer Details'!$A$1:$F$17,5,0),'Region INfo'!$A$1:$C$52,3,0)</f>
        <v xml:space="preserve">Northern </v>
      </c>
      <c r="L95" s="8" t="str">
        <f>INDEX(Product_List,MATCH($F95,'Product List'!$B$1:$B$299,0),MATCH('Order SUmmary'!L$2,'Product List'!$A$1:$E$1,0))</f>
        <v>Avery 497</v>
      </c>
      <c r="M95" s="8">
        <f>INDEX(Product_List,MATCH($F95,'Product List'!$B$1:$B$299,0),MATCH('Order SUmmary'!M$2,'Product List'!$A$1:$E$1,0))</f>
        <v>4711</v>
      </c>
      <c r="N95" s="8">
        <f>INDEX(Product_List,MATCH($F95,'Product List'!$B$1:$B$299,0),MATCH('Order SUmmary'!N$2,'Product List'!$A$1:$E$1,0))</f>
        <v>2288</v>
      </c>
      <c r="O95" s="8" t="str">
        <f>INDEX(Product_List,MATCH($F95,'Product List'!$B$1:$B$299,0),MATCH('Order SUmmary'!O$2,'Product List'!$A$1:$E$1,0))</f>
        <v>Labels</v>
      </c>
      <c r="P95" s="12">
        <f>HLOOKUP(C95,'Commission Criteria'!$A$2:$I$4,3,FALSE)</f>
        <v>5</v>
      </c>
      <c r="Q95" s="8">
        <f t="shared" si="4"/>
        <v>6864</v>
      </c>
      <c r="R95" s="8">
        <f t="shared" si="5"/>
        <v>14133</v>
      </c>
      <c r="S95" s="36">
        <f>VLOOKUP(R95,'Commission Criteria'!$L$3:$M$11,2,TRUE)</f>
        <v>0.03</v>
      </c>
      <c r="T95" s="36">
        <f>IF(P95&lt;5,VLOOKUP(R95,'Commission Criteria'!$L$3:$M$11,2,1),VLOOKUP('Order SUmmary'!R95,'Commission Criteria'!$P$3:$Q$11,2,1))</f>
        <v>0.02</v>
      </c>
      <c r="U95" s="36">
        <f>VLOOKUP(R95,IF(P95&lt;5,'Commission Criteria'!$L$3:$M$11,'Commission Criteria'!$P$3:$Q$11),2,1)</f>
        <v>0.02</v>
      </c>
      <c r="V95" s="8" t="s">
        <v>43</v>
      </c>
      <c r="W95" s="36">
        <f t="shared" ca="1" si="6"/>
        <v>0.01</v>
      </c>
      <c r="X95" s="8" t="str">
        <f>_xlfn.XLOOKUP(F95,'Product List'!$B$1:$B$299,'Product List'!$A$1:$A$299)</f>
        <v>Avery 497</v>
      </c>
      <c r="Y95" s="8"/>
      <c r="Z95" s="8" t="str" cm="1">
        <f t="array" ref="Z95:AD95">_xlfn.XLOOKUP(D95,'Customer Details'!$A$1:$A$17,'Customer Details'!$B$1:$F$17,"No such customer",0,1)</f>
        <v>Lupin Ltd.</v>
      </c>
      <c r="AA95" s="8" t="str">
        <v>Abbey Wood</v>
      </c>
      <c r="AB95" s="8" t="str">
        <v>New York</v>
      </c>
      <c r="AC95" s="8" t="str">
        <v>NY</v>
      </c>
      <c r="AD95" s="8" t="str">
        <v>10019</v>
      </c>
    </row>
    <row r="96" spans="1:30">
      <c r="A96" s="8" t="s">
        <v>181</v>
      </c>
      <c r="B96" s="19">
        <v>41402</v>
      </c>
      <c r="C96" s="8" t="s">
        <v>36</v>
      </c>
      <c r="D96" s="8">
        <v>10002</v>
      </c>
      <c r="E96" s="8" t="str">
        <f>VLOOKUP($D96,'Customer Details'!$A$1:$F$17,4,FALSE)</f>
        <v>Omaha</v>
      </c>
      <c r="F96" s="8" t="s">
        <v>182</v>
      </c>
      <c r="G96" s="8">
        <v>2</v>
      </c>
      <c r="H96" s="2" t="str">
        <f>VLOOKUP($D96,'Customer Details'!$A$1:$F$17,MATCH('Order SUmmary'!H$2,'Customer Details'!$A$1:$F$1,0),0)</f>
        <v>Elder Pharmaceuticals</v>
      </c>
      <c r="I96" s="2" t="str">
        <f>VLOOKUP($D96,'Customer Details'!$A$1:$F$17,4,0)</f>
        <v>Omaha</v>
      </c>
      <c r="J96" s="2" t="str">
        <f>VLOOKUP($D96,'Customer Details'!$A$1:$F$17,6,0)</f>
        <v>68127</v>
      </c>
      <c r="K96" s="8" t="str">
        <f>VLOOKUP(VLOOKUP(D96,'Customer Details'!$A$1:$F$17,5,0),'Region INfo'!$A$1:$C$52,3,0)</f>
        <v>Western</v>
      </c>
      <c r="L96" s="8" t="str">
        <f>INDEX(Product_List,MATCH($F96,'Product List'!$B$1:$B$299,0),MATCH('Order SUmmary'!L$2,'Product List'!$A$1:$E$1,0))</f>
        <v>Newell 351</v>
      </c>
      <c r="M96" s="8">
        <f>INDEX(Product_List,MATCH($F96,'Product List'!$B$1:$B$299,0),MATCH('Order SUmmary'!M$2,'Product List'!$A$1:$E$1,0))</f>
        <v>2850</v>
      </c>
      <c r="N96" s="8">
        <f>INDEX(Product_List,MATCH($F96,'Product List'!$B$1:$B$299,0),MATCH('Order SUmmary'!N$2,'Product List'!$A$1:$E$1,0))</f>
        <v>2007</v>
      </c>
      <c r="O96" s="8" t="str">
        <f>INDEX(Product_List,MATCH($F96,'Product List'!$B$1:$B$299,0),MATCH('Order SUmmary'!O$2,'Product List'!$A$1:$E$1,0))</f>
        <v>Art</v>
      </c>
      <c r="P96" s="12">
        <f>HLOOKUP(C96,'Commission Criteria'!$A$2:$I$4,3,FALSE)</f>
        <v>6</v>
      </c>
      <c r="Q96" s="8">
        <f t="shared" si="4"/>
        <v>4014</v>
      </c>
      <c r="R96" s="8">
        <f t="shared" si="5"/>
        <v>5700</v>
      </c>
      <c r="S96" s="36">
        <f>VLOOKUP(R96,'Commission Criteria'!$L$3:$M$11,2,TRUE)</f>
        <v>0.03</v>
      </c>
      <c r="T96" s="36">
        <f>IF(P96&lt;5,VLOOKUP(R96,'Commission Criteria'!$L$3:$M$11,2,1),VLOOKUP('Order SUmmary'!R96,'Commission Criteria'!$P$3:$Q$11,2,1))</f>
        <v>0.02</v>
      </c>
      <c r="U96" s="36">
        <f>VLOOKUP(R96,IF(P96&lt;5,'Commission Criteria'!$L$3:$M$11,'Commission Criteria'!$P$3:$Q$11),2,1)</f>
        <v>0.02</v>
      </c>
      <c r="V96" s="8" t="s">
        <v>35</v>
      </c>
      <c r="W96" s="36">
        <f t="shared" ca="1" si="6"/>
        <v>0.04</v>
      </c>
      <c r="X96" s="8" t="str">
        <f>_xlfn.XLOOKUP(F96,'Product List'!$B$1:$B$299,'Product List'!$A$1:$A$299)</f>
        <v>Newell 351</v>
      </c>
      <c r="Y96" s="8"/>
      <c r="Z96" s="8" t="str" cm="1">
        <f t="array" ref="Z96:AD96">_xlfn.XLOOKUP(D96,'Customer Details'!$A$1:$A$17,'Customer Details'!$B$1:$F$17,"No such customer",0,1)</f>
        <v>Elder Pharmaceuticals</v>
      </c>
      <c r="AA96" s="8" t="str">
        <v>57 Neriba Cres</v>
      </c>
      <c r="AB96" s="8" t="str">
        <v>Omaha</v>
      </c>
      <c r="AC96" s="8" t="str">
        <v>NE</v>
      </c>
      <c r="AD96" s="8" t="str">
        <v>68127</v>
      </c>
    </row>
    <row r="97" spans="1:30">
      <c r="A97" s="8" t="s">
        <v>183</v>
      </c>
      <c r="B97" s="19">
        <v>41404</v>
      </c>
      <c r="C97" s="8" t="s">
        <v>44</v>
      </c>
      <c r="D97" s="8">
        <v>10014</v>
      </c>
      <c r="E97" s="8" t="str">
        <f>VLOOKUP($D97,'Customer Details'!$A$1:$F$17,4,FALSE)</f>
        <v>Honolulu</v>
      </c>
      <c r="F97" s="8" t="s">
        <v>184</v>
      </c>
      <c r="G97" s="8">
        <v>1</v>
      </c>
      <c r="H97" s="2" t="str">
        <f>VLOOKUP($D97,'Customer Details'!$A$1:$F$17,MATCH('Order SUmmary'!H$2,'Customer Details'!$A$1:$F$1,0),0)</f>
        <v>Hindusthan National Glass &amp; Industries Ltd.</v>
      </c>
      <c r="I97" s="2" t="str">
        <f>VLOOKUP($D97,'Customer Details'!$A$1:$F$17,4,0)</f>
        <v>Honolulu</v>
      </c>
      <c r="J97" s="2" t="str">
        <f>VLOOKUP($D97,'Customer Details'!$A$1:$F$17,6,0)</f>
        <v>96825</v>
      </c>
      <c r="K97" s="8" t="str">
        <f>VLOOKUP(VLOOKUP(D97,'Customer Details'!$A$1:$F$17,5,0),'Region INfo'!$A$1:$C$52,3,0)</f>
        <v xml:space="preserve">Pacific   </v>
      </c>
      <c r="L97" s="8" t="str">
        <f>INDEX(Product_List,MATCH($F97,'Product List'!$B$1:$B$299,0),MATCH('Order SUmmary'!L$2,'Product List'!$A$1:$E$1,0))</f>
        <v>Xerox 1983</v>
      </c>
      <c r="M97" s="8">
        <f>INDEX(Product_List,MATCH($F97,'Product List'!$B$1:$B$299,0),MATCH('Order SUmmary'!M$2,'Product List'!$A$1:$E$1,0))</f>
        <v>3514</v>
      </c>
      <c r="N97" s="8">
        <f>INDEX(Product_List,MATCH($F97,'Product List'!$B$1:$B$299,0),MATCH('Order SUmmary'!N$2,'Product List'!$A$1:$E$1,0))</f>
        <v>1257</v>
      </c>
      <c r="O97" s="8" t="str">
        <f>INDEX(Product_List,MATCH($F97,'Product List'!$B$1:$B$299,0),MATCH('Order SUmmary'!O$2,'Product List'!$A$1:$E$1,0))</f>
        <v>Paper</v>
      </c>
      <c r="P97" s="12">
        <f>HLOOKUP(C97,'Commission Criteria'!$A$2:$I$4,3,FALSE)</f>
        <v>4</v>
      </c>
      <c r="Q97" s="8">
        <f t="shared" si="4"/>
        <v>1257</v>
      </c>
      <c r="R97" s="8">
        <f t="shared" si="5"/>
        <v>3514</v>
      </c>
      <c r="S97" s="36">
        <f>VLOOKUP(R97,'Commission Criteria'!$L$3:$M$11,2,TRUE)</f>
        <v>0.01</v>
      </c>
      <c r="T97" s="36">
        <f>IF(P97&lt;5,VLOOKUP(R97,'Commission Criteria'!$L$3:$M$11,2,1),VLOOKUP('Order SUmmary'!R97,'Commission Criteria'!$P$3:$Q$11,2,1))</f>
        <v>0.01</v>
      </c>
      <c r="U97" s="36">
        <f>VLOOKUP(R97,IF(P97&lt;5,'Commission Criteria'!$L$3:$M$11,'Commission Criteria'!$P$3:$Q$11),2,1)</f>
        <v>0.01</v>
      </c>
      <c r="V97" s="8" t="s">
        <v>43</v>
      </c>
      <c r="W97" s="36">
        <f t="shared" ca="1" si="6"/>
        <v>0.04</v>
      </c>
      <c r="X97" s="8" t="str">
        <f>_xlfn.XLOOKUP(F97,'Product List'!$B$1:$B$299,'Product List'!$A$1:$A$299)</f>
        <v>Xerox 1983</v>
      </c>
      <c r="Y97" s="8"/>
      <c r="Z97" s="8" t="str" cm="1">
        <f t="array" ref="Z97:AD97">_xlfn.XLOOKUP(D97,'Customer Details'!$A$1:$A$17,'Customer Details'!$B$1:$F$17,"No such customer",0,1)</f>
        <v>Hindusthan National Glass &amp; Industries Ltd.</v>
      </c>
      <c r="AA97" s="8" t="str">
        <v>11 Cathy St.</v>
      </c>
      <c r="AB97" s="8" t="str">
        <v>Honolulu</v>
      </c>
      <c r="AC97" s="8" t="str">
        <v>HI</v>
      </c>
      <c r="AD97" s="8" t="str">
        <v>96825</v>
      </c>
    </row>
    <row r="98" spans="1:30">
      <c r="A98" s="8" t="s">
        <v>185</v>
      </c>
      <c r="B98" s="19">
        <v>41404</v>
      </c>
      <c r="C98" s="8" t="s">
        <v>66</v>
      </c>
      <c r="D98" s="8">
        <v>10008</v>
      </c>
      <c r="E98" s="8" t="str">
        <f>VLOOKUP($D98,'Customer Details'!$A$1:$F$17,4,FALSE)</f>
        <v>Chestnut Ridge</v>
      </c>
      <c r="F98" s="8" t="s">
        <v>186</v>
      </c>
      <c r="G98" s="8">
        <v>1</v>
      </c>
      <c r="H98" s="2" t="str">
        <f>VLOOKUP($D98,'Customer Details'!$A$1:$F$17,MATCH('Order SUmmary'!H$2,'Customer Details'!$A$1:$F$1,0),0)</f>
        <v>Reliance Industries Limited</v>
      </c>
      <c r="I98" s="2" t="str">
        <f>VLOOKUP($D98,'Customer Details'!$A$1:$F$17,4,0)</f>
        <v>Chestnut Ridge</v>
      </c>
      <c r="J98" s="2" t="str">
        <f>VLOOKUP($D98,'Customer Details'!$A$1:$F$17,6,0)</f>
        <v>10977</v>
      </c>
      <c r="K98" s="8" t="str">
        <f>VLOOKUP(VLOOKUP(D98,'Customer Details'!$A$1:$F$17,5,0),'Region INfo'!$A$1:$C$52,3,0)</f>
        <v xml:space="preserve">Northern </v>
      </c>
      <c r="L98" s="8" t="str">
        <f>INDEX(Product_List,MATCH($F98,'Product List'!$B$1:$B$299,0),MATCH('Order SUmmary'!L$2,'Product List'!$A$1:$E$1,0))</f>
        <v>Avery 478</v>
      </c>
      <c r="M98" s="8">
        <f>INDEX(Product_List,MATCH($F98,'Product List'!$B$1:$B$299,0),MATCH('Order SUmmary'!M$2,'Product List'!$A$1:$E$1,0))</f>
        <v>4224</v>
      </c>
      <c r="N98" s="8">
        <f>INDEX(Product_List,MATCH($F98,'Product List'!$B$1:$B$299,0),MATCH('Order SUmmary'!N$2,'Product List'!$A$1:$E$1,0))</f>
        <v>2048</v>
      </c>
      <c r="O98" s="8" t="str">
        <f>INDEX(Product_List,MATCH($F98,'Product List'!$B$1:$B$299,0),MATCH('Order SUmmary'!O$2,'Product List'!$A$1:$E$1,0))</f>
        <v>Labels</v>
      </c>
      <c r="P98" s="12">
        <f>HLOOKUP(C98,'Commission Criteria'!$A$2:$I$4,3,FALSE)</f>
        <v>5</v>
      </c>
      <c r="Q98" s="8">
        <f t="shared" si="4"/>
        <v>2048</v>
      </c>
      <c r="R98" s="8">
        <f t="shared" si="5"/>
        <v>4224</v>
      </c>
      <c r="S98" s="36">
        <f>VLOOKUP(R98,'Commission Criteria'!$L$3:$M$11,2,TRUE)</f>
        <v>0.01</v>
      </c>
      <c r="T98" s="36">
        <f>IF(P98&lt;5,VLOOKUP(R98,'Commission Criteria'!$L$3:$M$11,2,1),VLOOKUP('Order SUmmary'!R98,'Commission Criteria'!$P$3:$Q$11,2,1))</f>
        <v>0.02</v>
      </c>
      <c r="U98" s="36">
        <f>VLOOKUP(R98,IF(P98&lt;5,'Commission Criteria'!$L$3:$M$11,'Commission Criteria'!$P$3:$Q$11),2,1)</f>
        <v>0.02</v>
      </c>
      <c r="V98" s="8" t="s">
        <v>43</v>
      </c>
      <c r="W98" s="36">
        <f t="shared" ca="1" si="6"/>
        <v>0.01</v>
      </c>
      <c r="X98" s="8" t="str">
        <f>_xlfn.XLOOKUP(F98,'Product List'!$B$1:$B$299,'Product List'!$A$1:$A$299)</f>
        <v>Avery 478</v>
      </c>
      <c r="Y98" s="8"/>
      <c r="Z98" s="8" t="str" cm="1">
        <f t="array" ref="Z98:AD98">_xlfn.XLOOKUP(D98,'Customer Details'!$A$1:$A$17,'Customer Details'!$B$1:$F$17,"No such customer",0,1)</f>
        <v>Reliance Industries Limited</v>
      </c>
      <c r="AA98" s="8" t="str">
        <v>12020 Shamrock Rd., Suite 333</v>
      </c>
      <c r="AB98" s="8" t="str">
        <v>Chestnut Ridge</v>
      </c>
      <c r="AC98" s="8" t="str">
        <v>NY</v>
      </c>
      <c r="AD98" s="8" t="str">
        <v>10977</v>
      </c>
    </row>
    <row r="99" spans="1:30">
      <c r="A99" s="8" t="s">
        <v>187</v>
      </c>
      <c r="B99" s="19">
        <v>41404</v>
      </c>
      <c r="C99" s="8" t="s">
        <v>36</v>
      </c>
      <c r="D99" s="8">
        <v>10005</v>
      </c>
      <c r="E99" s="8" t="str">
        <f>VLOOKUP($D99,'Customer Details'!$A$1:$F$17,4,FALSE)</f>
        <v>Goleta</v>
      </c>
      <c r="F99" s="8" t="s">
        <v>188</v>
      </c>
      <c r="G99" s="8">
        <v>2</v>
      </c>
      <c r="H99" s="2" t="str">
        <f>VLOOKUP($D99,'Customer Details'!$A$1:$F$17,MATCH('Order SUmmary'!H$2,'Customer Details'!$A$1:$F$1,0),0)</f>
        <v>Fortis Healthcare Ltd.</v>
      </c>
      <c r="I99" s="2" t="str">
        <f>VLOOKUP($D99,'Customer Details'!$A$1:$F$17,4,0)</f>
        <v>Goleta</v>
      </c>
      <c r="J99" s="2" t="str">
        <f>VLOOKUP($D99,'Customer Details'!$A$1:$F$17,6,0)</f>
        <v>93117</v>
      </c>
      <c r="K99" s="8" t="str">
        <f>VLOOKUP(VLOOKUP(D99,'Customer Details'!$A$1:$F$17,5,0),'Region INfo'!$A$1:$C$52,3,0)</f>
        <v xml:space="preserve">Pacific   </v>
      </c>
      <c r="L99" s="8" t="str">
        <f>INDEX(Product_List,MATCH($F99,'Product List'!$B$1:$B$299,0),MATCH('Order SUmmary'!L$2,'Product List'!$A$1:$E$1,0))</f>
        <v>Xerox 1953</v>
      </c>
      <c r="M99" s="8">
        <f>INDEX(Product_List,MATCH($F99,'Product List'!$B$1:$B$299,0),MATCH('Order SUmmary'!M$2,'Product List'!$A$1:$E$1,0))</f>
        <v>2579</v>
      </c>
      <c r="N99" s="8">
        <f>INDEX(Product_List,MATCH($F99,'Product List'!$B$1:$B$299,0),MATCH('Order SUmmary'!N$2,'Product List'!$A$1:$E$1,0))</f>
        <v>1455</v>
      </c>
      <c r="O99" s="8" t="str">
        <f>INDEX(Product_List,MATCH($F99,'Product List'!$B$1:$B$299,0),MATCH('Order SUmmary'!O$2,'Product List'!$A$1:$E$1,0))</f>
        <v>Paper</v>
      </c>
      <c r="P99" s="12">
        <f>HLOOKUP(C99,'Commission Criteria'!$A$2:$I$4,3,FALSE)</f>
        <v>6</v>
      </c>
      <c r="Q99" s="8">
        <f t="shared" si="4"/>
        <v>2910</v>
      </c>
      <c r="R99" s="8">
        <f t="shared" si="5"/>
        <v>5158</v>
      </c>
      <c r="S99" s="36">
        <f>VLOOKUP(R99,'Commission Criteria'!$L$3:$M$11,2,TRUE)</f>
        <v>0.03</v>
      </c>
      <c r="T99" s="36">
        <f>IF(P99&lt;5,VLOOKUP(R99,'Commission Criteria'!$L$3:$M$11,2,1),VLOOKUP('Order SUmmary'!R99,'Commission Criteria'!$P$3:$Q$11,2,1))</f>
        <v>0.02</v>
      </c>
      <c r="U99" s="36">
        <f>VLOOKUP(R99,IF(P99&lt;5,'Commission Criteria'!$L$3:$M$11,'Commission Criteria'!$P$3:$Q$11),2,1)</f>
        <v>0.02</v>
      </c>
      <c r="V99" s="8" t="s">
        <v>32</v>
      </c>
      <c r="W99" s="36">
        <f t="shared" ca="1" si="6"/>
        <v>0.02</v>
      </c>
      <c r="X99" s="8" t="str">
        <f>_xlfn.XLOOKUP(F99,'Product List'!$B$1:$B$299,'Product List'!$A$1:$A$299)</f>
        <v>Xerox 1953</v>
      </c>
      <c r="Y99" s="8"/>
      <c r="Z99" s="8" t="str" cm="1">
        <f t="array" ref="Z99:AD99">_xlfn.XLOOKUP(D99,'Customer Details'!$A$1:$A$17,'Customer Details'!$B$1:$F$17,"No such customer",0,1)</f>
        <v>Fortis Healthcare Ltd.</v>
      </c>
      <c r="AA99" s="8" t="str">
        <v>14 Elsworthy Terrace</v>
      </c>
      <c r="AB99" s="8" t="str">
        <v>Goleta</v>
      </c>
      <c r="AC99" s="8" t="str">
        <v>CA</v>
      </c>
      <c r="AD99" s="8" t="str">
        <v>93117</v>
      </c>
    </row>
    <row r="100" spans="1:30">
      <c r="A100" s="8" t="s">
        <v>187</v>
      </c>
      <c r="B100" s="19">
        <v>41404</v>
      </c>
      <c r="C100" s="8" t="s">
        <v>36</v>
      </c>
      <c r="D100" s="8">
        <v>10003</v>
      </c>
      <c r="E100" s="8" t="str">
        <f>VLOOKUP($D100,'Customer Details'!$A$1:$F$17,4,FALSE)</f>
        <v>Miami</v>
      </c>
      <c r="F100" s="8" t="s">
        <v>88</v>
      </c>
      <c r="G100" s="8">
        <v>3</v>
      </c>
      <c r="H100" s="2" t="str">
        <f>VLOOKUP($D100,'Customer Details'!$A$1:$F$17,MATCH('Order SUmmary'!H$2,'Customer Details'!$A$1:$F$1,0),0)</f>
        <v>Honeywell Automation</v>
      </c>
      <c r="I100" s="2" t="str">
        <f>VLOOKUP($D100,'Customer Details'!$A$1:$F$17,4,0)</f>
        <v>Miami</v>
      </c>
      <c r="J100" s="2" t="str">
        <f>VLOOKUP($D100,'Customer Details'!$A$1:$F$17,6,0)</f>
        <v>33732</v>
      </c>
      <c r="K100" s="8" t="str">
        <f>VLOOKUP(VLOOKUP(D100,'Customer Details'!$A$1:$F$17,5,0),'Region INfo'!$A$1:$C$52,3,0)</f>
        <v>Southern</v>
      </c>
      <c r="L100" s="8" t="str">
        <f>INDEX(Product_List,MATCH($F100,'Product List'!$B$1:$B$299,0),MATCH('Order SUmmary'!L$2,'Product List'!$A$1:$E$1,0))</f>
        <v>Xerox 1922</v>
      </c>
      <c r="M100" s="8">
        <f>INDEX(Product_List,MATCH($F100,'Product List'!$B$1:$B$299,0),MATCH('Order SUmmary'!M$2,'Product List'!$A$1:$E$1,0))</f>
        <v>3493</v>
      </c>
      <c r="N100" s="8">
        <f>INDEX(Product_List,MATCH($F100,'Product List'!$B$1:$B$299,0),MATCH('Order SUmmary'!N$2,'Product List'!$A$1:$E$1,0))</f>
        <v>2180</v>
      </c>
      <c r="O100" s="8" t="str">
        <f>INDEX(Product_List,MATCH($F100,'Product List'!$B$1:$B$299,0),MATCH('Order SUmmary'!O$2,'Product List'!$A$1:$E$1,0))</f>
        <v>Paper</v>
      </c>
      <c r="P100" s="12">
        <f>HLOOKUP(C100,'Commission Criteria'!$A$2:$I$4,3,FALSE)</f>
        <v>6</v>
      </c>
      <c r="Q100" s="8">
        <f t="shared" si="4"/>
        <v>6540</v>
      </c>
      <c r="R100" s="8">
        <f t="shared" si="5"/>
        <v>10479</v>
      </c>
      <c r="S100" s="36">
        <f>VLOOKUP(R100,'Commission Criteria'!$L$3:$M$11,2,TRUE)</f>
        <v>0.03</v>
      </c>
      <c r="T100" s="36">
        <f>IF(P100&lt;5,VLOOKUP(R100,'Commission Criteria'!$L$3:$M$11,2,1),VLOOKUP('Order SUmmary'!R100,'Commission Criteria'!$P$3:$Q$11,2,1))</f>
        <v>0.02</v>
      </c>
      <c r="U100" s="36">
        <f>VLOOKUP(R100,IF(P100&lt;5,'Commission Criteria'!$L$3:$M$11,'Commission Criteria'!$P$3:$Q$11),2,1)</f>
        <v>0.02</v>
      </c>
      <c r="V100" s="8" t="s">
        <v>43</v>
      </c>
      <c r="W100" s="36">
        <f t="shared" ca="1" si="6"/>
        <v>0.05</v>
      </c>
      <c r="X100" s="8" t="str">
        <f>_xlfn.XLOOKUP(F100,'Product List'!$B$1:$B$299,'Product List'!$A$1:$A$299)</f>
        <v>Xerox 1922</v>
      </c>
      <c r="Y100" s="8"/>
      <c r="Z100" s="8" t="str" cm="1">
        <f t="array" ref="Z100:AD100">_xlfn.XLOOKUP(D100,'Customer Details'!$A$1:$A$17,'Customer Details'!$B$1:$F$17,"No such customer",0,1)</f>
        <v>Honeywell Automation</v>
      </c>
      <c r="AA100" s="8" t="str">
        <v>1272 Harbor Road</v>
      </c>
      <c r="AB100" s="8" t="str">
        <v>Miami</v>
      </c>
      <c r="AC100" s="8" t="str">
        <v>FL</v>
      </c>
      <c r="AD100" s="8" t="str">
        <v>33732</v>
      </c>
    </row>
    <row r="101" spans="1:30">
      <c r="A101" s="8" t="s">
        <v>189</v>
      </c>
      <c r="B101" s="19">
        <v>41406</v>
      </c>
      <c r="C101" s="8" t="s">
        <v>44</v>
      </c>
      <c r="D101" s="8">
        <v>10003</v>
      </c>
      <c r="E101" s="8" t="str">
        <f>VLOOKUP($D101,'Customer Details'!$A$1:$F$17,4,FALSE)</f>
        <v>Miami</v>
      </c>
      <c r="F101" s="8" t="s">
        <v>190</v>
      </c>
      <c r="G101" s="8">
        <v>2</v>
      </c>
      <c r="H101" s="2" t="str">
        <f>VLOOKUP($D101,'Customer Details'!$A$1:$F$17,MATCH('Order SUmmary'!H$2,'Customer Details'!$A$1:$F$1,0),0)</f>
        <v>Honeywell Automation</v>
      </c>
      <c r="I101" s="2" t="str">
        <f>VLOOKUP($D101,'Customer Details'!$A$1:$F$17,4,0)</f>
        <v>Miami</v>
      </c>
      <c r="J101" s="2" t="str">
        <f>VLOOKUP($D101,'Customer Details'!$A$1:$F$17,6,0)</f>
        <v>33732</v>
      </c>
      <c r="K101" s="8" t="str">
        <f>VLOOKUP(VLOOKUP(D101,'Customer Details'!$A$1:$F$17,5,0),'Region INfo'!$A$1:$C$52,3,0)</f>
        <v>Southern</v>
      </c>
      <c r="L101" s="8" t="str">
        <f>INDEX(Product_List,MATCH($F101,'Product List'!$B$1:$B$299,0),MATCH('Order SUmmary'!L$2,'Product List'!$A$1:$E$1,0))</f>
        <v>Xerox 1887</v>
      </c>
      <c r="M101" s="8">
        <f>INDEX(Product_List,MATCH($F101,'Product List'!$B$1:$B$299,0),MATCH('Order SUmmary'!M$2,'Product List'!$A$1:$E$1,0))</f>
        <v>2887</v>
      </c>
      <c r="N101" s="8">
        <f>INDEX(Product_List,MATCH($F101,'Product List'!$B$1:$B$299,0),MATCH('Order SUmmary'!N$2,'Product List'!$A$1:$E$1,0))</f>
        <v>1491</v>
      </c>
      <c r="O101" s="8" t="str">
        <f>INDEX(Product_List,MATCH($F101,'Product List'!$B$1:$B$299,0),MATCH('Order SUmmary'!O$2,'Product List'!$A$1:$E$1,0))</f>
        <v>Paper</v>
      </c>
      <c r="P101" s="12">
        <f>HLOOKUP(C101,'Commission Criteria'!$A$2:$I$4,3,FALSE)</f>
        <v>4</v>
      </c>
      <c r="Q101" s="8">
        <f t="shared" si="4"/>
        <v>2982</v>
      </c>
      <c r="R101" s="8">
        <f t="shared" si="5"/>
        <v>5774</v>
      </c>
      <c r="S101" s="36">
        <f>VLOOKUP(R101,'Commission Criteria'!$L$3:$M$11,2,TRUE)</f>
        <v>0.03</v>
      </c>
      <c r="T101" s="36">
        <f>IF(P101&lt;5,VLOOKUP(R101,'Commission Criteria'!$L$3:$M$11,2,1),VLOOKUP('Order SUmmary'!R101,'Commission Criteria'!$P$3:$Q$11,2,1))</f>
        <v>0.03</v>
      </c>
      <c r="U101" s="36">
        <f>VLOOKUP(R101,IF(P101&lt;5,'Commission Criteria'!$L$3:$M$11,'Commission Criteria'!$P$3:$Q$11),2,1)</f>
        <v>0.03</v>
      </c>
      <c r="V101" s="8" t="s">
        <v>43</v>
      </c>
      <c r="W101" s="36">
        <f t="shared" ca="1" si="6"/>
        <v>0.04</v>
      </c>
      <c r="X101" s="8" t="str">
        <f>_xlfn.XLOOKUP(F101,'Product List'!$B$1:$B$299,'Product List'!$A$1:$A$299)</f>
        <v>Xerox 1887</v>
      </c>
      <c r="Y101" s="8"/>
      <c r="Z101" s="8" t="str" cm="1">
        <f t="array" ref="Z101:AD101">_xlfn.XLOOKUP(D101,'Customer Details'!$A$1:$A$17,'Customer Details'!$B$1:$F$17,"No such customer",0,1)</f>
        <v>Honeywell Automation</v>
      </c>
      <c r="AA101" s="8" t="str">
        <v>1272 Harbor Road</v>
      </c>
      <c r="AB101" s="8" t="str">
        <v>Miami</v>
      </c>
      <c r="AC101" s="8" t="str">
        <v>FL</v>
      </c>
      <c r="AD101" s="8" t="str">
        <v>33732</v>
      </c>
    </row>
    <row r="102" spans="1:30">
      <c r="A102" s="8" t="s">
        <v>191</v>
      </c>
      <c r="B102" s="19">
        <v>41410</v>
      </c>
      <c r="C102" s="8" t="s">
        <v>54</v>
      </c>
      <c r="D102" s="8">
        <v>10004</v>
      </c>
      <c r="E102" s="8" t="str">
        <f>VLOOKUP($D102,'Customer Details'!$A$1:$F$17,4,FALSE)</f>
        <v>New York</v>
      </c>
      <c r="F102" s="8" t="s">
        <v>116</v>
      </c>
      <c r="G102" s="8">
        <v>1</v>
      </c>
      <c r="H102" s="2" t="str">
        <f>VLOOKUP($D102,'Customer Details'!$A$1:$F$17,MATCH('Order SUmmary'!H$2,'Customer Details'!$A$1:$F$1,0),0)</f>
        <v>Lupin Ltd.</v>
      </c>
      <c r="I102" s="2" t="str">
        <f>VLOOKUP($D102,'Customer Details'!$A$1:$F$17,4,0)</f>
        <v>New York</v>
      </c>
      <c r="J102" s="2" t="str">
        <f>VLOOKUP($D102,'Customer Details'!$A$1:$F$17,6,0)</f>
        <v>10019</v>
      </c>
      <c r="K102" s="8" t="str">
        <f>VLOOKUP(VLOOKUP(D102,'Customer Details'!$A$1:$F$17,5,0),'Region INfo'!$A$1:$C$52,3,0)</f>
        <v xml:space="preserve">Northern </v>
      </c>
      <c r="L102" s="8" t="str">
        <f>INDEX(Product_List,MATCH($F102,'Product List'!$B$1:$B$299,0),MATCH('Order SUmmary'!L$2,'Product List'!$A$1:$E$1,0))</f>
        <v>Newell 326</v>
      </c>
      <c r="M102" s="8">
        <f>INDEX(Product_List,MATCH($F102,'Product List'!$B$1:$B$299,0),MATCH('Order SUmmary'!M$2,'Product List'!$A$1:$E$1,0))</f>
        <v>3645</v>
      </c>
      <c r="N102" s="8">
        <f>INDEX(Product_List,MATCH($F102,'Product List'!$B$1:$B$299,0),MATCH('Order SUmmary'!N$2,'Product List'!$A$1:$E$1,0))</f>
        <v>2466</v>
      </c>
      <c r="O102" s="8" t="str">
        <f>INDEX(Product_List,MATCH($F102,'Product List'!$B$1:$B$299,0),MATCH('Order SUmmary'!O$2,'Product List'!$A$1:$E$1,0))</f>
        <v>Art</v>
      </c>
      <c r="P102" s="12">
        <f>HLOOKUP(C102,'Commission Criteria'!$A$2:$I$4,3,FALSE)</f>
        <v>3</v>
      </c>
      <c r="Q102" s="8">
        <f t="shared" si="4"/>
        <v>2466</v>
      </c>
      <c r="R102" s="8">
        <f t="shared" si="5"/>
        <v>3645</v>
      </c>
      <c r="S102" s="36">
        <f>VLOOKUP(R102,'Commission Criteria'!$L$3:$M$11,2,TRUE)</f>
        <v>0.01</v>
      </c>
      <c r="T102" s="36">
        <f>IF(P102&lt;5,VLOOKUP(R102,'Commission Criteria'!$L$3:$M$11,2,1),VLOOKUP('Order SUmmary'!R102,'Commission Criteria'!$P$3:$Q$11,2,1))</f>
        <v>0.01</v>
      </c>
      <c r="U102" s="36">
        <f>VLOOKUP(R102,IF(P102&lt;5,'Commission Criteria'!$L$3:$M$11,'Commission Criteria'!$P$3:$Q$11),2,1)</f>
        <v>0.01</v>
      </c>
      <c r="V102" s="8" t="s">
        <v>50</v>
      </c>
      <c r="W102" s="36">
        <f t="shared" ca="1" si="6"/>
        <v>0.04</v>
      </c>
      <c r="X102" s="8" t="str">
        <f>_xlfn.XLOOKUP(F102,'Product List'!$B$1:$B$299,'Product List'!$A$1:$A$299)</f>
        <v>Newell 326</v>
      </c>
      <c r="Y102" s="8"/>
      <c r="Z102" s="8" t="str" cm="1">
        <f t="array" ref="Z102:AD102">_xlfn.XLOOKUP(D102,'Customer Details'!$A$1:$A$17,'Customer Details'!$B$1:$F$17,"No such customer",0,1)</f>
        <v>Lupin Ltd.</v>
      </c>
      <c r="AA102" s="8" t="str">
        <v>Abbey Wood</v>
      </c>
      <c r="AB102" s="8" t="str">
        <v>New York</v>
      </c>
      <c r="AC102" s="8" t="str">
        <v>NY</v>
      </c>
      <c r="AD102" s="8" t="str">
        <v>10019</v>
      </c>
    </row>
    <row r="103" spans="1:30">
      <c r="A103" s="8" t="s">
        <v>192</v>
      </c>
      <c r="B103" s="19">
        <v>41411</v>
      </c>
      <c r="C103" s="8" t="s">
        <v>44</v>
      </c>
      <c r="D103" s="8">
        <v>10001</v>
      </c>
      <c r="E103" s="8" t="str">
        <f>VLOOKUP($D103,'Customer Details'!$A$1:$F$17,4,FALSE)</f>
        <v>New York</v>
      </c>
      <c r="F103" s="8" t="s">
        <v>164</v>
      </c>
      <c r="G103" s="8">
        <v>1</v>
      </c>
      <c r="H103" s="2" t="str">
        <f>VLOOKUP($D103,'Customer Details'!$A$1:$F$17,MATCH('Order SUmmary'!H$2,'Customer Details'!$A$1:$F$1,0),0)</f>
        <v>Chambal Fertilisers and Chemicals Ltd.</v>
      </c>
      <c r="I103" s="2" t="str">
        <f>VLOOKUP($D103,'Customer Details'!$A$1:$F$17,4,0)</f>
        <v>New York</v>
      </c>
      <c r="J103" s="2" t="str">
        <f>VLOOKUP($D103,'Customer Details'!$A$1:$F$17,6,0)</f>
        <v>10025</v>
      </c>
      <c r="K103" s="8" t="str">
        <f>VLOOKUP(VLOOKUP(D103,'Customer Details'!$A$1:$F$17,5,0),'Region INfo'!$A$1:$C$52,3,0)</f>
        <v xml:space="preserve">Northern </v>
      </c>
      <c r="L103" s="8" t="str">
        <f>INDEX(Product_List,MATCH($F103,'Product List'!$B$1:$B$299,0),MATCH('Order SUmmary'!L$2,'Product List'!$A$1:$E$1,0))</f>
        <v>Avery 52</v>
      </c>
      <c r="M103" s="8">
        <f>INDEX(Product_List,MATCH($F103,'Product List'!$B$1:$B$299,0),MATCH('Order SUmmary'!M$2,'Product List'!$A$1:$E$1,0))</f>
        <v>4744</v>
      </c>
      <c r="N103" s="8">
        <f>INDEX(Product_List,MATCH($F103,'Product List'!$B$1:$B$299,0),MATCH('Order SUmmary'!N$2,'Product List'!$A$1:$E$1,0))</f>
        <v>1465</v>
      </c>
      <c r="O103" s="8" t="str">
        <f>INDEX(Product_List,MATCH($F103,'Product List'!$B$1:$B$299,0),MATCH('Order SUmmary'!O$2,'Product List'!$A$1:$E$1,0))</f>
        <v>Labels</v>
      </c>
      <c r="P103" s="12">
        <f>HLOOKUP(C103,'Commission Criteria'!$A$2:$I$4,3,FALSE)</f>
        <v>4</v>
      </c>
      <c r="Q103" s="8">
        <f t="shared" si="4"/>
        <v>1465</v>
      </c>
      <c r="R103" s="8">
        <f t="shared" si="5"/>
        <v>4744</v>
      </c>
      <c r="S103" s="36">
        <f>VLOOKUP(R103,'Commission Criteria'!$L$3:$M$11,2,TRUE)</f>
        <v>0.01</v>
      </c>
      <c r="T103" s="36">
        <f>IF(P103&lt;5,VLOOKUP(R103,'Commission Criteria'!$L$3:$M$11,2,1),VLOOKUP('Order SUmmary'!R103,'Commission Criteria'!$P$3:$Q$11,2,1))</f>
        <v>0.01</v>
      </c>
      <c r="U103" s="36">
        <f>VLOOKUP(R103,IF(P103&lt;5,'Commission Criteria'!$L$3:$M$11,'Commission Criteria'!$P$3:$Q$11),2,1)</f>
        <v>0.01</v>
      </c>
      <c r="V103" s="8" t="s">
        <v>50</v>
      </c>
      <c r="W103" s="36">
        <f t="shared" ca="1" si="6"/>
        <v>0.05</v>
      </c>
      <c r="X103" s="8" t="str">
        <f>_xlfn.XLOOKUP(F103,'Product List'!$B$1:$B$299,'Product List'!$A$1:$A$299)</f>
        <v>Avery 52</v>
      </c>
      <c r="Y103" s="8"/>
      <c r="Z103" s="8" t="str" cm="1">
        <f t="array" ref="Z103:AD103">_xlfn.XLOOKUP(D103,'Customer Details'!$A$1:$A$17,'Customer Details'!$B$1:$F$17,"No such customer",0,1)</f>
        <v>Chambal Fertilisers and Chemicals Ltd.</v>
      </c>
      <c r="AA103" s="8" t="str">
        <v>4951 Indiana Ave.</v>
      </c>
      <c r="AB103" s="8" t="str">
        <v>New York</v>
      </c>
      <c r="AC103" s="8" t="str">
        <v>NY</v>
      </c>
      <c r="AD103" s="8" t="str">
        <v>10025</v>
      </c>
    </row>
    <row r="104" spans="1:30">
      <c r="A104" s="8" t="s">
        <v>193</v>
      </c>
      <c r="B104" s="19">
        <v>41411</v>
      </c>
      <c r="C104" s="8" t="s">
        <v>33</v>
      </c>
      <c r="D104" s="8">
        <v>10003</v>
      </c>
      <c r="E104" s="8" t="str">
        <f>VLOOKUP($D104,'Customer Details'!$A$1:$F$17,4,FALSE)</f>
        <v>Miami</v>
      </c>
      <c r="F104" s="8" t="s">
        <v>149</v>
      </c>
      <c r="G104" s="8">
        <v>3</v>
      </c>
      <c r="H104" s="2" t="str">
        <f>VLOOKUP($D104,'Customer Details'!$A$1:$F$17,MATCH('Order SUmmary'!H$2,'Customer Details'!$A$1:$F$1,0),0)</f>
        <v>Honeywell Automation</v>
      </c>
      <c r="I104" s="2" t="str">
        <f>VLOOKUP($D104,'Customer Details'!$A$1:$F$17,4,0)</f>
        <v>Miami</v>
      </c>
      <c r="J104" s="2" t="str">
        <f>VLOOKUP($D104,'Customer Details'!$A$1:$F$17,6,0)</f>
        <v>33732</v>
      </c>
      <c r="K104" s="8" t="str">
        <f>VLOOKUP(VLOOKUP(D104,'Customer Details'!$A$1:$F$17,5,0),'Region INfo'!$A$1:$C$52,3,0)</f>
        <v>Southern</v>
      </c>
      <c r="L104" s="8" t="str">
        <f>INDEX(Product_List,MATCH($F104,'Product List'!$B$1:$B$299,0),MATCH('Order SUmmary'!L$2,'Product List'!$A$1:$E$1,0))</f>
        <v>Xerox 1992</v>
      </c>
      <c r="M104" s="8">
        <f>INDEX(Product_List,MATCH($F104,'Product List'!$B$1:$B$299,0),MATCH('Order SUmmary'!M$2,'Product List'!$A$1:$E$1,0))</f>
        <v>4218</v>
      </c>
      <c r="N104" s="8">
        <f>INDEX(Product_List,MATCH($F104,'Product List'!$B$1:$B$299,0),MATCH('Order SUmmary'!N$2,'Product List'!$A$1:$E$1,0))</f>
        <v>2421</v>
      </c>
      <c r="O104" s="8" t="str">
        <f>INDEX(Product_List,MATCH($F104,'Product List'!$B$1:$B$299,0),MATCH('Order SUmmary'!O$2,'Product List'!$A$1:$E$1,0))</f>
        <v>Paper</v>
      </c>
      <c r="P104" s="12">
        <f>HLOOKUP(C104,'Commission Criteria'!$A$2:$I$4,3,FALSE)</f>
        <v>1</v>
      </c>
      <c r="Q104" s="8">
        <f t="shared" si="4"/>
        <v>7263</v>
      </c>
      <c r="R104" s="8">
        <f t="shared" si="5"/>
        <v>12654</v>
      </c>
      <c r="S104" s="36">
        <f>VLOOKUP(R104,'Commission Criteria'!$L$3:$M$11,2,TRUE)</f>
        <v>0.03</v>
      </c>
      <c r="T104" s="36">
        <f>IF(P104&lt;5,VLOOKUP(R104,'Commission Criteria'!$L$3:$M$11,2,1),VLOOKUP('Order SUmmary'!R104,'Commission Criteria'!$P$3:$Q$11,2,1))</f>
        <v>0.03</v>
      </c>
      <c r="U104" s="36">
        <f>VLOOKUP(R104,IF(P104&lt;5,'Commission Criteria'!$L$3:$M$11,'Commission Criteria'!$P$3:$Q$11),2,1)</f>
        <v>0.03</v>
      </c>
      <c r="V104" s="8" t="s">
        <v>29</v>
      </c>
      <c r="W104" s="36">
        <f t="shared" ca="1" si="6"/>
        <v>0.03</v>
      </c>
      <c r="X104" s="8" t="str">
        <f>_xlfn.XLOOKUP(F104,'Product List'!$B$1:$B$299,'Product List'!$A$1:$A$299)</f>
        <v>Xerox 1992</v>
      </c>
      <c r="Y104" s="8"/>
      <c r="Z104" s="8" t="str" cm="1">
        <f t="array" ref="Z104:AD104">_xlfn.XLOOKUP(D104,'Customer Details'!$A$1:$A$17,'Customer Details'!$B$1:$F$17,"No such customer",0,1)</f>
        <v>Honeywell Automation</v>
      </c>
      <c r="AA104" s="8" t="str">
        <v>1272 Harbor Road</v>
      </c>
      <c r="AB104" s="8" t="str">
        <v>Miami</v>
      </c>
      <c r="AC104" s="8" t="str">
        <v>FL</v>
      </c>
      <c r="AD104" s="8" t="str">
        <v>33732</v>
      </c>
    </row>
    <row r="105" spans="1:30">
      <c r="A105" s="8" t="s">
        <v>194</v>
      </c>
      <c r="B105" s="19">
        <v>41412</v>
      </c>
      <c r="C105" s="8" t="s">
        <v>27</v>
      </c>
      <c r="D105" s="8">
        <v>10015</v>
      </c>
      <c r="E105" s="8" t="str">
        <f>VLOOKUP($D105,'Customer Details'!$A$1:$F$17,4,FALSE)</f>
        <v>South Windsor</v>
      </c>
      <c r="F105" s="8" t="s">
        <v>195</v>
      </c>
      <c r="G105" s="8">
        <v>1</v>
      </c>
      <c r="H105" s="2" t="str">
        <f>VLOOKUP($D105,'Customer Details'!$A$1:$F$17,MATCH('Order SUmmary'!H$2,'Customer Details'!$A$1:$F$1,0),0)</f>
        <v>Punj Lloyd Ltd.</v>
      </c>
      <c r="I105" s="2" t="str">
        <f>VLOOKUP($D105,'Customer Details'!$A$1:$F$17,4,0)</f>
        <v>South Windsor</v>
      </c>
      <c r="J105" s="2" t="str">
        <f>VLOOKUP($D105,'Customer Details'!$A$1:$F$17,6,0)</f>
        <v>06074</v>
      </c>
      <c r="K105" s="8" t="str">
        <f>VLOOKUP(VLOOKUP(D105,'Customer Details'!$A$1:$F$17,5,0),'Region INfo'!$A$1:$C$52,3,0)</f>
        <v xml:space="preserve">Northern </v>
      </c>
      <c r="L105" s="8" t="str">
        <f>INDEX(Product_List,MATCH($F105,'Product List'!$B$1:$B$299,0),MATCH('Order SUmmary'!L$2,'Product List'!$A$1:$E$1,0))</f>
        <v>Newell 335</v>
      </c>
      <c r="M105" s="8">
        <f>INDEX(Product_List,MATCH($F105,'Product List'!$B$1:$B$299,0),MATCH('Order SUmmary'!M$2,'Product List'!$A$1:$E$1,0))</f>
        <v>3467</v>
      </c>
      <c r="N105" s="8">
        <f>INDEX(Product_List,MATCH($F105,'Product List'!$B$1:$B$299,0),MATCH('Order SUmmary'!N$2,'Product List'!$A$1:$E$1,0))</f>
        <v>1230</v>
      </c>
      <c r="O105" s="8" t="str">
        <f>INDEX(Product_List,MATCH($F105,'Product List'!$B$1:$B$299,0),MATCH('Order SUmmary'!O$2,'Product List'!$A$1:$E$1,0))</f>
        <v>Art</v>
      </c>
      <c r="P105" s="12">
        <f>HLOOKUP(C105,'Commission Criteria'!$A$2:$I$4,3,FALSE)</f>
        <v>4</v>
      </c>
      <c r="Q105" s="8">
        <f t="shared" si="4"/>
        <v>1230</v>
      </c>
      <c r="R105" s="8">
        <f t="shared" si="5"/>
        <v>3467</v>
      </c>
      <c r="S105" s="36">
        <f>VLOOKUP(R105,'Commission Criteria'!$L$3:$M$11,2,TRUE)</f>
        <v>0.01</v>
      </c>
      <c r="T105" s="36">
        <f>IF(P105&lt;5,VLOOKUP(R105,'Commission Criteria'!$L$3:$M$11,2,1),VLOOKUP('Order SUmmary'!R105,'Commission Criteria'!$P$3:$Q$11,2,1))</f>
        <v>0.01</v>
      </c>
      <c r="U105" s="36">
        <f>VLOOKUP(R105,IF(P105&lt;5,'Commission Criteria'!$L$3:$M$11,'Commission Criteria'!$P$3:$Q$11),2,1)</f>
        <v>0.01</v>
      </c>
      <c r="V105" s="8" t="s">
        <v>32</v>
      </c>
      <c r="W105" s="36">
        <f t="shared" ca="1" si="6"/>
        <v>0.02</v>
      </c>
      <c r="X105" s="8" t="str">
        <f>_xlfn.XLOOKUP(F105,'Product List'!$B$1:$B$299,'Product List'!$A$1:$A$299)</f>
        <v>Newell 335</v>
      </c>
      <c r="Y105" s="8"/>
      <c r="Z105" s="8" t="str" cm="1">
        <f t="array" ref="Z105:AD105">_xlfn.XLOOKUP(D105,'Customer Details'!$A$1:$A$17,'Customer Details'!$B$1:$F$17,"No such customer",0,1)</f>
        <v>Punj Lloyd Ltd.</v>
      </c>
      <c r="AA105" s="8" t="str">
        <v>Box 3263</v>
      </c>
      <c r="AB105" s="8" t="str">
        <v>South Windsor</v>
      </c>
      <c r="AC105" s="8" t="str">
        <v>CT</v>
      </c>
      <c r="AD105" s="8" t="str">
        <v>06074</v>
      </c>
    </row>
    <row r="106" spans="1:30">
      <c r="A106" s="8" t="s">
        <v>194</v>
      </c>
      <c r="B106" s="19">
        <v>41412</v>
      </c>
      <c r="C106" s="8" t="s">
        <v>44</v>
      </c>
      <c r="D106" s="8">
        <v>10008</v>
      </c>
      <c r="E106" s="8" t="str">
        <f>VLOOKUP($D106,'Customer Details'!$A$1:$F$17,4,FALSE)</f>
        <v>Chestnut Ridge</v>
      </c>
      <c r="F106" s="8" t="s">
        <v>91</v>
      </c>
      <c r="G106" s="8">
        <v>3</v>
      </c>
      <c r="H106" s="2" t="str">
        <f>VLOOKUP($D106,'Customer Details'!$A$1:$F$17,MATCH('Order SUmmary'!H$2,'Customer Details'!$A$1:$F$1,0),0)</f>
        <v>Reliance Industries Limited</v>
      </c>
      <c r="I106" s="2" t="str">
        <f>VLOOKUP($D106,'Customer Details'!$A$1:$F$17,4,0)</f>
        <v>Chestnut Ridge</v>
      </c>
      <c r="J106" s="2" t="str">
        <f>VLOOKUP($D106,'Customer Details'!$A$1:$F$17,6,0)</f>
        <v>10977</v>
      </c>
      <c r="K106" s="8" t="str">
        <f>VLOOKUP(VLOOKUP(D106,'Customer Details'!$A$1:$F$17,5,0),'Region INfo'!$A$1:$C$52,3,0)</f>
        <v xml:space="preserve">Northern </v>
      </c>
      <c r="L106" s="8" t="str">
        <f>INDEX(Product_List,MATCH($F106,'Product List'!$B$1:$B$299,0),MATCH('Order SUmmary'!L$2,'Product List'!$A$1:$E$1,0))</f>
        <v>Avery 475</v>
      </c>
      <c r="M106" s="8">
        <f>INDEX(Product_List,MATCH($F106,'Product List'!$B$1:$B$299,0),MATCH('Order SUmmary'!M$2,'Product List'!$A$1:$E$1,0))</f>
        <v>4711</v>
      </c>
      <c r="N106" s="8">
        <f>INDEX(Product_List,MATCH($F106,'Product List'!$B$1:$B$299,0),MATCH('Order SUmmary'!N$2,'Product List'!$A$1:$E$1,0))</f>
        <v>1267</v>
      </c>
      <c r="O106" s="8" t="str">
        <f>INDEX(Product_List,MATCH($F106,'Product List'!$B$1:$B$299,0),MATCH('Order SUmmary'!O$2,'Product List'!$A$1:$E$1,0))</f>
        <v>Labels</v>
      </c>
      <c r="P106" s="12">
        <f>HLOOKUP(C106,'Commission Criteria'!$A$2:$I$4,3,FALSE)</f>
        <v>4</v>
      </c>
      <c r="Q106" s="8">
        <f t="shared" si="4"/>
        <v>3801</v>
      </c>
      <c r="R106" s="8">
        <f t="shared" si="5"/>
        <v>14133</v>
      </c>
      <c r="S106" s="36">
        <f>VLOOKUP(R106,'Commission Criteria'!$L$3:$M$11,2,TRUE)</f>
        <v>0.03</v>
      </c>
      <c r="T106" s="36">
        <f>IF(P106&lt;5,VLOOKUP(R106,'Commission Criteria'!$L$3:$M$11,2,1),VLOOKUP('Order SUmmary'!R106,'Commission Criteria'!$P$3:$Q$11,2,1))</f>
        <v>0.03</v>
      </c>
      <c r="U106" s="36">
        <f>VLOOKUP(R106,IF(P106&lt;5,'Commission Criteria'!$L$3:$M$11,'Commission Criteria'!$P$3:$Q$11),2,1)</f>
        <v>0.03</v>
      </c>
      <c r="V106" s="8" t="s">
        <v>43</v>
      </c>
      <c r="W106" s="36">
        <f t="shared" ca="1" si="6"/>
        <v>0.05</v>
      </c>
      <c r="X106" s="8" t="str">
        <f>_xlfn.XLOOKUP(F106,'Product List'!$B$1:$B$299,'Product List'!$A$1:$A$299)</f>
        <v>Avery 475</v>
      </c>
      <c r="Y106" s="8"/>
      <c r="Z106" s="8" t="str" cm="1">
        <f t="array" ref="Z106:AD106">_xlfn.XLOOKUP(D106,'Customer Details'!$A$1:$A$17,'Customer Details'!$B$1:$F$17,"No such customer",0,1)</f>
        <v>Reliance Industries Limited</v>
      </c>
      <c r="AA106" s="8" t="str">
        <v>12020 Shamrock Rd., Suite 333</v>
      </c>
      <c r="AB106" s="8" t="str">
        <v>Chestnut Ridge</v>
      </c>
      <c r="AC106" s="8" t="str">
        <v>NY</v>
      </c>
      <c r="AD106" s="8" t="str">
        <v>10977</v>
      </c>
    </row>
    <row r="107" spans="1:30">
      <c r="A107" s="8" t="s">
        <v>196</v>
      </c>
      <c r="B107" s="19">
        <v>41412</v>
      </c>
      <c r="C107" s="8" t="s">
        <v>51</v>
      </c>
      <c r="D107" s="8">
        <v>10015</v>
      </c>
      <c r="E107" s="8" t="str">
        <f>VLOOKUP($D107,'Customer Details'!$A$1:$F$17,4,FALSE)</f>
        <v>South Windsor</v>
      </c>
      <c r="F107" s="8" t="s">
        <v>83</v>
      </c>
      <c r="G107" s="8">
        <v>6</v>
      </c>
      <c r="H107" s="2" t="str">
        <f>VLOOKUP($D107,'Customer Details'!$A$1:$F$17,MATCH('Order SUmmary'!H$2,'Customer Details'!$A$1:$F$1,0),0)</f>
        <v>Punj Lloyd Ltd.</v>
      </c>
      <c r="I107" s="2" t="str">
        <f>VLOOKUP($D107,'Customer Details'!$A$1:$F$17,4,0)</f>
        <v>South Windsor</v>
      </c>
      <c r="J107" s="2" t="str">
        <f>VLOOKUP($D107,'Customer Details'!$A$1:$F$17,6,0)</f>
        <v>06074</v>
      </c>
      <c r="K107" s="8" t="str">
        <f>VLOOKUP(VLOOKUP(D107,'Customer Details'!$A$1:$F$17,5,0),'Region INfo'!$A$1:$C$52,3,0)</f>
        <v xml:space="preserve">Northern </v>
      </c>
      <c r="L107" s="8" t="str">
        <f>INDEX(Product_List,MATCH($F107,'Product List'!$B$1:$B$299,0),MATCH('Order SUmmary'!L$2,'Product List'!$A$1:$E$1,0))</f>
        <v>Xerox 211</v>
      </c>
      <c r="M107" s="8">
        <f>INDEX(Product_List,MATCH($F107,'Product List'!$B$1:$B$299,0),MATCH('Order SUmmary'!M$2,'Product List'!$A$1:$E$1,0))</f>
        <v>4291</v>
      </c>
      <c r="N107" s="8">
        <f>INDEX(Product_List,MATCH($F107,'Product List'!$B$1:$B$299,0),MATCH('Order SUmmary'!N$2,'Product List'!$A$1:$E$1,0))</f>
        <v>2021</v>
      </c>
      <c r="O107" s="8" t="str">
        <f>INDEX(Product_List,MATCH($F107,'Product List'!$B$1:$B$299,0),MATCH('Order SUmmary'!O$2,'Product List'!$A$1:$E$1,0))</f>
        <v>Paper</v>
      </c>
      <c r="P107" s="12">
        <f>HLOOKUP(C107,'Commission Criteria'!$A$2:$I$4,3,FALSE)</f>
        <v>10</v>
      </c>
      <c r="Q107" s="8">
        <f t="shared" si="4"/>
        <v>12126</v>
      </c>
      <c r="R107" s="8">
        <f t="shared" si="5"/>
        <v>25746</v>
      </c>
      <c r="S107" s="36">
        <f>VLOOKUP(R107,'Commission Criteria'!$L$3:$M$11,2,TRUE)</f>
        <v>0.05</v>
      </c>
      <c r="T107" s="36">
        <f>IF(P107&lt;5,VLOOKUP(R107,'Commission Criteria'!$L$3:$M$11,2,1),VLOOKUP('Order SUmmary'!R107,'Commission Criteria'!$P$3:$Q$11,2,1))</f>
        <v>0.04</v>
      </c>
      <c r="U107" s="36">
        <f>VLOOKUP(R107,IF(P107&lt;5,'Commission Criteria'!$L$3:$M$11,'Commission Criteria'!$P$3:$Q$11),2,1)</f>
        <v>0.04</v>
      </c>
      <c r="V107" s="8" t="s">
        <v>43</v>
      </c>
      <c r="W107" s="36">
        <f t="shared" ca="1" si="6"/>
        <v>0.02</v>
      </c>
      <c r="X107" s="8" t="str">
        <f>_xlfn.XLOOKUP(F107,'Product List'!$B$1:$B$299,'Product List'!$A$1:$A$299)</f>
        <v>Xerox 211</v>
      </c>
      <c r="Y107" s="8"/>
      <c r="Z107" s="8" t="str" cm="1">
        <f t="array" ref="Z107:AD107">_xlfn.XLOOKUP(D107,'Customer Details'!$A$1:$A$17,'Customer Details'!$B$1:$F$17,"No such customer",0,1)</f>
        <v>Punj Lloyd Ltd.</v>
      </c>
      <c r="AA107" s="8" t="str">
        <v>Box 3263</v>
      </c>
      <c r="AB107" s="8" t="str">
        <v>South Windsor</v>
      </c>
      <c r="AC107" s="8" t="str">
        <v>CT</v>
      </c>
      <c r="AD107" s="8" t="str">
        <v>06074</v>
      </c>
    </row>
    <row r="108" spans="1:30">
      <c r="A108" s="8" t="s">
        <v>197</v>
      </c>
      <c r="B108" s="19">
        <v>41414</v>
      </c>
      <c r="C108" s="8" t="s">
        <v>54</v>
      </c>
      <c r="D108" s="8">
        <v>10006</v>
      </c>
      <c r="E108" s="8" t="str">
        <f>VLOOKUP($D108,'Customer Details'!$A$1:$F$17,4,FALSE)</f>
        <v>Midland</v>
      </c>
      <c r="F108" s="8" t="s">
        <v>78</v>
      </c>
      <c r="G108" s="8">
        <v>1</v>
      </c>
      <c r="H108" s="2" t="str">
        <f>VLOOKUP($D108,'Customer Details'!$A$1:$F$17,MATCH('Order SUmmary'!H$2,'Customer Details'!$A$1:$F$1,0),0)</f>
        <v>Supreme Ind</v>
      </c>
      <c r="I108" s="2" t="str">
        <f>VLOOKUP($D108,'Customer Details'!$A$1:$F$17,4,0)</f>
        <v>Midland</v>
      </c>
      <c r="J108" s="2" t="str">
        <f>VLOOKUP($D108,'Customer Details'!$A$1:$F$17,6,0)</f>
        <v>79706</v>
      </c>
      <c r="K108" s="8" t="str">
        <f>VLOOKUP(VLOOKUP(D108,'Customer Details'!$A$1:$F$17,5,0),'Region INfo'!$A$1:$C$52,3,0)</f>
        <v>Western</v>
      </c>
      <c r="L108" s="8" t="str">
        <f>INDEX(Product_List,MATCH($F108,'Product List'!$B$1:$B$299,0),MATCH('Order SUmmary'!L$2,'Product List'!$A$1:$E$1,0))</f>
        <v>Xerox 199</v>
      </c>
      <c r="M108" s="8">
        <f>INDEX(Product_List,MATCH($F108,'Product List'!$B$1:$B$299,0),MATCH('Order SUmmary'!M$2,'Product List'!$A$1:$E$1,0))</f>
        <v>2523</v>
      </c>
      <c r="N108" s="8">
        <f>INDEX(Product_List,MATCH($F108,'Product List'!$B$1:$B$299,0),MATCH('Order SUmmary'!N$2,'Product List'!$A$1:$E$1,0))</f>
        <v>1665</v>
      </c>
      <c r="O108" s="8" t="str">
        <f>INDEX(Product_List,MATCH($F108,'Product List'!$B$1:$B$299,0),MATCH('Order SUmmary'!O$2,'Product List'!$A$1:$E$1,0))</f>
        <v>Paper</v>
      </c>
      <c r="P108" s="12">
        <f>HLOOKUP(C108,'Commission Criteria'!$A$2:$I$4,3,FALSE)</f>
        <v>3</v>
      </c>
      <c r="Q108" s="8">
        <f t="shared" si="4"/>
        <v>1665</v>
      </c>
      <c r="R108" s="8">
        <f t="shared" si="5"/>
        <v>2523</v>
      </c>
      <c r="S108" s="36">
        <f>VLOOKUP(R108,'Commission Criteria'!$L$3:$M$11,2,TRUE)</f>
        <v>0.01</v>
      </c>
      <c r="T108" s="36">
        <f>IF(P108&lt;5,VLOOKUP(R108,'Commission Criteria'!$L$3:$M$11,2,1),VLOOKUP('Order SUmmary'!R108,'Commission Criteria'!$P$3:$Q$11,2,1))</f>
        <v>0.01</v>
      </c>
      <c r="U108" s="36">
        <f>VLOOKUP(R108,IF(P108&lt;5,'Commission Criteria'!$L$3:$M$11,'Commission Criteria'!$P$3:$Q$11),2,1)</f>
        <v>0.01</v>
      </c>
      <c r="V108" s="8" t="s">
        <v>40</v>
      </c>
      <c r="W108" s="36">
        <f t="shared" ca="1" si="6"/>
        <v>0.01</v>
      </c>
      <c r="X108" s="8" t="str">
        <f>_xlfn.XLOOKUP(F108,'Product List'!$B$1:$B$299,'Product List'!$A$1:$A$299)</f>
        <v>Xerox 199</v>
      </c>
      <c r="Y108" s="8"/>
      <c r="Z108" s="8" t="str" cm="1">
        <f t="array" ref="Z108:AD108">_xlfn.XLOOKUP(D108,'Customer Details'!$A$1:$A$17,'Customer Details'!$B$1:$F$17,"No such customer",0,1)</f>
        <v>Supreme Ind</v>
      </c>
      <c r="AA108" s="8" t="str">
        <v>P.O. Box 1367</v>
      </c>
      <c r="AB108" s="8" t="str">
        <v>Midland</v>
      </c>
      <c r="AC108" s="8" t="str">
        <v>TX</v>
      </c>
      <c r="AD108" s="8" t="str">
        <v>79706</v>
      </c>
    </row>
    <row r="109" spans="1:30">
      <c r="A109" s="8" t="s">
        <v>198</v>
      </c>
      <c r="B109" s="19">
        <v>41414</v>
      </c>
      <c r="C109" s="8" t="s">
        <v>33</v>
      </c>
      <c r="D109" s="8">
        <v>10001</v>
      </c>
      <c r="E109" s="8" t="str">
        <f>VLOOKUP($D109,'Customer Details'!$A$1:$F$17,4,FALSE)</f>
        <v>New York</v>
      </c>
      <c r="F109" s="8" t="s">
        <v>103</v>
      </c>
      <c r="G109" s="8">
        <v>2</v>
      </c>
      <c r="H109" s="2" t="str">
        <f>VLOOKUP($D109,'Customer Details'!$A$1:$F$17,MATCH('Order SUmmary'!H$2,'Customer Details'!$A$1:$F$1,0),0)</f>
        <v>Chambal Fertilisers and Chemicals Ltd.</v>
      </c>
      <c r="I109" s="2" t="str">
        <f>VLOOKUP($D109,'Customer Details'!$A$1:$F$17,4,0)</f>
        <v>New York</v>
      </c>
      <c r="J109" s="2" t="str">
        <f>VLOOKUP($D109,'Customer Details'!$A$1:$F$17,6,0)</f>
        <v>10025</v>
      </c>
      <c r="K109" s="8" t="str">
        <f>VLOOKUP(VLOOKUP(D109,'Customer Details'!$A$1:$F$17,5,0),'Region INfo'!$A$1:$C$52,3,0)</f>
        <v xml:space="preserve">Northern </v>
      </c>
      <c r="L109" s="8" t="str">
        <f>INDEX(Product_List,MATCH($F109,'Product List'!$B$1:$B$299,0),MATCH('Order SUmmary'!L$2,'Product List'!$A$1:$E$1,0))</f>
        <v>Xerox 1981</v>
      </c>
      <c r="M109" s="8">
        <f>INDEX(Product_List,MATCH($F109,'Product List'!$B$1:$B$299,0),MATCH('Order SUmmary'!M$2,'Product List'!$A$1:$E$1,0))</f>
        <v>2658</v>
      </c>
      <c r="N109" s="8">
        <f>INDEX(Product_List,MATCH($F109,'Product List'!$B$1:$B$299,0),MATCH('Order SUmmary'!N$2,'Product List'!$A$1:$E$1,0))</f>
        <v>1274</v>
      </c>
      <c r="O109" s="8" t="str">
        <f>INDEX(Product_List,MATCH($F109,'Product List'!$B$1:$B$299,0),MATCH('Order SUmmary'!O$2,'Product List'!$A$1:$E$1,0))</f>
        <v>Paper</v>
      </c>
      <c r="P109" s="12">
        <f>HLOOKUP(C109,'Commission Criteria'!$A$2:$I$4,3,FALSE)</f>
        <v>1</v>
      </c>
      <c r="Q109" s="8">
        <f t="shared" si="4"/>
        <v>2548</v>
      </c>
      <c r="R109" s="8">
        <f t="shared" si="5"/>
        <v>5316</v>
      </c>
      <c r="S109" s="36">
        <f>VLOOKUP(R109,'Commission Criteria'!$L$3:$M$11,2,TRUE)</f>
        <v>0.03</v>
      </c>
      <c r="T109" s="36">
        <f>IF(P109&lt;5,VLOOKUP(R109,'Commission Criteria'!$L$3:$M$11,2,1),VLOOKUP('Order SUmmary'!R109,'Commission Criteria'!$P$3:$Q$11,2,1))</f>
        <v>0.03</v>
      </c>
      <c r="U109" s="36">
        <f>VLOOKUP(R109,IF(P109&lt;5,'Commission Criteria'!$L$3:$M$11,'Commission Criteria'!$P$3:$Q$11),2,1)</f>
        <v>0.03</v>
      </c>
      <c r="V109" s="8" t="s">
        <v>29</v>
      </c>
      <c r="W109" s="36">
        <f t="shared" ca="1" si="6"/>
        <v>0.03</v>
      </c>
      <c r="X109" s="8" t="str">
        <f>_xlfn.XLOOKUP(F109,'Product List'!$B$1:$B$299,'Product List'!$A$1:$A$299)</f>
        <v>Xerox 1981</v>
      </c>
      <c r="Y109" s="8"/>
      <c r="Z109" s="8" t="str" cm="1">
        <f t="array" ref="Z109:AD109">_xlfn.XLOOKUP(D109,'Customer Details'!$A$1:$A$17,'Customer Details'!$B$1:$F$17,"No such customer",0,1)</f>
        <v>Chambal Fertilisers and Chemicals Ltd.</v>
      </c>
      <c r="AA109" s="8" t="str">
        <v>4951 Indiana Ave.</v>
      </c>
      <c r="AB109" s="8" t="str">
        <v>New York</v>
      </c>
      <c r="AC109" s="8" t="str">
        <v>NY</v>
      </c>
      <c r="AD109" s="8" t="str">
        <v>10025</v>
      </c>
    </row>
    <row r="110" spans="1:30">
      <c r="A110" s="8" t="s">
        <v>199</v>
      </c>
      <c r="B110" s="19">
        <v>41414</v>
      </c>
      <c r="C110" s="8" t="s">
        <v>66</v>
      </c>
      <c r="D110" s="8">
        <v>10001</v>
      </c>
      <c r="E110" s="8" t="str">
        <f>VLOOKUP($D110,'Customer Details'!$A$1:$F$17,4,FALSE)</f>
        <v>New York</v>
      </c>
      <c r="F110" s="8" t="s">
        <v>200</v>
      </c>
      <c r="G110" s="8">
        <v>3</v>
      </c>
      <c r="H110" s="2" t="str">
        <f>VLOOKUP($D110,'Customer Details'!$A$1:$F$17,MATCH('Order SUmmary'!H$2,'Customer Details'!$A$1:$F$1,0),0)</f>
        <v>Chambal Fertilisers and Chemicals Ltd.</v>
      </c>
      <c r="I110" s="2" t="str">
        <f>VLOOKUP($D110,'Customer Details'!$A$1:$F$17,4,0)</f>
        <v>New York</v>
      </c>
      <c r="J110" s="2" t="str">
        <f>VLOOKUP($D110,'Customer Details'!$A$1:$F$17,6,0)</f>
        <v>10025</v>
      </c>
      <c r="K110" s="8" t="str">
        <f>VLOOKUP(VLOOKUP(D110,'Customer Details'!$A$1:$F$17,5,0),'Region INfo'!$A$1:$C$52,3,0)</f>
        <v xml:space="preserve">Northern </v>
      </c>
      <c r="L110" s="8" t="str">
        <f>INDEX(Product_List,MATCH($F110,'Product List'!$B$1:$B$299,0),MATCH('Order SUmmary'!L$2,'Product List'!$A$1:$E$1,0))</f>
        <v>Xerox 1980</v>
      </c>
      <c r="M110" s="8">
        <f>INDEX(Product_List,MATCH($F110,'Product List'!$B$1:$B$299,0),MATCH('Order SUmmary'!M$2,'Product List'!$A$1:$E$1,0))</f>
        <v>2738</v>
      </c>
      <c r="N110" s="8">
        <f>INDEX(Product_List,MATCH($F110,'Product List'!$B$1:$B$299,0),MATCH('Order SUmmary'!N$2,'Product List'!$A$1:$E$1,0))</f>
        <v>1737</v>
      </c>
      <c r="O110" s="8" t="str">
        <f>INDEX(Product_List,MATCH($F110,'Product List'!$B$1:$B$299,0),MATCH('Order SUmmary'!O$2,'Product List'!$A$1:$E$1,0))</f>
        <v>Paper</v>
      </c>
      <c r="P110" s="12">
        <f>HLOOKUP(C110,'Commission Criteria'!$A$2:$I$4,3,FALSE)</f>
        <v>5</v>
      </c>
      <c r="Q110" s="8">
        <f t="shared" si="4"/>
        <v>5211</v>
      </c>
      <c r="R110" s="8">
        <f t="shared" si="5"/>
        <v>8214</v>
      </c>
      <c r="S110" s="36">
        <f>VLOOKUP(R110,'Commission Criteria'!$L$3:$M$11,2,TRUE)</f>
        <v>0.03</v>
      </c>
      <c r="T110" s="36">
        <f>IF(P110&lt;5,VLOOKUP(R110,'Commission Criteria'!$L$3:$M$11,2,1),VLOOKUP('Order SUmmary'!R110,'Commission Criteria'!$P$3:$Q$11,2,1))</f>
        <v>0.02</v>
      </c>
      <c r="U110" s="36">
        <f>VLOOKUP(R110,IF(P110&lt;5,'Commission Criteria'!$L$3:$M$11,'Commission Criteria'!$P$3:$Q$11),2,1)</f>
        <v>0.02</v>
      </c>
      <c r="V110" s="8" t="s">
        <v>50</v>
      </c>
      <c r="W110" s="36">
        <f t="shared" ca="1" si="6"/>
        <v>0.04</v>
      </c>
      <c r="X110" s="8" t="str">
        <f>_xlfn.XLOOKUP(F110,'Product List'!$B$1:$B$299,'Product List'!$A$1:$A$299)</f>
        <v>Xerox 1980</v>
      </c>
      <c r="Y110" s="8"/>
      <c r="Z110" s="8" t="str" cm="1">
        <f t="array" ref="Z110:AD110">_xlfn.XLOOKUP(D110,'Customer Details'!$A$1:$A$17,'Customer Details'!$B$1:$F$17,"No such customer",0,1)</f>
        <v>Chambal Fertilisers and Chemicals Ltd.</v>
      </c>
      <c r="AA110" s="8" t="str">
        <v>4951 Indiana Ave.</v>
      </c>
      <c r="AB110" s="8" t="str">
        <v>New York</v>
      </c>
      <c r="AC110" s="8" t="str">
        <v>NY</v>
      </c>
      <c r="AD110" s="8" t="str">
        <v>10025</v>
      </c>
    </row>
    <row r="111" spans="1:30">
      <c r="A111" s="8" t="s">
        <v>201</v>
      </c>
      <c r="B111" s="19">
        <v>41414</v>
      </c>
      <c r="C111" s="8" t="s">
        <v>36</v>
      </c>
      <c r="D111" s="8">
        <v>10012</v>
      </c>
      <c r="E111" s="8" t="str">
        <f>VLOOKUP($D111,'Customer Details'!$A$1:$F$17,4,FALSE)</f>
        <v>Santa Barbara</v>
      </c>
      <c r="F111" s="8" t="s">
        <v>93</v>
      </c>
      <c r="G111" s="8">
        <v>24</v>
      </c>
      <c r="H111" s="2" t="str">
        <f>VLOOKUP($D111,'Customer Details'!$A$1:$F$17,MATCH('Order SUmmary'!H$2,'Customer Details'!$A$1:$F$1,0),0)</f>
        <v>Dynamatic Technologies Ltd.</v>
      </c>
      <c r="I111" s="2" t="str">
        <f>VLOOKUP($D111,'Customer Details'!$A$1:$F$17,4,0)</f>
        <v>Santa Barbara</v>
      </c>
      <c r="J111" s="2" t="str">
        <f>VLOOKUP($D111,'Customer Details'!$A$1:$F$17,6,0)</f>
        <v>93110</v>
      </c>
      <c r="K111" s="8" t="str">
        <f>VLOOKUP(VLOOKUP(D111,'Customer Details'!$A$1:$F$17,5,0),'Region INfo'!$A$1:$C$52,3,0)</f>
        <v xml:space="preserve">Pacific   </v>
      </c>
      <c r="L111" s="8" t="str">
        <f>INDEX(Product_List,MATCH($F111,'Product List'!$B$1:$B$299,0),MATCH('Order SUmmary'!L$2,'Product List'!$A$1:$E$1,0))</f>
        <v>Xerox 1943</v>
      </c>
      <c r="M111" s="8">
        <f>INDEX(Product_List,MATCH($F111,'Product List'!$B$1:$B$299,0),MATCH('Order SUmmary'!M$2,'Product List'!$A$1:$E$1,0))</f>
        <v>2529</v>
      </c>
      <c r="N111" s="8">
        <f>INDEX(Product_List,MATCH($F111,'Product List'!$B$1:$B$299,0),MATCH('Order SUmmary'!N$2,'Product List'!$A$1:$E$1,0))</f>
        <v>1630</v>
      </c>
      <c r="O111" s="8" t="str">
        <f>INDEX(Product_List,MATCH($F111,'Product List'!$B$1:$B$299,0),MATCH('Order SUmmary'!O$2,'Product List'!$A$1:$E$1,0))</f>
        <v>Paper</v>
      </c>
      <c r="P111" s="12">
        <f>HLOOKUP(C111,'Commission Criteria'!$A$2:$I$4,3,FALSE)</f>
        <v>6</v>
      </c>
      <c r="Q111" s="8">
        <f t="shared" si="4"/>
        <v>39120</v>
      </c>
      <c r="R111" s="8">
        <f t="shared" si="5"/>
        <v>60696</v>
      </c>
      <c r="S111" s="36">
        <f>VLOOKUP(R111,'Commission Criteria'!$L$3:$M$11,2,TRUE)</f>
        <v>0.05</v>
      </c>
      <c r="T111" s="36">
        <f>IF(P111&lt;5,VLOOKUP(R111,'Commission Criteria'!$L$3:$M$11,2,1),VLOOKUP('Order SUmmary'!R111,'Commission Criteria'!$P$3:$Q$11,2,1))</f>
        <v>0.06</v>
      </c>
      <c r="U111" s="36">
        <f>VLOOKUP(R111,IF(P111&lt;5,'Commission Criteria'!$L$3:$M$11,'Commission Criteria'!$P$3:$Q$11),2,1)</f>
        <v>0.06</v>
      </c>
      <c r="V111" s="8" t="s">
        <v>32</v>
      </c>
      <c r="W111" s="36">
        <f t="shared" ca="1" si="6"/>
        <v>0</v>
      </c>
      <c r="X111" s="8" t="str">
        <f>_xlfn.XLOOKUP(F111,'Product List'!$B$1:$B$299,'Product List'!$A$1:$A$299)</f>
        <v>Xerox 1943</v>
      </c>
      <c r="Y111" s="8"/>
      <c r="Z111" s="8" t="str" cm="1">
        <f t="array" ref="Z111:AD111">_xlfn.XLOOKUP(D111,'Customer Details'!$A$1:$A$17,'Customer Details'!$B$1:$F$17,"No such customer",0,1)</f>
        <v>Dynamatic Technologies Ltd.</v>
      </c>
      <c r="AA111" s="8" t="str">
        <v>402 Pinkster Lane</v>
      </c>
      <c r="AB111" s="8" t="str">
        <v>Santa Barbara</v>
      </c>
      <c r="AC111" s="8" t="str">
        <v>CA</v>
      </c>
      <c r="AD111" s="8" t="str">
        <v>93110</v>
      </c>
    </row>
    <row r="112" spans="1:30">
      <c r="A112" s="8" t="s">
        <v>202</v>
      </c>
      <c r="B112" s="19">
        <v>41415</v>
      </c>
      <c r="C112" s="8" t="s">
        <v>27</v>
      </c>
      <c r="D112" s="8">
        <v>10007</v>
      </c>
      <c r="E112" s="8" t="str">
        <f>VLOOKUP($D112,'Customer Details'!$A$1:$F$17,4,FALSE)</f>
        <v>Richmond</v>
      </c>
      <c r="F112" s="8" t="s">
        <v>118</v>
      </c>
      <c r="G112" s="8">
        <v>1</v>
      </c>
      <c r="H112" s="2" t="str">
        <f>VLOOKUP($D112,'Customer Details'!$A$1:$F$17,MATCH('Order SUmmary'!H$2,'Customer Details'!$A$1:$F$1,0),0)</f>
        <v>GHCL Ltd.</v>
      </c>
      <c r="I112" s="2" t="str">
        <f>VLOOKUP($D112,'Customer Details'!$A$1:$F$17,4,0)</f>
        <v>Richmond</v>
      </c>
      <c r="J112" s="2" t="str">
        <f>VLOOKUP($D112,'Customer Details'!$A$1:$F$17,6,0)</f>
        <v>94805</v>
      </c>
      <c r="K112" s="8" t="str">
        <f>VLOOKUP(VLOOKUP(D112,'Customer Details'!$A$1:$F$17,5,0),'Region INfo'!$A$1:$C$52,3,0)</f>
        <v xml:space="preserve">Pacific   </v>
      </c>
      <c r="L112" s="8" t="str">
        <f>INDEX(Product_List,MATCH($F112,'Product List'!$B$1:$B$299,0),MATCH('Order SUmmary'!L$2,'Product List'!$A$1:$E$1,0))</f>
        <v>Xerox 1998</v>
      </c>
      <c r="M112" s="8">
        <f>INDEX(Product_List,MATCH($F112,'Product List'!$B$1:$B$299,0),MATCH('Order SUmmary'!M$2,'Product List'!$A$1:$E$1,0))</f>
        <v>4003</v>
      </c>
      <c r="N112" s="8">
        <f>INDEX(Product_List,MATCH($F112,'Product List'!$B$1:$B$299,0),MATCH('Order SUmmary'!N$2,'Product List'!$A$1:$E$1,0))</f>
        <v>2255</v>
      </c>
      <c r="O112" s="8" t="str">
        <f>INDEX(Product_List,MATCH($F112,'Product List'!$B$1:$B$299,0),MATCH('Order SUmmary'!O$2,'Product List'!$A$1:$E$1,0))</f>
        <v>Paper</v>
      </c>
      <c r="P112" s="12">
        <f>HLOOKUP(C112,'Commission Criteria'!$A$2:$I$4,3,FALSE)</f>
        <v>4</v>
      </c>
      <c r="Q112" s="8">
        <f t="shared" si="4"/>
        <v>2255</v>
      </c>
      <c r="R112" s="8">
        <f t="shared" si="5"/>
        <v>4003</v>
      </c>
      <c r="S112" s="36">
        <f>VLOOKUP(R112,'Commission Criteria'!$L$3:$M$11,2,TRUE)</f>
        <v>0.01</v>
      </c>
      <c r="T112" s="36">
        <f>IF(P112&lt;5,VLOOKUP(R112,'Commission Criteria'!$L$3:$M$11,2,1),VLOOKUP('Order SUmmary'!R112,'Commission Criteria'!$P$3:$Q$11,2,1))</f>
        <v>0.01</v>
      </c>
      <c r="U112" s="36">
        <f>VLOOKUP(R112,IF(P112&lt;5,'Commission Criteria'!$L$3:$M$11,'Commission Criteria'!$P$3:$Q$11),2,1)</f>
        <v>0.01</v>
      </c>
      <c r="V112" s="8" t="s">
        <v>50</v>
      </c>
      <c r="W112" s="36">
        <f t="shared" ca="1" si="6"/>
        <v>0</v>
      </c>
      <c r="X112" s="8" t="str">
        <f>_xlfn.XLOOKUP(F112,'Product List'!$B$1:$B$299,'Product List'!$A$1:$A$299)</f>
        <v>Xerox 1998</v>
      </c>
      <c r="Y112" s="8"/>
      <c r="Z112" s="8" t="str" cm="1">
        <f t="array" ref="Z112:AD112">_xlfn.XLOOKUP(D112,'Customer Details'!$A$1:$A$17,'Customer Details'!$B$1:$F$17,"No such customer",0,1)</f>
        <v>GHCL Ltd.</v>
      </c>
      <c r="AA112" s="8" t="str">
        <v>58 Clarence St</v>
      </c>
      <c r="AB112" s="8" t="str">
        <v>Richmond</v>
      </c>
      <c r="AC112" s="8" t="str">
        <v>CA</v>
      </c>
      <c r="AD112" s="8" t="str">
        <v>94805</v>
      </c>
    </row>
    <row r="113" spans="1:30">
      <c r="A113" s="8" t="s">
        <v>202</v>
      </c>
      <c r="B113" s="19">
        <v>41415</v>
      </c>
      <c r="C113" s="8" t="s">
        <v>33</v>
      </c>
      <c r="D113" s="8">
        <v>10010</v>
      </c>
      <c r="E113" s="8" t="str">
        <f>VLOOKUP($D113,'Customer Details'!$A$1:$F$17,4,FALSE)</f>
        <v>Tracy</v>
      </c>
      <c r="F113" s="8" t="s">
        <v>203</v>
      </c>
      <c r="G113" s="8">
        <v>1</v>
      </c>
      <c r="H113" s="2" t="str">
        <f>VLOOKUP($D113,'Customer Details'!$A$1:$F$17,MATCH('Order SUmmary'!H$2,'Customer Details'!$A$1:$F$1,0),0)</f>
        <v>Suzlon Energy Ltd.</v>
      </c>
      <c r="I113" s="2" t="str">
        <f>VLOOKUP($D113,'Customer Details'!$A$1:$F$17,4,0)</f>
        <v>Tracy</v>
      </c>
      <c r="J113" s="2" t="str">
        <f>VLOOKUP($D113,'Customer Details'!$A$1:$F$17,6,0)</f>
        <v>95376</v>
      </c>
      <c r="K113" s="8" t="str">
        <f>VLOOKUP(VLOOKUP(D113,'Customer Details'!$A$1:$F$17,5,0),'Region INfo'!$A$1:$C$52,3,0)</f>
        <v xml:space="preserve">Pacific   </v>
      </c>
      <c r="L113" s="8" t="str">
        <f>INDEX(Product_List,MATCH($F113,'Product List'!$B$1:$B$299,0),MATCH('Order SUmmary'!L$2,'Product List'!$A$1:$E$1,0))</f>
        <v>Xerox 1957</v>
      </c>
      <c r="M113" s="8">
        <f>INDEX(Product_List,MATCH($F113,'Product List'!$B$1:$B$299,0),MATCH('Order SUmmary'!M$2,'Product List'!$A$1:$E$1,0))</f>
        <v>4398</v>
      </c>
      <c r="N113" s="8">
        <f>INDEX(Product_List,MATCH($F113,'Product List'!$B$1:$B$299,0),MATCH('Order SUmmary'!N$2,'Product List'!$A$1:$E$1,0))</f>
        <v>1800</v>
      </c>
      <c r="O113" s="8" t="str">
        <f>INDEX(Product_List,MATCH($F113,'Product List'!$B$1:$B$299,0),MATCH('Order SUmmary'!O$2,'Product List'!$A$1:$E$1,0))</f>
        <v>Paper</v>
      </c>
      <c r="P113" s="12">
        <f>HLOOKUP(C113,'Commission Criteria'!$A$2:$I$4,3,FALSE)</f>
        <v>1</v>
      </c>
      <c r="Q113" s="8">
        <f t="shared" si="4"/>
        <v>1800</v>
      </c>
      <c r="R113" s="8">
        <f t="shared" si="5"/>
        <v>4398</v>
      </c>
      <c r="S113" s="36">
        <f>VLOOKUP(R113,'Commission Criteria'!$L$3:$M$11,2,TRUE)</f>
        <v>0.01</v>
      </c>
      <c r="T113" s="36">
        <f>IF(P113&lt;5,VLOOKUP(R113,'Commission Criteria'!$L$3:$M$11,2,1),VLOOKUP('Order SUmmary'!R113,'Commission Criteria'!$P$3:$Q$11,2,1))</f>
        <v>0.01</v>
      </c>
      <c r="U113" s="36">
        <f>VLOOKUP(R113,IF(P113&lt;5,'Commission Criteria'!$L$3:$M$11,'Commission Criteria'!$P$3:$Q$11),2,1)</f>
        <v>0.01</v>
      </c>
      <c r="V113" s="8" t="s">
        <v>29</v>
      </c>
      <c r="W113" s="36">
        <f t="shared" ca="1" si="6"/>
        <v>0</v>
      </c>
      <c r="X113" s="8" t="str">
        <f>_xlfn.XLOOKUP(F113,'Product List'!$B$1:$B$299,'Product List'!$A$1:$A$299)</f>
        <v>Xerox 1957</v>
      </c>
      <c r="Y113" s="8"/>
      <c r="Z113" s="8" t="str" cm="1">
        <f t="array" ref="Z113:AD113">_xlfn.XLOOKUP(D113,'Customer Details'!$A$1:$A$17,'Customer Details'!$B$1:$F$17,"No such customer",0,1)</f>
        <v>Suzlon Energy Ltd.</v>
      </c>
      <c r="AA113" s="8" t="str">
        <v>501 Marsh Trail Circle</v>
      </c>
      <c r="AB113" s="8" t="str">
        <v>Tracy</v>
      </c>
      <c r="AC113" s="8" t="str">
        <v>CA</v>
      </c>
      <c r="AD113" s="8" t="str">
        <v>95376</v>
      </c>
    </row>
    <row r="114" spans="1:30">
      <c r="A114" s="8" t="s">
        <v>204</v>
      </c>
      <c r="B114" s="19">
        <v>41416</v>
      </c>
      <c r="C114" s="8" t="s">
        <v>51</v>
      </c>
      <c r="D114" s="8">
        <v>10004</v>
      </c>
      <c r="E114" s="8" t="str">
        <f>VLOOKUP($D114,'Customer Details'!$A$1:$F$17,4,FALSE)</f>
        <v>New York</v>
      </c>
      <c r="F114" s="8" t="s">
        <v>205</v>
      </c>
      <c r="G114" s="8">
        <v>2</v>
      </c>
      <c r="H114" s="2" t="str">
        <f>VLOOKUP($D114,'Customer Details'!$A$1:$F$17,MATCH('Order SUmmary'!H$2,'Customer Details'!$A$1:$F$1,0),0)</f>
        <v>Lupin Ltd.</v>
      </c>
      <c r="I114" s="2" t="str">
        <f>VLOOKUP($D114,'Customer Details'!$A$1:$F$17,4,0)</f>
        <v>New York</v>
      </c>
      <c r="J114" s="2" t="str">
        <f>VLOOKUP($D114,'Customer Details'!$A$1:$F$17,6,0)</f>
        <v>10019</v>
      </c>
      <c r="K114" s="8" t="str">
        <f>VLOOKUP(VLOOKUP(D114,'Customer Details'!$A$1:$F$17,5,0),'Region INfo'!$A$1:$C$52,3,0)</f>
        <v xml:space="preserve">Northern </v>
      </c>
      <c r="L114" s="8" t="str">
        <f>INDEX(Product_List,MATCH($F114,'Product List'!$B$1:$B$299,0),MATCH('Order SUmmary'!L$2,'Product List'!$A$1:$E$1,0))</f>
        <v>AT&amp;T TR1909W</v>
      </c>
      <c r="M114" s="8">
        <f>INDEX(Product_List,MATCH($F114,'Product List'!$B$1:$B$299,0),MATCH('Order SUmmary'!M$2,'Product List'!$A$1:$E$1,0))</f>
        <v>4378</v>
      </c>
      <c r="N114" s="8">
        <f>INDEX(Product_List,MATCH($F114,'Product List'!$B$1:$B$299,0),MATCH('Order SUmmary'!N$2,'Product List'!$A$1:$E$1,0))</f>
        <v>1998</v>
      </c>
      <c r="O114" s="8" t="str">
        <f>INDEX(Product_List,MATCH($F114,'Product List'!$B$1:$B$299,0),MATCH('Order SUmmary'!O$2,'Product List'!$A$1:$E$1,0))</f>
        <v>Phones</v>
      </c>
      <c r="P114" s="12">
        <f>HLOOKUP(C114,'Commission Criteria'!$A$2:$I$4,3,FALSE)</f>
        <v>10</v>
      </c>
      <c r="Q114" s="8">
        <f t="shared" si="4"/>
        <v>3996</v>
      </c>
      <c r="R114" s="8">
        <f t="shared" si="5"/>
        <v>8756</v>
      </c>
      <c r="S114" s="36">
        <f>VLOOKUP(R114,'Commission Criteria'!$L$3:$M$11,2,TRUE)</f>
        <v>0.03</v>
      </c>
      <c r="T114" s="36">
        <f>IF(P114&lt;5,VLOOKUP(R114,'Commission Criteria'!$L$3:$M$11,2,1),VLOOKUP('Order SUmmary'!R114,'Commission Criteria'!$P$3:$Q$11,2,1))</f>
        <v>0.02</v>
      </c>
      <c r="U114" s="36">
        <f>VLOOKUP(R114,IF(P114&lt;5,'Commission Criteria'!$L$3:$M$11,'Commission Criteria'!$P$3:$Q$11),2,1)</f>
        <v>0.02</v>
      </c>
      <c r="V114" s="8" t="s">
        <v>50</v>
      </c>
      <c r="W114" s="36">
        <f t="shared" ca="1" si="6"/>
        <v>0.03</v>
      </c>
      <c r="X114" s="8" t="str">
        <f>_xlfn.XLOOKUP(F114,'Product List'!$B$1:$B$299,'Product List'!$A$1:$A$299)</f>
        <v>AT&amp;T TR1909W</v>
      </c>
      <c r="Y114" s="8"/>
      <c r="Z114" s="8" t="str" cm="1">
        <f t="array" ref="Z114:AD114">_xlfn.XLOOKUP(D114,'Customer Details'!$A$1:$A$17,'Customer Details'!$B$1:$F$17,"No such customer",0,1)</f>
        <v>Lupin Ltd.</v>
      </c>
      <c r="AA114" s="8" t="str">
        <v>Abbey Wood</v>
      </c>
      <c r="AB114" s="8" t="str">
        <v>New York</v>
      </c>
      <c r="AC114" s="8" t="str">
        <v>NY</v>
      </c>
      <c r="AD114" s="8" t="str">
        <v>10019</v>
      </c>
    </row>
    <row r="115" spans="1:30">
      <c r="A115" s="8" t="s">
        <v>204</v>
      </c>
      <c r="B115" s="19">
        <v>41416</v>
      </c>
      <c r="C115" s="8" t="s">
        <v>33</v>
      </c>
      <c r="D115" s="8">
        <v>10013</v>
      </c>
      <c r="E115" s="8" t="str">
        <f>VLOOKUP($D115,'Customer Details'!$A$1:$F$17,4,FALSE)</f>
        <v>Naugatuck</v>
      </c>
      <c r="F115" s="8" t="s">
        <v>206</v>
      </c>
      <c r="G115" s="8">
        <v>24</v>
      </c>
      <c r="H115" s="2" t="str">
        <f>VLOOKUP($D115,'Customer Details'!$A$1:$F$17,MATCH('Order SUmmary'!H$2,'Customer Details'!$A$1:$F$1,0),0)</f>
        <v>GMR Infrastructure Ltd.</v>
      </c>
      <c r="I115" s="2" t="str">
        <f>VLOOKUP($D115,'Customer Details'!$A$1:$F$17,4,0)</f>
        <v>Naugatuck</v>
      </c>
      <c r="J115" s="2" t="str">
        <f>VLOOKUP($D115,'Customer Details'!$A$1:$F$17,6,0)</f>
        <v>06770</v>
      </c>
      <c r="K115" s="8" t="str">
        <f>VLOOKUP(VLOOKUP(D115,'Customer Details'!$A$1:$F$17,5,0),'Region INfo'!$A$1:$C$52,3,0)</f>
        <v xml:space="preserve">Northern </v>
      </c>
      <c r="L115" s="8" t="str">
        <f>INDEX(Product_List,MATCH($F115,'Product List'!$B$1:$B$299,0),MATCH('Order SUmmary'!L$2,'Product List'!$A$1:$E$1,0))</f>
        <v>Xerox 1973</v>
      </c>
      <c r="M115" s="8">
        <f>INDEX(Product_List,MATCH($F115,'Product List'!$B$1:$B$299,0),MATCH('Order SUmmary'!M$2,'Product List'!$A$1:$E$1,0))</f>
        <v>4928</v>
      </c>
      <c r="N115" s="8">
        <f>INDEX(Product_List,MATCH($F115,'Product List'!$B$1:$B$299,0),MATCH('Order SUmmary'!N$2,'Product List'!$A$1:$E$1,0))</f>
        <v>2101</v>
      </c>
      <c r="O115" s="8" t="str">
        <f>INDEX(Product_List,MATCH($F115,'Product List'!$B$1:$B$299,0),MATCH('Order SUmmary'!O$2,'Product List'!$A$1:$E$1,0))</f>
        <v>Paper</v>
      </c>
      <c r="P115" s="12">
        <f>HLOOKUP(C115,'Commission Criteria'!$A$2:$I$4,3,FALSE)</f>
        <v>1</v>
      </c>
      <c r="Q115" s="8">
        <f t="shared" si="4"/>
        <v>50424</v>
      </c>
      <c r="R115" s="8">
        <f t="shared" si="5"/>
        <v>118272</v>
      </c>
      <c r="S115" s="36">
        <f>VLOOKUP(R115,'Commission Criteria'!$L$3:$M$11,2,TRUE)</f>
        <v>0.09</v>
      </c>
      <c r="T115" s="36">
        <f>IF(P115&lt;5,VLOOKUP(R115,'Commission Criteria'!$L$3:$M$11,2,1),VLOOKUP('Order SUmmary'!R115,'Commission Criteria'!$P$3:$Q$11,2,1))</f>
        <v>0.09</v>
      </c>
      <c r="U115" s="36">
        <f>VLOOKUP(R115,IF(P115&lt;5,'Commission Criteria'!$L$3:$M$11,'Commission Criteria'!$P$3:$Q$11),2,1)</f>
        <v>0.09</v>
      </c>
      <c r="V115" s="8" t="s">
        <v>50</v>
      </c>
      <c r="W115" s="36">
        <f t="shared" ca="1" si="6"/>
        <v>0</v>
      </c>
      <c r="X115" s="8" t="str">
        <f>_xlfn.XLOOKUP(F115,'Product List'!$B$1:$B$299,'Product List'!$A$1:$A$299)</f>
        <v>Xerox 1973</v>
      </c>
      <c r="Y115" s="8"/>
      <c r="Z115" s="8" t="str" cm="1">
        <f t="array" ref="Z115:AD115">_xlfn.XLOOKUP(D115,'Customer Details'!$A$1:$A$17,'Customer Details'!$B$1:$F$17,"No such customer",0,1)</f>
        <v>GMR Infrastructure Ltd.</v>
      </c>
      <c r="AA115" s="8" t="str">
        <v>P.O. Box 4421</v>
      </c>
      <c r="AB115" s="8" t="str">
        <v>Naugatuck</v>
      </c>
      <c r="AC115" s="8" t="str">
        <v>CT</v>
      </c>
      <c r="AD115" s="8" t="str">
        <v>06770</v>
      </c>
    </row>
    <row r="116" spans="1:30">
      <c r="A116" s="8" t="s">
        <v>207</v>
      </c>
      <c r="B116" s="19">
        <v>41417</v>
      </c>
      <c r="C116" s="8" t="s">
        <v>54</v>
      </c>
      <c r="D116" s="8">
        <v>10012</v>
      </c>
      <c r="E116" s="8" t="str">
        <f>VLOOKUP($D116,'Customer Details'!$A$1:$F$17,4,FALSE)</f>
        <v>Santa Barbara</v>
      </c>
      <c r="F116" s="8" t="s">
        <v>208</v>
      </c>
      <c r="G116" s="8">
        <v>24</v>
      </c>
      <c r="H116" s="2" t="str">
        <f>VLOOKUP($D116,'Customer Details'!$A$1:$F$17,MATCH('Order SUmmary'!H$2,'Customer Details'!$A$1:$F$1,0),0)</f>
        <v>Dynamatic Technologies Ltd.</v>
      </c>
      <c r="I116" s="2" t="str">
        <f>VLOOKUP($D116,'Customer Details'!$A$1:$F$17,4,0)</f>
        <v>Santa Barbara</v>
      </c>
      <c r="J116" s="2" t="str">
        <f>VLOOKUP($D116,'Customer Details'!$A$1:$F$17,6,0)</f>
        <v>93110</v>
      </c>
      <c r="K116" s="8" t="str">
        <f>VLOOKUP(VLOOKUP(D116,'Customer Details'!$A$1:$F$17,5,0),'Region INfo'!$A$1:$C$52,3,0)</f>
        <v xml:space="preserve">Pacific   </v>
      </c>
      <c r="L116" s="8" t="str">
        <f>INDEX(Product_List,MATCH($F116,'Product List'!$B$1:$B$299,0),MATCH('Order SUmmary'!L$2,'Product List'!$A$1:$E$1,0))</f>
        <v>Xerox 1928</v>
      </c>
      <c r="M116" s="8">
        <f>INDEX(Product_List,MATCH($F116,'Product List'!$B$1:$B$299,0),MATCH('Order SUmmary'!M$2,'Product List'!$A$1:$E$1,0))</f>
        <v>3034</v>
      </c>
      <c r="N116" s="8">
        <f>INDEX(Product_List,MATCH($F116,'Product List'!$B$1:$B$299,0),MATCH('Order SUmmary'!N$2,'Product List'!$A$1:$E$1,0))</f>
        <v>2312</v>
      </c>
      <c r="O116" s="8" t="str">
        <f>INDEX(Product_List,MATCH($F116,'Product List'!$B$1:$B$299,0),MATCH('Order SUmmary'!O$2,'Product List'!$A$1:$E$1,0))</f>
        <v>Paper</v>
      </c>
      <c r="P116" s="12">
        <f>HLOOKUP(C116,'Commission Criteria'!$A$2:$I$4,3,FALSE)</f>
        <v>3</v>
      </c>
      <c r="Q116" s="8">
        <f t="shared" si="4"/>
        <v>55488</v>
      </c>
      <c r="R116" s="8">
        <f t="shared" si="5"/>
        <v>72816</v>
      </c>
      <c r="S116" s="36">
        <f>VLOOKUP(R116,'Commission Criteria'!$L$3:$M$11,2,TRUE)</f>
        <v>0.05</v>
      </c>
      <c r="T116" s="36">
        <f>IF(P116&lt;5,VLOOKUP(R116,'Commission Criteria'!$L$3:$M$11,2,1),VLOOKUP('Order SUmmary'!R116,'Commission Criteria'!$P$3:$Q$11,2,1))</f>
        <v>0.05</v>
      </c>
      <c r="U116" s="36">
        <f>VLOOKUP(R116,IF(P116&lt;5,'Commission Criteria'!$L$3:$M$11,'Commission Criteria'!$P$3:$Q$11),2,1)</f>
        <v>0.05</v>
      </c>
      <c r="V116" s="8" t="s">
        <v>35</v>
      </c>
      <c r="W116" s="36">
        <f t="shared" ca="1" si="6"/>
        <v>0</v>
      </c>
      <c r="X116" s="8" t="str">
        <f>_xlfn.XLOOKUP(F116,'Product List'!$B$1:$B$299,'Product List'!$A$1:$A$299)</f>
        <v>Xerox 1928</v>
      </c>
      <c r="Y116" s="8"/>
      <c r="Z116" s="8" t="str" cm="1">
        <f t="array" ref="Z116:AD116">_xlfn.XLOOKUP(D116,'Customer Details'!$A$1:$A$17,'Customer Details'!$B$1:$F$17,"No such customer",0,1)</f>
        <v>Dynamatic Technologies Ltd.</v>
      </c>
      <c r="AA116" s="8" t="str">
        <v>402 Pinkster Lane</v>
      </c>
      <c r="AB116" s="8" t="str">
        <v>Santa Barbara</v>
      </c>
      <c r="AC116" s="8" t="str">
        <v>CA</v>
      </c>
      <c r="AD116" s="8" t="str">
        <v>93110</v>
      </c>
    </row>
    <row r="117" spans="1:30">
      <c r="A117" s="8" t="s">
        <v>209</v>
      </c>
      <c r="B117" s="19">
        <v>41419</v>
      </c>
      <c r="C117" s="8" t="s">
        <v>46</v>
      </c>
      <c r="D117" s="8">
        <v>10013</v>
      </c>
      <c r="E117" s="8" t="str">
        <f>VLOOKUP($D117,'Customer Details'!$A$1:$F$17,4,FALSE)</f>
        <v>Naugatuck</v>
      </c>
      <c r="F117" s="8" t="s">
        <v>28</v>
      </c>
      <c r="G117" s="8">
        <v>24</v>
      </c>
      <c r="H117" s="2" t="str">
        <f>VLOOKUP($D117,'Customer Details'!$A$1:$F$17,MATCH('Order SUmmary'!H$2,'Customer Details'!$A$1:$F$1,0),0)</f>
        <v>GMR Infrastructure Ltd.</v>
      </c>
      <c r="I117" s="2" t="str">
        <f>VLOOKUP($D117,'Customer Details'!$A$1:$F$17,4,0)</f>
        <v>Naugatuck</v>
      </c>
      <c r="J117" s="2" t="str">
        <f>VLOOKUP($D117,'Customer Details'!$A$1:$F$17,6,0)</f>
        <v>06770</v>
      </c>
      <c r="K117" s="8" t="str">
        <f>VLOOKUP(VLOOKUP(D117,'Customer Details'!$A$1:$F$17,5,0),'Region INfo'!$A$1:$C$52,3,0)</f>
        <v xml:space="preserve">Northern </v>
      </c>
      <c r="L117" s="8" t="str">
        <f>INDEX(Product_List,MATCH($F117,'Product List'!$B$1:$B$299,0),MATCH('Order SUmmary'!L$2,'Product List'!$A$1:$E$1,0))</f>
        <v>Xerox 1951</v>
      </c>
      <c r="M117" s="8">
        <f>INDEX(Product_List,MATCH($F117,'Product List'!$B$1:$B$299,0),MATCH('Order SUmmary'!M$2,'Product List'!$A$1:$E$1,0))</f>
        <v>4006</v>
      </c>
      <c r="N117" s="8">
        <f>INDEX(Product_List,MATCH($F117,'Product List'!$B$1:$B$299,0),MATCH('Order SUmmary'!N$2,'Product List'!$A$1:$E$1,0))</f>
        <v>1898</v>
      </c>
      <c r="O117" s="8" t="str">
        <f>INDEX(Product_List,MATCH($F117,'Product List'!$B$1:$B$299,0),MATCH('Order SUmmary'!O$2,'Product List'!$A$1:$E$1,0))</f>
        <v>Paper</v>
      </c>
      <c r="P117" s="12">
        <f>HLOOKUP(C117,'Commission Criteria'!$A$2:$I$4,3,FALSE)</f>
        <v>8</v>
      </c>
      <c r="Q117" s="8">
        <f t="shared" si="4"/>
        <v>45552</v>
      </c>
      <c r="R117" s="8">
        <f t="shared" si="5"/>
        <v>96144</v>
      </c>
      <c r="S117" s="36">
        <f>VLOOKUP(R117,'Commission Criteria'!$L$3:$M$11,2,TRUE)</f>
        <v>7.0000000000000007E-2</v>
      </c>
      <c r="T117" s="36">
        <f>IF(P117&lt;5,VLOOKUP(R117,'Commission Criteria'!$L$3:$M$11,2,1),VLOOKUP('Order SUmmary'!R117,'Commission Criteria'!$P$3:$Q$11,2,1))</f>
        <v>0.08</v>
      </c>
      <c r="U117" s="36">
        <f>VLOOKUP(R117,IF(P117&lt;5,'Commission Criteria'!$L$3:$M$11,'Commission Criteria'!$P$3:$Q$11),2,1)</f>
        <v>0.08</v>
      </c>
      <c r="V117" s="8" t="s">
        <v>35</v>
      </c>
      <c r="W117" s="36">
        <f t="shared" ca="1" si="6"/>
        <v>0</v>
      </c>
      <c r="X117" s="8" t="str">
        <f>_xlfn.XLOOKUP(F117,'Product List'!$B$1:$B$299,'Product List'!$A$1:$A$299)</f>
        <v>Xerox 1951</v>
      </c>
      <c r="Y117" s="8"/>
      <c r="Z117" s="8" t="str" cm="1">
        <f t="array" ref="Z117:AD117">_xlfn.XLOOKUP(D117,'Customer Details'!$A$1:$A$17,'Customer Details'!$B$1:$F$17,"No such customer",0,1)</f>
        <v>GMR Infrastructure Ltd.</v>
      </c>
      <c r="AA117" s="8" t="str">
        <v>P.O. Box 4421</v>
      </c>
      <c r="AB117" s="8" t="str">
        <v>Naugatuck</v>
      </c>
      <c r="AC117" s="8" t="str">
        <v>CT</v>
      </c>
      <c r="AD117" s="8" t="str">
        <v>06770</v>
      </c>
    </row>
    <row r="118" spans="1:30">
      <c r="A118" s="8" t="s">
        <v>210</v>
      </c>
      <c r="B118" s="19">
        <v>41420</v>
      </c>
      <c r="C118" s="8" t="s">
        <v>44</v>
      </c>
      <c r="D118" s="8">
        <v>10013</v>
      </c>
      <c r="E118" s="8" t="str">
        <f>VLOOKUP($D118,'Customer Details'!$A$1:$F$17,4,FALSE)</f>
        <v>Naugatuck</v>
      </c>
      <c r="F118" s="8" t="s">
        <v>211</v>
      </c>
      <c r="G118" s="8">
        <v>2</v>
      </c>
      <c r="H118" s="2" t="str">
        <f>VLOOKUP($D118,'Customer Details'!$A$1:$F$17,MATCH('Order SUmmary'!H$2,'Customer Details'!$A$1:$F$1,0),0)</f>
        <v>GMR Infrastructure Ltd.</v>
      </c>
      <c r="I118" s="2" t="str">
        <f>VLOOKUP($D118,'Customer Details'!$A$1:$F$17,4,0)</f>
        <v>Naugatuck</v>
      </c>
      <c r="J118" s="2" t="str">
        <f>VLOOKUP($D118,'Customer Details'!$A$1:$F$17,6,0)</f>
        <v>06770</v>
      </c>
      <c r="K118" s="8" t="str">
        <f>VLOOKUP(VLOOKUP(D118,'Customer Details'!$A$1:$F$17,5,0),'Region INfo'!$A$1:$C$52,3,0)</f>
        <v xml:space="preserve">Northern </v>
      </c>
      <c r="L118" s="8" t="str">
        <f>INDEX(Product_List,MATCH($F118,'Product List'!$B$1:$B$299,0),MATCH('Order SUmmary'!L$2,'Product List'!$A$1:$E$1,0))</f>
        <v>Xerox 1993</v>
      </c>
      <c r="M118" s="8">
        <f>INDEX(Product_List,MATCH($F118,'Product List'!$B$1:$B$299,0),MATCH('Order SUmmary'!M$2,'Product List'!$A$1:$E$1,0))</f>
        <v>4610</v>
      </c>
      <c r="N118" s="8">
        <f>INDEX(Product_List,MATCH($F118,'Product List'!$B$1:$B$299,0),MATCH('Order SUmmary'!N$2,'Product List'!$A$1:$E$1,0))</f>
        <v>2176</v>
      </c>
      <c r="O118" s="8" t="str">
        <f>INDEX(Product_List,MATCH($F118,'Product List'!$B$1:$B$299,0),MATCH('Order SUmmary'!O$2,'Product List'!$A$1:$E$1,0))</f>
        <v>Paper</v>
      </c>
      <c r="P118" s="12">
        <f>HLOOKUP(C118,'Commission Criteria'!$A$2:$I$4,3,FALSE)</f>
        <v>4</v>
      </c>
      <c r="Q118" s="8">
        <f t="shared" si="4"/>
        <v>4352</v>
      </c>
      <c r="R118" s="8">
        <f t="shared" si="5"/>
        <v>9220</v>
      </c>
      <c r="S118" s="36">
        <f>VLOOKUP(R118,'Commission Criteria'!$L$3:$M$11,2,TRUE)</f>
        <v>0.03</v>
      </c>
      <c r="T118" s="36">
        <f>IF(P118&lt;5,VLOOKUP(R118,'Commission Criteria'!$L$3:$M$11,2,1),VLOOKUP('Order SUmmary'!R118,'Commission Criteria'!$P$3:$Q$11,2,1))</f>
        <v>0.03</v>
      </c>
      <c r="U118" s="36">
        <f>VLOOKUP(R118,IF(P118&lt;5,'Commission Criteria'!$L$3:$M$11,'Commission Criteria'!$P$3:$Q$11),2,1)</f>
        <v>0.03</v>
      </c>
      <c r="V118" s="8" t="s">
        <v>29</v>
      </c>
      <c r="W118" s="36">
        <f t="shared" ca="1" si="6"/>
        <v>0</v>
      </c>
      <c r="X118" s="8" t="str">
        <f>_xlfn.XLOOKUP(F118,'Product List'!$B$1:$B$299,'Product List'!$A$1:$A$299)</f>
        <v>Xerox 1993</v>
      </c>
      <c r="Y118" s="8"/>
      <c r="Z118" s="8" t="str" cm="1">
        <f t="array" ref="Z118:AD118">_xlfn.XLOOKUP(D118,'Customer Details'!$A$1:$A$17,'Customer Details'!$B$1:$F$17,"No such customer",0,1)</f>
        <v>GMR Infrastructure Ltd.</v>
      </c>
      <c r="AA118" s="8" t="str">
        <v>P.O. Box 4421</v>
      </c>
      <c r="AB118" s="8" t="str">
        <v>Naugatuck</v>
      </c>
      <c r="AC118" s="8" t="str">
        <v>CT</v>
      </c>
      <c r="AD118" s="8" t="str">
        <v>06770</v>
      </c>
    </row>
    <row r="119" spans="1:30">
      <c r="A119" s="8" t="s">
        <v>212</v>
      </c>
      <c r="B119" s="19">
        <v>41420</v>
      </c>
      <c r="C119" s="8" t="s">
        <v>33</v>
      </c>
      <c r="D119" s="8">
        <v>10009</v>
      </c>
      <c r="E119" s="8" t="str">
        <f>VLOOKUP($D119,'Customer Details'!$A$1:$F$17,4,FALSE)</f>
        <v>Salt Lake City</v>
      </c>
      <c r="F119" s="8" t="s">
        <v>213</v>
      </c>
      <c r="G119" s="8">
        <v>24</v>
      </c>
      <c r="H119" s="2" t="str">
        <f>VLOOKUP($D119,'Customer Details'!$A$1:$F$17,MATCH('Order SUmmary'!H$2,'Customer Details'!$A$1:$F$1,0),0)</f>
        <v>Godfrey Philips India Ltd.</v>
      </c>
      <c r="I119" s="2" t="str">
        <f>VLOOKUP($D119,'Customer Details'!$A$1:$F$17,4,0)</f>
        <v>Salt Lake City</v>
      </c>
      <c r="J119" s="2" t="str">
        <f>VLOOKUP($D119,'Customer Details'!$A$1:$F$17,6,0)</f>
        <v>84118</v>
      </c>
      <c r="K119" s="8" t="str">
        <f>VLOOKUP(VLOOKUP(D119,'Customer Details'!$A$1:$F$17,5,0),'Region INfo'!$A$1:$C$52,3,0)</f>
        <v xml:space="preserve">Pacific   </v>
      </c>
      <c r="L119" s="8" t="str">
        <f>INDEX(Product_List,MATCH($F119,'Product List'!$B$1:$B$299,0),MATCH('Order SUmmary'!L$2,'Product List'!$A$1:$E$1,0))</f>
        <v>Cisco SPA301</v>
      </c>
      <c r="M119" s="8">
        <f>INDEX(Product_List,MATCH($F119,'Product List'!$B$1:$B$299,0),MATCH('Order SUmmary'!M$2,'Product List'!$A$1:$E$1,0))</f>
        <v>2921</v>
      </c>
      <c r="N119" s="8">
        <f>INDEX(Product_List,MATCH($F119,'Product List'!$B$1:$B$299,0),MATCH('Order SUmmary'!N$2,'Product List'!$A$1:$E$1,0))</f>
        <v>1786</v>
      </c>
      <c r="O119" s="8" t="str">
        <f>INDEX(Product_List,MATCH($F119,'Product List'!$B$1:$B$299,0),MATCH('Order SUmmary'!O$2,'Product List'!$A$1:$E$1,0))</f>
        <v>Phones</v>
      </c>
      <c r="P119" s="12">
        <f>HLOOKUP(C119,'Commission Criteria'!$A$2:$I$4,3,FALSE)</f>
        <v>1</v>
      </c>
      <c r="Q119" s="8">
        <f t="shared" si="4"/>
        <v>42864</v>
      </c>
      <c r="R119" s="8">
        <f t="shared" si="5"/>
        <v>70104</v>
      </c>
      <c r="S119" s="36">
        <f>VLOOKUP(R119,'Commission Criteria'!$L$3:$M$11,2,TRUE)</f>
        <v>0.05</v>
      </c>
      <c r="T119" s="36">
        <f>IF(P119&lt;5,VLOOKUP(R119,'Commission Criteria'!$L$3:$M$11,2,1),VLOOKUP('Order SUmmary'!R119,'Commission Criteria'!$P$3:$Q$11,2,1))</f>
        <v>0.05</v>
      </c>
      <c r="U119" s="36">
        <f>VLOOKUP(R119,IF(P119&lt;5,'Commission Criteria'!$L$3:$M$11,'Commission Criteria'!$P$3:$Q$11),2,1)</f>
        <v>0.05</v>
      </c>
      <c r="V119" s="8" t="s">
        <v>40</v>
      </c>
      <c r="W119" s="36">
        <f t="shared" ca="1" si="6"/>
        <v>0.01</v>
      </c>
      <c r="X119" s="8" t="str">
        <f>_xlfn.XLOOKUP(F119,'Product List'!$B$1:$B$299,'Product List'!$A$1:$A$299)</f>
        <v>Cisco SPA301</v>
      </c>
      <c r="Y119" s="8"/>
      <c r="Z119" s="8" t="str" cm="1">
        <f t="array" ref="Z119:AD119">_xlfn.XLOOKUP(D119,'Customer Details'!$A$1:$A$17,'Customer Details'!$B$1:$F$17,"No such customer",0,1)</f>
        <v>Godfrey Philips India Ltd.</v>
      </c>
      <c r="AA119" s="8" t="str">
        <v>20501 Ania Ave #2</v>
      </c>
      <c r="AB119" s="8" t="str">
        <v>Salt Lake City</v>
      </c>
      <c r="AC119" s="8" t="str">
        <v>UT</v>
      </c>
      <c r="AD119" s="8" t="str">
        <v>84118</v>
      </c>
    </row>
    <row r="120" spans="1:30">
      <c r="A120" s="8" t="s">
        <v>214</v>
      </c>
      <c r="B120" s="19">
        <v>41421</v>
      </c>
      <c r="C120" s="8" t="s">
        <v>46</v>
      </c>
      <c r="D120" s="8">
        <v>10004</v>
      </c>
      <c r="E120" s="8" t="str">
        <f>VLOOKUP($D120,'Customer Details'!$A$1:$F$17,4,FALSE)</f>
        <v>New York</v>
      </c>
      <c r="F120" s="8" t="s">
        <v>83</v>
      </c>
      <c r="G120" s="8">
        <v>1</v>
      </c>
      <c r="H120" s="2" t="str">
        <f>VLOOKUP($D120,'Customer Details'!$A$1:$F$17,MATCH('Order SUmmary'!H$2,'Customer Details'!$A$1:$F$1,0),0)</f>
        <v>Lupin Ltd.</v>
      </c>
      <c r="I120" s="2" t="str">
        <f>VLOOKUP($D120,'Customer Details'!$A$1:$F$17,4,0)</f>
        <v>New York</v>
      </c>
      <c r="J120" s="2" t="str">
        <f>VLOOKUP($D120,'Customer Details'!$A$1:$F$17,6,0)</f>
        <v>10019</v>
      </c>
      <c r="K120" s="8" t="str">
        <f>VLOOKUP(VLOOKUP(D120,'Customer Details'!$A$1:$F$17,5,0),'Region INfo'!$A$1:$C$52,3,0)</f>
        <v xml:space="preserve">Northern </v>
      </c>
      <c r="L120" s="8" t="str">
        <f>INDEX(Product_List,MATCH($F120,'Product List'!$B$1:$B$299,0),MATCH('Order SUmmary'!L$2,'Product List'!$A$1:$E$1,0))</f>
        <v>Xerox 211</v>
      </c>
      <c r="M120" s="8">
        <f>INDEX(Product_List,MATCH($F120,'Product List'!$B$1:$B$299,0),MATCH('Order SUmmary'!M$2,'Product List'!$A$1:$E$1,0))</f>
        <v>4291</v>
      </c>
      <c r="N120" s="8">
        <f>INDEX(Product_List,MATCH($F120,'Product List'!$B$1:$B$299,0),MATCH('Order SUmmary'!N$2,'Product List'!$A$1:$E$1,0))</f>
        <v>2021</v>
      </c>
      <c r="O120" s="8" t="str">
        <f>INDEX(Product_List,MATCH($F120,'Product List'!$B$1:$B$299,0),MATCH('Order SUmmary'!O$2,'Product List'!$A$1:$E$1,0))</f>
        <v>Paper</v>
      </c>
      <c r="P120" s="12">
        <f>HLOOKUP(C120,'Commission Criteria'!$A$2:$I$4,3,FALSE)</f>
        <v>8</v>
      </c>
      <c r="Q120" s="8">
        <f t="shared" si="4"/>
        <v>2021</v>
      </c>
      <c r="R120" s="8">
        <f t="shared" si="5"/>
        <v>4291</v>
      </c>
      <c r="S120" s="36">
        <f>VLOOKUP(R120,'Commission Criteria'!$L$3:$M$11,2,TRUE)</f>
        <v>0.01</v>
      </c>
      <c r="T120" s="36">
        <f>IF(P120&lt;5,VLOOKUP(R120,'Commission Criteria'!$L$3:$M$11,2,1),VLOOKUP('Order SUmmary'!R120,'Commission Criteria'!$P$3:$Q$11,2,1))</f>
        <v>0.02</v>
      </c>
      <c r="U120" s="36">
        <f>VLOOKUP(R120,IF(P120&lt;5,'Commission Criteria'!$L$3:$M$11,'Commission Criteria'!$P$3:$Q$11),2,1)</f>
        <v>0.02</v>
      </c>
      <c r="V120" s="8" t="s">
        <v>29</v>
      </c>
      <c r="W120" s="36">
        <f t="shared" ca="1" si="6"/>
        <v>0.01</v>
      </c>
      <c r="X120" s="8" t="str">
        <f>_xlfn.XLOOKUP(F120,'Product List'!$B$1:$B$299,'Product List'!$A$1:$A$299)</f>
        <v>Xerox 211</v>
      </c>
      <c r="Y120" s="8"/>
      <c r="Z120" s="8" t="str" cm="1">
        <f t="array" ref="Z120:AD120">_xlfn.XLOOKUP(D120,'Customer Details'!$A$1:$A$17,'Customer Details'!$B$1:$F$17,"No such customer",0,1)</f>
        <v>Lupin Ltd.</v>
      </c>
      <c r="AA120" s="8" t="str">
        <v>Abbey Wood</v>
      </c>
      <c r="AB120" s="8" t="str">
        <v>New York</v>
      </c>
      <c r="AC120" s="8" t="str">
        <v>NY</v>
      </c>
      <c r="AD120" s="8" t="str">
        <v>10019</v>
      </c>
    </row>
    <row r="121" spans="1:30">
      <c r="A121" s="8" t="s">
        <v>215</v>
      </c>
      <c r="B121" s="19">
        <v>41423</v>
      </c>
      <c r="C121" s="8" t="s">
        <v>51</v>
      </c>
      <c r="D121" s="8">
        <v>10007</v>
      </c>
      <c r="E121" s="8" t="str">
        <f>VLOOKUP($D121,'Customer Details'!$A$1:$F$17,4,FALSE)</f>
        <v>Richmond</v>
      </c>
      <c r="F121" s="8" t="s">
        <v>216</v>
      </c>
      <c r="G121" s="8">
        <v>2</v>
      </c>
      <c r="H121" s="2" t="str">
        <f>VLOOKUP($D121,'Customer Details'!$A$1:$F$17,MATCH('Order SUmmary'!H$2,'Customer Details'!$A$1:$F$1,0),0)</f>
        <v>GHCL Ltd.</v>
      </c>
      <c r="I121" s="2" t="str">
        <f>VLOOKUP($D121,'Customer Details'!$A$1:$F$17,4,0)</f>
        <v>Richmond</v>
      </c>
      <c r="J121" s="2" t="str">
        <f>VLOOKUP($D121,'Customer Details'!$A$1:$F$17,6,0)</f>
        <v>94805</v>
      </c>
      <c r="K121" s="8" t="str">
        <f>VLOOKUP(VLOOKUP(D121,'Customer Details'!$A$1:$F$17,5,0),'Region INfo'!$A$1:$C$52,3,0)</f>
        <v xml:space="preserve">Pacific   </v>
      </c>
      <c r="L121" s="8" t="str">
        <f>INDEX(Product_List,MATCH($F121,'Product List'!$B$1:$B$299,0),MATCH('Order SUmmary'!L$2,'Product List'!$A$1:$E$1,0))</f>
        <v>Xerox 1920</v>
      </c>
      <c r="M121" s="8">
        <f>INDEX(Product_List,MATCH($F121,'Product List'!$B$1:$B$299,0),MATCH('Order SUmmary'!M$2,'Product List'!$A$1:$E$1,0))</f>
        <v>2610</v>
      </c>
      <c r="N121" s="8">
        <f>INDEX(Product_List,MATCH($F121,'Product List'!$B$1:$B$299,0),MATCH('Order SUmmary'!N$2,'Product List'!$A$1:$E$1,0))</f>
        <v>1307</v>
      </c>
      <c r="O121" s="8" t="str">
        <f>INDEX(Product_List,MATCH($F121,'Product List'!$B$1:$B$299,0),MATCH('Order SUmmary'!O$2,'Product List'!$A$1:$E$1,0))</f>
        <v>Paper</v>
      </c>
      <c r="P121" s="12">
        <f>HLOOKUP(C121,'Commission Criteria'!$A$2:$I$4,3,FALSE)</f>
        <v>10</v>
      </c>
      <c r="Q121" s="8">
        <f t="shared" si="4"/>
        <v>2614</v>
      </c>
      <c r="R121" s="8">
        <f t="shared" si="5"/>
        <v>5220</v>
      </c>
      <c r="S121" s="36">
        <f>VLOOKUP(R121,'Commission Criteria'!$L$3:$M$11,2,TRUE)</f>
        <v>0.03</v>
      </c>
      <c r="T121" s="36">
        <f>IF(P121&lt;5,VLOOKUP(R121,'Commission Criteria'!$L$3:$M$11,2,1),VLOOKUP('Order SUmmary'!R121,'Commission Criteria'!$P$3:$Q$11,2,1))</f>
        <v>0.02</v>
      </c>
      <c r="U121" s="36">
        <f>VLOOKUP(R121,IF(P121&lt;5,'Commission Criteria'!$L$3:$M$11,'Commission Criteria'!$P$3:$Q$11),2,1)</f>
        <v>0.02</v>
      </c>
      <c r="V121" s="8" t="s">
        <v>32</v>
      </c>
      <c r="W121" s="36">
        <f t="shared" ca="1" si="6"/>
        <v>0.05</v>
      </c>
      <c r="X121" s="8" t="str">
        <f>_xlfn.XLOOKUP(F121,'Product List'!$B$1:$B$299,'Product List'!$A$1:$A$299)</f>
        <v>Xerox 1920</v>
      </c>
      <c r="Y121" s="8"/>
      <c r="Z121" s="8" t="str" cm="1">
        <f t="array" ref="Z121:AD121">_xlfn.XLOOKUP(D121,'Customer Details'!$A$1:$A$17,'Customer Details'!$B$1:$F$17,"No such customer",0,1)</f>
        <v>GHCL Ltd.</v>
      </c>
      <c r="AA121" s="8" t="str">
        <v>58 Clarence St</v>
      </c>
      <c r="AB121" s="8" t="str">
        <v>Richmond</v>
      </c>
      <c r="AC121" s="8" t="str">
        <v>CA</v>
      </c>
      <c r="AD121" s="8" t="str">
        <v>94805</v>
      </c>
    </row>
    <row r="122" spans="1:30">
      <c r="A122" s="8" t="s">
        <v>217</v>
      </c>
      <c r="B122" s="19">
        <v>41423</v>
      </c>
      <c r="C122" s="8" t="s">
        <v>36</v>
      </c>
      <c r="D122" s="8">
        <v>10002</v>
      </c>
      <c r="E122" s="8" t="str">
        <f>VLOOKUP($D122,'Customer Details'!$A$1:$F$17,4,FALSE)</f>
        <v>Omaha</v>
      </c>
      <c r="F122" s="8" t="s">
        <v>218</v>
      </c>
      <c r="G122" s="8">
        <v>2</v>
      </c>
      <c r="H122" s="2" t="str">
        <f>VLOOKUP($D122,'Customer Details'!$A$1:$F$17,MATCH('Order SUmmary'!H$2,'Customer Details'!$A$1:$F$1,0),0)</f>
        <v>Elder Pharmaceuticals</v>
      </c>
      <c r="I122" s="2" t="str">
        <f>VLOOKUP($D122,'Customer Details'!$A$1:$F$17,4,0)</f>
        <v>Omaha</v>
      </c>
      <c r="J122" s="2" t="str">
        <f>VLOOKUP($D122,'Customer Details'!$A$1:$F$17,6,0)</f>
        <v>68127</v>
      </c>
      <c r="K122" s="8" t="str">
        <f>VLOOKUP(VLOOKUP(D122,'Customer Details'!$A$1:$F$17,5,0),'Region INfo'!$A$1:$C$52,3,0)</f>
        <v>Western</v>
      </c>
      <c r="L122" s="8" t="str">
        <f>INDEX(Product_List,MATCH($F122,'Product List'!$B$1:$B$299,0),MATCH('Order SUmmary'!L$2,'Product List'!$A$1:$E$1,0))</f>
        <v>Avery 509</v>
      </c>
      <c r="M122" s="8">
        <f>INDEX(Product_List,MATCH($F122,'Product List'!$B$1:$B$299,0),MATCH('Order SUmmary'!M$2,'Product List'!$A$1:$E$1,0))</f>
        <v>3377</v>
      </c>
      <c r="N122" s="8">
        <f>INDEX(Product_List,MATCH($F122,'Product List'!$B$1:$B$299,0),MATCH('Order SUmmary'!N$2,'Product List'!$A$1:$E$1,0))</f>
        <v>2112</v>
      </c>
      <c r="O122" s="8" t="str">
        <f>INDEX(Product_List,MATCH($F122,'Product List'!$B$1:$B$299,0),MATCH('Order SUmmary'!O$2,'Product List'!$A$1:$E$1,0))</f>
        <v>Labels</v>
      </c>
      <c r="P122" s="12">
        <f>HLOOKUP(C122,'Commission Criteria'!$A$2:$I$4,3,FALSE)</f>
        <v>6</v>
      </c>
      <c r="Q122" s="8">
        <f t="shared" si="4"/>
        <v>4224</v>
      </c>
      <c r="R122" s="8">
        <f t="shared" si="5"/>
        <v>6754</v>
      </c>
      <c r="S122" s="36">
        <f>VLOOKUP(R122,'Commission Criteria'!$L$3:$M$11,2,TRUE)</f>
        <v>0.03</v>
      </c>
      <c r="T122" s="36">
        <f>IF(P122&lt;5,VLOOKUP(R122,'Commission Criteria'!$L$3:$M$11,2,1),VLOOKUP('Order SUmmary'!R122,'Commission Criteria'!$P$3:$Q$11,2,1))</f>
        <v>0.02</v>
      </c>
      <c r="U122" s="36">
        <f>VLOOKUP(R122,IF(P122&lt;5,'Commission Criteria'!$L$3:$M$11,'Commission Criteria'!$P$3:$Q$11),2,1)</f>
        <v>0.02</v>
      </c>
      <c r="V122" s="8" t="s">
        <v>43</v>
      </c>
      <c r="W122" s="36">
        <f t="shared" ca="1" si="6"/>
        <v>0.04</v>
      </c>
      <c r="X122" s="8" t="str">
        <f>_xlfn.XLOOKUP(F122,'Product List'!$B$1:$B$299,'Product List'!$A$1:$A$299)</f>
        <v>Avery 509</v>
      </c>
      <c r="Y122" s="8"/>
      <c r="Z122" s="8" t="str" cm="1">
        <f t="array" ref="Z122:AD122">_xlfn.XLOOKUP(D122,'Customer Details'!$A$1:$A$17,'Customer Details'!$B$1:$F$17,"No such customer",0,1)</f>
        <v>Elder Pharmaceuticals</v>
      </c>
      <c r="AA122" s="8" t="str">
        <v>57 Neriba Cres</v>
      </c>
      <c r="AB122" s="8" t="str">
        <v>Omaha</v>
      </c>
      <c r="AC122" s="8" t="str">
        <v>NE</v>
      </c>
      <c r="AD122" s="8" t="str">
        <v>68127</v>
      </c>
    </row>
    <row r="123" spans="1:30">
      <c r="A123" s="8" t="s">
        <v>219</v>
      </c>
      <c r="B123" s="19">
        <v>41424</v>
      </c>
      <c r="C123" s="8" t="s">
        <v>51</v>
      </c>
      <c r="D123" s="8">
        <v>10012</v>
      </c>
      <c r="E123" s="8" t="str">
        <f>VLOOKUP($D123,'Customer Details'!$A$1:$F$17,4,FALSE)</f>
        <v>Santa Barbara</v>
      </c>
      <c r="F123" s="8" t="s">
        <v>49</v>
      </c>
      <c r="G123" s="8">
        <v>2</v>
      </c>
      <c r="H123" s="2" t="str">
        <f>VLOOKUP($D123,'Customer Details'!$A$1:$F$17,MATCH('Order SUmmary'!H$2,'Customer Details'!$A$1:$F$1,0),0)</f>
        <v>Dynamatic Technologies Ltd.</v>
      </c>
      <c r="I123" s="2" t="str">
        <f>VLOOKUP($D123,'Customer Details'!$A$1:$F$17,4,0)</f>
        <v>Santa Barbara</v>
      </c>
      <c r="J123" s="2" t="str">
        <f>VLOOKUP($D123,'Customer Details'!$A$1:$F$17,6,0)</f>
        <v>93110</v>
      </c>
      <c r="K123" s="8" t="str">
        <f>VLOOKUP(VLOOKUP(D123,'Customer Details'!$A$1:$F$17,5,0),'Region INfo'!$A$1:$C$52,3,0)</f>
        <v xml:space="preserve">Pacific   </v>
      </c>
      <c r="L123" s="8" t="str">
        <f>INDEX(Product_List,MATCH($F123,'Product List'!$B$1:$B$299,0),MATCH('Order SUmmary'!L$2,'Product List'!$A$1:$E$1,0))</f>
        <v>Avery 477</v>
      </c>
      <c r="M123" s="8">
        <f>INDEX(Product_List,MATCH($F123,'Product List'!$B$1:$B$299,0),MATCH('Order SUmmary'!M$2,'Product List'!$A$1:$E$1,0))</f>
        <v>2633</v>
      </c>
      <c r="N123" s="8">
        <f>INDEX(Product_List,MATCH($F123,'Product List'!$B$1:$B$299,0),MATCH('Order SUmmary'!N$2,'Product List'!$A$1:$E$1,0))</f>
        <v>1742</v>
      </c>
      <c r="O123" s="8" t="str">
        <f>INDEX(Product_List,MATCH($F123,'Product List'!$B$1:$B$299,0),MATCH('Order SUmmary'!O$2,'Product List'!$A$1:$E$1,0))</f>
        <v>Labels</v>
      </c>
      <c r="P123" s="12">
        <f>HLOOKUP(C123,'Commission Criteria'!$A$2:$I$4,3,FALSE)</f>
        <v>10</v>
      </c>
      <c r="Q123" s="8">
        <f t="shared" si="4"/>
        <v>3484</v>
      </c>
      <c r="R123" s="8">
        <f t="shared" si="5"/>
        <v>5266</v>
      </c>
      <c r="S123" s="36">
        <f>VLOOKUP(R123,'Commission Criteria'!$L$3:$M$11,2,TRUE)</f>
        <v>0.03</v>
      </c>
      <c r="T123" s="36">
        <f>IF(P123&lt;5,VLOOKUP(R123,'Commission Criteria'!$L$3:$M$11,2,1),VLOOKUP('Order SUmmary'!R123,'Commission Criteria'!$P$3:$Q$11,2,1))</f>
        <v>0.02</v>
      </c>
      <c r="U123" s="36">
        <f>VLOOKUP(R123,IF(P123&lt;5,'Commission Criteria'!$L$3:$M$11,'Commission Criteria'!$P$3:$Q$11),2,1)</f>
        <v>0.02</v>
      </c>
      <c r="V123" s="8" t="s">
        <v>40</v>
      </c>
      <c r="W123" s="36">
        <f t="shared" ca="1" si="6"/>
        <v>0.01</v>
      </c>
      <c r="X123" s="8" t="str">
        <f>_xlfn.XLOOKUP(F123,'Product List'!$B$1:$B$299,'Product List'!$A$1:$A$299)</f>
        <v>Avery 477</v>
      </c>
      <c r="Y123" s="8"/>
      <c r="Z123" s="8" t="str" cm="1">
        <f t="array" ref="Z123:AD123">_xlfn.XLOOKUP(D123,'Customer Details'!$A$1:$A$17,'Customer Details'!$B$1:$F$17,"No such customer",0,1)</f>
        <v>Dynamatic Technologies Ltd.</v>
      </c>
      <c r="AA123" s="8" t="str">
        <v>402 Pinkster Lane</v>
      </c>
      <c r="AB123" s="8" t="str">
        <v>Santa Barbara</v>
      </c>
      <c r="AC123" s="8" t="str">
        <v>CA</v>
      </c>
      <c r="AD123" s="8" t="str">
        <v>93110</v>
      </c>
    </row>
    <row r="124" spans="1:30">
      <c r="A124" s="8" t="s">
        <v>220</v>
      </c>
      <c r="B124" s="19">
        <v>41426</v>
      </c>
      <c r="C124" s="8" t="s">
        <v>36</v>
      </c>
      <c r="D124" s="8">
        <v>10002</v>
      </c>
      <c r="E124" s="8" t="str">
        <f>VLOOKUP($D124,'Customer Details'!$A$1:$F$17,4,FALSE)</f>
        <v>Omaha</v>
      </c>
      <c r="F124" s="8" t="s">
        <v>221</v>
      </c>
      <c r="G124" s="8">
        <v>2</v>
      </c>
      <c r="H124" s="2" t="str">
        <f>VLOOKUP($D124,'Customer Details'!$A$1:$F$17,MATCH('Order SUmmary'!H$2,'Customer Details'!$A$1:$F$1,0),0)</f>
        <v>Elder Pharmaceuticals</v>
      </c>
      <c r="I124" s="2" t="str">
        <f>VLOOKUP($D124,'Customer Details'!$A$1:$F$17,4,0)</f>
        <v>Omaha</v>
      </c>
      <c r="J124" s="2" t="str">
        <f>VLOOKUP($D124,'Customer Details'!$A$1:$F$17,6,0)</f>
        <v>68127</v>
      </c>
      <c r="K124" s="8" t="str">
        <f>VLOOKUP(VLOOKUP(D124,'Customer Details'!$A$1:$F$17,5,0),'Region INfo'!$A$1:$C$52,3,0)</f>
        <v>Western</v>
      </c>
      <c r="L124" s="8" t="str">
        <f>INDEX(Product_List,MATCH($F124,'Product List'!$B$1:$B$299,0),MATCH('Order SUmmary'!L$2,'Product List'!$A$1:$E$1,0))</f>
        <v>Xerox 1942</v>
      </c>
      <c r="M124" s="8">
        <f>INDEX(Product_List,MATCH($F124,'Product List'!$B$1:$B$299,0),MATCH('Order SUmmary'!M$2,'Product List'!$A$1:$E$1,0))</f>
        <v>2506</v>
      </c>
      <c r="N124" s="8">
        <f>INDEX(Product_List,MATCH($F124,'Product List'!$B$1:$B$299,0),MATCH('Order SUmmary'!N$2,'Product List'!$A$1:$E$1,0))</f>
        <v>2355</v>
      </c>
      <c r="O124" s="8" t="str">
        <f>INDEX(Product_List,MATCH($F124,'Product List'!$B$1:$B$299,0),MATCH('Order SUmmary'!O$2,'Product List'!$A$1:$E$1,0))</f>
        <v>Paper</v>
      </c>
      <c r="P124" s="12">
        <f>HLOOKUP(C124,'Commission Criteria'!$A$2:$I$4,3,FALSE)</f>
        <v>6</v>
      </c>
      <c r="Q124" s="8">
        <f t="shared" si="4"/>
        <v>4710</v>
      </c>
      <c r="R124" s="8">
        <f t="shared" si="5"/>
        <v>5012</v>
      </c>
      <c r="S124" s="36">
        <f>VLOOKUP(R124,'Commission Criteria'!$L$3:$M$11,2,TRUE)</f>
        <v>0.03</v>
      </c>
      <c r="T124" s="36">
        <f>IF(P124&lt;5,VLOOKUP(R124,'Commission Criteria'!$L$3:$M$11,2,1),VLOOKUP('Order SUmmary'!R124,'Commission Criteria'!$P$3:$Q$11,2,1))</f>
        <v>0.02</v>
      </c>
      <c r="U124" s="36">
        <f>VLOOKUP(R124,IF(P124&lt;5,'Commission Criteria'!$L$3:$M$11,'Commission Criteria'!$P$3:$Q$11),2,1)</f>
        <v>0.02</v>
      </c>
      <c r="V124" s="8" t="s">
        <v>40</v>
      </c>
      <c r="W124" s="36">
        <f t="shared" ca="1" si="6"/>
        <v>0.05</v>
      </c>
      <c r="X124" s="8" t="str">
        <f>_xlfn.XLOOKUP(F124,'Product List'!$B$1:$B$299,'Product List'!$A$1:$A$299)</f>
        <v>Xerox 1942</v>
      </c>
      <c r="Y124" s="8"/>
      <c r="Z124" s="8" t="str" cm="1">
        <f t="array" ref="Z124:AD124">_xlfn.XLOOKUP(D124,'Customer Details'!$A$1:$A$17,'Customer Details'!$B$1:$F$17,"No such customer",0,1)</f>
        <v>Elder Pharmaceuticals</v>
      </c>
      <c r="AA124" s="8" t="str">
        <v>57 Neriba Cres</v>
      </c>
      <c r="AB124" s="8" t="str">
        <v>Omaha</v>
      </c>
      <c r="AC124" s="8" t="str">
        <v>NE</v>
      </c>
      <c r="AD124" s="8" t="str">
        <v>68127</v>
      </c>
    </row>
    <row r="125" spans="1:30">
      <c r="A125" s="8" t="s">
        <v>220</v>
      </c>
      <c r="B125" s="19">
        <v>41426</v>
      </c>
      <c r="C125" s="8" t="s">
        <v>44</v>
      </c>
      <c r="D125" s="8">
        <v>10015</v>
      </c>
      <c r="E125" s="8" t="str">
        <f>VLOOKUP($D125,'Customer Details'!$A$1:$F$17,4,FALSE)</f>
        <v>South Windsor</v>
      </c>
      <c r="F125" s="8" t="s">
        <v>91</v>
      </c>
      <c r="G125" s="8">
        <v>3</v>
      </c>
      <c r="H125" s="2" t="str">
        <f>VLOOKUP($D125,'Customer Details'!$A$1:$F$17,MATCH('Order SUmmary'!H$2,'Customer Details'!$A$1:$F$1,0),0)</f>
        <v>Punj Lloyd Ltd.</v>
      </c>
      <c r="I125" s="2" t="str">
        <f>VLOOKUP($D125,'Customer Details'!$A$1:$F$17,4,0)</f>
        <v>South Windsor</v>
      </c>
      <c r="J125" s="2" t="str">
        <f>VLOOKUP($D125,'Customer Details'!$A$1:$F$17,6,0)</f>
        <v>06074</v>
      </c>
      <c r="K125" s="8" t="str">
        <f>VLOOKUP(VLOOKUP(D125,'Customer Details'!$A$1:$F$17,5,0),'Region INfo'!$A$1:$C$52,3,0)</f>
        <v xml:space="preserve">Northern </v>
      </c>
      <c r="L125" s="8" t="str">
        <f>INDEX(Product_List,MATCH($F125,'Product List'!$B$1:$B$299,0),MATCH('Order SUmmary'!L$2,'Product List'!$A$1:$E$1,0))</f>
        <v>Avery 475</v>
      </c>
      <c r="M125" s="8">
        <f>INDEX(Product_List,MATCH($F125,'Product List'!$B$1:$B$299,0),MATCH('Order SUmmary'!M$2,'Product List'!$A$1:$E$1,0))</f>
        <v>4711</v>
      </c>
      <c r="N125" s="8">
        <f>INDEX(Product_List,MATCH($F125,'Product List'!$B$1:$B$299,0),MATCH('Order SUmmary'!N$2,'Product List'!$A$1:$E$1,0))</f>
        <v>1267</v>
      </c>
      <c r="O125" s="8" t="str">
        <f>INDEX(Product_List,MATCH($F125,'Product List'!$B$1:$B$299,0),MATCH('Order SUmmary'!O$2,'Product List'!$A$1:$E$1,0))</f>
        <v>Labels</v>
      </c>
      <c r="P125" s="12">
        <f>HLOOKUP(C125,'Commission Criteria'!$A$2:$I$4,3,FALSE)</f>
        <v>4</v>
      </c>
      <c r="Q125" s="8">
        <f t="shared" si="4"/>
        <v>3801</v>
      </c>
      <c r="R125" s="8">
        <f t="shared" si="5"/>
        <v>14133</v>
      </c>
      <c r="S125" s="36">
        <f>VLOOKUP(R125,'Commission Criteria'!$L$3:$M$11,2,TRUE)</f>
        <v>0.03</v>
      </c>
      <c r="T125" s="36">
        <f>IF(P125&lt;5,VLOOKUP(R125,'Commission Criteria'!$L$3:$M$11,2,1),VLOOKUP('Order SUmmary'!R125,'Commission Criteria'!$P$3:$Q$11,2,1))</f>
        <v>0.03</v>
      </c>
      <c r="U125" s="36">
        <f>VLOOKUP(R125,IF(P125&lt;5,'Commission Criteria'!$L$3:$M$11,'Commission Criteria'!$P$3:$Q$11),2,1)</f>
        <v>0.03</v>
      </c>
      <c r="V125" s="8" t="s">
        <v>50</v>
      </c>
      <c r="W125" s="36">
        <f t="shared" ca="1" si="6"/>
        <v>0.01</v>
      </c>
      <c r="X125" s="8" t="str">
        <f>_xlfn.XLOOKUP(F125,'Product List'!$B$1:$B$299,'Product List'!$A$1:$A$299)</f>
        <v>Avery 475</v>
      </c>
      <c r="Y125" s="8"/>
      <c r="Z125" s="8" t="str" cm="1">
        <f t="array" ref="Z125:AD125">_xlfn.XLOOKUP(D125,'Customer Details'!$A$1:$A$17,'Customer Details'!$B$1:$F$17,"No such customer",0,1)</f>
        <v>Punj Lloyd Ltd.</v>
      </c>
      <c r="AA125" s="8" t="str">
        <v>Box 3263</v>
      </c>
      <c r="AB125" s="8" t="str">
        <v>South Windsor</v>
      </c>
      <c r="AC125" s="8" t="str">
        <v>CT</v>
      </c>
      <c r="AD125" s="8" t="str">
        <v>06074</v>
      </c>
    </row>
    <row r="126" spans="1:30">
      <c r="A126" s="8" t="s">
        <v>222</v>
      </c>
      <c r="B126" s="19">
        <v>41426</v>
      </c>
      <c r="C126" s="8" t="s">
        <v>44</v>
      </c>
      <c r="D126" s="8">
        <v>10004</v>
      </c>
      <c r="E126" s="8" t="str">
        <f>VLOOKUP($D126,'Customer Details'!$A$1:$F$17,4,FALSE)</f>
        <v>New York</v>
      </c>
      <c r="F126" s="8" t="s">
        <v>223</v>
      </c>
      <c r="G126" s="8">
        <v>24</v>
      </c>
      <c r="H126" s="2" t="str">
        <f>VLOOKUP($D126,'Customer Details'!$A$1:$F$17,MATCH('Order SUmmary'!H$2,'Customer Details'!$A$1:$F$1,0),0)</f>
        <v>Lupin Ltd.</v>
      </c>
      <c r="I126" s="2" t="str">
        <f>VLOOKUP($D126,'Customer Details'!$A$1:$F$17,4,0)</f>
        <v>New York</v>
      </c>
      <c r="J126" s="2" t="str">
        <f>VLOOKUP($D126,'Customer Details'!$A$1:$F$17,6,0)</f>
        <v>10019</v>
      </c>
      <c r="K126" s="8" t="str">
        <f>VLOOKUP(VLOOKUP(D126,'Customer Details'!$A$1:$F$17,5,0),'Region INfo'!$A$1:$C$52,3,0)</f>
        <v xml:space="preserve">Northern </v>
      </c>
      <c r="L126" s="8" t="str">
        <f>INDEX(Product_List,MATCH($F126,'Product List'!$B$1:$B$299,0),MATCH('Order SUmmary'!L$2,'Product List'!$A$1:$E$1,0))</f>
        <v>Avery 513</v>
      </c>
      <c r="M126" s="8">
        <f>INDEX(Product_List,MATCH($F126,'Product List'!$B$1:$B$299,0),MATCH('Order SUmmary'!M$2,'Product List'!$A$1:$E$1,0))</f>
        <v>3579</v>
      </c>
      <c r="N126" s="8">
        <f>INDEX(Product_List,MATCH($F126,'Product List'!$B$1:$B$299,0),MATCH('Order SUmmary'!N$2,'Product List'!$A$1:$E$1,0))</f>
        <v>1579</v>
      </c>
      <c r="O126" s="8" t="str">
        <f>INDEX(Product_List,MATCH($F126,'Product List'!$B$1:$B$299,0),MATCH('Order SUmmary'!O$2,'Product List'!$A$1:$E$1,0))</f>
        <v>Labels</v>
      </c>
      <c r="P126" s="12">
        <f>HLOOKUP(C126,'Commission Criteria'!$A$2:$I$4,3,FALSE)</f>
        <v>4</v>
      </c>
      <c r="Q126" s="8">
        <f t="shared" si="4"/>
        <v>37896</v>
      </c>
      <c r="R126" s="8">
        <f t="shared" si="5"/>
        <v>85896</v>
      </c>
      <c r="S126" s="36">
        <f>VLOOKUP(R126,'Commission Criteria'!$L$3:$M$11,2,TRUE)</f>
        <v>7.0000000000000007E-2</v>
      </c>
      <c r="T126" s="36">
        <f>IF(P126&lt;5,VLOOKUP(R126,'Commission Criteria'!$L$3:$M$11,2,1),VLOOKUP('Order SUmmary'!R126,'Commission Criteria'!$P$3:$Q$11,2,1))</f>
        <v>7.0000000000000007E-2</v>
      </c>
      <c r="U126" s="36">
        <f>VLOOKUP(R126,IF(P126&lt;5,'Commission Criteria'!$L$3:$M$11,'Commission Criteria'!$P$3:$Q$11),2,1)</f>
        <v>7.0000000000000007E-2</v>
      </c>
      <c r="V126" s="8" t="s">
        <v>40</v>
      </c>
      <c r="W126" s="36">
        <f t="shared" ca="1" si="6"/>
        <v>0.04</v>
      </c>
      <c r="X126" s="8" t="str">
        <f>_xlfn.XLOOKUP(F126,'Product List'!$B$1:$B$299,'Product List'!$A$1:$A$299)</f>
        <v>Avery 513</v>
      </c>
      <c r="Y126" s="8"/>
      <c r="Z126" s="8" t="str" cm="1">
        <f t="array" ref="Z126:AD126">_xlfn.XLOOKUP(D126,'Customer Details'!$A$1:$A$17,'Customer Details'!$B$1:$F$17,"No such customer",0,1)</f>
        <v>Lupin Ltd.</v>
      </c>
      <c r="AA126" s="8" t="str">
        <v>Abbey Wood</v>
      </c>
      <c r="AB126" s="8" t="str">
        <v>New York</v>
      </c>
      <c r="AC126" s="8" t="str">
        <v>NY</v>
      </c>
      <c r="AD126" s="8" t="str">
        <v>10019</v>
      </c>
    </row>
    <row r="127" spans="1:30">
      <c r="A127" s="8" t="s">
        <v>224</v>
      </c>
      <c r="B127" s="19">
        <v>41429</v>
      </c>
      <c r="C127" s="8" t="s">
        <v>51</v>
      </c>
      <c r="D127" s="8">
        <v>10013</v>
      </c>
      <c r="E127" s="8" t="str">
        <f>VLOOKUP($D127,'Customer Details'!$A$1:$F$17,4,FALSE)</f>
        <v>Naugatuck</v>
      </c>
      <c r="F127" s="8" t="s">
        <v>73</v>
      </c>
      <c r="G127" s="8">
        <v>1</v>
      </c>
      <c r="H127" s="2" t="str">
        <f>VLOOKUP($D127,'Customer Details'!$A$1:$F$17,MATCH('Order SUmmary'!H$2,'Customer Details'!$A$1:$F$1,0),0)</f>
        <v>GMR Infrastructure Ltd.</v>
      </c>
      <c r="I127" s="2" t="str">
        <f>VLOOKUP($D127,'Customer Details'!$A$1:$F$17,4,0)</f>
        <v>Naugatuck</v>
      </c>
      <c r="J127" s="2" t="str">
        <f>VLOOKUP($D127,'Customer Details'!$A$1:$F$17,6,0)</f>
        <v>06770</v>
      </c>
      <c r="K127" s="8" t="str">
        <f>VLOOKUP(VLOOKUP(D127,'Customer Details'!$A$1:$F$17,5,0),'Region INfo'!$A$1:$C$52,3,0)</f>
        <v xml:space="preserve">Northern </v>
      </c>
      <c r="L127" s="8" t="str">
        <f>INDEX(Product_List,MATCH($F127,'Product List'!$B$1:$B$299,0),MATCH('Order SUmmary'!L$2,'Product List'!$A$1:$E$1,0))</f>
        <v>Xerox 1916</v>
      </c>
      <c r="M127" s="8">
        <f>INDEX(Product_List,MATCH($F127,'Product List'!$B$1:$B$299,0),MATCH('Order SUmmary'!M$2,'Product List'!$A$1:$E$1,0))</f>
        <v>3499</v>
      </c>
      <c r="N127" s="8">
        <f>INDEX(Product_List,MATCH($F127,'Product List'!$B$1:$B$299,0),MATCH('Order SUmmary'!N$2,'Product List'!$A$1:$E$1,0))</f>
        <v>2342</v>
      </c>
      <c r="O127" s="8" t="str">
        <f>INDEX(Product_List,MATCH($F127,'Product List'!$B$1:$B$299,0),MATCH('Order SUmmary'!O$2,'Product List'!$A$1:$E$1,0))</f>
        <v>Paper</v>
      </c>
      <c r="P127" s="12">
        <f>HLOOKUP(C127,'Commission Criteria'!$A$2:$I$4,3,FALSE)</f>
        <v>10</v>
      </c>
      <c r="Q127" s="8">
        <f t="shared" si="4"/>
        <v>2342</v>
      </c>
      <c r="R127" s="8">
        <f t="shared" si="5"/>
        <v>3499</v>
      </c>
      <c r="S127" s="36">
        <f>VLOOKUP(R127,'Commission Criteria'!$L$3:$M$11,2,TRUE)</f>
        <v>0.01</v>
      </c>
      <c r="T127" s="36">
        <f>IF(P127&lt;5,VLOOKUP(R127,'Commission Criteria'!$L$3:$M$11,2,1),VLOOKUP('Order SUmmary'!R127,'Commission Criteria'!$P$3:$Q$11,2,1))</f>
        <v>0.02</v>
      </c>
      <c r="U127" s="36">
        <f>VLOOKUP(R127,IF(P127&lt;5,'Commission Criteria'!$L$3:$M$11,'Commission Criteria'!$P$3:$Q$11),2,1)</f>
        <v>0.02</v>
      </c>
      <c r="V127" s="8" t="s">
        <v>35</v>
      </c>
      <c r="W127" s="36">
        <f t="shared" ca="1" si="6"/>
        <v>0.04</v>
      </c>
      <c r="X127" s="8" t="str">
        <f>_xlfn.XLOOKUP(F127,'Product List'!$B$1:$B$299,'Product List'!$A$1:$A$299)</f>
        <v>Xerox 1916</v>
      </c>
      <c r="Y127" s="8"/>
      <c r="Z127" s="8" t="str" cm="1">
        <f t="array" ref="Z127:AD127">_xlfn.XLOOKUP(D127,'Customer Details'!$A$1:$A$17,'Customer Details'!$B$1:$F$17,"No such customer",0,1)</f>
        <v>GMR Infrastructure Ltd.</v>
      </c>
      <c r="AA127" s="8" t="str">
        <v>P.O. Box 4421</v>
      </c>
      <c r="AB127" s="8" t="str">
        <v>Naugatuck</v>
      </c>
      <c r="AC127" s="8" t="str">
        <v>CT</v>
      </c>
      <c r="AD127" s="8" t="str">
        <v>06770</v>
      </c>
    </row>
    <row r="128" spans="1:30">
      <c r="A128" s="8" t="s">
        <v>225</v>
      </c>
      <c r="B128" s="19">
        <v>41429</v>
      </c>
      <c r="C128" s="8" t="s">
        <v>36</v>
      </c>
      <c r="D128" s="8">
        <v>10004</v>
      </c>
      <c r="E128" s="8" t="str">
        <f>VLOOKUP($D128,'Customer Details'!$A$1:$F$17,4,FALSE)</f>
        <v>New York</v>
      </c>
      <c r="F128" s="8" t="s">
        <v>226</v>
      </c>
      <c r="G128" s="8">
        <v>2</v>
      </c>
      <c r="H128" s="2" t="str">
        <f>VLOOKUP($D128,'Customer Details'!$A$1:$F$17,MATCH('Order SUmmary'!H$2,'Customer Details'!$A$1:$F$1,0),0)</f>
        <v>Lupin Ltd.</v>
      </c>
      <c r="I128" s="2" t="str">
        <f>VLOOKUP($D128,'Customer Details'!$A$1:$F$17,4,0)</f>
        <v>New York</v>
      </c>
      <c r="J128" s="2" t="str">
        <f>VLOOKUP($D128,'Customer Details'!$A$1:$F$17,6,0)</f>
        <v>10019</v>
      </c>
      <c r="K128" s="8" t="str">
        <f>VLOOKUP(VLOOKUP(D128,'Customer Details'!$A$1:$F$17,5,0),'Region INfo'!$A$1:$C$52,3,0)</f>
        <v xml:space="preserve">Northern </v>
      </c>
      <c r="L128" s="8" t="str">
        <f>INDEX(Product_List,MATCH($F128,'Product List'!$B$1:$B$299,0),MATCH('Order SUmmary'!L$2,'Product List'!$A$1:$E$1,0))</f>
        <v>Avery 517</v>
      </c>
      <c r="M128" s="8">
        <f>INDEX(Product_List,MATCH($F128,'Product List'!$B$1:$B$299,0),MATCH('Order SUmmary'!M$2,'Product List'!$A$1:$E$1,0))</f>
        <v>3065</v>
      </c>
      <c r="N128" s="8">
        <f>INDEX(Product_List,MATCH($F128,'Product List'!$B$1:$B$299,0),MATCH('Order SUmmary'!N$2,'Product List'!$A$1:$E$1,0))</f>
        <v>1426</v>
      </c>
      <c r="O128" s="8" t="str">
        <f>INDEX(Product_List,MATCH($F128,'Product List'!$B$1:$B$299,0),MATCH('Order SUmmary'!O$2,'Product List'!$A$1:$E$1,0))</f>
        <v>Labels</v>
      </c>
      <c r="P128" s="12">
        <f>HLOOKUP(C128,'Commission Criteria'!$A$2:$I$4,3,FALSE)</f>
        <v>6</v>
      </c>
      <c r="Q128" s="8">
        <f t="shared" si="4"/>
        <v>2852</v>
      </c>
      <c r="R128" s="8">
        <f t="shared" si="5"/>
        <v>6130</v>
      </c>
      <c r="S128" s="36">
        <f>VLOOKUP(R128,'Commission Criteria'!$L$3:$M$11,2,TRUE)</f>
        <v>0.03</v>
      </c>
      <c r="T128" s="36">
        <f>IF(P128&lt;5,VLOOKUP(R128,'Commission Criteria'!$L$3:$M$11,2,1),VLOOKUP('Order SUmmary'!R128,'Commission Criteria'!$P$3:$Q$11,2,1))</f>
        <v>0.02</v>
      </c>
      <c r="U128" s="36">
        <f>VLOOKUP(R128,IF(P128&lt;5,'Commission Criteria'!$L$3:$M$11,'Commission Criteria'!$P$3:$Q$11),2,1)</f>
        <v>0.02</v>
      </c>
      <c r="V128" s="8" t="s">
        <v>35</v>
      </c>
      <c r="W128" s="36">
        <f t="shared" ca="1" si="6"/>
        <v>0.05</v>
      </c>
      <c r="X128" s="8" t="str">
        <f>_xlfn.XLOOKUP(F128,'Product List'!$B$1:$B$299,'Product List'!$A$1:$A$299)</f>
        <v>Avery 517</v>
      </c>
      <c r="Y128" s="8"/>
      <c r="Z128" s="8" t="str" cm="1">
        <f t="array" ref="Z128:AD128">_xlfn.XLOOKUP(D128,'Customer Details'!$A$1:$A$17,'Customer Details'!$B$1:$F$17,"No such customer",0,1)</f>
        <v>Lupin Ltd.</v>
      </c>
      <c r="AA128" s="8" t="str">
        <v>Abbey Wood</v>
      </c>
      <c r="AB128" s="8" t="str">
        <v>New York</v>
      </c>
      <c r="AC128" s="8" t="str">
        <v>NY</v>
      </c>
      <c r="AD128" s="8" t="str">
        <v>10019</v>
      </c>
    </row>
    <row r="129" spans="1:30">
      <c r="A129" s="8" t="s">
        <v>225</v>
      </c>
      <c r="B129" s="19">
        <v>41429</v>
      </c>
      <c r="C129" s="8" t="s">
        <v>51</v>
      </c>
      <c r="D129" s="8">
        <v>10014</v>
      </c>
      <c r="E129" s="8" t="str">
        <f>VLOOKUP($D129,'Customer Details'!$A$1:$F$17,4,FALSE)</f>
        <v>Honolulu</v>
      </c>
      <c r="F129" s="8" t="s">
        <v>227</v>
      </c>
      <c r="G129" s="8">
        <v>3</v>
      </c>
      <c r="H129" s="2" t="str">
        <f>VLOOKUP($D129,'Customer Details'!$A$1:$F$17,MATCH('Order SUmmary'!H$2,'Customer Details'!$A$1:$F$1,0),0)</f>
        <v>Hindusthan National Glass &amp; Industries Ltd.</v>
      </c>
      <c r="I129" s="2" t="str">
        <f>VLOOKUP($D129,'Customer Details'!$A$1:$F$17,4,0)</f>
        <v>Honolulu</v>
      </c>
      <c r="J129" s="2" t="str">
        <f>VLOOKUP($D129,'Customer Details'!$A$1:$F$17,6,0)</f>
        <v>96825</v>
      </c>
      <c r="K129" s="8" t="str">
        <f>VLOOKUP(VLOOKUP(D129,'Customer Details'!$A$1:$F$17,5,0),'Region INfo'!$A$1:$C$52,3,0)</f>
        <v xml:space="preserve">Pacific   </v>
      </c>
      <c r="L129" s="8" t="str">
        <f>INDEX(Product_List,MATCH($F129,'Product List'!$B$1:$B$299,0),MATCH('Order SUmmary'!L$2,'Product List'!$A$1:$E$1,0))</f>
        <v>Xerox 21</v>
      </c>
      <c r="M129" s="8">
        <f>INDEX(Product_List,MATCH($F129,'Product List'!$B$1:$B$299,0),MATCH('Order SUmmary'!M$2,'Product List'!$A$1:$E$1,0))</f>
        <v>2787</v>
      </c>
      <c r="N129" s="8">
        <f>INDEX(Product_List,MATCH($F129,'Product List'!$B$1:$B$299,0),MATCH('Order SUmmary'!N$2,'Product List'!$A$1:$E$1,0))</f>
        <v>2020</v>
      </c>
      <c r="O129" s="8" t="str">
        <f>INDEX(Product_List,MATCH($F129,'Product List'!$B$1:$B$299,0),MATCH('Order SUmmary'!O$2,'Product List'!$A$1:$E$1,0))</f>
        <v>Paper</v>
      </c>
      <c r="P129" s="12">
        <f>HLOOKUP(C129,'Commission Criteria'!$A$2:$I$4,3,FALSE)</f>
        <v>10</v>
      </c>
      <c r="Q129" s="8">
        <f t="shared" si="4"/>
        <v>6060</v>
      </c>
      <c r="R129" s="8">
        <f t="shared" si="5"/>
        <v>8361</v>
      </c>
      <c r="S129" s="36">
        <f>VLOOKUP(R129,'Commission Criteria'!$L$3:$M$11,2,TRUE)</f>
        <v>0.03</v>
      </c>
      <c r="T129" s="36">
        <f>IF(P129&lt;5,VLOOKUP(R129,'Commission Criteria'!$L$3:$M$11,2,1),VLOOKUP('Order SUmmary'!R129,'Commission Criteria'!$P$3:$Q$11,2,1))</f>
        <v>0.02</v>
      </c>
      <c r="U129" s="36">
        <f>VLOOKUP(R129,IF(P129&lt;5,'Commission Criteria'!$L$3:$M$11,'Commission Criteria'!$P$3:$Q$11),2,1)</f>
        <v>0.02</v>
      </c>
      <c r="V129" s="8" t="s">
        <v>35</v>
      </c>
      <c r="W129" s="36">
        <f t="shared" ca="1" si="6"/>
        <v>0.02</v>
      </c>
      <c r="X129" s="8" t="str">
        <f>_xlfn.XLOOKUP(F129,'Product List'!$B$1:$B$299,'Product List'!$A$1:$A$299)</f>
        <v>Xerox 21</v>
      </c>
      <c r="Y129" s="8"/>
      <c r="Z129" s="8" t="str" cm="1">
        <f t="array" ref="Z129:AD129">_xlfn.XLOOKUP(D129,'Customer Details'!$A$1:$A$17,'Customer Details'!$B$1:$F$17,"No such customer",0,1)</f>
        <v>Hindusthan National Glass &amp; Industries Ltd.</v>
      </c>
      <c r="AA129" s="8" t="str">
        <v>11 Cathy St.</v>
      </c>
      <c r="AB129" s="8" t="str">
        <v>Honolulu</v>
      </c>
      <c r="AC129" s="8" t="str">
        <v>HI</v>
      </c>
      <c r="AD129" s="8" t="str">
        <v>96825</v>
      </c>
    </row>
    <row r="130" spans="1:30">
      <c r="A130" s="8" t="s">
        <v>228</v>
      </c>
      <c r="B130" s="19">
        <v>41431</v>
      </c>
      <c r="C130" s="8" t="s">
        <v>27</v>
      </c>
      <c r="D130" s="8">
        <v>10007</v>
      </c>
      <c r="E130" s="8" t="str">
        <f>VLOOKUP($D130,'Customer Details'!$A$1:$F$17,4,FALSE)</f>
        <v>Richmond</v>
      </c>
      <c r="F130" s="8" t="s">
        <v>52</v>
      </c>
      <c r="G130" s="8">
        <v>1</v>
      </c>
      <c r="H130" s="2" t="str">
        <f>VLOOKUP($D130,'Customer Details'!$A$1:$F$17,MATCH('Order SUmmary'!H$2,'Customer Details'!$A$1:$F$1,0),0)</f>
        <v>GHCL Ltd.</v>
      </c>
      <c r="I130" s="2" t="str">
        <f>VLOOKUP($D130,'Customer Details'!$A$1:$F$17,4,0)</f>
        <v>Richmond</v>
      </c>
      <c r="J130" s="2" t="str">
        <f>VLOOKUP($D130,'Customer Details'!$A$1:$F$17,6,0)</f>
        <v>94805</v>
      </c>
      <c r="K130" s="8" t="str">
        <f>VLOOKUP(VLOOKUP(D130,'Customer Details'!$A$1:$F$17,5,0),'Region INfo'!$A$1:$C$52,3,0)</f>
        <v xml:space="preserve">Pacific   </v>
      </c>
      <c r="L130" s="8" t="str">
        <f>INDEX(Product_List,MATCH($F130,'Product List'!$B$1:$B$299,0),MATCH('Order SUmmary'!L$2,'Product List'!$A$1:$E$1,0))</f>
        <v>Avery 520</v>
      </c>
      <c r="M130" s="8">
        <f>INDEX(Product_List,MATCH($F130,'Product List'!$B$1:$B$299,0),MATCH('Order SUmmary'!M$2,'Product List'!$A$1:$E$1,0))</f>
        <v>2718</v>
      </c>
      <c r="N130" s="8">
        <f>INDEX(Product_List,MATCH($F130,'Product List'!$B$1:$B$299,0),MATCH('Order SUmmary'!N$2,'Product List'!$A$1:$E$1,0))</f>
        <v>2254</v>
      </c>
      <c r="O130" s="8" t="str">
        <f>INDEX(Product_List,MATCH($F130,'Product List'!$B$1:$B$299,0),MATCH('Order SUmmary'!O$2,'Product List'!$A$1:$E$1,0))</f>
        <v>Labels</v>
      </c>
      <c r="P130" s="12">
        <f>HLOOKUP(C130,'Commission Criteria'!$A$2:$I$4,3,FALSE)</f>
        <v>4</v>
      </c>
      <c r="Q130" s="8">
        <f t="shared" si="4"/>
        <v>2254</v>
      </c>
      <c r="R130" s="8">
        <f t="shared" si="5"/>
        <v>2718</v>
      </c>
      <c r="S130" s="36">
        <f>VLOOKUP(R130,'Commission Criteria'!$L$3:$M$11,2,TRUE)</f>
        <v>0.01</v>
      </c>
      <c r="T130" s="36">
        <f>IF(P130&lt;5,VLOOKUP(R130,'Commission Criteria'!$L$3:$M$11,2,1),VLOOKUP('Order SUmmary'!R130,'Commission Criteria'!$P$3:$Q$11,2,1))</f>
        <v>0.01</v>
      </c>
      <c r="U130" s="36">
        <f>VLOOKUP(R130,IF(P130&lt;5,'Commission Criteria'!$L$3:$M$11,'Commission Criteria'!$P$3:$Q$11),2,1)</f>
        <v>0.01</v>
      </c>
      <c r="V130" s="8" t="s">
        <v>35</v>
      </c>
      <c r="W130" s="36">
        <f t="shared" ca="1" si="6"/>
        <v>0.01</v>
      </c>
      <c r="X130" s="8" t="str">
        <f>_xlfn.XLOOKUP(F130,'Product List'!$B$1:$B$299,'Product List'!$A$1:$A$299)</f>
        <v>Avery 520</v>
      </c>
      <c r="Y130" s="8"/>
      <c r="Z130" s="8" t="str" cm="1">
        <f t="array" ref="Z130:AD130">_xlfn.XLOOKUP(D130,'Customer Details'!$A$1:$A$17,'Customer Details'!$B$1:$F$17,"No such customer",0,1)</f>
        <v>GHCL Ltd.</v>
      </c>
      <c r="AA130" s="8" t="str">
        <v>58 Clarence St</v>
      </c>
      <c r="AB130" s="8" t="str">
        <v>Richmond</v>
      </c>
      <c r="AC130" s="8" t="str">
        <v>CA</v>
      </c>
      <c r="AD130" s="8" t="str">
        <v>94805</v>
      </c>
    </row>
    <row r="131" spans="1:30">
      <c r="A131" s="8" t="s">
        <v>229</v>
      </c>
      <c r="B131" s="19">
        <v>41431</v>
      </c>
      <c r="C131" s="8" t="s">
        <v>33</v>
      </c>
      <c r="D131" s="8">
        <v>10014</v>
      </c>
      <c r="E131" s="8" t="str">
        <f>VLOOKUP($D131,'Customer Details'!$A$1:$F$17,4,FALSE)</f>
        <v>Honolulu</v>
      </c>
      <c r="F131" s="8" t="s">
        <v>126</v>
      </c>
      <c r="G131" s="8">
        <v>3</v>
      </c>
      <c r="H131" s="2" t="str">
        <f>VLOOKUP($D131,'Customer Details'!$A$1:$F$17,MATCH('Order SUmmary'!H$2,'Customer Details'!$A$1:$F$1,0),0)</f>
        <v>Hindusthan National Glass &amp; Industries Ltd.</v>
      </c>
      <c r="I131" s="2" t="str">
        <f>VLOOKUP($D131,'Customer Details'!$A$1:$F$17,4,0)</f>
        <v>Honolulu</v>
      </c>
      <c r="J131" s="2" t="str">
        <f>VLOOKUP($D131,'Customer Details'!$A$1:$F$17,6,0)</f>
        <v>96825</v>
      </c>
      <c r="K131" s="8" t="str">
        <f>VLOOKUP(VLOOKUP(D131,'Customer Details'!$A$1:$F$17,5,0),'Region INfo'!$A$1:$C$52,3,0)</f>
        <v xml:space="preserve">Pacific   </v>
      </c>
      <c r="L131" s="8" t="str">
        <f>INDEX(Product_List,MATCH($F131,'Product List'!$B$1:$B$299,0),MATCH('Order SUmmary'!L$2,'Product List'!$A$1:$E$1,0))</f>
        <v>Xerox 1964</v>
      </c>
      <c r="M131" s="8">
        <f>INDEX(Product_List,MATCH($F131,'Product List'!$B$1:$B$299,0),MATCH('Order SUmmary'!M$2,'Product List'!$A$1:$E$1,0))</f>
        <v>4477</v>
      </c>
      <c r="N131" s="8">
        <f>INDEX(Product_List,MATCH($F131,'Product List'!$B$1:$B$299,0),MATCH('Order SUmmary'!N$2,'Product List'!$A$1:$E$1,0))</f>
        <v>1589</v>
      </c>
      <c r="O131" s="8" t="str">
        <f>INDEX(Product_List,MATCH($F131,'Product List'!$B$1:$B$299,0),MATCH('Order SUmmary'!O$2,'Product List'!$A$1:$E$1,0))</f>
        <v>Paper</v>
      </c>
      <c r="P131" s="12">
        <f>HLOOKUP(C131,'Commission Criteria'!$A$2:$I$4,3,FALSE)</f>
        <v>1</v>
      </c>
      <c r="Q131" s="8">
        <f t="shared" si="4"/>
        <v>4767</v>
      </c>
      <c r="R131" s="8">
        <f t="shared" si="5"/>
        <v>13431</v>
      </c>
      <c r="S131" s="36">
        <f>VLOOKUP(R131,'Commission Criteria'!$L$3:$M$11,2,TRUE)</f>
        <v>0.03</v>
      </c>
      <c r="T131" s="36">
        <f>IF(P131&lt;5,VLOOKUP(R131,'Commission Criteria'!$L$3:$M$11,2,1),VLOOKUP('Order SUmmary'!R131,'Commission Criteria'!$P$3:$Q$11,2,1))</f>
        <v>0.03</v>
      </c>
      <c r="U131" s="36">
        <f>VLOOKUP(R131,IF(P131&lt;5,'Commission Criteria'!$L$3:$M$11,'Commission Criteria'!$P$3:$Q$11),2,1)</f>
        <v>0.03</v>
      </c>
      <c r="V131" s="8" t="s">
        <v>35</v>
      </c>
      <c r="W131" s="36">
        <f t="shared" ca="1" si="6"/>
        <v>0.05</v>
      </c>
      <c r="X131" s="8" t="str">
        <f>_xlfn.XLOOKUP(F131,'Product List'!$B$1:$B$299,'Product List'!$A$1:$A$299)</f>
        <v>Xerox 1964</v>
      </c>
      <c r="Y131" s="8"/>
      <c r="Z131" s="8" t="str" cm="1">
        <f t="array" ref="Z131:AD131">_xlfn.XLOOKUP(D131,'Customer Details'!$A$1:$A$17,'Customer Details'!$B$1:$F$17,"No such customer",0,1)</f>
        <v>Hindusthan National Glass &amp; Industries Ltd.</v>
      </c>
      <c r="AA131" s="8" t="str">
        <v>11 Cathy St.</v>
      </c>
      <c r="AB131" s="8" t="str">
        <v>Honolulu</v>
      </c>
      <c r="AC131" s="8" t="str">
        <v>HI</v>
      </c>
      <c r="AD131" s="8" t="str">
        <v>96825</v>
      </c>
    </row>
    <row r="132" spans="1:30">
      <c r="A132" s="8" t="s">
        <v>230</v>
      </c>
      <c r="B132" s="19">
        <v>41432</v>
      </c>
      <c r="C132" s="8" t="s">
        <v>36</v>
      </c>
      <c r="D132" s="8">
        <v>10001</v>
      </c>
      <c r="E132" s="8" t="str">
        <f>VLOOKUP($D132,'Customer Details'!$A$1:$F$17,4,FALSE)</f>
        <v>New York</v>
      </c>
      <c r="F132" s="8" t="s">
        <v>231</v>
      </c>
      <c r="G132" s="8">
        <v>1</v>
      </c>
      <c r="H132" s="2" t="str">
        <f>VLOOKUP($D132,'Customer Details'!$A$1:$F$17,MATCH('Order SUmmary'!H$2,'Customer Details'!$A$1:$F$1,0),0)</f>
        <v>Chambal Fertilisers and Chemicals Ltd.</v>
      </c>
      <c r="I132" s="2" t="str">
        <f>VLOOKUP($D132,'Customer Details'!$A$1:$F$17,4,0)</f>
        <v>New York</v>
      </c>
      <c r="J132" s="2" t="str">
        <f>VLOOKUP($D132,'Customer Details'!$A$1:$F$17,6,0)</f>
        <v>10025</v>
      </c>
      <c r="K132" s="8" t="str">
        <f>VLOOKUP(VLOOKUP(D132,'Customer Details'!$A$1:$F$17,5,0),'Region INfo'!$A$1:$C$52,3,0)</f>
        <v xml:space="preserve">Northern </v>
      </c>
      <c r="L132" s="8" t="str">
        <f>INDEX(Product_List,MATCH($F132,'Product List'!$B$1:$B$299,0),MATCH('Order SUmmary'!L$2,'Product List'!$A$1:$E$1,0))</f>
        <v>Newell 350</v>
      </c>
      <c r="M132" s="8">
        <f>INDEX(Product_List,MATCH($F132,'Product List'!$B$1:$B$299,0),MATCH('Order SUmmary'!M$2,'Product List'!$A$1:$E$1,0))</f>
        <v>2912</v>
      </c>
      <c r="N132" s="8">
        <f>INDEX(Product_List,MATCH($F132,'Product List'!$B$1:$B$299,0),MATCH('Order SUmmary'!N$2,'Product List'!$A$1:$E$1,0))</f>
        <v>2328</v>
      </c>
      <c r="O132" s="8" t="str">
        <f>INDEX(Product_List,MATCH($F132,'Product List'!$B$1:$B$299,0),MATCH('Order SUmmary'!O$2,'Product List'!$A$1:$E$1,0))</f>
        <v>Art</v>
      </c>
      <c r="P132" s="12">
        <f>HLOOKUP(C132,'Commission Criteria'!$A$2:$I$4,3,FALSE)</f>
        <v>6</v>
      </c>
      <c r="Q132" s="8">
        <f t="shared" ref="Q132:Q195" si="7">N132*G132</f>
        <v>2328</v>
      </c>
      <c r="R132" s="8">
        <f t="shared" ref="R132:R195" si="8">M132*G132</f>
        <v>2912</v>
      </c>
      <c r="S132" s="36">
        <f>VLOOKUP(R132,'Commission Criteria'!$L$3:$M$11,2,TRUE)</f>
        <v>0.01</v>
      </c>
      <c r="T132" s="36">
        <f>IF(P132&lt;5,VLOOKUP(R132,'Commission Criteria'!$L$3:$M$11,2,1),VLOOKUP('Order SUmmary'!R132,'Commission Criteria'!$P$3:$Q$11,2,1))</f>
        <v>0.02</v>
      </c>
      <c r="U132" s="36">
        <f>VLOOKUP(R132,IF(P132&lt;5,'Commission Criteria'!$L$3:$M$11,'Commission Criteria'!$P$3:$Q$11),2,1)</f>
        <v>0.02</v>
      </c>
      <c r="V132" s="8" t="s">
        <v>35</v>
      </c>
      <c r="W132" s="36">
        <f t="shared" ref="W132:W195" ca="1" si="9">VLOOKUP(F132,INDIRECT(V132&amp;"!$A$1:$B$296"),2,0)</f>
        <v>0.01</v>
      </c>
      <c r="X132" s="8" t="str">
        <f>_xlfn.XLOOKUP(F132,'Product List'!$B$1:$B$299,'Product List'!$A$1:$A$299)</f>
        <v>Newell 350</v>
      </c>
      <c r="Y132" s="8"/>
      <c r="Z132" s="8" t="str" cm="1">
        <f t="array" ref="Z132:AD132">_xlfn.XLOOKUP(D132,'Customer Details'!$A$1:$A$17,'Customer Details'!$B$1:$F$17,"No such customer",0,1)</f>
        <v>Chambal Fertilisers and Chemicals Ltd.</v>
      </c>
      <c r="AA132" s="8" t="str">
        <v>4951 Indiana Ave.</v>
      </c>
      <c r="AB132" s="8" t="str">
        <v>New York</v>
      </c>
      <c r="AC132" s="8" t="str">
        <v>NY</v>
      </c>
      <c r="AD132" s="8" t="str">
        <v>10025</v>
      </c>
    </row>
    <row r="133" spans="1:30">
      <c r="A133" s="8" t="s">
        <v>230</v>
      </c>
      <c r="B133" s="19">
        <v>41432</v>
      </c>
      <c r="C133" s="8" t="s">
        <v>54</v>
      </c>
      <c r="D133" s="8">
        <v>10005</v>
      </c>
      <c r="E133" s="8" t="str">
        <f>VLOOKUP($D133,'Customer Details'!$A$1:$F$17,4,FALSE)</f>
        <v>Goleta</v>
      </c>
      <c r="F133" s="8" t="s">
        <v>232</v>
      </c>
      <c r="G133" s="8">
        <v>1</v>
      </c>
      <c r="H133" s="2" t="str">
        <f>VLOOKUP($D133,'Customer Details'!$A$1:$F$17,MATCH('Order SUmmary'!H$2,'Customer Details'!$A$1:$F$1,0),0)</f>
        <v>Fortis Healthcare Ltd.</v>
      </c>
      <c r="I133" s="2" t="str">
        <f>VLOOKUP($D133,'Customer Details'!$A$1:$F$17,4,0)</f>
        <v>Goleta</v>
      </c>
      <c r="J133" s="2" t="str">
        <f>VLOOKUP($D133,'Customer Details'!$A$1:$F$17,6,0)</f>
        <v>93117</v>
      </c>
      <c r="K133" s="8" t="str">
        <f>VLOOKUP(VLOOKUP(D133,'Customer Details'!$A$1:$F$17,5,0),'Region INfo'!$A$1:$C$52,3,0)</f>
        <v xml:space="preserve">Pacific   </v>
      </c>
      <c r="L133" s="8" t="str">
        <f>INDEX(Product_List,MATCH($F133,'Product List'!$B$1:$B$299,0),MATCH('Order SUmmary'!L$2,'Product List'!$A$1:$E$1,0))</f>
        <v>Xerox 1914</v>
      </c>
      <c r="M133" s="8">
        <f>INDEX(Product_List,MATCH($F133,'Product List'!$B$1:$B$299,0),MATCH('Order SUmmary'!M$2,'Product List'!$A$1:$E$1,0))</f>
        <v>3508</v>
      </c>
      <c r="N133" s="8">
        <f>INDEX(Product_List,MATCH($F133,'Product List'!$B$1:$B$299,0),MATCH('Order SUmmary'!N$2,'Product List'!$A$1:$E$1,0))</f>
        <v>1212</v>
      </c>
      <c r="O133" s="8" t="str">
        <f>INDEX(Product_List,MATCH($F133,'Product List'!$B$1:$B$299,0),MATCH('Order SUmmary'!O$2,'Product List'!$A$1:$E$1,0))</f>
        <v>Paper</v>
      </c>
      <c r="P133" s="12">
        <f>HLOOKUP(C133,'Commission Criteria'!$A$2:$I$4,3,FALSE)</f>
        <v>3</v>
      </c>
      <c r="Q133" s="8">
        <f t="shared" si="7"/>
        <v>1212</v>
      </c>
      <c r="R133" s="8">
        <f t="shared" si="8"/>
        <v>3508</v>
      </c>
      <c r="S133" s="36">
        <f>VLOOKUP(R133,'Commission Criteria'!$L$3:$M$11,2,TRUE)</f>
        <v>0.01</v>
      </c>
      <c r="T133" s="36">
        <f>IF(P133&lt;5,VLOOKUP(R133,'Commission Criteria'!$L$3:$M$11,2,1),VLOOKUP('Order SUmmary'!R133,'Commission Criteria'!$P$3:$Q$11,2,1))</f>
        <v>0.01</v>
      </c>
      <c r="U133" s="36">
        <f>VLOOKUP(R133,IF(P133&lt;5,'Commission Criteria'!$L$3:$M$11,'Commission Criteria'!$P$3:$Q$11),2,1)</f>
        <v>0.01</v>
      </c>
      <c r="V133" s="8" t="s">
        <v>43</v>
      </c>
      <c r="W133" s="36">
        <f t="shared" ca="1" si="9"/>
        <v>0.01</v>
      </c>
      <c r="X133" s="8" t="str">
        <f>_xlfn.XLOOKUP(F133,'Product List'!$B$1:$B$299,'Product List'!$A$1:$A$299)</f>
        <v>Xerox 1914</v>
      </c>
      <c r="Y133" s="8"/>
      <c r="Z133" s="8" t="str" cm="1">
        <f t="array" ref="Z133:AD133">_xlfn.XLOOKUP(D133,'Customer Details'!$A$1:$A$17,'Customer Details'!$B$1:$F$17,"No such customer",0,1)</f>
        <v>Fortis Healthcare Ltd.</v>
      </c>
      <c r="AA133" s="8" t="str">
        <v>14 Elsworthy Terrace</v>
      </c>
      <c r="AB133" s="8" t="str">
        <v>Goleta</v>
      </c>
      <c r="AC133" s="8" t="str">
        <v>CA</v>
      </c>
      <c r="AD133" s="8" t="str">
        <v>93117</v>
      </c>
    </row>
    <row r="134" spans="1:30">
      <c r="A134" s="8" t="s">
        <v>233</v>
      </c>
      <c r="B134" s="19">
        <v>41432</v>
      </c>
      <c r="C134" s="8" t="s">
        <v>51</v>
      </c>
      <c r="D134" s="8">
        <v>10002</v>
      </c>
      <c r="E134" s="8" t="str">
        <f>VLOOKUP($D134,'Customer Details'!$A$1:$F$17,4,FALSE)</f>
        <v>Omaha</v>
      </c>
      <c r="F134" s="8" t="s">
        <v>133</v>
      </c>
      <c r="G134" s="8">
        <v>1</v>
      </c>
      <c r="H134" s="2" t="str">
        <f>VLOOKUP($D134,'Customer Details'!$A$1:$F$17,MATCH('Order SUmmary'!H$2,'Customer Details'!$A$1:$F$1,0),0)</f>
        <v>Elder Pharmaceuticals</v>
      </c>
      <c r="I134" s="2" t="str">
        <f>VLOOKUP($D134,'Customer Details'!$A$1:$F$17,4,0)</f>
        <v>Omaha</v>
      </c>
      <c r="J134" s="2" t="str">
        <f>VLOOKUP($D134,'Customer Details'!$A$1:$F$17,6,0)</f>
        <v>68127</v>
      </c>
      <c r="K134" s="8" t="str">
        <f>VLOOKUP(VLOOKUP(D134,'Customer Details'!$A$1:$F$17,5,0),'Region INfo'!$A$1:$C$52,3,0)</f>
        <v>Western</v>
      </c>
      <c r="L134" s="8" t="str">
        <f>INDEX(Product_List,MATCH($F134,'Product List'!$B$1:$B$299,0),MATCH('Order SUmmary'!L$2,'Product List'!$A$1:$E$1,0))</f>
        <v>Xerox 213</v>
      </c>
      <c r="M134" s="8">
        <f>INDEX(Product_List,MATCH($F134,'Product List'!$B$1:$B$299,0),MATCH('Order SUmmary'!M$2,'Product List'!$A$1:$E$1,0))</f>
        <v>4906</v>
      </c>
      <c r="N134" s="8">
        <f>INDEX(Product_List,MATCH($F134,'Product List'!$B$1:$B$299,0),MATCH('Order SUmmary'!N$2,'Product List'!$A$1:$E$1,0))</f>
        <v>2269</v>
      </c>
      <c r="O134" s="8" t="str">
        <f>INDEX(Product_List,MATCH($F134,'Product List'!$B$1:$B$299,0),MATCH('Order SUmmary'!O$2,'Product List'!$A$1:$E$1,0))</f>
        <v>Paper</v>
      </c>
      <c r="P134" s="12">
        <f>HLOOKUP(C134,'Commission Criteria'!$A$2:$I$4,3,FALSE)</f>
        <v>10</v>
      </c>
      <c r="Q134" s="8">
        <f t="shared" si="7"/>
        <v>2269</v>
      </c>
      <c r="R134" s="8">
        <f t="shared" si="8"/>
        <v>4906</v>
      </c>
      <c r="S134" s="36">
        <f>VLOOKUP(R134,'Commission Criteria'!$L$3:$M$11,2,TRUE)</f>
        <v>0.01</v>
      </c>
      <c r="T134" s="36">
        <f>IF(P134&lt;5,VLOOKUP(R134,'Commission Criteria'!$L$3:$M$11,2,1),VLOOKUP('Order SUmmary'!R134,'Commission Criteria'!$P$3:$Q$11,2,1))</f>
        <v>0.02</v>
      </c>
      <c r="U134" s="36">
        <f>VLOOKUP(R134,IF(P134&lt;5,'Commission Criteria'!$L$3:$M$11,'Commission Criteria'!$P$3:$Q$11),2,1)</f>
        <v>0.02</v>
      </c>
      <c r="V134" s="8" t="s">
        <v>35</v>
      </c>
      <c r="W134" s="36">
        <f t="shared" ca="1" si="9"/>
        <v>0.02</v>
      </c>
      <c r="X134" s="8" t="str">
        <f>_xlfn.XLOOKUP(F134,'Product List'!$B$1:$B$299,'Product List'!$A$1:$A$299)</f>
        <v>Xerox 213</v>
      </c>
      <c r="Y134" s="8"/>
      <c r="Z134" s="8" t="str" cm="1">
        <f t="array" ref="Z134:AD134">_xlfn.XLOOKUP(D134,'Customer Details'!$A$1:$A$17,'Customer Details'!$B$1:$F$17,"No such customer",0,1)</f>
        <v>Elder Pharmaceuticals</v>
      </c>
      <c r="AA134" s="8" t="str">
        <v>57 Neriba Cres</v>
      </c>
      <c r="AB134" s="8" t="str">
        <v>Omaha</v>
      </c>
      <c r="AC134" s="8" t="str">
        <v>NE</v>
      </c>
      <c r="AD134" s="8" t="str">
        <v>68127</v>
      </c>
    </row>
    <row r="135" spans="1:30">
      <c r="A135" s="8" t="s">
        <v>234</v>
      </c>
      <c r="B135" s="19">
        <v>41432</v>
      </c>
      <c r="C135" s="8" t="s">
        <v>27</v>
      </c>
      <c r="D135" s="8">
        <v>10003</v>
      </c>
      <c r="E135" s="8" t="str">
        <f>VLOOKUP($D135,'Customer Details'!$A$1:$F$17,4,FALSE)</f>
        <v>Miami</v>
      </c>
      <c r="F135" s="8" t="s">
        <v>93</v>
      </c>
      <c r="G135" s="8">
        <v>2</v>
      </c>
      <c r="H135" s="2" t="str">
        <f>VLOOKUP($D135,'Customer Details'!$A$1:$F$17,MATCH('Order SUmmary'!H$2,'Customer Details'!$A$1:$F$1,0),0)</f>
        <v>Honeywell Automation</v>
      </c>
      <c r="I135" s="2" t="str">
        <f>VLOOKUP($D135,'Customer Details'!$A$1:$F$17,4,0)</f>
        <v>Miami</v>
      </c>
      <c r="J135" s="2" t="str">
        <f>VLOOKUP($D135,'Customer Details'!$A$1:$F$17,6,0)</f>
        <v>33732</v>
      </c>
      <c r="K135" s="8" t="str">
        <f>VLOOKUP(VLOOKUP(D135,'Customer Details'!$A$1:$F$17,5,0),'Region INfo'!$A$1:$C$52,3,0)</f>
        <v>Southern</v>
      </c>
      <c r="L135" s="8" t="str">
        <f>INDEX(Product_List,MATCH($F135,'Product List'!$B$1:$B$299,0),MATCH('Order SUmmary'!L$2,'Product List'!$A$1:$E$1,0))</f>
        <v>Xerox 1943</v>
      </c>
      <c r="M135" s="8">
        <f>INDEX(Product_List,MATCH($F135,'Product List'!$B$1:$B$299,0),MATCH('Order SUmmary'!M$2,'Product List'!$A$1:$E$1,0))</f>
        <v>2529</v>
      </c>
      <c r="N135" s="8">
        <f>INDEX(Product_List,MATCH($F135,'Product List'!$B$1:$B$299,0),MATCH('Order SUmmary'!N$2,'Product List'!$A$1:$E$1,0))</f>
        <v>1630</v>
      </c>
      <c r="O135" s="8" t="str">
        <f>INDEX(Product_List,MATCH($F135,'Product List'!$B$1:$B$299,0),MATCH('Order SUmmary'!O$2,'Product List'!$A$1:$E$1,0))</f>
        <v>Paper</v>
      </c>
      <c r="P135" s="12">
        <f>HLOOKUP(C135,'Commission Criteria'!$A$2:$I$4,3,FALSE)</f>
        <v>4</v>
      </c>
      <c r="Q135" s="8">
        <f t="shared" si="7"/>
        <v>3260</v>
      </c>
      <c r="R135" s="8">
        <f t="shared" si="8"/>
        <v>5058</v>
      </c>
      <c r="S135" s="36">
        <f>VLOOKUP(R135,'Commission Criteria'!$L$3:$M$11,2,TRUE)</f>
        <v>0.03</v>
      </c>
      <c r="T135" s="36">
        <f>IF(P135&lt;5,VLOOKUP(R135,'Commission Criteria'!$L$3:$M$11,2,1),VLOOKUP('Order SUmmary'!R135,'Commission Criteria'!$P$3:$Q$11,2,1))</f>
        <v>0.03</v>
      </c>
      <c r="U135" s="36">
        <f>VLOOKUP(R135,IF(P135&lt;5,'Commission Criteria'!$L$3:$M$11,'Commission Criteria'!$P$3:$Q$11),2,1)</f>
        <v>0.03</v>
      </c>
      <c r="V135" s="8" t="s">
        <v>40</v>
      </c>
      <c r="W135" s="36">
        <f t="shared" ca="1" si="9"/>
        <v>0.03</v>
      </c>
      <c r="X135" s="8" t="str">
        <f>_xlfn.XLOOKUP(F135,'Product List'!$B$1:$B$299,'Product List'!$A$1:$A$299)</f>
        <v>Xerox 1943</v>
      </c>
      <c r="Y135" s="8"/>
      <c r="Z135" s="8" t="str" cm="1">
        <f t="array" ref="Z135:AD135">_xlfn.XLOOKUP(D135,'Customer Details'!$A$1:$A$17,'Customer Details'!$B$1:$F$17,"No such customer",0,1)</f>
        <v>Honeywell Automation</v>
      </c>
      <c r="AA135" s="8" t="str">
        <v>1272 Harbor Road</v>
      </c>
      <c r="AB135" s="8" t="str">
        <v>Miami</v>
      </c>
      <c r="AC135" s="8" t="str">
        <v>FL</v>
      </c>
      <c r="AD135" s="8" t="str">
        <v>33732</v>
      </c>
    </row>
    <row r="136" spans="1:30">
      <c r="A136" s="8" t="s">
        <v>235</v>
      </c>
      <c r="B136" s="19">
        <v>41435</v>
      </c>
      <c r="C136" s="8" t="s">
        <v>46</v>
      </c>
      <c r="D136" s="8">
        <v>10015</v>
      </c>
      <c r="E136" s="8" t="str">
        <f>VLOOKUP($D136,'Customer Details'!$A$1:$F$17,4,FALSE)</f>
        <v>South Windsor</v>
      </c>
      <c r="F136" s="8" t="s">
        <v>64</v>
      </c>
      <c r="G136" s="8">
        <v>2</v>
      </c>
      <c r="H136" s="2" t="str">
        <f>VLOOKUP($D136,'Customer Details'!$A$1:$F$17,MATCH('Order SUmmary'!H$2,'Customer Details'!$A$1:$F$1,0),0)</f>
        <v>Punj Lloyd Ltd.</v>
      </c>
      <c r="I136" s="2" t="str">
        <f>VLOOKUP($D136,'Customer Details'!$A$1:$F$17,4,0)</f>
        <v>South Windsor</v>
      </c>
      <c r="J136" s="2" t="str">
        <f>VLOOKUP($D136,'Customer Details'!$A$1:$F$17,6,0)</f>
        <v>06074</v>
      </c>
      <c r="K136" s="8" t="str">
        <f>VLOOKUP(VLOOKUP(D136,'Customer Details'!$A$1:$F$17,5,0),'Region INfo'!$A$1:$C$52,3,0)</f>
        <v xml:space="preserve">Northern </v>
      </c>
      <c r="L136" s="8" t="str">
        <f>INDEX(Product_List,MATCH($F136,'Product List'!$B$1:$B$299,0),MATCH('Order SUmmary'!L$2,'Product List'!$A$1:$E$1,0))</f>
        <v>Xerox 226</v>
      </c>
      <c r="M136" s="8">
        <f>INDEX(Product_List,MATCH($F136,'Product List'!$B$1:$B$299,0),MATCH('Order SUmmary'!M$2,'Product List'!$A$1:$E$1,0))</f>
        <v>3256</v>
      </c>
      <c r="N136" s="8">
        <f>INDEX(Product_List,MATCH($F136,'Product List'!$B$1:$B$299,0),MATCH('Order SUmmary'!N$2,'Product List'!$A$1:$E$1,0))</f>
        <v>1772</v>
      </c>
      <c r="O136" s="8" t="str">
        <f>INDEX(Product_List,MATCH($F136,'Product List'!$B$1:$B$299,0),MATCH('Order SUmmary'!O$2,'Product List'!$A$1:$E$1,0))</f>
        <v>Paper</v>
      </c>
      <c r="P136" s="12">
        <f>HLOOKUP(C136,'Commission Criteria'!$A$2:$I$4,3,FALSE)</f>
        <v>8</v>
      </c>
      <c r="Q136" s="8">
        <f t="shared" si="7"/>
        <v>3544</v>
      </c>
      <c r="R136" s="8">
        <f t="shared" si="8"/>
        <v>6512</v>
      </c>
      <c r="S136" s="36">
        <f>VLOOKUP(R136,'Commission Criteria'!$L$3:$M$11,2,TRUE)</f>
        <v>0.03</v>
      </c>
      <c r="T136" s="36">
        <f>IF(P136&lt;5,VLOOKUP(R136,'Commission Criteria'!$L$3:$M$11,2,1),VLOOKUP('Order SUmmary'!R136,'Commission Criteria'!$P$3:$Q$11,2,1))</f>
        <v>0.02</v>
      </c>
      <c r="U136" s="36">
        <f>VLOOKUP(R136,IF(P136&lt;5,'Commission Criteria'!$L$3:$M$11,'Commission Criteria'!$P$3:$Q$11),2,1)</f>
        <v>0.02</v>
      </c>
      <c r="V136" s="8" t="s">
        <v>29</v>
      </c>
      <c r="W136" s="36">
        <f t="shared" ca="1" si="9"/>
        <v>0.05</v>
      </c>
      <c r="X136" s="8" t="str">
        <f>_xlfn.XLOOKUP(F136,'Product List'!$B$1:$B$299,'Product List'!$A$1:$A$299)</f>
        <v>Xerox 226</v>
      </c>
      <c r="Y136" s="8"/>
      <c r="Z136" s="8" t="str" cm="1">
        <f t="array" ref="Z136:AD136">_xlfn.XLOOKUP(D136,'Customer Details'!$A$1:$A$17,'Customer Details'!$B$1:$F$17,"No such customer",0,1)</f>
        <v>Punj Lloyd Ltd.</v>
      </c>
      <c r="AA136" s="8" t="str">
        <v>Box 3263</v>
      </c>
      <c r="AB136" s="8" t="str">
        <v>South Windsor</v>
      </c>
      <c r="AC136" s="8" t="str">
        <v>CT</v>
      </c>
      <c r="AD136" s="8" t="str">
        <v>06074</v>
      </c>
    </row>
    <row r="137" spans="1:30">
      <c r="A137" s="8" t="s">
        <v>235</v>
      </c>
      <c r="B137" s="19">
        <v>41435</v>
      </c>
      <c r="C137" s="8" t="s">
        <v>36</v>
      </c>
      <c r="D137" s="8">
        <v>10004</v>
      </c>
      <c r="E137" s="8" t="str">
        <f>VLOOKUP($D137,'Customer Details'!$A$1:$F$17,4,FALSE)</f>
        <v>New York</v>
      </c>
      <c r="F137" s="8" t="s">
        <v>236</v>
      </c>
      <c r="G137" s="8">
        <v>3</v>
      </c>
      <c r="H137" s="2" t="str">
        <f>VLOOKUP($D137,'Customer Details'!$A$1:$F$17,MATCH('Order SUmmary'!H$2,'Customer Details'!$A$1:$F$1,0),0)</f>
        <v>Lupin Ltd.</v>
      </c>
      <c r="I137" s="2" t="str">
        <f>VLOOKUP($D137,'Customer Details'!$A$1:$F$17,4,0)</f>
        <v>New York</v>
      </c>
      <c r="J137" s="2" t="str">
        <f>VLOOKUP($D137,'Customer Details'!$A$1:$F$17,6,0)</f>
        <v>10019</v>
      </c>
      <c r="K137" s="8" t="str">
        <f>VLOOKUP(VLOOKUP(D137,'Customer Details'!$A$1:$F$17,5,0),'Region INfo'!$A$1:$C$52,3,0)</f>
        <v xml:space="preserve">Northern </v>
      </c>
      <c r="L137" s="8" t="str">
        <f>INDEX(Product_List,MATCH($F137,'Product List'!$B$1:$B$299,0),MATCH('Order SUmmary'!L$2,'Product List'!$A$1:$E$1,0))</f>
        <v>Xerox 1971</v>
      </c>
      <c r="M137" s="8">
        <f>INDEX(Product_List,MATCH($F137,'Product List'!$B$1:$B$299,0),MATCH('Order SUmmary'!M$2,'Product List'!$A$1:$E$1,0))</f>
        <v>3305</v>
      </c>
      <c r="N137" s="8">
        <f>INDEX(Product_List,MATCH($F137,'Product List'!$B$1:$B$299,0),MATCH('Order SUmmary'!N$2,'Product List'!$A$1:$E$1,0))</f>
        <v>1418</v>
      </c>
      <c r="O137" s="8" t="str">
        <f>INDEX(Product_List,MATCH($F137,'Product List'!$B$1:$B$299,0),MATCH('Order SUmmary'!O$2,'Product List'!$A$1:$E$1,0))</f>
        <v>Paper</v>
      </c>
      <c r="P137" s="12">
        <f>HLOOKUP(C137,'Commission Criteria'!$A$2:$I$4,3,FALSE)</f>
        <v>6</v>
      </c>
      <c r="Q137" s="8">
        <f t="shared" si="7"/>
        <v>4254</v>
      </c>
      <c r="R137" s="8">
        <f t="shared" si="8"/>
        <v>9915</v>
      </c>
      <c r="S137" s="36">
        <f>VLOOKUP(R137,'Commission Criteria'!$L$3:$M$11,2,TRUE)</f>
        <v>0.03</v>
      </c>
      <c r="T137" s="36">
        <f>IF(P137&lt;5,VLOOKUP(R137,'Commission Criteria'!$L$3:$M$11,2,1),VLOOKUP('Order SUmmary'!R137,'Commission Criteria'!$P$3:$Q$11,2,1))</f>
        <v>0.02</v>
      </c>
      <c r="U137" s="36">
        <f>VLOOKUP(R137,IF(P137&lt;5,'Commission Criteria'!$L$3:$M$11,'Commission Criteria'!$P$3:$Q$11),2,1)</f>
        <v>0.02</v>
      </c>
      <c r="V137" s="8" t="s">
        <v>50</v>
      </c>
      <c r="W137" s="36">
        <f t="shared" ca="1" si="9"/>
        <v>0.03</v>
      </c>
      <c r="X137" s="8" t="str">
        <f>_xlfn.XLOOKUP(F137,'Product List'!$B$1:$B$299,'Product List'!$A$1:$A$299)</f>
        <v>Xerox 1971</v>
      </c>
      <c r="Y137" s="8"/>
      <c r="Z137" s="8" t="str" cm="1">
        <f t="array" ref="Z137:AD137">_xlfn.XLOOKUP(D137,'Customer Details'!$A$1:$A$17,'Customer Details'!$B$1:$F$17,"No such customer",0,1)</f>
        <v>Lupin Ltd.</v>
      </c>
      <c r="AA137" s="8" t="str">
        <v>Abbey Wood</v>
      </c>
      <c r="AB137" s="8" t="str">
        <v>New York</v>
      </c>
      <c r="AC137" s="8" t="str">
        <v>NY</v>
      </c>
      <c r="AD137" s="8" t="str">
        <v>10019</v>
      </c>
    </row>
    <row r="138" spans="1:30">
      <c r="A138" s="8" t="s">
        <v>237</v>
      </c>
      <c r="B138" s="19">
        <v>41440</v>
      </c>
      <c r="C138" s="8" t="s">
        <v>66</v>
      </c>
      <c r="D138" s="8">
        <v>10002</v>
      </c>
      <c r="E138" s="8" t="str">
        <f>VLOOKUP($D138,'Customer Details'!$A$1:$F$17,4,FALSE)</f>
        <v>Omaha</v>
      </c>
      <c r="F138" s="8" t="s">
        <v>238</v>
      </c>
      <c r="G138" s="8">
        <v>2</v>
      </c>
      <c r="H138" s="2" t="str">
        <f>VLOOKUP($D138,'Customer Details'!$A$1:$F$17,MATCH('Order SUmmary'!H$2,'Customer Details'!$A$1:$F$1,0),0)</f>
        <v>Elder Pharmaceuticals</v>
      </c>
      <c r="I138" s="2" t="str">
        <f>VLOOKUP($D138,'Customer Details'!$A$1:$F$17,4,0)</f>
        <v>Omaha</v>
      </c>
      <c r="J138" s="2" t="str">
        <f>VLOOKUP($D138,'Customer Details'!$A$1:$F$17,6,0)</f>
        <v>68127</v>
      </c>
      <c r="K138" s="8" t="str">
        <f>VLOOKUP(VLOOKUP(D138,'Customer Details'!$A$1:$F$17,5,0),'Region INfo'!$A$1:$C$52,3,0)</f>
        <v>Western</v>
      </c>
      <c r="L138" s="8" t="str">
        <f>INDEX(Product_List,MATCH($F138,'Product List'!$B$1:$B$299,0),MATCH('Order SUmmary'!L$2,'Product List'!$A$1:$E$1,0))</f>
        <v>Xerox 202</v>
      </c>
      <c r="M138" s="8">
        <f>INDEX(Product_List,MATCH($F138,'Product List'!$B$1:$B$299,0),MATCH('Order SUmmary'!M$2,'Product List'!$A$1:$E$1,0))</f>
        <v>4262</v>
      </c>
      <c r="N138" s="8">
        <f>INDEX(Product_List,MATCH($F138,'Product List'!$B$1:$B$299,0),MATCH('Order SUmmary'!N$2,'Product List'!$A$1:$E$1,0))</f>
        <v>2486</v>
      </c>
      <c r="O138" s="8" t="str">
        <f>INDEX(Product_List,MATCH($F138,'Product List'!$B$1:$B$299,0),MATCH('Order SUmmary'!O$2,'Product List'!$A$1:$E$1,0))</f>
        <v>Paper</v>
      </c>
      <c r="P138" s="12">
        <f>HLOOKUP(C138,'Commission Criteria'!$A$2:$I$4,3,FALSE)</f>
        <v>5</v>
      </c>
      <c r="Q138" s="8">
        <f t="shared" si="7"/>
        <v>4972</v>
      </c>
      <c r="R138" s="8">
        <f t="shared" si="8"/>
        <v>8524</v>
      </c>
      <c r="S138" s="36">
        <f>VLOOKUP(R138,'Commission Criteria'!$L$3:$M$11,2,TRUE)</f>
        <v>0.03</v>
      </c>
      <c r="T138" s="36">
        <f>IF(P138&lt;5,VLOOKUP(R138,'Commission Criteria'!$L$3:$M$11,2,1),VLOOKUP('Order SUmmary'!R138,'Commission Criteria'!$P$3:$Q$11,2,1))</f>
        <v>0.02</v>
      </c>
      <c r="U138" s="36">
        <f>VLOOKUP(R138,IF(P138&lt;5,'Commission Criteria'!$L$3:$M$11,'Commission Criteria'!$P$3:$Q$11),2,1)</f>
        <v>0.02</v>
      </c>
      <c r="V138" s="8" t="s">
        <v>43</v>
      </c>
      <c r="W138" s="36">
        <f t="shared" ca="1" si="9"/>
        <v>0.02</v>
      </c>
      <c r="X138" s="8" t="str">
        <f>_xlfn.XLOOKUP(F138,'Product List'!$B$1:$B$299,'Product List'!$A$1:$A$299)</f>
        <v>Xerox 202</v>
      </c>
      <c r="Y138" s="8"/>
      <c r="Z138" s="8" t="str" cm="1">
        <f t="array" ref="Z138:AD138">_xlfn.XLOOKUP(D138,'Customer Details'!$A$1:$A$17,'Customer Details'!$B$1:$F$17,"No such customer",0,1)</f>
        <v>Elder Pharmaceuticals</v>
      </c>
      <c r="AA138" s="8" t="str">
        <v>57 Neriba Cres</v>
      </c>
      <c r="AB138" s="8" t="str">
        <v>Omaha</v>
      </c>
      <c r="AC138" s="8" t="str">
        <v>NE</v>
      </c>
      <c r="AD138" s="8" t="str">
        <v>68127</v>
      </c>
    </row>
    <row r="139" spans="1:30">
      <c r="A139" s="8" t="s">
        <v>239</v>
      </c>
      <c r="B139" s="19">
        <v>41441</v>
      </c>
      <c r="C139" s="8" t="s">
        <v>46</v>
      </c>
      <c r="D139" s="8">
        <v>10013</v>
      </c>
      <c r="E139" s="8" t="str">
        <f>VLOOKUP($D139,'Customer Details'!$A$1:$F$17,4,FALSE)</f>
        <v>Naugatuck</v>
      </c>
      <c r="F139" s="8" t="s">
        <v>240</v>
      </c>
      <c r="G139" s="8">
        <v>1</v>
      </c>
      <c r="H139" s="2" t="str">
        <f>VLOOKUP($D139,'Customer Details'!$A$1:$F$17,MATCH('Order SUmmary'!H$2,'Customer Details'!$A$1:$F$1,0),0)</f>
        <v>GMR Infrastructure Ltd.</v>
      </c>
      <c r="I139" s="2" t="str">
        <f>VLOOKUP($D139,'Customer Details'!$A$1:$F$17,4,0)</f>
        <v>Naugatuck</v>
      </c>
      <c r="J139" s="2" t="str">
        <f>VLOOKUP($D139,'Customer Details'!$A$1:$F$17,6,0)</f>
        <v>06770</v>
      </c>
      <c r="K139" s="8" t="str">
        <f>VLOOKUP(VLOOKUP(D139,'Customer Details'!$A$1:$F$17,5,0),'Region INfo'!$A$1:$C$52,3,0)</f>
        <v xml:space="preserve">Northern </v>
      </c>
      <c r="L139" s="8" t="str">
        <f>INDEX(Product_List,MATCH($F139,'Product List'!$B$1:$B$299,0),MATCH('Order SUmmary'!L$2,'Product List'!$A$1:$E$1,0))</f>
        <v>Xerox 2</v>
      </c>
      <c r="M139" s="8">
        <f>INDEX(Product_List,MATCH($F139,'Product List'!$B$1:$B$299,0),MATCH('Order SUmmary'!M$2,'Product List'!$A$1:$E$1,0))</f>
        <v>2562</v>
      </c>
      <c r="N139" s="8">
        <f>INDEX(Product_List,MATCH($F139,'Product List'!$B$1:$B$299,0),MATCH('Order SUmmary'!N$2,'Product List'!$A$1:$E$1,0))</f>
        <v>1527</v>
      </c>
      <c r="O139" s="8" t="str">
        <f>INDEX(Product_List,MATCH($F139,'Product List'!$B$1:$B$299,0),MATCH('Order SUmmary'!O$2,'Product List'!$A$1:$E$1,0))</f>
        <v>Paper</v>
      </c>
      <c r="P139" s="12">
        <f>HLOOKUP(C139,'Commission Criteria'!$A$2:$I$4,3,FALSE)</f>
        <v>8</v>
      </c>
      <c r="Q139" s="8">
        <f t="shared" si="7"/>
        <v>1527</v>
      </c>
      <c r="R139" s="8">
        <f t="shared" si="8"/>
        <v>2562</v>
      </c>
      <c r="S139" s="36">
        <f>VLOOKUP(R139,'Commission Criteria'!$L$3:$M$11,2,TRUE)</f>
        <v>0.01</v>
      </c>
      <c r="T139" s="36">
        <f>IF(P139&lt;5,VLOOKUP(R139,'Commission Criteria'!$L$3:$M$11,2,1),VLOOKUP('Order SUmmary'!R139,'Commission Criteria'!$P$3:$Q$11,2,1))</f>
        <v>0.02</v>
      </c>
      <c r="U139" s="36">
        <f>VLOOKUP(R139,IF(P139&lt;5,'Commission Criteria'!$L$3:$M$11,'Commission Criteria'!$P$3:$Q$11),2,1)</f>
        <v>0.02</v>
      </c>
      <c r="V139" s="8" t="s">
        <v>50</v>
      </c>
      <c r="W139" s="36">
        <f t="shared" ca="1" si="9"/>
        <v>0.04</v>
      </c>
      <c r="X139" s="8" t="str">
        <f>_xlfn.XLOOKUP(F139,'Product List'!$B$1:$B$299,'Product List'!$A$1:$A$299)</f>
        <v>Xerox 2</v>
      </c>
      <c r="Y139" s="8"/>
      <c r="Z139" s="8" t="str" cm="1">
        <f t="array" ref="Z139:AD139">_xlfn.XLOOKUP(D139,'Customer Details'!$A$1:$A$17,'Customer Details'!$B$1:$F$17,"No such customer",0,1)</f>
        <v>GMR Infrastructure Ltd.</v>
      </c>
      <c r="AA139" s="8" t="str">
        <v>P.O. Box 4421</v>
      </c>
      <c r="AB139" s="8" t="str">
        <v>Naugatuck</v>
      </c>
      <c r="AC139" s="8" t="str">
        <v>CT</v>
      </c>
      <c r="AD139" s="8" t="str">
        <v>06770</v>
      </c>
    </row>
    <row r="140" spans="1:30">
      <c r="A140" s="8" t="s">
        <v>239</v>
      </c>
      <c r="B140" s="19">
        <v>41441</v>
      </c>
      <c r="C140" s="8" t="s">
        <v>54</v>
      </c>
      <c r="D140" s="8">
        <v>10015</v>
      </c>
      <c r="E140" s="8" t="str">
        <f>VLOOKUP($D140,'Customer Details'!$A$1:$F$17,4,FALSE)</f>
        <v>South Windsor</v>
      </c>
      <c r="F140" s="8" t="s">
        <v>241</v>
      </c>
      <c r="G140" s="8">
        <v>1</v>
      </c>
      <c r="H140" s="2" t="str">
        <f>VLOOKUP($D140,'Customer Details'!$A$1:$F$17,MATCH('Order SUmmary'!H$2,'Customer Details'!$A$1:$F$1,0),0)</f>
        <v>Punj Lloyd Ltd.</v>
      </c>
      <c r="I140" s="2" t="str">
        <f>VLOOKUP($D140,'Customer Details'!$A$1:$F$17,4,0)</f>
        <v>South Windsor</v>
      </c>
      <c r="J140" s="2" t="str">
        <f>VLOOKUP($D140,'Customer Details'!$A$1:$F$17,6,0)</f>
        <v>06074</v>
      </c>
      <c r="K140" s="8" t="str">
        <f>VLOOKUP(VLOOKUP(D140,'Customer Details'!$A$1:$F$17,5,0),'Region INfo'!$A$1:$C$52,3,0)</f>
        <v xml:space="preserve">Northern </v>
      </c>
      <c r="L140" s="8" t="str">
        <f>INDEX(Product_List,MATCH($F140,'Product List'!$B$1:$B$299,0),MATCH('Order SUmmary'!L$2,'Product List'!$A$1:$E$1,0))</f>
        <v>Xerox 208</v>
      </c>
      <c r="M140" s="8">
        <f>INDEX(Product_List,MATCH($F140,'Product List'!$B$1:$B$299,0),MATCH('Order SUmmary'!M$2,'Product List'!$A$1:$E$1,0))</f>
        <v>4706</v>
      </c>
      <c r="N140" s="8">
        <f>INDEX(Product_List,MATCH($F140,'Product List'!$B$1:$B$299,0),MATCH('Order SUmmary'!N$2,'Product List'!$A$1:$E$1,0))</f>
        <v>1320</v>
      </c>
      <c r="O140" s="8" t="str">
        <f>INDEX(Product_List,MATCH($F140,'Product List'!$B$1:$B$299,0),MATCH('Order SUmmary'!O$2,'Product List'!$A$1:$E$1,0))</f>
        <v>Paper</v>
      </c>
      <c r="P140" s="12">
        <f>HLOOKUP(C140,'Commission Criteria'!$A$2:$I$4,3,FALSE)</f>
        <v>3</v>
      </c>
      <c r="Q140" s="8">
        <f t="shared" si="7"/>
        <v>1320</v>
      </c>
      <c r="R140" s="8">
        <f t="shared" si="8"/>
        <v>4706</v>
      </c>
      <c r="S140" s="36">
        <f>VLOOKUP(R140,'Commission Criteria'!$L$3:$M$11,2,TRUE)</f>
        <v>0.01</v>
      </c>
      <c r="T140" s="36">
        <f>IF(P140&lt;5,VLOOKUP(R140,'Commission Criteria'!$L$3:$M$11,2,1),VLOOKUP('Order SUmmary'!R140,'Commission Criteria'!$P$3:$Q$11,2,1))</f>
        <v>0.01</v>
      </c>
      <c r="U140" s="36">
        <f>VLOOKUP(R140,IF(P140&lt;5,'Commission Criteria'!$L$3:$M$11,'Commission Criteria'!$P$3:$Q$11),2,1)</f>
        <v>0.01</v>
      </c>
      <c r="V140" s="8" t="s">
        <v>40</v>
      </c>
      <c r="W140" s="36">
        <f t="shared" ca="1" si="9"/>
        <v>0.01</v>
      </c>
      <c r="X140" s="8" t="str">
        <f>_xlfn.XLOOKUP(F140,'Product List'!$B$1:$B$299,'Product List'!$A$1:$A$299)</f>
        <v>Xerox 208</v>
      </c>
      <c r="Y140" s="8"/>
      <c r="Z140" s="8" t="str" cm="1">
        <f t="array" ref="Z140:AD140">_xlfn.XLOOKUP(D140,'Customer Details'!$A$1:$A$17,'Customer Details'!$B$1:$F$17,"No such customer",0,1)</f>
        <v>Punj Lloyd Ltd.</v>
      </c>
      <c r="AA140" s="8" t="str">
        <v>Box 3263</v>
      </c>
      <c r="AB140" s="8" t="str">
        <v>South Windsor</v>
      </c>
      <c r="AC140" s="8" t="str">
        <v>CT</v>
      </c>
      <c r="AD140" s="8" t="str">
        <v>06074</v>
      </c>
    </row>
    <row r="141" spans="1:30">
      <c r="A141" s="8" t="s">
        <v>242</v>
      </c>
      <c r="B141" s="19">
        <v>41442</v>
      </c>
      <c r="C141" s="8" t="s">
        <v>36</v>
      </c>
      <c r="D141" s="8">
        <v>10012</v>
      </c>
      <c r="E141" s="8" t="str">
        <f>VLOOKUP($D141,'Customer Details'!$A$1:$F$17,4,FALSE)</f>
        <v>Santa Barbara</v>
      </c>
      <c r="F141" s="8" t="s">
        <v>226</v>
      </c>
      <c r="G141" s="8">
        <v>1</v>
      </c>
      <c r="H141" s="2" t="str">
        <f>VLOOKUP($D141,'Customer Details'!$A$1:$F$17,MATCH('Order SUmmary'!H$2,'Customer Details'!$A$1:$F$1,0),0)</f>
        <v>Dynamatic Technologies Ltd.</v>
      </c>
      <c r="I141" s="2" t="str">
        <f>VLOOKUP($D141,'Customer Details'!$A$1:$F$17,4,0)</f>
        <v>Santa Barbara</v>
      </c>
      <c r="J141" s="2" t="str">
        <f>VLOOKUP($D141,'Customer Details'!$A$1:$F$17,6,0)</f>
        <v>93110</v>
      </c>
      <c r="K141" s="8" t="str">
        <f>VLOOKUP(VLOOKUP(D141,'Customer Details'!$A$1:$F$17,5,0),'Region INfo'!$A$1:$C$52,3,0)</f>
        <v xml:space="preserve">Pacific   </v>
      </c>
      <c r="L141" s="8" t="str">
        <f>INDEX(Product_List,MATCH($F141,'Product List'!$B$1:$B$299,0),MATCH('Order SUmmary'!L$2,'Product List'!$A$1:$E$1,0))</f>
        <v>Avery 517</v>
      </c>
      <c r="M141" s="8">
        <f>INDEX(Product_List,MATCH($F141,'Product List'!$B$1:$B$299,0),MATCH('Order SUmmary'!M$2,'Product List'!$A$1:$E$1,0))</f>
        <v>3065</v>
      </c>
      <c r="N141" s="8">
        <f>INDEX(Product_List,MATCH($F141,'Product List'!$B$1:$B$299,0),MATCH('Order SUmmary'!N$2,'Product List'!$A$1:$E$1,0))</f>
        <v>1426</v>
      </c>
      <c r="O141" s="8" t="str">
        <f>INDEX(Product_List,MATCH($F141,'Product List'!$B$1:$B$299,0),MATCH('Order SUmmary'!O$2,'Product List'!$A$1:$E$1,0))</f>
        <v>Labels</v>
      </c>
      <c r="P141" s="12">
        <f>HLOOKUP(C141,'Commission Criteria'!$A$2:$I$4,3,FALSE)</f>
        <v>6</v>
      </c>
      <c r="Q141" s="8">
        <f t="shared" si="7"/>
        <v>1426</v>
      </c>
      <c r="R141" s="8">
        <f t="shared" si="8"/>
        <v>3065</v>
      </c>
      <c r="S141" s="36">
        <f>VLOOKUP(R141,'Commission Criteria'!$L$3:$M$11,2,TRUE)</f>
        <v>0.01</v>
      </c>
      <c r="T141" s="36">
        <f>IF(P141&lt;5,VLOOKUP(R141,'Commission Criteria'!$L$3:$M$11,2,1),VLOOKUP('Order SUmmary'!R141,'Commission Criteria'!$P$3:$Q$11,2,1))</f>
        <v>0.02</v>
      </c>
      <c r="U141" s="36">
        <f>VLOOKUP(R141,IF(P141&lt;5,'Commission Criteria'!$L$3:$M$11,'Commission Criteria'!$P$3:$Q$11),2,1)</f>
        <v>0.02</v>
      </c>
      <c r="V141" s="8" t="s">
        <v>35</v>
      </c>
      <c r="W141" s="36">
        <f t="shared" ca="1" si="9"/>
        <v>0.05</v>
      </c>
      <c r="X141" s="8" t="str">
        <f>_xlfn.XLOOKUP(F141,'Product List'!$B$1:$B$299,'Product List'!$A$1:$A$299)</f>
        <v>Avery 517</v>
      </c>
      <c r="Y141" s="8"/>
      <c r="Z141" s="8" t="str" cm="1">
        <f t="array" ref="Z141:AD141">_xlfn.XLOOKUP(D141,'Customer Details'!$A$1:$A$17,'Customer Details'!$B$1:$F$17,"No such customer",0,1)</f>
        <v>Dynamatic Technologies Ltd.</v>
      </c>
      <c r="AA141" s="8" t="str">
        <v>402 Pinkster Lane</v>
      </c>
      <c r="AB141" s="8" t="str">
        <v>Santa Barbara</v>
      </c>
      <c r="AC141" s="8" t="str">
        <v>CA</v>
      </c>
      <c r="AD141" s="8" t="str">
        <v>93110</v>
      </c>
    </row>
    <row r="142" spans="1:30">
      <c r="A142" s="8" t="s">
        <v>243</v>
      </c>
      <c r="B142" s="19">
        <v>41442</v>
      </c>
      <c r="C142" s="8" t="s">
        <v>66</v>
      </c>
      <c r="D142" s="8">
        <v>10003</v>
      </c>
      <c r="E142" s="8" t="str">
        <f>VLOOKUP($D142,'Customer Details'!$A$1:$F$17,4,FALSE)</f>
        <v>Miami</v>
      </c>
      <c r="F142" s="8" t="s">
        <v>226</v>
      </c>
      <c r="G142" s="8">
        <v>1</v>
      </c>
      <c r="H142" s="2" t="str">
        <f>VLOOKUP($D142,'Customer Details'!$A$1:$F$17,MATCH('Order SUmmary'!H$2,'Customer Details'!$A$1:$F$1,0),0)</f>
        <v>Honeywell Automation</v>
      </c>
      <c r="I142" s="2" t="str">
        <f>VLOOKUP($D142,'Customer Details'!$A$1:$F$17,4,0)</f>
        <v>Miami</v>
      </c>
      <c r="J142" s="2" t="str">
        <f>VLOOKUP($D142,'Customer Details'!$A$1:$F$17,6,0)</f>
        <v>33732</v>
      </c>
      <c r="K142" s="8" t="str">
        <f>VLOOKUP(VLOOKUP(D142,'Customer Details'!$A$1:$F$17,5,0),'Region INfo'!$A$1:$C$52,3,0)</f>
        <v>Southern</v>
      </c>
      <c r="L142" s="8" t="str">
        <f>INDEX(Product_List,MATCH($F142,'Product List'!$B$1:$B$299,0),MATCH('Order SUmmary'!L$2,'Product List'!$A$1:$E$1,0))</f>
        <v>Avery 517</v>
      </c>
      <c r="M142" s="8">
        <f>INDEX(Product_List,MATCH($F142,'Product List'!$B$1:$B$299,0),MATCH('Order SUmmary'!M$2,'Product List'!$A$1:$E$1,0))</f>
        <v>3065</v>
      </c>
      <c r="N142" s="8">
        <f>INDEX(Product_List,MATCH($F142,'Product List'!$B$1:$B$299,0),MATCH('Order SUmmary'!N$2,'Product List'!$A$1:$E$1,0))</f>
        <v>1426</v>
      </c>
      <c r="O142" s="8" t="str">
        <f>INDEX(Product_List,MATCH($F142,'Product List'!$B$1:$B$299,0),MATCH('Order SUmmary'!O$2,'Product List'!$A$1:$E$1,0))</f>
        <v>Labels</v>
      </c>
      <c r="P142" s="12">
        <f>HLOOKUP(C142,'Commission Criteria'!$A$2:$I$4,3,FALSE)</f>
        <v>5</v>
      </c>
      <c r="Q142" s="8">
        <f t="shared" si="7"/>
        <v>1426</v>
      </c>
      <c r="R142" s="8">
        <f t="shared" si="8"/>
        <v>3065</v>
      </c>
      <c r="S142" s="36">
        <f>VLOOKUP(R142,'Commission Criteria'!$L$3:$M$11,2,TRUE)</f>
        <v>0.01</v>
      </c>
      <c r="T142" s="36">
        <f>IF(P142&lt;5,VLOOKUP(R142,'Commission Criteria'!$L$3:$M$11,2,1),VLOOKUP('Order SUmmary'!R142,'Commission Criteria'!$P$3:$Q$11,2,1))</f>
        <v>0.02</v>
      </c>
      <c r="U142" s="36">
        <f>VLOOKUP(R142,IF(P142&lt;5,'Commission Criteria'!$L$3:$M$11,'Commission Criteria'!$P$3:$Q$11),2,1)</f>
        <v>0.02</v>
      </c>
      <c r="V142" s="8" t="s">
        <v>50</v>
      </c>
      <c r="W142" s="36">
        <f t="shared" ca="1" si="9"/>
        <v>0.01</v>
      </c>
      <c r="X142" s="8" t="str">
        <f>_xlfn.XLOOKUP(F142,'Product List'!$B$1:$B$299,'Product List'!$A$1:$A$299)</f>
        <v>Avery 517</v>
      </c>
      <c r="Y142" s="8"/>
      <c r="Z142" s="8" t="str" cm="1">
        <f t="array" ref="Z142:AD142">_xlfn.XLOOKUP(D142,'Customer Details'!$A$1:$A$17,'Customer Details'!$B$1:$F$17,"No such customer",0,1)</f>
        <v>Honeywell Automation</v>
      </c>
      <c r="AA142" s="8" t="str">
        <v>1272 Harbor Road</v>
      </c>
      <c r="AB142" s="8" t="str">
        <v>Miami</v>
      </c>
      <c r="AC142" s="8" t="str">
        <v>FL</v>
      </c>
      <c r="AD142" s="8" t="str">
        <v>33732</v>
      </c>
    </row>
    <row r="143" spans="1:30">
      <c r="A143" s="8" t="s">
        <v>244</v>
      </c>
      <c r="B143" s="19">
        <v>41445</v>
      </c>
      <c r="C143" s="8" t="s">
        <v>36</v>
      </c>
      <c r="D143" s="8">
        <v>10010</v>
      </c>
      <c r="E143" s="8" t="str">
        <f>VLOOKUP($D143,'Customer Details'!$A$1:$F$17,4,FALSE)</f>
        <v>Tracy</v>
      </c>
      <c r="F143" s="8" t="s">
        <v>245</v>
      </c>
      <c r="G143" s="8">
        <v>3</v>
      </c>
      <c r="H143" s="2" t="str">
        <f>VLOOKUP($D143,'Customer Details'!$A$1:$F$17,MATCH('Order SUmmary'!H$2,'Customer Details'!$A$1:$F$1,0),0)</f>
        <v>Suzlon Energy Ltd.</v>
      </c>
      <c r="I143" s="2" t="str">
        <f>VLOOKUP($D143,'Customer Details'!$A$1:$F$17,4,0)</f>
        <v>Tracy</v>
      </c>
      <c r="J143" s="2" t="str">
        <f>VLOOKUP($D143,'Customer Details'!$A$1:$F$17,6,0)</f>
        <v>95376</v>
      </c>
      <c r="K143" s="8" t="str">
        <f>VLOOKUP(VLOOKUP(D143,'Customer Details'!$A$1:$F$17,5,0),'Region INfo'!$A$1:$C$52,3,0)</f>
        <v xml:space="preserve">Pacific   </v>
      </c>
      <c r="L143" s="8" t="str">
        <f>INDEX(Product_List,MATCH($F143,'Product List'!$B$1:$B$299,0),MATCH('Order SUmmary'!L$2,'Product List'!$A$1:$E$1,0))</f>
        <v>Avery 498</v>
      </c>
      <c r="M143" s="8">
        <f>INDEX(Product_List,MATCH($F143,'Product List'!$B$1:$B$299,0),MATCH('Order SUmmary'!M$2,'Product List'!$A$1:$E$1,0))</f>
        <v>4646</v>
      </c>
      <c r="N143" s="8">
        <f>INDEX(Product_List,MATCH($F143,'Product List'!$B$1:$B$299,0),MATCH('Order SUmmary'!N$2,'Product List'!$A$1:$E$1,0))</f>
        <v>1846</v>
      </c>
      <c r="O143" s="8" t="str">
        <f>INDEX(Product_List,MATCH($F143,'Product List'!$B$1:$B$299,0),MATCH('Order SUmmary'!O$2,'Product List'!$A$1:$E$1,0))</f>
        <v>Labels</v>
      </c>
      <c r="P143" s="12">
        <f>HLOOKUP(C143,'Commission Criteria'!$A$2:$I$4,3,FALSE)</f>
        <v>6</v>
      </c>
      <c r="Q143" s="8">
        <f t="shared" si="7"/>
        <v>5538</v>
      </c>
      <c r="R143" s="8">
        <f t="shared" si="8"/>
        <v>13938</v>
      </c>
      <c r="S143" s="36">
        <f>VLOOKUP(R143,'Commission Criteria'!$L$3:$M$11,2,TRUE)</f>
        <v>0.03</v>
      </c>
      <c r="T143" s="36">
        <f>IF(P143&lt;5,VLOOKUP(R143,'Commission Criteria'!$L$3:$M$11,2,1),VLOOKUP('Order SUmmary'!R143,'Commission Criteria'!$P$3:$Q$11,2,1))</f>
        <v>0.02</v>
      </c>
      <c r="U143" s="36">
        <f>VLOOKUP(R143,IF(P143&lt;5,'Commission Criteria'!$L$3:$M$11,'Commission Criteria'!$P$3:$Q$11),2,1)</f>
        <v>0.02</v>
      </c>
      <c r="V143" s="8" t="s">
        <v>29</v>
      </c>
      <c r="W143" s="36">
        <f t="shared" ca="1" si="9"/>
        <v>0.04</v>
      </c>
      <c r="X143" s="8" t="str">
        <f>_xlfn.XLOOKUP(F143,'Product List'!$B$1:$B$299,'Product List'!$A$1:$A$299)</f>
        <v>Avery 498</v>
      </c>
      <c r="Y143" s="8"/>
      <c r="Z143" s="8" t="str" cm="1">
        <f t="array" ref="Z143:AD143">_xlfn.XLOOKUP(D143,'Customer Details'!$A$1:$A$17,'Customer Details'!$B$1:$F$17,"No such customer",0,1)</f>
        <v>Suzlon Energy Ltd.</v>
      </c>
      <c r="AA143" s="8" t="str">
        <v>501 Marsh Trail Circle</v>
      </c>
      <c r="AB143" s="8" t="str">
        <v>Tracy</v>
      </c>
      <c r="AC143" s="8" t="str">
        <v>CA</v>
      </c>
      <c r="AD143" s="8" t="str">
        <v>95376</v>
      </c>
    </row>
    <row r="144" spans="1:30">
      <c r="A144" s="8" t="s">
        <v>246</v>
      </c>
      <c r="B144" s="19">
        <v>41447</v>
      </c>
      <c r="C144" s="8" t="s">
        <v>46</v>
      </c>
      <c r="D144" s="8">
        <v>10012</v>
      </c>
      <c r="E144" s="8" t="str">
        <f>VLOOKUP($D144,'Customer Details'!$A$1:$F$17,4,FALSE)</f>
        <v>Santa Barbara</v>
      </c>
      <c r="F144" s="8" t="s">
        <v>174</v>
      </c>
      <c r="G144" s="8">
        <v>1</v>
      </c>
      <c r="H144" s="2" t="str">
        <f>VLOOKUP($D144,'Customer Details'!$A$1:$F$17,MATCH('Order SUmmary'!H$2,'Customer Details'!$A$1:$F$1,0),0)</f>
        <v>Dynamatic Technologies Ltd.</v>
      </c>
      <c r="I144" s="2" t="str">
        <f>VLOOKUP($D144,'Customer Details'!$A$1:$F$17,4,0)</f>
        <v>Santa Barbara</v>
      </c>
      <c r="J144" s="2" t="str">
        <f>VLOOKUP($D144,'Customer Details'!$A$1:$F$17,6,0)</f>
        <v>93110</v>
      </c>
      <c r="K144" s="8" t="str">
        <f>VLOOKUP(VLOOKUP(D144,'Customer Details'!$A$1:$F$17,5,0),'Region INfo'!$A$1:$C$52,3,0)</f>
        <v xml:space="preserve">Pacific   </v>
      </c>
      <c r="L144" s="8" t="str">
        <f>INDEX(Product_List,MATCH($F144,'Product List'!$B$1:$B$299,0),MATCH('Order SUmmary'!L$2,'Product List'!$A$1:$E$1,0))</f>
        <v>Staples</v>
      </c>
      <c r="M144" s="8">
        <f>INDEX(Product_List,MATCH($F144,'Product List'!$B$1:$B$299,0),MATCH('Order SUmmary'!M$2,'Product List'!$A$1:$E$1,0))</f>
        <v>2747</v>
      </c>
      <c r="N144" s="8">
        <f>INDEX(Product_List,MATCH($F144,'Product List'!$B$1:$B$299,0),MATCH('Order SUmmary'!N$2,'Product List'!$A$1:$E$1,0))</f>
        <v>2098</v>
      </c>
      <c r="O144" s="8" t="str">
        <f>INDEX(Product_List,MATCH($F144,'Product List'!$B$1:$B$299,0),MATCH('Order SUmmary'!O$2,'Product List'!$A$1:$E$1,0))</f>
        <v>Fasteners</v>
      </c>
      <c r="P144" s="12">
        <f>HLOOKUP(C144,'Commission Criteria'!$A$2:$I$4,3,FALSE)</f>
        <v>8</v>
      </c>
      <c r="Q144" s="8">
        <f t="shared" si="7"/>
        <v>2098</v>
      </c>
      <c r="R144" s="8">
        <f t="shared" si="8"/>
        <v>2747</v>
      </c>
      <c r="S144" s="36">
        <f>VLOOKUP(R144,'Commission Criteria'!$L$3:$M$11,2,TRUE)</f>
        <v>0.01</v>
      </c>
      <c r="T144" s="36">
        <f>IF(P144&lt;5,VLOOKUP(R144,'Commission Criteria'!$L$3:$M$11,2,1),VLOOKUP('Order SUmmary'!R144,'Commission Criteria'!$P$3:$Q$11,2,1))</f>
        <v>0.02</v>
      </c>
      <c r="U144" s="36">
        <f>VLOOKUP(R144,IF(P144&lt;5,'Commission Criteria'!$L$3:$M$11,'Commission Criteria'!$P$3:$Q$11),2,1)</f>
        <v>0.02</v>
      </c>
      <c r="V144" s="8" t="s">
        <v>35</v>
      </c>
      <c r="W144" s="36">
        <f t="shared" ca="1" si="9"/>
        <v>0</v>
      </c>
      <c r="X144" s="8" t="str">
        <f>_xlfn.XLOOKUP(F144,'Product List'!$B$1:$B$299,'Product List'!$A$1:$A$299)</f>
        <v>Staples</v>
      </c>
      <c r="Y144" s="8"/>
      <c r="Z144" s="8" t="str" cm="1">
        <f t="array" ref="Z144:AD144">_xlfn.XLOOKUP(D144,'Customer Details'!$A$1:$A$17,'Customer Details'!$B$1:$F$17,"No such customer",0,1)</f>
        <v>Dynamatic Technologies Ltd.</v>
      </c>
      <c r="AA144" s="8" t="str">
        <v>402 Pinkster Lane</v>
      </c>
      <c r="AB144" s="8" t="str">
        <v>Santa Barbara</v>
      </c>
      <c r="AC144" s="8" t="str">
        <v>CA</v>
      </c>
      <c r="AD144" s="8" t="str">
        <v>93110</v>
      </c>
    </row>
    <row r="145" spans="1:30">
      <c r="A145" s="8" t="s">
        <v>246</v>
      </c>
      <c r="B145" s="19">
        <v>41447</v>
      </c>
      <c r="C145" s="8" t="s">
        <v>33</v>
      </c>
      <c r="D145" s="8">
        <v>10015</v>
      </c>
      <c r="E145" s="8" t="str">
        <f>VLOOKUP($D145,'Customer Details'!$A$1:$F$17,4,FALSE)</f>
        <v>South Windsor</v>
      </c>
      <c r="F145" s="8" t="s">
        <v>247</v>
      </c>
      <c r="G145" s="8">
        <v>1</v>
      </c>
      <c r="H145" s="2" t="str">
        <f>VLOOKUP($D145,'Customer Details'!$A$1:$F$17,MATCH('Order SUmmary'!H$2,'Customer Details'!$A$1:$F$1,0),0)</f>
        <v>Punj Lloyd Ltd.</v>
      </c>
      <c r="I145" s="2" t="str">
        <f>VLOOKUP($D145,'Customer Details'!$A$1:$F$17,4,0)</f>
        <v>South Windsor</v>
      </c>
      <c r="J145" s="2" t="str">
        <f>VLOOKUP($D145,'Customer Details'!$A$1:$F$17,6,0)</f>
        <v>06074</v>
      </c>
      <c r="K145" s="8" t="str">
        <f>VLOOKUP(VLOOKUP(D145,'Customer Details'!$A$1:$F$17,5,0),'Region INfo'!$A$1:$C$52,3,0)</f>
        <v xml:space="preserve">Northern </v>
      </c>
      <c r="L145" s="8" t="str">
        <f>INDEX(Product_List,MATCH($F145,'Product List'!$B$1:$B$299,0),MATCH('Order SUmmary'!L$2,'Product List'!$A$1:$E$1,0))</f>
        <v>Newell 329</v>
      </c>
      <c r="M145" s="8">
        <f>INDEX(Product_List,MATCH($F145,'Product List'!$B$1:$B$299,0),MATCH('Order SUmmary'!M$2,'Product List'!$A$1:$E$1,0))</f>
        <v>2787</v>
      </c>
      <c r="N145" s="8">
        <f>INDEX(Product_List,MATCH($F145,'Product List'!$B$1:$B$299,0),MATCH('Order SUmmary'!N$2,'Product List'!$A$1:$E$1,0))</f>
        <v>1470</v>
      </c>
      <c r="O145" s="8" t="str">
        <f>INDEX(Product_List,MATCH($F145,'Product List'!$B$1:$B$299,0),MATCH('Order SUmmary'!O$2,'Product List'!$A$1:$E$1,0))</f>
        <v>Art</v>
      </c>
      <c r="P145" s="12">
        <f>HLOOKUP(C145,'Commission Criteria'!$A$2:$I$4,3,FALSE)</f>
        <v>1</v>
      </c>
      <c r="Q145" s="8">
        <f t="shared" si="7"/>
        <v>1470</v>
      </c>
      <c r="R145" s="8">
        <f t="shared" si="8"/>
        <v>2787</v>
      </c>
      <c r="S145" s="36">
        <f>VLOOKUP(R145,'Commission Criteria'!$L$3:$M$11,2,TRUE)</f>
        <v>0.01</v>
      </c>
      <c r="T145" s="36">
        <f>IF(P145&lt;5,VLOOKUP(R145,'Commission Criteria'!$L$3:$M$11,2,1),VLOOKUP('Order SUmmary'!R145,'Commission Criteria'!$P$3:$Q$11,2,1))</f>
        <v>0.01</v>
      </c>
      <c r="U145" s="36">
        <f>VLOOKUP(R145,IF(P145&lt;5,'Commission Criteria'!$L$3:$M$11,'Commission Criteria'!$P$3:$Q$11),2,1)</f>
        <v>0.01</v>
      </c>
      <c r="V145" s="8" t="s">
        <v>35</v>
      </c>
      <c r="W145" s="36">
        <f t="shared" ca="1" si="9"/>
        <v>0.01</v>
      </c>
      <c r="X145" s="8" t="str">
        <f>_xlfn.XLOOKUP(F145,'Product List'!$B$1:$B$299,'Product List'!$A$1:$A$299)</f>
        <v>Newell 329</v>
      </c>
      <c r="Y145" s="8"/>
      <c r="Z145" s="8" t="str" cm="1">
        <f t="array" ref="Z145:AD145">_xlfn.XLOOKUP(D145,'Customer Details'!$A$1:$A$17,'Customer Details'!$B$1:$F$17,"No such customer",0,1)</f>
        <v>Punj Lloyd Ltd.</v>
      </c>
      <c r="AA145" s="8" t="str">
        <v>Box 3263</v>
      </c>
      <c r="AB145" s="8" t="str">
        <v>South Windsor</v>
      </c>
      <c r="AC145" s="8" t="str">
        <v>CT</v>
      </c>
      <c r="AD145" s="8" t="str">
        <v>06074</v>
      </c>
    </row>
    <row r="146" spans="1:30">
      <c r="A146" s="8" t="s">
        <v>246</v>
      </c>
      <c r="B146" s="19">
        <v>41447</v>
      </c>
      <c r="C146" s="8" t="s">
        <v>51</v>
      </c>
      <c r="D146" s="8">
        <v>10003</v>
      </c>
      <c r="E146" s="8" t="str">
        <f>VLOOKUP($D146,'Customer Details'!$A$1:$F$17,4,FALSE)</f>
        <v>Miami</v>
      </c>
      <c r="F146" s="8" t="s">
        <v>130</v>
      </c>
      <c r="G146" s="8">
        <v>1</v>
      </c>
      <c r="H146" s="2" t="str">
        <f>VLOOKUP($D146,'Customer Details'!$A$1:$F$17,MATCH('Order SUmmary'!H$2,'Customer Details'!$A$1:$F$1,0),0)</f>
        <v>Honeywell Automation</v>
      </c>
      <c r="I146" s="2" t="str">
        <f>VLOOKUP($D146,'Customer Details'!$A$1:$F$17,4,0)</f>
        <v>Miami</v>
      </c>
      <c r="J146" s="2" t="str">
        <f>VLOOKUP($D146,'Customer Details'!$A$1:$F$17,6,0)</f>
        <v>33732</v>
      </c>
      <c r="K146" s="8" t="str">
        <f>VLOOKUP(VLOOKUP(D146,'Customer Details'!$A$1:$F$17,5,0),'Region INfo'!$A$1:$C$52,3,0)</f>
        <v>Southern</v>
      </c>
      <c r="L146" s="8" t="str">
        <f>INDEX(Product_List,MATCH($F146,'Product List'!$B$1:$B$299,0),MATCH('Order SUmmary'!L$2,'Product List'!$A$1:$E$1,0))</f>
        <v>Xerox 212</v>
      </c>
      <c r="M146" s="8">
        <f>INDEX(Product_List,MATCH($F146,'Product List'!$B$1:$B$299,0),MATCH('Order SUmmary'!M$2,'Product List'!$A$1:$E$1,0))</f>
        <v>4564</v>
      </c>
      <c r="N146" s="8">
        <f>INDEX(Product_List,MATCH($F146,'Product List'!$B$1:$B$299,0),MATCH('Order SUmmary'!N$2,'Product List'!$A$1:$E$1,0))</f>
        <v>1823</v>
      </c>
      <c r="O146" s="8" t="str">
        <f>INDEX(Product_List,MATCH($F146,'Product List'!$B$1:$B$299,0),MATCH('Order SUmmary'!O$2,'Product List'!$A$1:$E$1,0))</f>
        <v>Paper</v>
      </c>
      <c r="P146" s="12">
        <f>HLOOKUP(C146,'Commission Criteria'!$A$2:$I$4,3,FALSE)</f>
        <v>10</v>
      </c>
      <c r="Q146" s="8">
        <f t="shared" si="7"/>
        <v>1823</v>
      </c>
      <c r="R146" s="8">
        <f t="shared" si="8"/>
        <v>4564</v>
      </c>
      <c r="S146" s="36">
        <f>VLOOKUP(R146,'Commission Criteria'!$L$3:$M$11,2,TRUE)</f>
        <v>0.01</v>
      </c>
      <c r="T146" s="36">
        <f>IF(P146&lt;5,VLOOKUP(R146,'Commission Criteria'!$L$3:$M$11,2,1),VLOOKUP('Order SUmmary'!R146,'Commission Criteria'!$P$3:$Q$11,2,1))</f>
        <v>0.02</v>
      </c>
      <c r="U146" s="36">
        <f>VLOOKUP(R146,IF(P146&lt;5,'Commission Criteria'!$L$3:$M$11,'Commission Criteria'!$P$3:$Q$11),2,1)</f>
        <v>0.02</v>
      </c>
      <c r="V146" s="8" t="s">
        <v>29</v>
      </c>
      <c r="W146" s="36">
        <f t="shared" ca="1" si="9"/>
        <v>0.02</v>
      </c>
      <c r="X146" s="8" t="str">
        <f>_xlfn.XLOOKUP(F146,'Product List'!$B$1:$B$299,'Product List'!$A$1:$A$299)</f>
        <v>Xerox 212</v>
      </c>
      <c r="Y146" s="8"/>
      <c r="Z146" s="8" t="str" cm="1">
        <f t="array" ref="Z146:AD146">_xlfn.XLOOKUP(D146,'Customer Details'!$A$1:$A$17,'Customer Details'!$B$1:$F$17,"No such customer",0,1)</f>
        <v>Honeywell Automation</v>
      </c>
      <c r="AA146" s="8" t="str">
        <v>1272 Harbor Road</v>
      </c>
      <c r="AB146" s="8" t="str">
        <v>Miami</v>
      </c>
      <c r="AC146" s="8" t="str">
        <v>FL</v>
      </c>
      <c r="AD146" s="8" t="str">
        <v>33732</v>
      </c>
    </row>
    <row r="147" spans="1:30">
      <c r="A147" s="8" t="s">
        <v>248</v>
      </c>
      <c r="B147" s="19">
        <v>41449</v>
      </c>
      <c r="C147" s="8" t="s">
        <v>51</v>
      </c>
      <c r="D147" s="8">
        <v>10014</v>
      </c>
      <c r="E147" s="8" t="str">
        <f>VLOOKUP($D147,'Customer Details'!$A$1:$F$17,4,FALSE)</f>
        <v>Honolulu</v>
      </c>
      <c r="F147" s="8" t="s">
        <v>137</v>
      </c>
      <c r="G147" s="8">
        <v>1</v>
      </c>
      <c r="H147" s="2" t="str">
        <f>VLOOKUP($D147,'Customer Details'!$A$1:$F$17,MATCH('Order SUmmary'!H$2,'Customer Details'!$A$1:$F$1,0),0)</f>
        <v>Hindusthan National Glass &amp; Industries Ltd.</v>
      </c>
      <c r="I147" s="2" t="str">
        <f>VLOOKUP($D147,'Customer Details'!$A$1:$F$17,4,0)</f>
        <v>Honolulu</v>
      </c>
      <c r="J147" s="2" t="str">
        <f>VLOOKUP($D147,'Customer Details'!$A$1:$F$17,6,0)</f>
        <v>96825</v>
      </c>
      <c r="K147" s="8" t="str">
        <f>VLOOKUP(VLOOKUP(D147,'Customer Details'!$A$1:$F$17,5,0),'Region INfo'!$A$1:$C$52,3,0)</f>
        <v xml:space="preserve">Pacific   </v>
      </c>
      <c r="L147" s="8" t="str">
        <f>INDEX(Product_List,MATCH($F147,'Product List'!$B$1:$B$299,0),MATCH('Order SUmmary'!L$2,'Product List'!$A$1:$E$1,0))</f>
        <v>Newell 35</v>
      </c>
      <c r="M147" s="8">
        <f>INDEX(Product_List,MATCH($F147,'Product List'!$B$1:$B$299,0),MATCH('Order SUmmary'!M$2,'Product List'!$A$1:$E$1,0))</f>
        <v>4209</v>
      </c>
      <c r="N147" s="8">
        <f>INDEX(Product_List,MATCH($F147,'Product List'!$B$1:$B$299,0),MATCH('Order SUmmary'!N$2,'Product List'!$A$1:$E$1,0))</f>
        <v>1692</v>
      </c>
      <c r="O147" s="8" t="str">
        <f>INDEX(Product_List,MATCH($F147,'Product List'!$B$1:$B$299,0),MATCH('Order SUmmary'!O$2,'Product List'!$A$1:$E$1,0))</f>
        <v>Art</v>
      </c>
      <c r="P147" s="12">
        <f>HLOOKUP(C147,'Commission Criteria'!$A$2:$I$4,3,FALSE)</f>
        <v>10</v>
      </c>
      <c r="Q147" s="8">
        <f t="shared" si="7"/>
        <v>1692</v>
      </c>
      <c r="R147" s="8">
        <f t="shared" si="8"/>
        <v>4209</v>
      </c>
      <c r="S147" s="36">
        <f>VLOOKUP(R147,'Commission Criteria'!$L$3:$M$11,2,TRUE)</f>
        <v>0.01</v>
      </c>
      <c r="T147" s="36">
        <f>IF(P147&lt;5,VLOOKUP(R147,'Commission Criteria'!$L$3:$M$11,2,1),VLOOKUP('Order SUmmary'!R147,'Commission Criteria'!$P$3:$Q$11,2,1))</f>
        <v>0.02</v>
      </c>
      <c r="U147" s="36">
        <f>VLOOKUP(R147,IF(P147&lt;5,'Commission Criteria'!$L$3:$M$11,'Commission Criteria'!$P$3:$Q$11),2,1)</f>
        <v>0.02</v>
      </c>
      <c r="V147" s="8" t="s">
        <v>43</v>
      </c>
      <c r="W147" s="36">
        <f t="shared" ca="1" si="9"/>
        <v>0.05</v>
      </c>
      <c r="X147" s="8" t="str">
        <f>_xlfn.XLOOKUP(F147,'Product List'!$B$1:$B$299,'Product List'!$A$1:$A$299)</f>
        <v>Newell 35</v>
      </c>
      <c r="Y147" s="8"/>
      <c r="Z147" s="8" t="str" cm="1">
        <f t="array" ref="Z147:AD147">_xlfn.XLOOKUP(D147,'Customer Details'!$A$1:$A$17,'Customer Details'!$B$1:$F$17,"No such customer",0,1)</f>
        <v>Hindusthan National Glass &amp; Industries Ltd.</v>
      </c>
      <c r="AA147" s="8" t="str">
        <v>11 Cathy St.</v>
      </c>
      <c r="AB147" s="8" t="str">
        <v>Honolulu</v>
      </c>
      <c r="AC147" s="8" t="str">
        <v>HI</v>
      </c>
      <c r="AD147" s="8" t="str">
        <v>96825</v>
      </c>
    </row>
    <row r="148" spans="1:30">
      <c r="A148" s="8" t="s">
        <v>248</v>
      </c>
      <c r="B148" s="19">
        <v>41449</v>
      </c>
      <c r="C148" s="8" t="s">
        <v>44</v>
      </c>
      <c r="D148" s="8">
        <v>10011</v>
      </c>
      <c r="E148" s="8" t="str">
        <f>VLOOKUP($D148,'Customer Details'!$A$1:$F$17,4,FALSE)</f>
        <v>Olympia</v>
      </c>
      <c r="F148" s="8" t="s">
        <v>249</v>
      </c>
      <c r="G148" s="8">
        <v>2</v>
      </c>
      <c r="H148" s="2" t="str">
        <f>VLOOKUP($D148,'Customer Details'!$A$1:$F$17,MATCH('Order SUmmary'!H$2,'Customer Details'!$A$1:$F$1,0),0)</f>
        <v>Sonata Software</v>
      </c>
      <c r="I148" s="2" t="str">
        <f>VLOOKUP($D148,'Customer Details'!$A$1:$F$17,4,0)</f>
        <v>Olympia</v>
      </c>
      <c r="J148" s="2" t="str">
        <f>VLOOKUP($D148,'Customer Details'!$A$1:$F$17,6,0)</f>
        <v>98502</v>
      </c>
      <c r="K148" s="8" t="str">
        <f>VLOOKUP(VLOOKUP(D148,'Customer Details'!$A$1:$F$17,5,0),'Region INfo'!$A$1:$C$52,3,0)</f>
        <v xml:space="preserve">Pacific   </v>
      </c>
      <c r="L148" s="8" t="str">
        <f>INDEX(Product_List,MATCH($F148,'Product List'!$B$1:$B$299,0),MATCH('Order SUmmary'!L$2,'Product List'!$A$1:$E$1,0))</f>
        <v>Newell 315</v>
      </c>
      <c r="M148" s="8">
        <f>INDEX(Product_List,MATCH($F148,'Product List'!$B$1:$B$299,0),MATCH('Order SUmmary'!M$2,'Product List'!$A$1:$E$1,0))</f>
        <v>3646</v>
      </c>
      <c r="N148" s="8">
        <f>INDEX(Product_List,MATCH($F148,'Product List'!$B$1:$B$299,0),MATCH('Order SUmmary'!N$2,'Product List'!$A$1:$E$1,0))</f>
        <v>1603</v>
      </c>
      <c r="O148" s="8" t="str">
        <f>INDEX(Product_List,MATCH($F148,'Product List'!$B$1:$B$299,0),MATCH('Order SUmmary'!O$2,'Product List'!$A$1:$E$1,0))</f>
        <v>Art</v>
      </c>
      <c r="P148" s="12">
        <f>HLOOKUP(C148,'Commission Criteria'!$A$2:$I$4,3,FALSE)</f>
        <v>4</v>
      </c>
      <c r="Q148" s="8">
        <f t="shared" si="7"/>
        <v>3206</v>
      </c>
      <c r="R148" s="8">
        <f t="shared" si="8"/>
        <v>7292</v>
      </c>
      <c r="S148" s="36">
        <f>VLOOKUP(R148,'Commission Criteria'!$L$3:$M$11,2,TRUE)</f>
        <v>0.03</v>
      </c>
      <c r="T148" s="36">
        <f>IF(P148&lt;5,VLOOKUP(R148,'Commission Criteria'!$L$3:$M$11,2,1),VLOOKUP('Order SUmmary'!R148,'Commission Criteria'!$P$3:$Q$11,2,1))</f>
        <v>0.03</v>
      </c>
      <c r="U148" s="36">
        <f>VLOOKUP(R148,IF(P148&lt;5,'Commission Criteria'!$L$3:$M$11,'Commission Criteria'!$P$3:$Q$11),2,1)</f>
        <v>0.03</v>
      </c>
      <c r="V148" s="8" t="s">
        <v>35</v>
      </c>
      <c r="W148" s="36">
        <f t="shared" ca="1" si="9"/>
        <v>0</v>
      </c>
      <c r="X148" s="8" t="str">
        <f>_xlfn.XLOOKUP(F148,'Product List'!$B$1:$B$299,'Product List'!$A$1:$A$299)</f>
        <v>Newell 315</v>
      </c>
      <c r="Y148" s="8"/>
      <c r="Z148" s="8" t="str" cm="1">
        <f t="array" ref="Z148:AD148">_xlfn.XLOOKUP(D148,'Customer Details'!$A$1:$A$17,'Customer Details'!$B$1:$F$17,"No such customer",0,1)</f>
        <v>Sonata Software</v>
      </c>
      <c r="AA148" s="8" t="str">
        <v>1331 Kimberly Dr.</v>
      </c>
      <c r="AB148" s="8" t="str">
        <v>Olympia</v>
      </c>
      <c r="AC148" s="8" t="str">
        <v>WA</v>
      </c>
      <c r="AD148" s="8" t="str">
        <v>98502</v>
      </c>
    </row>
    <row r="149" spans="1:30">
      <c r="A149" s="8" t="s">
        <v>248</v>
      </c>
      <c r="B149" s="19">
        <v>41449</v>
      </c>
      <c r="C149" s="8" t="s">
        <v>66</v>
      </c>
      <c r="D149" s="8">
        <v>10015</v>
      </c>
      <c r="E149" s="8" t="str">
        <f>VLOOKUP($D149,'Customer Details'!$A$1:$F$17,4,FALSE)</f>
        <v>South Windsor</v>
      </c>
      <c r="F149" s="8" t="s">
        <v>250</v>
      </c>
      <c r="G149" s="8">
        <v>2</v>
      </c>
      <c r="H149" s="2" t="str">
        <f>VLOOKUP($D149,'Customer Details'!$A$1:$F$17,MATCH('Order SUmmary'!H$2,'Customer Details'!$A$1:$F$1,0),0)</f>
        <v>Punj Lloyd Ltd.</v>
      </c>
      <c r="I149" s="2" t="str">
        <f>VLOOKUP($D149,'Customer Details'!$A$1:$F$17,4,0)</f>
        <v>South Windsor</v>
      </c>
      <c r="J149" s="2" t="str">
        <f>VLOOKUP($D149,'Customer Details'!$A$1:$F$17,6,0)</f>
        <v>06074</v>
      </c>
      <c r="K149" s="8" t="str">
        <f>VLOOKUP(VLOOKUP(D149,'Customer Details'!$A$1:$F$17,5,0),'Region INfo'!$A$1:$C$52,3,0)</f>
        <v xml:space="preserve">Northern </v>
      </c>
      <c r="L149" s="8" t="str">
        <f>INDEX(Product_List,MATCH($F149,'Product List'!$B$1:$B$299,0),MATCH('Order SUmmary'!L$2,'Product List'!$A$1:$E$1,0))</f>
        <v>Avery 473</v>
      </c>
      <c r="M149" s="8">
        <f>INDEX(Product_List,MATCH($F149,'Product List'!$B$1:$B$299,0),MATCH('Order SUmmary'!M$2,'Product List'!$A$1:$E$1,0))</f>
        <v>4185</v>
      </c>
      <c r="N149" s="8">
        <f>INDEX(Product_List,MATCH($F149,'Product List'!$B$1:$B$299,0),MATCH('Order SUmmary'!N$2,'Product List'!$A$1:$E$1,0))</f>
        <v>1204</v>
      </c>
      <c r="O149" s="8" t="str">
        <f>INDEX(Product_List,MATCH($F149,'Product List'!$B$1:$B$299,0),MATCH('Order SUmmary'!O$2,'Product List'!$A$1:$E$1,0))</f>
        <v>Labels</v>
      </c>
      <c r="P149" s="12">
        <f>HLOOKUP(C149,'Commission Criteria'!$A$2:$I$4,3,FALSE)</f>
        <v>5</v>
      </c>
      <c r="Q149" s="8">
        <f t="shared" si="7"/>
        <v>2408</v>
      </c>
      <c r="R149" s="8">
        <f t="shared" si="8"/>
        <v>8370</v>
      </c>
      <c r="S149" s="36">
        <f>VLOOKUP(R149,'Commission Criteria'!$L$3:$M$11,2,TRUE)</f>
        <v>0.03</v>
      </c>
      <c r="T149" s="36">
        <f>IF(P149&lt;5,VLOOKUP(R149,'Commission Criteria'!$L$3:$M$11,2,1),VLOOKUP('Order SUmmary'!R149,'Commission Criteria'!$P$3:$Q$11,2,1))</f>
        <v>0.02</v>
      </c>
      <c r="U149" s="36">
        <f>VLOOKUP(R149,IF(P149&lt;5,'Commission Criteria'!$L$3:$M$11,'Commission Criteria'!$P$3:$Q$11),2,1)</f>
        <v>0.02</v>
      </c>
      <c r="V149" s="8" t="s">
        <v>50</v>
      </c>
      <c r="W149" s="36">
        <f t="shared" ca="1" si="9"/>
        <v>0</v>
      </c>
      <c r="X149" s="8" t="str">
        <f>_xlfn.XLOOKUP(F149,'Product List'!$B$1:$B$299,'Product List'!$A$1:$A$299)</f>
        <v>Avery 473</v>
      </c>
      <c r="Y149" s="8"/>
      <c r="Z149" s="8" t="str" cm="1">
        <f t="array" ref="Z149:AD149">_xlfn.XLOOKUP(D149,'Customer Details'!$A$1:$A$17,'Customer Details'!$B$1:$F$17,"No such customer",0,1)</f>
        <v>Punj Lloyd Ltd.</v>
      </c>
      <c r="AA149" s="8" t="str">
        <v>Box 3263</v>
      </c>
      <c r="AB149" s="8" t="str">
        <v>South Windsor</v>
      </c>
      <c r="AC149" s="8" t="str">
        <v>CT</v>
      </c>
      <c r="AD149" s="8" t="str">
        <v>06074</v>
      </c>
    </row>
    <row r="150" spans="1:30">
      <c r="A150" s="8" t="s">
        <v>251</v>
      </c>
      <c r="B150" s="19">
        <v>41452</v>
      </c>
      <c r="C150" s="8" t="s">
        <v>46</v>
      </c>
      <c r="D150" s="8">
        <v>10007</v>
      </c>
      <c r="E150" s="8" t="str">
        <f>VLOOKUP($D150,'Customer Details'!$A$1:$F$17,4,FALSE)</f>
        <v>Richmond</v>
      </c>
      <c r="F150" s="8" t="s">
        <v>252</v>
      </c>
      <c r="G150" s="8">
        <v>1</v>
      </c>
      <c r="H150" s="2" t="str">
        <f>VLOOKUP($D150,'Customer Details'!$A$1:$F$17,MATCH('Order SUmmary'!H$2,'Customer Details'!$A$1:$F$1,0),0)</f>
        <v>GHCL Ltd.</v>
      </c>
      <c r="I150" s="2" t="str">
        <f>VLOOKUP($D150,'Customer Details'!$A$1:$F$17,4,0)</f>
        <v>Richmond</v>
      </c>
      <c r="J150" s="2" t="str">
        <f>VLOOKUP($D150,'Customer Details'!$A$1:$F$17,6,0)</f>
        <v>94805</v>
      </c>
      <c r="K150" s="8" t="str">
        <f>VLOOKUP(VLOOKUP(D150,'Customer Details'!$A$1:$F$17,5,0),'Region INfo'!$A$1:$C$52,3,0)</f>
        <v xml:space="preserve">Pacific   </v>
      </c>
      <c r="L150" s="8" t="str">
        <f>INDEX(Product_List,MATCH($F150,'Product List'!$B$1:$B$299,0),MATCH('Order SUmmary'!L$2,'Product List'!$A$1:$E$1,0))</f>
        <v>Avery 481</v>
      </c>
      <c r="M150" s="8">
        <f>INDEX(Product_List,MATCH($F150,'Product List'!$B$1:$B$299,0),MATCH('Order SUmmary'!M$2,'Product List'!$A$1:$E$1,0))</f>
        <v>4531</v>
      </c>
      <c r="N150" s="8">
        <f>INDEX(Product_List,MATCH($F150,'Product List'!$B$1:$B$299,0),MATCH('Order SUmmary'!N$2,'Product List'!$A$1:$E$1,0))</f>
        <v>1512</v>
      </c>
      <c r="O150" s="8" t="str">
        <f>INDEX(Product_List,MATCH($F150,'Product List'!$B$1:$B$299,0),MATCH('Order SUmmary'!O$2,'Product List'!$A$1:$E$1,0))</f>
        <v>Labels</v>
      </c>
      <c r="P150" s="12">
        <f>HLOOKUP(C150,'Commission Criteria'!$A$2:$I$4,3,FALSE)</f>
        <v>8</v>
      </c>
      <c r="Q150" s="8">
        <f t="shared" si="7"/>
        <v>1512</v>
      </c>
      <c r="R150" s="8">
        <f t="shared" si="8"/>
        <v>4531</v>
      </c>
      <c r="S150" s="36">
        <f>VLOOKUP(R150,'Commission Criteria'!$L$3:$M$11,2,TRUE)</f>
        <v>0.01</v>
      </c>
      <c r="T150" s="36">
        <f>IF(P150&lt;5,VLOOKUP(R150,'Commission Criteria'!$L$3:$M$11,2,1),VLOOKUP('Order SUmmary'!R150,'Commission Criteria'!$P$3:$Q$11,2,1))</f>
        <v>0.02</v>
      </c>
      <c r="U150" s="36">
        <f>VLOOKUP(R150,IF(P150&lt;5,'Commission Criteria'!$L$3:$M$11,'Commission Criteria'!$P$3:$Q$11),2,1)</f>
        <v>0.02</v>
      </c>
      <c r="V150" s="8" t="s">
        <v>32</v>
      </c>
      <c r="W150" s="36">
        <f t="shared" ca="1" si="9"/>
        <v>0.01</v>
      </c>
      <c r="X150" s="8" t="str">
        <f>_xlfn.XLOOKUP(F150,'Product List'!$B$1:$B$299,'Product List'!$A$1:$A$299)</f>
        <v>Avery 481</v>
      </c>
      <c r="Y150" s="8"/>
      <c r="Z150" s="8" t="str" cm="1">
        <f t="array" ref="Z150:AD150">_xlfn.XLOOKUP(D150,'Customer Details'!$A$1:$A$17,'Customer Details'!$B$1:$F$17,"No such customer",0,1)</f>
        <v>GHCL Ltd.</v>
      </c>
      <c r="AA150" s="8" t="str">
        <v>58 Clarence St</v>
      </c>
      <c r="AB150" s="8" t="str">
        <v>Richmond</v>
      </c>
      <c r="AC150" s="8" t="str">
        <v>CA</v>
      </c>
      <c r="AD150" s="8" t="str">
        <v>94805</v>
      </c>
    </row>
    <row r="151" spans="1:30">
      <c r="A151" s="8" t="s">
        <v>253</v>
      </c>
      <c r="B151" s="19">
        <v>41452</v>
      </c>
      <c r="C151" s="8" t="s">
        <v>33</v>
      </c>
      <c r="D151" s="8">
        <v>10007</v>
      </c>
      <c r="E151" s="8" t="str">
        <f>VLOOKUP($D151,'Customer Details'!$A$1:$F$17,4,FALSE)</f>
        <v>Richmond</v>
      </c>
      <c r="F151" s="8" t="s">
        <v>254</v>
      </c>
      <c r="G151" s="8">
        <v>2</v>
      </c>
      <c r="H151" s="2" t="str">
        <f>VLOOKUP($D151,'Customer Details'!$A$1:$F$17,MATCH('Order SUmmary'!H$2,'Customer Details'!$A$1:$F$1,0),0)</f>
        <v>GHCL Ltd.</v>
      </c>
      <c r="I151" s="2" t="str">
        <f>VLOOKUP($D151,'Customer Details'!$A$1:$F$17,4,0)</f>
        <v>Richmond</v>
      </c>
      <c r="J151" s="2" t="str">
        <f>VLOOKUP($D151,'Customer Details'!$A$1:$F$17,6,0)</f>
        <v>94805</v>
      </c>
      <c r="K151" s="8" t="str">
        <f>VLOOKUP(VLOOKUP(D151,'Customer Details'!$A$1:$F$17,5,0),'Region INfo'!$A$1:$C$52,3,0)</f>
        <v xml:space="preserve">Pacific   </v>
      </c>
      <c r="L151" s="8" t="str">
        <f>INDEX(Product_List,MATCH($F151,'Product List'!$B$1:$B$299,0),MATCH('Order SUmmary'!L$2,'Product List'!$A$1:$E$1,0))</f>
        <v>VTech DS6151</v>
      </c>
      <c r="M151" s="8">
        <f>INDEX(Product_List,MATCH($F151,'Product List'!$B$1:$B$299,0),MATCH('Order SUmmary'!M$2,'Product List'!$A$1:$E$1,0))</f>
        <v>3564</v>
      </c>
      <c r="N151" s="8">
        <f>INDEX(Product_List,MATCH($F151,'Product List'!$B$1:$B$299,0),MATCH('Order SUmmary'!N$2,'Product List'!$A$1:$E$1,0))</f>
        <v>2100</v>
      </c>
      <c r="O151" s="8" t="str">
        <f>INDEX(Product_List,MATCH($F151,'Product List'!$B$1:$B$299,0),MATCH('Order SUmmary'!O$2,'Product List'!$A$1:$E$1,0))</f>
        <v>Phones</v>
      </c>
      <c r="P151" s="12">
        <f>HLOOKUP(C151,'Commission Criteria'!$A$2:$I$4,3,FALSE)</f>
        <v>1</v>
      </c>
      <c r="Q151" s="8">
        <f t="shared" si="7"/>
        <v>4200</v>
      </c>
      <c r="R151" s="8">
        <f t="shared" si="8"/>
        <v>7128</v>
      </c>
      <c r="S151" s="36">
        <f>VLOOKUP(R151,'Commission Criteria'!$L$3:$M$11,2,TRUE)</f>
        <v>0.03</v>
      </c>
      <c r="T151" s="36">
        <f>IF(P151&lt;5,VLOOKUP(R151,'Commission Criteria'!$L$3:$M$11,2,1),VLOOKUP('Order SUmmary'!R151,'Commission Criteria'!$P$3:$Q$11,2,1))</f>
        <v>0.03</v>
      </c>
      <c r="U151" s="36">
        <f>VLOOKUP(R151,IF(P151&lt;5,'Commission Criteria'!$L$3:$M$11,'Commission Criteria'!$P$3:$Q$11),2,1)</f>
        <v>0.03</v>
      </c>
      <c r="V151" s="8" t="s">
        <v>35</v>
      </c>
      <c r="W151" s="36">
        <f t="shared" ca="1" si="9"/>
        <v>0.04</v>
      </c>
      <c r="X151" s="8" t="str">
        <f>_xlfn.XLOOKUP(F151,'Product List'!$B$1:$B$299,'Product List'!$A$1:$A$299)</f>
        <v>VTech DS6151</v>
      </c>
      <c r="Y151" s="8"/>
      <c r="Z151" s="8" t="str" cm="1">
        <f t="array" ref="Z151:AD151">_xlfn.XLOOKUP(D151,'Customer Details'!$A$1:$A$17,'Customer Details'!$B$1:$F$17,"No such customer",0,1)</f>
        <v>GHCL Ltd.</v>
      </c>
      <c r="AA151" s="8" t="str">
        <v>58 Clarence St</v>
      </c>
      <c r="AB151" s="8" t="str">
        <v>Richmond</v>
      </c>
      <c r="AC151" s="8" t="str">
        <v>CA</v>
      </c>
      <c r="AD151" s="8" t="str">
        <v>94805</v>
      </c>
    </row>
    <row r="152" spans="1:30">
      <c r="A152" s="8" t="s">
        <v>255</v>
      </c>
      <c r="B152" s="19">
        <v>41454</v>
      </c>
      <c r="C152" s="8" t="s">
        <v>66</v>
      </c>
      <c r="D152" s="8">
        <v>10013</v>
      </c>
      <c r="E152" s="8" t="str">
        <f>VLOOKUP($D152,'Customer Details'!$A$1:$F$17,4,FALSE)</f>
        <v>Naugatuck</v>
      </c>
      <c r="F152" s="8" t="s">
        <v>256</v>
      </c>
      <c r="G152" s="8">
        <v>1</v>
      </c>
      <c r="H152" s="2" t="str">
        <f>VLOOKUP($D152,'Customer Details'!$A$1:$F$17,MATCH('Order SUmmary'!H$2,'Customer Details'!$A$1:$F$1,0),0)</f>
        <v>GMR Infrastructure Ltd.</v>
      </c>
      <c r="I152" s="2" t="str">
        <f>VLOOKUP($D152,'Customer Details'!$A$1:$F$17,4,0)</f>
        <v>Naugatuck</v>
      </c>
      <c r="J152" s="2" t="str">
        <f>VLOOKUP($D152,'Customer Details'!$A$1:$F$17,6,0)</f>
        <v>06770</v>
      </c>
      <c r="K152" s="8" t="str">
        <f>VLOOKUP(VLOOKUP(D152,'Customer Details'!$A$1:$F$17,5,0),'Region INfo'!$A$1:$C$52,3,0)</f>
        <v xml:space="preserve">Northern </v>
      </c>
      <c r="L152" s="8" t="str">
        <f>INDEX(Product_List,MATCH($F152,'Product List'!$B$1:$B$299,0),MATCH('Order SUmmary'!L$2,'Product List'!$A$1:$E$1,0))</f>
        <v>Newell 313</v>
      </c>
      <c r="M152" s="8">
        <f>INDEX(Product_List,MATCH($F152,'Product List'!$B$1:$B$299,0),MATCH('Order SUmmary'!M$2,'Product List'!$A$1:$E$1,0))</f>
        <v>2517</v>
      </c>
      <c r="N152" s="8">
        <f>INDEX(Product_List,MATCH($F152,'Product List'!$B$1:$B$299,0),MATCH('Order SUmmary'!N$2,'Product List'!$A$1:$E$1,0))</f>
        <v>2149</v>
      </c>
      <c r="O152" s="8" t="str">
        <f>INDEX(Product_List,MATCH($F152,'Product List'!$B$1:$B$299,0),MATCH('Order SUmmary'!O$2,'Product List'!$A$1:$E$1,0))</f>
        <v>Art</v>
      </c>
      <c r="P152" s="12">
        <f>HLOOKUP(C152,'Commission Criteria'!$A$2:$I$4,3,FALSE)</f>
        <v>5</v>
      </c>
      <c r="Q152" s="8">
        <f t="shared" si="7"/>
        <v>2149</v>
      </c>
      <c r="R152" s="8">
        <f t="shared" si="8"/>
        <v>2517</v>
      </c>
      <c r="S152" s="36">
        <f>VLOOKUP(R152,'Commission Criteria'!$L$3:$M$11,2,TRUE)</f>
        <v>0.01</v>
      </c>
      <c r="T152" s="36">
        <f>IF(P152&lt;5,VLOOKUP(R152,'Commission Criteria'!$L$3:$M$11,2,1),VLOOKUP('Order SUmmary'!R152,'Commission Criteria'!$P$3:$Q$11,2,1))</f>
        <v>0.02</v>
      </c>
      <c r="U152" s="36">
        <f>VLOOKUP(R152,IF(P152&lt;5,'Commission Criteria'!$L$3:$M$11,'Commission Criteria'!$P$3:$Q$11),2,1)</f>
        <v>0.02</v>
      </c>
      <c r="V152" s="8" t="s">
        <v>40</v>
      </c>
      <c r="W152" s="36">
        <f t="shared" ca="1" si="9"/>
        <v>0</v>
      </c>
      <c r="X152" s="8" t="str">
        <f>_xlfn.XLOOKUP(F152,'Product List'!$B$1:$B$299,'Product List'!$A$1:$A$299)</f>
        <v>Newell 313</v>
      </c>
      <c r="Y152" s="8"/>
      <c r="Z152" s="8" t="str" cm="1">
        <f t="array" ref="Z152:AD152">_xlfn.XLOOKUP(D152,'Customer Details'!$A$1:$A$17,'Customer Details'!$B$1:$F$17,"No such customer",0,1)</f>
        <v>GMR Infrastructure Ltd.</v>
      </c>
      <c r="AA152" s="8" t="str">
        <v>P.O. Box 4421</v>
      </c>
      <c r="AB152" s="8" t="str">
        <v>Naugatuck</v>
      </c>
      <c r="AC152" s="8" t="str">
        <v>CT</v>
      </c>
      <c r="AD152" s="8" t="str">
        <v>06770</v>
      </c>
    </row>
    <row r="153" spans="1:30">
      <c r="A153" s="8" t="s">
        <v>255</v>
      </c>
      <c r="B153" s="19">
        <v>41454</v>
      </c>
      <c r="C153" s="8" t="s">
        <v>54</v>
      </c>
      <c r="D153" s="8">
        <v>10007</v>
      </c>
      <c r="E153" s="8" t="str">
        <f>VLOOKUP($D153,'Customer Details'!$A$1:$F$17,4,FALSE)</f>
        <v>Richmond</v>
      </c>
      <c r="F153" s="8" t="s">
        <v>69</v>
      </c>
      <c r="G153" s="8">
        <v>1</v>
      </c>
      <c r="H153" s="2" t="str">
        <f>VLOOKUP($D153,'Customer Details'!$A$1:$F$17,MATCH('Order SUmmary'!H$2,'Customer Details'!$A$1:$F$1,0),0)</f>
        <v>GHCL Ltd.</v>
      </c>
      <c r="I153" s="2" t="str">
        <f>VLOOKUP($D153,'Customer Details'!$A$1:$F$17,4,0)</f>
        <v>Richmond</v>
      </c>
      <c r="J153" s="2" t="str">
        <f>VLOOKUP($D153,'Customer Details'!$A$1:$F$17,6,0)</f>
        <v>94805</v>
      </c>
      <c r="K153" s="8" t="str">
        <f>VLOOKUP(VLOOKUP(D153,'Customer Details'!$A$1:$F$17,5,0),'Region INfo'!$A$1:$C$52,3,0)</f>
        <v xml:space="preserve">Pacific   </v>
      </c>
      <c r="L153" s="8" t="str">
        <f>INDEX(Product_List,MATCH($F153,'Product List'!$B$1:$B$299,0),MATCH('Order SUmmary'!L$2,'Product List'!$A$1:$E$1,0))</f>
        <v>Newell 330</v>
      </c>
      <c r="M153" s="8">
        <f>INDEX(Product_List,MATCH($F153,'Product List'!$B$1:$B$299,0),MATCH('Order SUmmary'!M$2,'Product List'!$A$1:$E$1,0))</f>
        <v>2895</v>
      </c>
      <c r="N153" s="8">
        <f>INDEX(Product_List,MATCH($F153,'Product List'!$B$1:$B$299,0),MATCH('Order SUmmary'!N$2,'Product List'!$A$1:$E$1,0))</f>
        <v>1871</v>
      </c>
      <c r="O153" s="8" t="str">
        <f>INDEX(Product_List,MATCH($F153,'Product List'!$B$1:$B$299,0),MATCH('Order SUmmary'!O$2,'Product List'!$A$1:$E$1,0))</f>
        <v>Art</v>
      </c>
      <c r="P153" s="12">
        <f>HLOOKUP(C153,'Commission Criteria'!$A$2:$I$4,3,FALSE)</f>
        <v>3</v>
      </c>
      <c r="Q153" s="8">
        <f t="shared" si="7"/>
        <v>1871</v>
      </c>
      <c r="R153" s="8">
        <f t="shared" si="8"/>
        <v>2895</v>
      </c>
      <c r="S153" s="36">
        <f>VLOOKUP(R153,'Commission Criteria'!$L$3:$M$11,2,TRUE)</f>
        <v>0.01</v>
      </c>
      <c r="T153" s="36">
        <f>IF(P153&lt;5,VLOOKUP(R153,'Commission Criteria'!$L$3:$M$11,2,1),VLOOKUP('Order SUmmary'!R153,'Commission Criteria'!$P$3:$Q$11,2,1))</f>
        <v>0.01</v>
      </c>
      <c r="U153" s="36">
        <f>VLOOKUP(R153,IF(P153&lt;5,'Commission Criteria'!$L$3:$M$11,'Commission Criteria'!$P$3:$Q$11),2,1)</f>
        <v>0.01</v>
      </c>
      <c r="V153" s="8" t="s">
        <v>29</v>
      </c>
      <c r="W153" s="36">
        <f t="shared" ca="1" si="9"/>
        <v>0.02</v>
      </c>
      <c r="X153" s="8" t="str">
        <f>_xlfn.XLOOKUP(F153,'Product List'!$B$1:$B$299,'Product List'!$A$1:$A$299)</f>
        <v>Newell 330</v>
      </c>
      <c r="Y153" s="8"/>
      <c r="Z153" s="8" t="str" cm="1">
        <f t="array" ref="Z153:AD153">_xlfn.XLOOKUP(D153,'Customer Details'!$A$1:$A$17,'Customer Details'!$B$1:$F$17,"No such customer",0,1)</f>
        <v>GHCL Ltd.</v>
      </c>
      <c r="AA153" s="8" t="str">
        <v>58 Clarence St</v>
      </c>
      <c r="AB153" s="8" t="str">
        <v>Richmond</v>
      </c>
      <c r="AC153" s="8" t="str">
        <v>CA</v>
      </c>
      <c r="AD153" s="8" t="str">
        <v>94805</v>
      </c>
    </row>
    <row r="154" spans="1:30">
      <c r="A154" s="8" t="s">
        <v>255</v>
      </c>
      <c r="B154" s="19">
        <v>41454</v>
      </c>
      <c r="C154" s="8" t="s">
        <v>51</v>
      </c>
      <c r="D154" s="8">
        <v>10009</v>
      </c>
      <c r="E154" s="8" t="str">
        <f>VLOOKUP($D154,'Customer Details'!$A$1:$F$17,4,FALSE)</f>
        <v>Salt Lake City</v>
      </c>
      <c r="F154" s="8" t="s">
        <v>257</v>
      </c>
      <c r="G154" s="8">
        <v>1</v>
      </c>
      <c r="H154" s="2" t="str">
        <f>VLOOKUP($D154,'Customer Details'!$A$1:$F$17,MATCH('Order SUmmary'!H$2,'Customer Details'!$A$1:$F$1,0),0)</f>
        <v>Godfrey Philips India Ltd.</v>
      </c>
      <c r="I154" s="2" t="str">
        <f>VLOOKUP($D154,'Customer Details'!$A$1:$F$17,4,0)</f>
        <v>Salt Lake City</v>
      </c>
      <c r="J154" s="2" t="str">
        <f>VLOOKUP($D154,'Customer Details'!$A$1:$F$17,6,0)</f>
        <v>84118</v>
      </c>
      <c r="K154" s="8" t="str">
        <f>VLOOKUP(VLOOKUP(D154,'Customer Details'!$A$1:$F$17,5,0),'Region INfo'!$A$1:$C$52,3,0)</f>
        <v xml:space="preserve">Pacific   </v>
      </c>
      <c r="L154" s="8" t="str">
        <f>INDEX(Product_List,MATCH($F154,'Product List'!$B$1:$B$299,0),MATCH('Order SUmmary'!L$2,'Product List'!$A$1:$E$1,0))</f>
        <v>Xerox 1977</v>
      </c>
      <c r="M154" s="8">
        <f>INDEX(Product_List,MATCH($F154,'Product List'!$B$1:$B$299,0),MATCH('Order SUmmary'!M$2,'Product List'!$A$1:$E$1,0))</f>
        <v>3649</v>
      </c>
      <c r="N154" s="8">
        <f>INDEX(Product_List,MATCH($F154,'Product List'!$B$1:$B$299,0),MATCH('Order SUmmary'!N$2,'Product List'!$A$1:$E$1,0))</f>
        <v>2295</v>
      </c>
      <c r="O154" s="8" t="str">
        <f>INDEX(Product_List,MATCH($F154,'Product List'!$B$1:$B$299,0),MATCH('Order SUmmary'!O$2,'Product List'!$A$1:$E$1,0))</f>
        <v>Paper</v>
      </c>
      <c r="P154" s="12">
        <f>HLOOKUP(C154,'Commission Criteria'!$A$2:$I$4,3,FALSE)</f>
        <v>10</v>
      </c>
      <c r="Q154" s="8">
        <f t="shared" si="7"/>
        <v>2295</v>
      </c>
      <c r="R154" s="8">
        <f t="shared" si="8"/>
        <v>3649</v>
      </c>
      <c r="S154" s="36">
        <f>VLOOKUP(R154,'Commission Criteria'!$L$3:$M$11,2,TRUE)</f>
        <v>0.01</v>
      </c>
      <c r="T154" s="36">
        <f>IF(P154&lt;5,VLOOKUP(R154,'Commission Criteria'!$L$3:$M$11,2,1),VLOOKUP('Order SUmmary'!R154,'Commission Criteria'!$P$3:$Q$11,2,1))</f>
        <v>0.02</v>
      </c>
      <c r="U154" s="36">
        <f>VLOOKUP(R154,IF(P154&lt;5,'Commission Criteria'!$L$3:$M$11,'Commission Criteria'!$P$3:$Q$11),2,1)</f>
        <v>0.02</v>
      </c>
      <c r="V154" s="8" t="s">
        <v>43</v>
      </c>
      <c r="W154" s="36">
        <f t="shared" ca="1" si="9"/>
        <v>0.04</v>
      </c>
      <c r="X154" s="8" t="str">
        <f>_xlfn.XLOOKUP(F154,'Product List'!$B$1:$B$299,'Product List'!$A$1:$A$299)</f>
        <v>Xerox 1977</v>
      </c>
      <c r="Y154" s="8"/>
      <c r="Z154" s="8" t="str" cm="1">
        <f t="array" ref="Z154:AD154">_xlfn.XLOOKUP(D154,'Customer Details'!$A$1:$A$17,'Customer Details'!$B$1:$F$17,"No such customer",0,1)</f>
        <v>Godfrey Philips India Ltd.</v>
      </c>
      <c r="AA154" s="8" t="str">
        <v>20501 Ania Ave #2</v>
      </c>
      <c r="AB154" s="8" t="str">
        <v>Salt Lake City</v>
      </c>
      <c r="AC154" s="8" t="str">
        <v>UT</v>
      </c>
      <c r="AD154" s="8" t="str">
        <v>84118</v>
      </c>
    </row>
    <row r="155" spans="1:30">
      <c r="A155" s="8" t="s">
        <v>258</v>
      </c>
      <c r="B155" s="19">
        <v>41455</v>
      </c>
      <c r="C155" s="8" t="s">
        <v>46</v>
      </c>
      <c r="D155" s="8">
        <v>10009</v>
      </c>
      <c r="E155" s="8" t="str">
        <f>VLOOKUP($D155,'Customer Details'!$A$1:$F$17,4,FALSE)</f>
        <v>Salt Lake City</v>
      </c>
      <c r="F155" s="8" t="s">
        <v>259</v>
      </c>
      <c r="G155" s="8">
        <v>3</v>
      </c>
      <c r="H155" s="2" t="str">
        <f>VLOOKUP($D155,'Customer Details'!$A$1:$F$17,MATCH('Order SUmmary'!H$2,'Customer Details'!$A$1:$F$1,0),0)</f>
        <v>Godfrey Philips India Ltd.</v>
      </c>
      <c r="I155" s="2" t="str">
        <f>VLOOKUP($D155,'Customer Details'!$A$1:$F$17,4,0)</f>
        <v>Salt Lake City</v>
      </c>
      <c r="J155" s="2" t="str">
        <f>VLOOKUP($D155,'Customer Details'!$A$1:$F$17,6,0)</f>
        <v>84118</v>
      </c>
      <c r="K155" s="8" t="str">
        <f>VLOOKUP(VLOOKUP(D155,'Customer Details'!$A$1:$F$17,5,0),'Region INfo'!$A$1:$C$52,3,0)</f>
        <v xml:space="preserve">Pacific   </v>
      </c>
      <c r="L155" s="8" t="str">
        <f>INDEX(Product_List,MATCH($F155,'Product List'!$B$1:$B$299,0),MATCH('Order SUmmary'!L$2,'Product List'!$A$1:$E$1,0))</f>
        <v>Newell 328</v>
      </c>
      <c r="M155" s="8">
        <f>INDEX(Product_List,MATCH($F155,'Product List'!$B$1:$B$299,0),MATCH('Order SUmmary'!M$2,'Product List'!$A$1:$E$1,0))</f>
        <v>4232</v>
      </c>
      <c r="N155" s="8">
        <f>INDEX(Product_List,MATCH($F155,'Product List'!$B$1:$B$299,0),MATCH('Order SUmmary'!N$2,'Product List'!$A$1:$E$1,0))</f>
        <v>1275</v>
      </c>
      <c r="O155" s="8" t="str">
        <f>INDEX(Product_List,MATCH($F155,'Product List'!$B$1:$B$299,0),MATCH('Order SUmmary'!O$2,'Product List'!$A$1:$E$1,0))</f>
        <v>Art</v>
      </c>
      <c r="P155" s="12">
        <f>HLOOKUP(C155,'Commission Criteria'!$A$2:$I$4,3,FALSE)</f>
        <v>8</v>
      </c>
      <c r="Q155" s="8">
        <f t="shared" si="7"/>
        <v>3825</v>
      </c>
      <c r="R155" s="8">
        <f t="shared" si="8"/>
        <v>12696</v>
      </c>
      <c r="S155" s="36">
        <f>VLOOKUP(R155,'Commission Criteria'!$L$3:$M$11,2,TRUE)</f>
        <v>0.03</v>
      </c>
      <c r="T155" s="36">
        <f>IF(P155&lt;5,VLOOKUP(R155,'Commission Criteria'!$L$3:$M$11,2,1),VLOOKUP('Order SUmmary'!R155,'Commission Criteria'!$P$3:$Q$11,2,1))</f>
        <v>0.02</v>
      </c>
      <c r="U155" s="36">
        <f>VLOOKUP(R155,IF(P155&lt;5,'Commission Criteria'!$L$3:$M$11,'Commission Criteria'!$P$3:$Q$11),2,1)</f>
        <v>0.02</v>
      </c>
      <c r="V155" s="8" t="s">
        <v>32</v>
      </c>
      <c r="W155" s="36">
        <f t="shared" ca="1" si="9"/>
        <v>0.02</v>
      </c>
      <c r="X155" s="8" t="str">
        <f>_xlfn.XLOOKUP(F155,'Product List'!$B$1:$B$299,'Product List'!$A$1:$A$299)</f>
        <v>Newell 328</v>
      </c>
      <c r="Y155" s="8"/>
      <c r="Z155" s="8" t="str" cm="1">
        <f t="array" ref="Z155:AD155">_xlfn.XLOOKUP(D155,'Customer Details'!$A$1:$A$17,'Customer Details'!$B$1:$F$17,"No such customer",0,1)</f>
        <v>Godfrey Philips India Ltd.</v>
      </c>
      <c r="AA155" s="8" t="str">
        <v>20501 Ania Ave #2</v>
      </c>
      <c r="AB155" s="8" t="str">
        <v>Salt Lake City</v>
      </c>
      <c r="AC155" s="8" t="str">
        <v>UT</v>
      </c>
      <c r="AD155" s="8" t="str">
        <v>84118</v>
      </c>
    </row>
    <row r="156" spans="1:30">
      <c r="A156" s="8" t="s">
        <v>260</v>
      </c>
      <c r="B156" s="19">
        <v>41456</v>
      </c>
      <c r="C156" s="8" t="s">
        <v>51</v>
      </c>
      <c r="D156" s="8">
        <v>10002</v>
      </c>
      <c r="E156" s="8" t="str">
        <f>VLOOKUP($D156,'Customer Details'!$A$1:$F$17,4,FALSE)</f>
        <v>Omaha</v>
      </c>
      <c r="F156" s="8" t="s">
        <v>184</v>
      </c>
      <c r="G156" s="8">
        <v>3</v>
      </c>
      <c r="H156" s="2" t="str">
        <f>VLOOKUP($D156,'Customer Details'!$A$1:$F$17,MATCH('Order SUmmary'!H$2,'Customer Details'!$A$1:$F$1,0),0)</f>
        <v>Elder Pharmaceuticals</v>
      </c>
      <c r="I156" s="2" t="str">
        <f>VLOOKUP($D156,'Customer Details'!$A$1:$F$17,4,0)</f>
        <v>Omaha</v>
      </c>
      <c r="J156" s="2" t="str">
        <f>VLOOKUP($D156,'Customer Details'!$A$1:$F$17,6,0)</f>
        <v>68127</v>
      </c>
      <c r="K156" s="8" t="str">
        <f>VLOOKUP(VLOOKUP(D156,'Customer Details'!$A$1:$F$17,5,0),'Region INfo'!$A$1:$C$52,3,0)</f>
        <v>Western</v>
      </c>
      <c r="L156" s="8" t="str">
        <f>INDEX(Product_List,MATCH($F156,'Product List'!$B$1:$B$299,0),MATCH('Order SUmmary'!L$2,'Product List'!$A$1:$E$1,0))</f>
        <v>Xerox 1983</v>
      </c>
      <c r="M156" s="8">
        <f>INDEX(Product_List,MATCH($F156,'Product List'!$B$1:$B$299,0),MATCH('Order SUmmary'!M$2,'Product List'!$A$1:$E$1,0))</f>
        <v>3514</v>
      </c>
      <c r="N156" s="8">
        <f>INDEX(Product_List,MATCH($F156,'Product List'!$B$1:$B$299,0),MATCH('Order SUmmary'!N$2,'Product List'!$A$1:$E$1,0))</f>
        <v>1257</v>
      </c>
      <c r="O156" s="8" t="str">
        <f>INDEX(Product_List,MATCH($F156,'Product List'!$B$1:$B$299,0),MATCH('Order SUmmary'!O$2,'Product List'!$A$1:$E$1,0))</f>
        <v>Paper</v>
      </c>
      <c r="P156" s="12">
        <f>HLOOKUP(C156,'Commission Criteria'!$A$2:$I$4,3,FALSE)</f>
        <v>10</v>
      </c>
      <c r="Q156" s="8">
        <f t="shared" si="7"/>
        <v>3771</v>
      </c>
      <c r="R156" s="8">
        <f t="shared" si="8"/>
        <v>10542</v>
      </c>
      <c r="S156" s="36">
        <f>VLOOKUP(R156,'Commission Criteria'!$L$3:$M$11,2,TRUE)</f>
        <v>0.03</v>
      </c>
      <c r="T156" s="36">
        <f>IF(P156&lt;5,VLOOKUP(R156,'Commission Criteria'!$L$3:$M$11,2,1),VLOOKUP('Order SUmmary'!R156,'Commission Criteria'!$P$3:$Q$11,2,1))</f>
        <v>0.02</v>
      </c>
      <c r="U156" s="36">
        <f>VLOOKUP(R156,IF(P156&lt;5,'Commission Criteria'!$L$3:$M$11,'Commission Criteria'!$P$3:$Q$11),2,1)</f>
        <v>0.02</v>
      </c>
      <c r="V156" s="8" t="s">
        <v>43</v>
      </c>
      <c r="W156" s="36">
        <f t="shared" ca="1" si="9"/>
        <v>0.04</v>
      </c>
      <c r="X156" s="8" t="str">
        <f>_xlfn.XLOOKUP(F156,'Product List'!$B$1:$B$299,'Product List'!$A$1:$A$299)</f>
        <v>Xerox 1983</v>
      </c>
      <c r="Y156" s="8"/>
      <c r="Z156" s="8" t="str" cm="1">
        <f t="array" ref="Z156:AD156">_xlfn.XLOOKUP(D156,'Customer Details'!$A$1:$A$17,'Customer Details'!$B$1:$F$17,"No such customer",0,1)</f>
        <v>Elder Pharmaceuticals</v>
      </c>
      <c r="AA156" s="8" t="str">
        <v>57 Neriba Cres</v>
      </c>
      <c r="AB156" s="8" t="str">
        <v>Omaha</v>
      </c>
      <c r="AC156" s="8" t="str">
        <v>NE</v>
      </c>
      <c r="AD156" s="8" t="str">
        <v>68127</v>
      </c>
    </row>
    <row r="157" spans="1:30">
      <c r="A157" s="8" t="s">
        <v>261</v>
      </c>
      <c r="B157" s="19">
        <v>41458</v>
      </c>
      <c r="C157" s="8" t="s">
        <v>36</v>
      </c>
      <c r="D157" s="8">
        <v>10012</v>
      </c>
      <c r="E157" s="8" t="str">
        <f>VLOOKUP($D157,'Customer Details'!$A$1:$F$17,4,FALSE)</f>
        <v>Santa Barbara</v>
      </c>
      <c r="F157" s="8" t="s">
        <v>160</v>
      </c>
      <c r="G157" s="8">
        <v>1</v>
      </c>
      <c r="H157" s="2" t="str">
        <f>VLOOKUP($D157,'Customer Details'!$A$1:$F$17,MATCH('Order SUmmary'!H$2,'Customer Details'!$A$1:$F$1,0),0)</f>
        <v>Dynamatic Technologies Ltd.</v>
      </c>
      <c r="I157" s="2" t="str">
        <f>VLOOKUP($D157,'Customer Details'!$A$1:$F$17,4,0)</f>
        <v>Santa Barbara</v>
      </c>
      <c r="J157" s="2" t="str">
        <f>VLOOKUP($D157,'Customer Details'!$A$1:$F$17,6,0)</f>
        <v>93110</v>
      </c>
      <c r="K157" s="8" t="str">
        <f>VLOOKUP(VLOOKUP(D157,'Customer Details'!$A$1:$F$17,5,0),'Region INfo'!$A$1:$C$52,3,0)</f>
        <v xml:space="preserve">Pacific   </v>
      </c>
      <c r="L157" s="8" t="str">
        <f>INDEX(Product_List,MATCH($F157,'Product List'!$B$1:$B$299,0),MATCH('Order SUmmary'!L$2,'Product List'!$A$1:$E$1,0))</f>
        <v>Newell 34</v>
      </c>
      <c r="M157" s="8">
        <f>INDEX(Product_List,MATCH($F157,'Product List'!$B$1:$B$299,0),MATCH('Order SUmmary'!M$2,'Product List'!$A$1:$E$1,0))</f>
        <v>2616</v>
      </c>
      <c r="N157" s="8">
        <f>INDEX(Product_List,MATCH($F157,'Product List'!$B$1:$B$299,0),MATCH('Order SUmmary'!N$2,'Product List'!$A$1:$E$1,0))</f>
        <v>1965</v>
      </c>
      <c r="O157" s="8" t="str">
        <f>INDEX(Product_List,MATCH($F157,'Product List'!$B$1:$B$299,0),MATCH('Order SUmmary'!O$2,'Product List'!$A$1:$E$1,0))</f>
        <v>Art</v>
      </c>
      <c r="P157" s="12">
        <f>HLOOKUP(C157,'Commission Criteria'!$A$2:$I$4,3,FALSE)</f>
        <v>6</v>
      </c>
      <c r="Q157" s="8">
        <f t="shared" si="7"/>
        <v>1965</v>
      </c>
      <c r="R157" s="8">
        <f t="shared" si="8"/>
        <v>2616</v>
      </c>
      <c r="S157" s="36">
        <f>VLOOKUP(R157,'Commission Criteria'!$L$3:$M$11,2,TRUE)</f>
        <v>0.01</v>
      </c>
      <c r="T157" s="36">
        <f>IF(P157&lt;5,VLOOKUP(R157,'Commission Criteria'!$L$3:$M$11,2,1),VLOOKUP('Order SUmmary'!R157,'Commission Criteria'!$P$3:$Q$11,2,1))</f>
        <v>0.02</v>
      </c>
      <c r="U157" s="36">
        <f>VLOOKUP(R157,IF(P157&lt;5,'Commission Criteria'!$L$3:$M$11,'Commission Criteria'!$P$3:$Q$11),2,1)</f>
        <v>0.02</v>
      </c>
      <c r="V157" s="8" t="s">
        <v>43</v>
      </c>
      <c r="W157" s="36">
        <f t="shared" ca="1" si="9"/>
        <v>0.02</v>
      </c>
      <c r="X157" s="8" t="str">
        <f>_xlfn.XLOOKUP(F157,'Product List'!$B$1:$B$299,'Product List'!$A$1:$A$299)</f>
        <v>Newell 34</v>
      </c>
      <c r="Y157" s="8"/>
      <c r="Z157" s="8" t="str" cm="1">
        <f t="array" ref="Z157:AD157">_xlfn.XLOOKUP(D157,'Customer Details'!$A$1:$A$17,'Customer Details'!$B$1:$F$17,"No such customer",0,1)</f>
        <v>Dynamatic Technologies Ltd.</v>
      </c>
      <c r="AA157" s="8" t="str">
        <v>402 Pinkster Lane</v>
      </c>
      <c r="AB157" s="8" t="str">
        <v>Santa Barbara</v>
      </c>
      <c r="AC157" s="8" t="str">
        <v>CA</v>
      </c>
      <c r="AD157" s="8" t="str">
        <v>93110</v>
      </c>
    </row>
    <row r="158" spans="1:30">
      <c r="A158" s="8" t="s">
        <v>262</v>
      </c>
      <c r="B158" s="19">
        <v>41458</v>
      </c>
      <c r="C158" s="8" t="s">
        <v>33</v>
      </c>
      <c r="D158" s="8">
        <v>10009</v>
      </c>
      <c r="E158" s="8" t="str">
        <f>VLOOKUP($D158,'Customer Details'!$A$1:$F$17,4,FALSE)</f>
        <v>Salt Lake City</v>
      </c>
      <c r="F158" s="8" t="s">
        <v>263</v>
      </c>
      <c r="G158" s="8">
        <v>1</v>
      </c>
      <c r="H158" s="2" t="str">
        <f>VLOOKUP($D158,'Customer Details'!$A$1:$F$17,MATCH('Order SUmmary'!H$2,'Customer Details'!$A$1:$F$1,0),0)</f>
        <v>Godfrey Philips India Ltd.</v>
      </c>
      <c r="I158" s="2" t="str">
        <f>VLOOKUP($D158,'Customer Details'!$A$1:$F$17,4,0)</f>
        <v>Salt Lake City</v>
      </c>
      <c r="J158" s="2" t="str">
        <f>VLOOKUP($D158,'Customer Details'!$A$1:$F$17,6,0)</f>
        <v>84118</v>
      </c>
      <c r="K158" s="8" t="str">
        <f>VLOOKUP(VLOOKUP(D158,'Customer Details'!$A$1:$F$17,5,0),'Region INfo'!$A$1:$C$52,3,0)</f>
        <v xml:space="preserve">Pacific   </v>
      </c>
      <c r="L158" s="8" t="str">
        <f>INDEX(Product_List,MATCH($F158,'Product List'!$B$1:$B$299,0),MATCH('Order SUmmary'!L$2,'Product List'!$A$1:$E$1,0))</f>
        <v>Xerox 1976</v>
      </c>
      <c r="M158" s="8">
        <f>INDEX(Product_List,MATCH($F158,'Product List'!$B$1:$B$299,0),MATCH('Order SUmmary'!M$2,'Product List'!$A$1:$E$1,0))</f>
        <v>3479</v>
      </c>
      <c r="N158" s="8">
        <f>INDEX(Product_List,MATCH($F158,'Product List'!$B$1:$B$299,0),MATCH('Order SUmmary'!N$2,'Product List'!$A$1:$E$1,0))</f>
        <v>2056</v>
      </c>
      <c r="O158" s="8" t="str">
        <f>INDEX(Product_List,MATCH($F158,'Product List'!$B$1:$B$299,0),MATCH('Order SUmmary'!O$2,'Product List'!$A$1:$E$1,0))</f>
        <v>Paper</v>
      </c>
      <c r="P158" s="12">
        <f>HLOOKUP(C158,'Commission Criteria'!$A$2:$I$4,3,FALSE)</f>
        <v>1</v>
      </c>
      <c r="Q158" s="8">
        <f t="shared" si="7"/>
        <v>2056</v>
      </c>
      <c r="R158" s="8">
        <f t="shared" si="8"/>
        <v>3479</v>
      </c>
      <c r="S158" s="36">
        <f>VLOOKUP(R158,'Commission Criteria'!$L$3:$M$11,2,TRUE)</f>
        <v>0.01</v>
      </c>
      <c r="T158" s="36">
        <f>IF(P158&lt;5,VLOOKUP(R158,'Commission Criteria'!$L$3:$M$11,2,1),VLOOKUP('Order SUmmary'!R158,'Commission Criteria'!$P$3:$Q$11,2,1))</f>
        <v>0.01</v>
      </c>
      <c r="U158" s="36">
        <f>VLOOKUP(R158,IF(P158&lt;5,'Commission Criteria'!$L$3:$M$11,'Commission Criteria'!$P$3:$Q$11),2,1)</f>
        <v>0.01</v>
      </c>
      <c r="V158" s="8" t="s">
        <v>29</v>
      </c>
      <c r="W158" s="36">
        <f t="shared" ca="1" si="9"/>
        <v>0</v>
      </c>
      <c r="X158" s="8" t="str">
        <f>_xlfn.XLOOKUP(F158,'Product List'!$B$1:$B$299,'Product List'!$A$1:$A$299)</f>
        <v>Xerox 1976</v>
      </c>
      <c r="Y158" s="8"/>
      <c r="Z158" s="8" t="str" cm="1">
        <f t="array" ref="Z158:AD158">_xlfn.XLOOKUP(D158,'Customer Details'!$A$1:$A$17,'Customer Details'!$B$1:$F$17,"No such customer",0,1)</f>
        <v>Godfrey Philips India Ltd.</v>
      </c>
      <c r="AA158" s="8" t="str">
        <v>20501 Ania Ave #2</v>
      </c>
      <c r="AB158" s="8" t="str">
        <v>Salt Lake City</v>
      </c>
      <c r="AC158" s="8" t="str">
        <v>UT</v>
      </c>
      <c r="AD158" s="8" t="str">
        <v>84118</v>
      </c>
    </row>
    <row r="159" spans="1:30">
      <c r="A159" s="8" t="s">
        <v>262</v>
      </c>
      <c r="B159" s="19">
        <v>41458</v>
      </c>
      <c r="C159" s="8" t="s">
        <v>51</v>
      </c>
      <c r="D159" s="8">
        <v>10006</v>
      </c>
      <c r="E159" s="8" t="str">
        <f>VLOOKUP($D159,'Customer Details'!$A$1:$F$17,4,FALSE)</f>
        <v>Midland</v>
      </c>
      <c r="F159" s="8" t="s">
        <v>42</v>
      </c>
      <c r="G159" s="8">
        <v>1</v>
      </c>
      <c r="H159" s="2" t="str">
        <f>VLOOKUP($D159,'Customer Details'!$A$1:$F$17,MATCH('Order SUmmary'!H$2,'Customer Details'!$A$1:$F$1,0),0)</f>
        <v>Supreme Ind</v>
      </c>
      <c r="I159" s="2" t="str">
        <f>VLOOKUP($D159,'Customer Details'!$A$1:$F$17,4,0)</f>
        <v>Midland</v>
      </c>
      <c r="J159" s="2" t="str">
        <f>VLOOKUP($D159,'Customer Details'!$A$1:$F$17,6,0)</f>
        <v>79706</v>
      </c>
      <c r="K159" s="8" t="str">
        <f>VLOOKUP(VLOOKUP(D159,'Customer Details'!$A$1:$F$17,5,0),'Region INfo'!$A$1:$C$52,3,0)</f>
        <v>Western</v>
      </c>
      <c r="L159" s="8" t="str">
        <f>INDEX(Product_List,MATCH($F159,'Product List'!$B$1:$B$299,0),MATCH('Order SUmmary'!L$2,'Product List'!$A$1:$E$1,0))</f>
        <v>Staple magnet</v>
      </c>
      <c r="M159" s="8">
        <f>INDEX(Product_List,MATCH($F159,'Product List'!$B$1:$B$299,0),MATCH('Order SUmmary'!M$2,'Product List'!$A$1:$E$1,0))</f>
        <v>3993</v>
      </c>
      <c r="N159" s="8">
        <f>INDEX(Product_List,MATCH($F159,'Product List'!$B$1:$B$299,0),MATCH('Order SUmmary'!N$2,'Product List'!$A$1:$E$1,0))</f>
        <v>1338</v>
      </c>
      <c r="O159" s="8" t="str">
        <f>INDEX(Product_List,MATCH($F159,'Product List'!$B$1:$B$299,0),MATCH('Order SUmmary'!O$2,'Product List'!$A$1:$E$1,0))</f>
        <v>Storage</v>
      </c>
      <c r="P159" s="12">
        <f>HLOOKUP(C159,'Commission Criteria'!$A$2:$I$4,3,FALSE)</f>
        <v>10</v>
      </c>
      <c r="Q159" s="8">
        <f t="shared" si="7"/>
        <v>1338</v>
      </c>
      <c r="R159" s="8">
        <f t="shared" si="8"/>
        <v>3993</v>
      </c>
      <c r="S159" s="36">
        <f>VLOOKUP(R159,'Commission Criteria'!$L$3:$M$11,2,TRUE)</f>
        <v>0.01</v>
      </c>
      <c r="T159" s="36">
        <f>IF(P159&lt;5,VLOOKUP(R159,'Commission Criteria'!$L$3:$M$11,2,1),VLOOKUP('Order SUmmary'!R159,'Commission Criteria'!$P$3:$Q$11,2,1))</f>
        <v>0.02</v>
      </c>
      <c r="U159" s="36">
        <f>VLOOKUP(R159,IF(P159&lt;5,'Commission Criteria'!$L$3:$M$11,'Commission Criteria'!$P$3:$Q$11),2,1)</f>
        <v>0.02</v>
      </c>
      <c r="V159" s="8" t="s">
        <v>29</v>
      </c>
      <c r="W159" s="36">
        <f t="shared" ca="1" si="9"/>
        <v>0.03</v>
      </c>
      <c r="X159" s="8" t="str">
        <f>_xlfn.XLOOKUP(F159,'Product List'!$B$1:$B$299,'Product List'!$A$1:$A$299)</f>
        <v>Staple magnet</v>
      </c>
      <c r="Y159" s="8"/>
      <c r="Z159" s="8" t="str" cm="1">
        <f t="array" ref="Z159:AD159">_xlfn.XLOOKUP(D159,'Customer Details'!$A$1:$A$17,'Customer Details'!$B$1:$F$17,"No such customer",0,1)</f>
        <v>Supreme Ind</v>
      </c>
      <c r="AA159" s="8" t="str">
        <v>P.O. Box 1367</v>
      </c>
      <c r="AB159" s="8" t="str">
        <v>Midland</v>
      </c>
      <c r="AC159" s="8" t="str">
        <v>TX</v>
      </c>
      <c r="AD159" s="8" t="str">
        <v>79706</v>
      </c>
    </row>
    <row r="160" spans="1:30">
      <c r="A160" s="8" t="s">
        <v>264</v>
      </c>
      <c r="B160" s="19">
        <v>41458</v>
      </c>
      <c r="C160" s="8" t="s">
        <v>51</v>
      </c>
      <c r="D160" s="8">
        <v>10014</v>
      </c>
      <c r="E160" s="8" t="str">
        <f>VLOOKUP($D160,'Customer Details'!$A$1:$F$17,4,FALSE)</f>
        <v>Honolulu</v>
      </c>
      <c r="F160" s="8" t="s">
        <v>83</v>
      </c>
      <c r="G160" s="8">
        <v>2</v>
      </c>
      <c r="H160" s="2" t="str">
        <f>VLOOKUP($D160,'Customer Details'!$A$1:$F$17,MATCH('Order SUmmary'!H$2,'Customer Details'!$A$1:$F$1,0),0)</f>
        <v>Hindusthan National Glass &amp; Industries Ltd.</v>
      </c>
      <c r="I160" s="2" t="str">
        <f>VLOOKUP($D160,'Customer Details'!$A$1:$F$17,4,0)</f>
        <v>Honolulu</v>
      </c>
      <c r="J160" s="2" t="str">
        <f>VLOOKUP($D160,'Customer Details'!$A$1:$F$17,6,0)</f>
        <v>96825</v>
      </c>
      <c r="K160" s="8" t="str">
        <f>VLOOKUP(VLOOKUP(D160,'Customer Details'!$A$1:$F$17,5,0),'Region INfo'!$A$1:$C$52,3,0)</f>
        <v xml:space="preserve">Pacific   </v>
      </c>
      <c r="L160" s="8" t="str">
        <f>INDEX(Product_List,MATCH($F160,'Product List'!$B$1:$B$299,0),MATCH('Order SUmmary'!L$2,'Product List'!$A$1:$E$1,0))</f>
        <v>Xerox 211</v>
      </c>
      <c r="M160" s="8">
        <f>INDEX(Product_List,MATCH($F160,'Product List'!$B$1:$B$299,0),MATCH('Order SUmmary'!M$2,'Product List'!$A$1:$E$1,0))</f>
        <v>4291</v>
      </c>
      <c r="N160" s="8">
        <f>INDEX(Product_List,MATCH($F160,'Product List'!$B$1:$B$299,0),MATCH('Order SUmmary'!N$2,'Product List'!$A$1:$E$1,0))</f>
        <v>2021</v>
      </c>
      <c r="O160" s="8" t="str">
        <f>INDEX(Product_List,MATCH($F160,'Product List'!$B$1:$B$299,0),MATCH('Order SUmmary'!O$2,'Product List'!$A$1:$E$1,0))</f>
        <v>Paper</v>
      </c>
      <c r="P160" s="12">
        <f>HLOOKUP(C160,'Commission Criteria'!$A$2:$I$4,3,FALSE)</f>
        <v>10</v>
      </c>
      <c r="Q160" s="8">
        <f t="shared" si="7"/>
        <v>4042</v>
      </c>
      <c r="R160" s="8">
        <f t="shared" si="8"/>
        <v>8582</v>
      </c>
      <c r="S160" s="36">
        <f>VLOOKUP(R160,'Commission Criteria'!$L$3:$M$11,2,TRUE)</f>
        <v>0.03</v>
      </c>
      <c r="T160" s="36">
        <f>IF(P160&lt;5,VLOOKUP(R160,'Commission Criteria'!$L$3:$M$11,2,1),VLOOKUP('Order SUmmary'!R160,'Commission Criteria'!$P$3:$Q$11,2,1))</f>
        <v>0.02</v>
      </c>
      <c r="U160" s="36">
        <f>VLOOKUP(R160,IF(P160&lt;5,'Commission Criteria'!$L$3:$M$11,'Commission Criteria'!$P$3:$Q$11),2,1)</f>
        <v>0.02</v>
      </c>
      <c r="V160" s="8" t="s">
        <v>50</v>
      </c>
      <c r="W160" s="36">
        <f t="shared" ca="1" si="9"/>
        <v>0.03</v>
      </c>
      <c r="X160" s="8" t="str">
        <f>_xlfn.XLOOKUP(F160,'Product List'!$B$1:$B$299,'Product List'!$A$1:$A$299)</f>
        <v>Xerox 211</v>
      </c>
      <c r="Y160" s="8"/>
      <c r="Z160" s="8" t="str" cm="1">
        <f t="array" ref="Z160:AD160">_xlfn.XLOOKUP(D160,'Customer Details'!$A$1:$A$17,'Customer Details'!$B$1:$F$17,"No such customer",0,1)</f>
        <v>Hindusthan National Glass &amp; Industries Ltd.</v>
      </c>
      <c r="AA160" s="8" t="str">
        <v>11 Cathy St.</v>
      </c>
      <c r="AB160" s="8" t="str">
        <v>Honolulu</v>
      </c>
      <c r="AC160" s="8" t="str">
        <v>HI</v>
      </c>
      <c r="AD160" s="8" t="str">
        <v>96825</v>
      </c>
    </row>
    <row r="161" spans="1:30">
      <c r="A161" s="8" t="s">
        <v>261</v>
      </c>
      <c r="B161" s="19">
        <v>41458</v>
      </c>
      <c r="C161" s="8" t="s">
        <v>51</v>
      </c>
      <c r="D161" s="8">
        <v>10011</v>
      </c>
      <c r="E161" s="8" t="str">
        <f>VLOOKUP($D161,'Customer Details'!$A$1:$F$17,4,FALSE)</f>
        <v>Olympia</v>
      </c>
      <c r="F161" s="8" t="s">
        <v>265</v>
      </c>
      <c r="G161" s="8">
        <v>3</v>
      </c>
      <c r="H161" s="2" t="str">
        <f>VLOOKUP($D161,'Customer Details'!$A$1:$F$17,MATCH('Order SUmmary'!H$2,'Customer Details'!$A$1:$F$1,0),0)</f>
        <v>Sonata Software</v>
      </c>
      <c r="I161" s="2" t="str">
        <f>VLOOKUP($D161,'Customer Details'!$A$1:$F$17,4,0)</f>
        <v>Olympia</v>
      </c>
      <c r="J161" s="2" t="str">
        <f>VLOOKUP($D161,'Customer Details'!$A$1:$F$17,6,0)</f>
        <v>98502</v>
      </c>
      <c r="K161" s="8" t="str">
        <f>VLOOKUP(VLOOKUP(D161,'Customer Details'!$A$1:$F$17,5,0),'Region INfo'!$A$1:$C$52,3,0)</f>
        <v xml:space="preserve">Pacific   </v>
      </c>
      <c r="L161" s="8" t="str">
        <f>INDEX(Product_List,MATCH($F161,'Product List'!$B$1:$B$299,0),MATCH('Order SUmmary'!L$2,'Product List'!$A$1:$E$1,0))</f>
        <v>Xerox 205</v>
      </c>
      <c r="M161" s="8">
        <f>INDEX(Product_List,MATCH($F161,'Product List'!$B$1:$B$299,0),MATCH('Order SUmmary'!M$2,'Product List'!$A$1:$E$1,0))</f>
        <v>3832</v>
      </c>
      <c r="N161" s="8">
        <f>INDEX(Product_List,MATCH($F161,'Product List'!$B$1:$B$299,0),MATCH('Order SUmmary'!N$2,'Product List'!$A$1:$E$1,0))</f>
        <v>1570</v>
      </c>
      <c r="O161" s="8" t="str">
        <f>INDEX(Product_List,MATCH($F161,'Product List'!$B$1:$B$299,0),MATCH('Order SUmmary'!O$2,'Product List'!$A$1:$E$1,0))</f>
        <v>Paper</v>
      </c>
      <c r="P161" s="12">
        <f>HLOOKUP(C161,'Commission Criteria'!$A$2:$I$4,3,FALSE)</f>
        <v>10</v>
      </c>
      <c r="Q161" s="8">
        <f t="shared" si="7"/>
        <v>4710</v>
      </c>
      <c r="R161" s="8">
        <f t="shared" si="8"/>
        <v>11496</v>
      </c>
      <c r="S161" s="36">
        <f>VLOOKUP(R161,'Commission Criteria'!$L$3:$M$11,2,TRUE)</f>
        <v>0.03</v>
      </c>
      <c r="T161" s="36">
        <f>IF(P161&lt;5,VLOOKUP(R161,'Commission Criteria'!$L$3:$M$11,2,1),VLOOKUP('Order SUmmary'!R161,'Commission Criteria'!$P$3:$Q$11,2,1))</f>
        <v>0.02</v>
      </c>
      <c r="U161" s="36">
        <f>VLOOKUP(R161,IF(P161&lt;5,'Commission Criteria'!$L$3:$M$11,'Commission Criteria'!$P$3:$Q$11),2,1)</f>
        <v>0.02</v>
      </c>
      <c r="V161" s="8" t="s">
        <v>32</v>
      </c>
      <c r="W161" s="36">
        <f t="shared" ca="1" si="9"/>
        <v>0</v>
      </c>
      <c r="X161" s="8" t="str">
        <f>_xlfn.XLOOKUP(F161,'Product List'!$B$1:$B$299,'Product List'!$A$1:$A$299)</f>
        <v>Xerox 205</v>
      </c>
      <c r="Y161" s="8"/>
      <c r="Z161" s="8" t="str" cm="1">
        <f t="array" ref="Z161:AD161">_xlfn.XLOOKUP(D161,'Customer Details'!$A$1:$A$17,'Customer Details'!$B$1:$F$17,"No such customer",0,1)</f>
        <v>Sonata Software</v>
      </c>
      <c r="AA161" s="8" t="str">
        <v>1331 Kimberly Dr.</v>
      </c>
      <c r="AB161" s="8" t="str">
        <v>Olympia</v>
      </c>
      <c r="AC161" s="8" t="str">
        <v>WA</v>
      </c>
      <c r="AD161" s="8" t="str">
        <v>98502</v>
      </c>
    </row>
    <row r="162" spans="1:30">
      <c r="A162" s="8" t="s">
        <v>266</v>
      </c>
      <c r="B162" s="19">
        <v>41462</v>
      </c>
      <c r="C162" s="8" t="s">
        <v>46</v>
      </c>
      <c r="D162" s="8">
        <v>10014</v>
      </c>
      <c r="E162" s="8" t="str">
        <f>VLOOKUP($D162,'Customer Details'!$A$1:$F$17,4,FALSE)</f>
        <v>Honolulu</v>
      </c>
      <c r="F162" s="8" t="s">
        <v>184</v>
      </c>
      <c r="G162" s="8">
        <v>1</v>
      </c>
      <c r="H162" s="2" t="str">
        <f>VLOOKUP($D162,'Customer Details'!$A$1:$F$17,MATCH('Order SUmmary'!H$2,'Customer Details'!$A$1:$F$1,0),0)</f>
        <v>Hindusthan National Glass &amp; Industries Ltd.</v>
      </c>
      <c r="I162" s="2" t="str">
        <f>VLOOKUP($D162,'Customer Details'!$A$1:$F$17,4,0)</f>
        <v>Honolulu</v>
      </c>
      <c r="J162" s="2" t="str">
        <f>VLOOKUP($D162,'Customer Details'!$A$1:$F$17,6,0)</f>
        <v>96825</v>
      </c>
      <c r="K162" s="8" t="str">
        <f>VLOOKUP(VLOOKUP(D162,'Customer Details'!$A$1:$F$17,5,0),'Region INfo'!$A$1:$C$52,3,0)</f>
        <v xml:space="preserve">Pacific   </v>
      </c>
      <c r="L162" s="8" t="str">
        <f>INDEX(Product_List,MATCH($F162,'Product List'!$B$1:$B$299,0),MATCH('Order SUmmary'!L$2,'Product List'!$A$1:$E$1,0))</f>
        <v>Xerox 1983</v>
      </c>
      <c r="M162" s="8">
        <f>INDEX(Product_List,MATCH($F162,'Product List'!$B$1:$B$299,0),MATCH('Order SUmmary'!M$2,'Product List'!$A$1:$E$1,0))</f>
        <v>3514</v>
      </c>
      <c r="N162" s="8">
        <f>INDEX(Product_List,MATCH($F162,'Product List'!$B$1:$B$299,0),MATCH('Order SUmmary'!N$2,'Product List'!$A$1:$E$1,0))</f>
        <v>1257</v>
      </c>
      <c r="O162" s="8" t="str">
        <f>INDEX(Product_List,MATCH($F162,'Product List'!$B$1:$B$299,0),MATCH('Order SUmmary'!O$2,'Product List'!$A$1:$E$1,0))</f>
        <v>Paper</v>
      </c>
      <c r="P162" s="12">
        <f>HLOOKUP(C162,'Commission Criteria'!$A$2:$I$4,3,FALSE)</f>
        <v>8</v>
      </c>
      <c r="Q162" s="8">
        <f t="shared" si="7"/>
        <v>1257</v>
      </c>
      <c r="R162" s="8">
        <f t="shared" si="8"/>
        <v>3514</v>
      </c>
      <c r="S162" s="36">
        <f>VLOOKUP(R162,'Commission Criteria'!$L$3:$M$11,2,TRUE)</f>
        <v>0.01</v>
      </c>
      <c r="T162" s="36">
        <f>IF(P162&lt;5,VLOOKUP(R162,'Commission Criteria'!$L$3:$M$11,2,1),VLOOKUP('Order SUmmary'!R162,'Commission Criteria'!$P$3:$Q$11,2,1))</f>
        <v>0.02</v>
      </c>
      <c r="U162" s="36">
        <f>VLOOKUP(R162,IF(P162&lt;5,'Commission Criteria'!$L$3:$M$11,'Commission Criteria'!$P$3:$Q$11),2,1)</f>
        <v>0.02</v>
      </c>
      <c r="V162" s="8" t="s">
        <v>35</v>
      </c>
      <c r="W162" s="36">
        <f t="shared" ca="1" si="9"/>
        <v>0.03</v>
      </c>
      <c r="X162" s="8" t="str">
        <f>_xlfn.XLOOKUP(F162,'Product List'!$B$1:$B$299,'Product List'!$A$1:$A$299)</f>
        <v>Xerox 1983</v>
      </c>
      <c r="Y162" s="8"/>
      <c r="Z162" s="8" t="str" cm="1">
        <f t="array" ref="Z162:AD162">_xlfn.XLOOKUP(D162,'Customer Details'!$A$1:$A$17,'Customer Details'!$B$1:$F$17,"No such customer",0,1)</f>
        <v>Hindusthan National Glass &amp; Industries Ltd.</v>
      </c>
      <c r="AA162" s="8" t="str">
        <v>11 Cathy St.</v>
      </c>
      <c r="AB162" s="8" t="str">
        <v>Honolulu</v>
      </c>
      <c r="AC162" s="8" t="str">
        <v>HI</v>
      </c>
      <c r="AD162" s="8" t="str">
        <v>96825</v>
      </c>
    </row>
    <row r="163" spans="1:30">
      <c r="A163" s="8" t="s">
        <v>267</v>
      </c>
      <c r="B163" s="19">
        <v>41462</v>
      </c>
      <c r="C163" s="8" t="s">
        <v>46</v>
      </c>
      <c r="D163" s="8">
        <v>10015</v>
      </c>
      <c r="E163" s="8" t="str">
        <f>VLOOKUP($D163,'Customer Details'!$A$1:$F$17,4,FALSE)</f>
        <v>South Windsor</v>
      </c>
      <c r="F163" s="8" t="s">
        <v>268</v>
      </c>
      <c r="G163" s="8">
        <v>1</v>
      </c>
      <c r="H163" s="2" t="str">
        <f>VLOOKUP($D163,'Customer Details'!$A$1:$F$17,MATCH('Order SUmmary'!H$2,'Customer Details'!$A$1:$F$1,0),0)</f>
        <v>Punj Lloyd Ltd.</v>
      </c>
      <c r="I163" s="2" t="str">
        <f>VLOOKUP($D163,'Customer Details'!$A$1:$F$17,4,0)</f>
        <v>South Windsor</v>
      </c>
      <c r="J163" s="2" t="str">
        <f>VLOOKUP($D163,'Customer Details'!$A$1:$F$17,6,0)</f>
        <v>06074</v>
      </c>
      <c r="K163" s="8" t="str">
        <f>VLOOKUP(VLOOKUP(D163,'Customer Details'!$A$1:$F$17,5,0),'Region INfo'!$A$1:$C$52,3,0)</f>
        <v xml:space="preserve">Northern </v>
      </c>
      <c r="L163" s="8" t="str">
        <f>INDEX(Product_List,MATCH($F163,'Product List'!$B$1:$B$299,0),MATCH('Order SUmmary'!L$2,'Product List'!$A$1:$E$1,0))</f>
        <v>Avery 48</v>
      </c>
      <c r="M163" s="8">
        <f>INDEX(Product_List,MATCH($F163,'Product List'!$B$1:$B$299,0),MATCH('Order SUmmary'!M$2,'Product List'!$A$1:$E$1,0))</f>
        <v>3977</v>
      </c>
      <c r="N163" s="8">
        <f>INDEX(Product_List,MATCH($F163,'Product List'!$B$1:$B$299,0),MATCH('Order SUmmary'!N$2,'Product List'!$A$1:$E$1,0))</f>
        <v>2308</v>
      </c>
      <c r="O163" s="8" t="str">
        <f>INDEX(Product_List,MATCH($F163,'Product List'!$B$1:$B$299,0),MATCH('Order SUmmary'!O$2,'Product List'!$A$1:$E$1,0))</f>
        <v>Labels</v>
      </c>
      <c r="P163" s="12">
        <f>HLOOKUP(C163,'Commission Criteria'!$A$2:$I$4,3,FALSE)</f>
        <v>8</v>
      </c>
      <c r="Q163" s="8">
        <f t="shared" si="7"/>
        <v>2308</v>
      </c>
      <c r="R163" s="8">
        <f t="shared" si="8"/>
        <v>3977</v>
      </c>
      <c r="S163" s="36">
        <f>VLOOKUP(R163,'Commission Criteria'!$L$3:$M$11,2,TRUE)</f>
        <v>0.01</v>
      </c>
      <c r="T163" s="36">
        <f>IF(P163&lt;5,VLOOKUP(R163,'Commission Criteria'!$L$3:$M$11,2,1),VLOOKUP('Order SUmmary'!R163,'Commission Criteria'!$P$3:$Q$11,2,1))</f>
        <v>0.02</v>
      </c>
      <c r="U163" s="36">
        <f>VLOOKUP(R163,IF(P163&lt;5,'Commission Criteria'!$L$3:$M$11,'Commission Criteria'!$P$3:$Q$11),2,1)</f>
        <v>0.02</v>
      </c>
      <c r="V163" s="8" t="s">
        <v>29</v>
      </c>
      <c r="W163" s="36">
        <f t="shared" ca="1" si="9"/>
        <v>0</v>
      </c>
      <c r="X163" s="8" t="str">
        <f>_xlfn.XLOOKUP(F163,'Product List'!$B$1:$B$299,'Product List'!$A$1:$A$299)</f>
        <v>Avery 48</v>
      </c>
      <c r="Y163" s="8"/>
      <c r="Z163" s="8" t="str" cm="1">
        <f t="array" ref="Z163:AD163">_xlfn.XLOOKUP(D163,'Customer Details'!$A$1:$A$17,'Customer Details'!$B$1:$F$17,"No such customer",0,1)</f>
        <v>Punj Lloyd Ltd.</v>
      </c>
      <c r="AA163" s="8" t="str">
        <v>Box 3263</v>
      </c>
      <c r="AB163" s="8" t="str">
        <v>South Windsor</v>
      </c>
      <c r="AC163" s="8" t="str">
        <v>CT</v>
      </c>
      <c r="AD163" s="8" t="str">
        <v>06074</v>
      </c>
    </row>
    <row r="164" spans="1:30">
      <c r="A164" s="8" t="s">
        <v>267</v>
      </c>
      <c r="B164" s="19">
        <v>41462</v>
      </c>
      <c r="C164" s="8" t="s">
        <v>33</v>
      </c>
      <c r="D164" s="8">
        <v>10001</v>
      </c>
      <c r="E164" s="8" t="str">
        <f>VLOOKUP($D164,'Customer Details'!$A$1:$F$17,4,FALSE)</f>
        <v>New York</v>
      </c>
      <c r="F164" s="8" t="s">
        <v>269</v>
      </c>
      <c r="G164" s="8">
        <v>2</v>
      </c>
      <c r="H164" s="2" t="str">
        <f>VLOOKUP($D164,'Customer Details'!$A$1:$F$17,MATCH('Order SUmmary'!H$2,'Customer Details'!$A$1:$F$1,0),0)</f>
        <v>Chambal Fertilisers and Chemicals Ltd.</v>
      </c>
      <c r="I164" s="2" t="str">
        <f>VLOOKUP($D164,'Customer Details'!$A$1:$F$17,4,0)</f>
        <v>New York</v>
      </c>
      <c r="J164" s="2" t="str">
        <f>VLOOKUP($D164,'Customer Details'!$A$1:$F$17,6,0)</f>
        <v>10025</v>
      </c>
      <c r="K164" s="8" t="str">
        <f>VLOOKUP(VLOOKUP(D164,'Customer Details'!$A$1:$F$17,5,0),'Region INfo'!$A$1:$C$52,3,0)</f>
        <v xml:space="preserve">Northern </v>
      </c>
      <c r="L164" s="8" t="str">
        <f>INDEX(Product_List,MATCH($F164,'Product List'!$B$1:$B$299,0),MATCH('Order SUmmary'!L$2,'Product List'!$A$1:$E$1,0))</f>
        <v>Xerox 1975</v>
      </c>
      <c r="M164" s="8">
        <f>INDEX(Product_List,MATCH($F164,'Product List'!$B$1:$B$299,0),MATCH('Order SUmmary'!M$2,'Product List'!$A$1:$E$1,0))</f>
        <v>4484</v>
      </c>
      <c r="N164" s="8">
        <f>INDEX(Product_List,MATCH($F164,'Product List'!$B$1:$B$299,0),MATCH('Order SUmmary'!N$2,'Product List'!$A$1:$E$1,0))</f>
        <v>2146</v>
      </c>
      <c r="O164" s="8" t="str">
        <f>INDEX(Product_List,MATCH($F164,'Product List'!$B$1:$B$299,0),MATCH('Order SUmmary'!O$2,'Product List'!$A$1:$E$1,0))</f>
        <v>Paper</v>
      </c>
      <c r="P164" s="12">
        <f>HLOOKUP(C164,'Commission Criteria'!$A$2:$I$4,3,FALSE)</f>
        <v>1</v>
      </c>
      <c r="Q164" s="8">
        <f t="shared" si="7"/>
        <v>4292</v>
      </c>
      <c r="R164" s="8">
        <f t="shared" si="8"/>
        <v>8968</v>
      </c>
      <c r="S164" s="36">
        <f>VLOOKUP(R164,'Commission Criteria'!$L$3:$M$11,2,TRUE)</f>
        <v>0.03</v>
      </c>
      <c r="T164" s="36">
        <f>IF(P164&lt;5,VLOOKUP(R164,'Commission Criteria'!$L$3:$M$11,2,1),VLOOKUP('Order SUmmary'!R164,'Commission Criteria'!$P$3:$Q$11,2,1))</f>
        <v>0.03</v>
      </c>
      <c r="U164" s="36">
        <f>VLOOKUP(R164,IF(P164&lt;5,'Commission Criteria'!$L$3:$M$11,'Commission Criteria'!$P$3:$Q$11),2,1)</f>
        <v>0.03</v>
      </c>
      <c r="V164" s="8" t="s">
        <v>43</v>
      </c>
      <c r="W164" s="36">
        <f t="shared" ca="1" si="9"/>
        <v>0.04</v>
      </c>
      <c r="X164" s="8" t="str">
        <f>_xlfn.XLOOKUP(F164,'Product List'!$B$1:$B$299,'Product List'!$A$1:$A$299)</f>
        <v>Xerox 1975</v>
      </c>
      <c r="Y164" s="8"/>
      <c r="Z164" s="8" t="str" cm="1">
        <f t="array" ref="Z164:AD164">_xlfn.XLOOKUP(D164,'Customer Details'!$A$1:$A$17,'Customer Details'!$B$1:$F$17,"No such customer",0,1)</f>
        <v>Chambal Fertilisers and Chemicals Ltd.</v>
      </c>
      <c r="AA164" s="8" t="str">
        <v>4951 Indiana Ave.</v>
      </c>
      <c r="AB164" s="8" t="str">
        <v>New York</v>
      </c>
      <c r="AC164" s="8" t="str">
        <v>NY</v>
      </c>
      <c r="AD164" s="8" t="str">
        <v>10025</v>
      </c>
    </row>
    <row r="165" spans="1:30">
      <c r="A165" s="8" t="s">
        <v>270</v>
      </c>
      <c r="B165" s="19">
        <v>41464</v>
      </c>
      <c r="C165" s="8" t="s">
        <v>66</v>
      </c>
      <c r="D165" s="8">
        <v>10011</v>
      </c>
      <c r="E165" s="8" t="str">
        <f>VLOOKUP($D165,'Customer Details'!$A$1:$F$17,4,FALSE)</f>
        <v>Olympia</v>
      </c>
      <c r="F165" s="8" t="s">
        <v>39</v>
      </c>
      <c r="G165" s="8">
        <v>1</v>
      </c>
      <c r="H165" s="2" t="str">
        <f>VLOOKUP($D165,'Customer Details'!$A$1:$F$17,MATCH('Order SUmmary'!H$2,'Customer Details'!$A$1:$F$1,0),0)</f>
        <v>Sonata Software</v>
      </c>
      <c r="I165" s="2" t="str">
        <f>VLOOKUP($D165,'Customer Details'!$A$1:$F$17,4,0)</f>
        <v>Olympia</v>
      </c>
      <c r="J165" s="2" t="str">
        <f>VLOOKUP($D165,'Customer Details'!$A$1:$F$17,6,0)</f>
        <v>98502</v>
      </c>
      <c r="K165" s="8" t="str">
        <f>VLOOKUP(VLOOKUP(D165,'Customer Details'!$A$1:$F$17,5,0),'Region INfo'!$A$1:$C$52,3,0)</f>
        <v xml:space="preserve">Pacific   </v>
      </c>
      <c r="L165" s="8" t="str">
        <f>INDEX(Product_List,MATCH($F165,'Product List'!$B$1:$B$299,0),MATCH('Order SUmmary'!L$2,'Product List'!$A$1:$E$1,0))</f>
        <v>Xerox 1890</v>
      </c>
      <c r="M165" s="8">
        <f>INDEX(Product_List,MATCH($F165,'Product List'!$B$1:$B$299,0),MATCH('Order SUmmary'!M$2,'Product List'!$A$1:$E$1,0))</f>
        <v>3878</v>
      </c>
      <c r="N165" s="8">
        <f>INDEX(Product_List,MATCH($F165,'Product List'!$B$1:$B$299,0),MATCH('Order SUmmary'!N$2,'Product List'!$A$1:$E$1,0))</f>
        <v>2236</v>
      </c>
      <c r="O165" s="8" t="str">
        <f>INDEX(Product_List,MATCH($F165,'Product List'!$B$1:$B$299,0),MATCH('Order SUmmary'!O$2,'Product List'!$A$1:$E$1,0))</f>
        <v>Paper</v>
      </c>
      <c r="P165" s="12">
        <f>HLOOKUP(C165,'Commission Criteria'!$A$2:$I$4,3,FALSE)</f>
        <v>5</v>
      </c>
      <c r="Q165" s="8">
        <f t="shared" si="7"/>
        <v>2236</v>
      </c>
      <c r="R165" s="8">
        <f t="shared" si="8"/>
        <v>3878</v>
      </c>
      <c r="S165" s="36">
        <f>VLOOKUP(R165,'Commission Criteria'!$L$3:$M$11,2,TRUE)</f>
        <v>0.01</v>
      </c>
      <c r="T165" s="36">
        <f>IF(P165&lt;5,VLOOKUP(R165,'Commission Criteria'!$L$3:$M$11,2,1),VLOOKUP('Order SUmmary'!R165,'Commission Criteria'!$P$3:$Q$11,2,1))</f>
        <v>0.02</v>
      </c>
      <c r="U165" s="36">
        <f>VLOOKUP(R165,IF(P165&lt;5,'Commission Criteria'!$L$3:$M$11,'Commission Criteria'!$P$3:$Q$11),2,1)</f>
        <v>0.02</v>
      </c>
      <c r="V165" s="8" t="s">
        <v>50</v>
      </c>
      <c r="W165" s="36">
        <f t="shared" ca="1" si="9"/>
        <v>0.03</v>
      </c>
      <c r="X165" s="8" t="str">
        <f>_xlfn.XLOOKUP(F165,'Product List'!$B$1:$B$299,'Product List'!$A$1:$A$299)</f>
        <v>Xerox 1890</v>
      </c>
      <c r="Y165" s="8"/>
      <c r="Z165" s="8" t="str" cm="1">
        <f t="array" ref="Z165:AD165">_xlfn.XLOOKUP(D165,'Customer Details'!$A$1:$A$17,'Customer Details'!$B$1:$F$17,"No such customer",0,1)</f>
        <v>Sonata Software</v>
      </c>
      <c r="AA165" s="8" t="str">
        <v>1331 Kimberly Dr.</v>
      </c>
      <c r="AB165" s="8" t="str">
        <v>Olympia</v>
      </c>
      <c r="AC165" s="8" t="str">
        <v>WA</v>
      </c>
      <c r="AD165" s="8" t="str">
        <v>98502</v>
      </c>
    </row>
    <row r="166" spans="1:30">
      <c r="A166" s="8" t="s">
        <v>270</v>
      </c>
      <c r="B166" s="19">
        <v>41464</v>
      </c>
      <c r="C166" s="8" t="s">
        <v>51</v>
      </c>
      <c r="D166" s="8">
        <v>10007</v>
      </c>
      <c r="E166" s="8" t="str">
        <f>VLOOKUP($D166,'Customer Details'!$A$1:$F$17,4,FALSE)</f>
        <v>Richmond</v>
      </c>
      <c r="F166" s="8" t="s">
        <v>128</v>
      </c>
      <c r="G166" s="8">
        <v>2</v>
      </c>
      <c r="H166" s="2" t="str">
        <f>VLOOKUP($D166,'Customer Details'!$A$1:$F$17,MATCH('Order SUmmary'!H$2,'Customer Details'!$A$1:$F$1,0),0)</f>
        <v>GHCL Ltd.</v>
      </c>
      <c r="I166" s="2" t="str">
        <f>VLOOKUP($D166,'Customer Details'!$A$1:$F$17,4,0)</f>
        <v>Richmond</v>
      </c>
      <c r="J166" s="2" t="str">
        <f>VLOOKUP($D166,'Customer Details'!$A$1:$F$17,6,0)</f>
        <v>94805</v>
      </c>
      <c r="K166" s="8" t="str">
        <f>VLOOKUP(VLOOKUP(D166,'Customer Details'!$A$1:$F$17,5,0),'Region INfo'!$A$1:$C$52,3,0)</f>
        <v xml:space="preserve">Pacific   </v>
      </c>
      <c r="L166" s="8" t="str">
        <f>INDEX(Product_List,MATCH($F166,'Product List'!$B$1:$B$299,0),MATCH('Order SUmmary'!L$2,'Product List'!$A$1:$E$1,0))</f>
        <v>Xerox 19</v>
      </c>
      <c r="M166" s="8">
        <f>INDEX(Product_List,MATCH($F166,'Product List'!$B$1:$B$299,0),MATCH('Order SUmmary'!M$2,'Product List'!$A$1:$E$1,0))</f>
        <v>4845</v>
      </c>
      <c r="N166" s="8">
        <f>INDEX(Product_List,MATCH($F166,'Product List'!$B$1:$B$299,0),MATCH('Order SUmmary'!N$2,'Product List'!$A$1:$E$1,0))</f>
        <v>1433</v>
      </c>
      <c r="O166" s="8" t="str">
        <f>INDEX(Product_List,MATCH($F166,'Product List'!$B$1:$B$299,0),MATCH('Order SUmmary'!O$2,'Product List'!$A$1:$E$1,0))</f>
        <v>Paper</v>
      </c>
      <c r="P166" s="12">
        <f>HLOOKUP(C166,'Commission Criteria'!$A$2:$I$4,3,FALSE)</f>
        <v>10</v>
      </c>
      <c r="Q166" s="8">
        <f t="shared" si="7"/>
        <v>2866</v>
      </c>
      <c r="R166" s="8">
        <f t="shared" si="8"/>
        <v>9690</v>
      </c>
      <c r="S166" s="36">
        <f>VLOOKUP(R166,'Commission Criteria'!$L$3:$M$11,2,TRUE)</f>
        <v>0.03</v>
      </c>
      <c r="T166" s="36">
        <f>IF(P166&lt;5,VLOOKUP(R166,'Commission Criteria'!$L$3:$M$11,2,1),VLOOKUP('Order SUmmary'!R166,'Commission Criteria'!$P$3:$Q$11,2,1))</f>
        <v>0.02</v>
      </c>
      <c r="U166" s="36">
        <f>VLOOKUP(R166,IF(P166&lt;5,'Commission Criteria'!$L$3:$M$11,'Commission Criteria'!$P$3:$Q$11),2,1)</f>
        <v>0.02</v>
      </c>
      <c r="V166" s="8" t="s">
        <v>29</v>
      </c>
      <c r="W166" s="36">
        <f t="shared" ca="1" si="9"/>
        <v>0.01</v>
      </c>
      <c r="X166" s="8" t="str">
        <f>_xlfn.XLOOKUP(F166,'Product List'!$B$1:$B$299,'Product List'!$A$1:$A$299)</f>
        <v>Xerox 19</v>
      </c>
      <c r="Y166" s="8"/>
      <c r="Z166" s="8" t="str" cm="1">
        <f t="array" ref="Z166:AD166">_xlfn.XLOOKUP(D166,'Customer Details'!$A$1:$A$17,'Customer Details'!$B$1:$F$17,"No such customer",0,1)</f>
        <v>GHCL Ltd.</v>
      </c>
      <c r="AA166" s="8" t="str">
        <v>58 Clarence St</v>
      </c>
      <c r="AB166" s="8" t="str">
        <v>Richmond</v>
      </c>
      <c r="AC166" s="8" t="str">
        <v>CA</v>
      </c>
      <c r="AD166" s="8" t="str">
        <v>94805</v>
      </c>
    </row>
    <row r="167" spans="1:30">
      <c r="A167" s="8" t="s">
        <v>271</v>
      </c>
      <c r="B167" s="19">
        <v>41465</v>
      </c>
      <c r="C167" s="8" t="s">
        <v>66</v>
      </c>
      <c r="D167" s="8">
        <v>10015</v>
      </c>
      <c r="E167" s="8" t="str">
        <f>VLOOKUP($D167,'Customer Details'!$A$1:$F$17,4,FALSE)</f>
        <v>South Windsor</v>
      </c>
      <c r="F167" s="8" t="s">
        <v>112</v>
      </c>
      <c r="G167" s="8">
        <v>2</v>
      </c>
      <c r="H167" s="2" t="str">
        <f>VLOOKUP($D167,'Customer Details'!$A$1:$F$17,MATCH('Order SUmmary'!H$2,'Customer Details'!$A$1:$F$1,0),0)</f>
        <v>Punj Lloyd Ltd.</v>
      </c>
      <c r="I167" s="2" t="str">
        <f>VLOOKUP($D167,'Customer Details'!$A$1:$F$17,4,0)</f>
        <v>South Windsor</v>
      </c>
      <c r="J167" s="2" t="str">
        <f>VLOOKUP($D167,'Customer Details'!$A$1:$F$17,6,0)</f>
        <v>06074</v>
      </c>
      <c r="K167" s="8" t="str">
        <f>VLOOKUP(VLOOKUP(D167,'Customer Details'!$A$1:$F$17,5,0),'Region INfo'!$A$1:$C$52,3,0)</f>
        <v xml:space="preserve">Northern </v>
      </c>
      <c r="L167" s="8" t="str">
        <f>INDEX(Product_List,MATCH($F167,'Product List'!$B$1:$B$299,0),MATCH('Order SUmmary'!L$2,'Product List'!$A$1:$E$1,0))</f>
        <v>Newell 317</v>
      </c>
      <c r="M167" s="8">
        <f>INDEX(Product_List,MATCH($F167,'Product List'!$B$1:$B$299,0),MATCH('Order SUmmary'!M$2,'Product List'!$A$1:$E$1,0))</f>
        <v>4891</v>
      </c>
      <c r="N167" s="8">
        <f>INDEX(Product_List,MATCH($F167,'Product List'!$B$1:$B$299,0),MATCH('Order SUmmary'!N$2,'Product List'!$A$1:$E$1,0))</f>
        <v>1745</v>
      </c>
      <c r="O167" s="8" t="str">
        <f>INDEX(Product_List,MATCH($F167,'Product List'!$B$1:$B$299,0),MATCH('Order SUmmary'!O$2,'Product List'!$A$1:$E$1,0))</f>
        <v>Art</v>
      </c>
      <c r="P167" s="12">
        <f>HLOOKUP(C167,'Commission Criteria'!$A$2:$I$4,3,FALSE)</f>
        <v>5</v>
      </c>
      <c r="Q167" s="8">
        <f t="shared" si="7"/>
        <v>3490</v>
      </c>
      <c r="R167" s="8">
        <f t="shared" si="8"/>
        <v>9782</v>
      </c>
      <c r="S167" s="36">
        <f>VLOOKUP(R167,'Commission Criteria'!$L$3:$M$11,2,TRUE)</f>
        <v>0.03</v>
      </c>
      <c r="T167" s="36">
        <f>IF(P167&lt;5,VLOOKUP(R167,'Commission Criteria'!$L$3:$M$11,2,1),VLOOKUP('Order SUmmary'!R167,'Commission Criteria'!$P$3:$Q$11,2,1))</f>
        <v>0.02</v>
      </c>
      <c r="U167" s="36">
        <f>VLOOKUP(R167,IF(P167&lt;5,'Commission Criteria'!$L$3:$M$11,'Commission Criteria'!$P$3:$Q$11),2,1)</f>
        <v>0.02</v>
      </c>
      <c r="V167" s="8" t="s">
        <v>35</v>
      </c>
      <c r="W167" s="36">
        <f t="shared" ca="1" si="9"/>
        <v>0.04</v>
      </c>
      <c r="X167" s="8" t="str">
        <f>_xlfn.XLOOKUP(F167,'Product List'!$B$1:$B$299,'Product List'!$A$1:$A$299)</f>
        <v>Newell 317</v>
      </c>
      <c r="Y167" s="8"/>
      <c r="Z167" s="8" t="str" cm="1">
        <f t="array" ref="Z167:AD167">_xlfn.XLOOKUP(D167,'Customer Details'!$A$1:$A$17,'Customer Details'!$B$1:$F$17,"No such customer",0,1)</f>
        <v>Punj Lloyd Ltd.</v>
      </c>
      <c r="AA167" s="8" t="str">
        <v>Box 3263</v>
      </c>
      <c r="AB167" s="8" t="str">
        <v>South Windsor</v>
      </c>
      <c r="AC167" s="8" t="str">
        <v>CT</v>
      </c>
      <c r="AD167" s="8" t="str">
        <v>06074</v>
      </c>
    </row>
    <row r="168" spans="1:30">
      <c r="A168" s="8" t="s">
        <v>272</v>
      </c>
      <c r="B168" s="19">
        <v>41467</v>
      </c>
      <c r="C168" s="8" t="s">
        <v>66</v>
      </c>
      <c r="D168" s="8">
        <v>10002</v>
      </c>
      <c r="E168" s="8" t="str">
        <f>VLOOKUP($D168,'Customer Details'!$A$1:$F$17,4,FALSE)</f>
        <v>Omaha</v>
      </c>
      <c r="F168" s="8" t="s">
        <v>269</v>
      </c>
      <c r="G168" s="8">
        <v>1</v>
      </c>
      <c r="H168" s="2" t="str">
        <f>VLOOKUP($D168,'Customer Details'!$A$1:$F$17,MATCH('Order SUmmary'!H$2,'Customer Details'!$A$1:$F$1,0),0)</f>
        <v>Elder Pharmaceuticals</v>
      </c>
      <c r="I168" s="2" t="str">
        <f>VLOOKUP($D168,'Customer Details'!$A$1:$F$17,4,0)</f>
        <v>Omaha</v>
      </c>
      <c r="J168" s="2" t="str">
        <f>VLOOKUP($D168,'Customer Details'!$A$1:$F$17,6,0)</f>
        <v>68127</v>
      </c>
      <c r="K168" s="8" t="str">
        <f>VLOOKUP(VLOOKUP(D168,'Customer Details'!$A$1:$F$17,5,0),'Region INfo'!$A$1:$C$52,3,0)</f>
        <v>Western</v>
      </c>
      <c r="L168" s="8" t="str">
        <f>INDEX(Product_List,MATCH($F168,'Product List'!$B$1:$B$299,0),MATCH('Order SUmmary'!L$2,'Product List'!$A$1:$E$1,0))</f>
        <v>Xerox 1975</v>
      </c>
      <c r="M168" s="8">
        <f>INDEX(Product_List,MATCH($F168,'Product List'!$B$1:$B$299,0),MATCH('Order SUmmary'!M$2,'Product List'!$A$1:$E$1,0))</f>
        <v>4484</v>
      </c>
      <c r="N168" s="8">
        <f>INDEX(Product_List,MATCH($F168,'Product List'!$B$1:$B$299,0),MATCH('Order SUmmary'!N$2,'Product List'!$A$1:$E$1,0))</f>
        <v>2146</v>
      </c>
      <c r="O168" s="8" t="str">
        <f>INDEX(Product_List,MATCH($F168,'Product List'!$B$1:$B$299,0),MATCH('Order SUmmary'!O$2,'Product List'!$A$1:$E$1,0))</f>
        <v>Paper</v>
      </c>
      <c r="P168" s="12">
        <f>HLOOKUP(C168,'Commission Criteria'!$A$2:$I$4,3,FALSE)</f>
        <v>5</v>
      </c>
      <c r="Q168" s="8">
        <f t="shared" si="7"/>
        <v>2146</v>
      </c>
      <c r="R168" s="8">
        <f t="shared" si="8"/>
        <v>4484</v>
      </c>
      <c r="S168" s="36">
        <f>VLOOKUP(R168,'Commission Criteria'!$L$3:$M$11,2,TRUE)</f>
        <v>0.01</v>
      </c>
      <c r="T168" s="36">
        <f>IF(P168&lt;5,VLOOKUP(R168,'Commission Criteria'!$L$3:$M$11,2,1),VLOOKUP('Order SUmmary'!R168,'Commission Criteria'!$P$3:$Q$11,2,1))</f>
        <v>0.02</v>
      </c>
      <c r="U168" s="36">
        <f>VLOOKUP(R168,IF(P168&lt;5,'Commission Criteria'!$L$3:$M$11,'Commission Criteria'!$P$3:$Q$11),2,1)</f>
        <v>0.02</v>
      </c>
      <c r="V168" s="8" t="s">
        <v>43</v>
      </c>
      <c r="W168" s="36">
        <f t="shared" ca="1" si="9"/>
        <v>0.04</v>
      </c>
      <c r="X168" s="8" t="str">
        <f>_xlfn.XLOOKUP(F168,'Product List'!$B$1:$B$299,'Product List'!$A$1:$A$299)</f>
        <v>Xerox 1975</v>
      </c>
      <c r="Y168" s="8"/>
      <c r="Z168" s="8" t="str" cm="1">
        <f t="array" ref="Z168:AD168">_xlfn.XLOOKUP(D168,'Customer Details'!$A$1:$A$17,'Customer Details'!$B$1:$F$17,"No such customer",0,1)</f>
        <v>Elder Pharmaceuticals</v>
      </c>
      <c r="AA168" s="8" t="str">
        <v>57 Neriba Cres</v>
      </c>
      <c r="AB168" s="8" t="str">
        <v>Omaha</v>
      </c>
      <c r="AC168" s="8" t="str">
        <v>NE</v>
      </c>
      <c r="AD168" s="8" t="str">
        <v>68127</v>
      </c>
    </row>
    <row r="169" spans="1:30">
      <c r="A169" s="8" t="s">
        <v>273</v>
      </c>
      <c r="B169" s="19">
        <v>41467</v>
      </c>
      <c r="C169" s="8" t="s">
        <v>54</v>
      </c>
      <c r="D169" s="8">
        <v>10007</v>
      </c>
      <c r="E169" s="8" t="str">
        <f>VLOOKUP($D169,'Customer Details'!$A$1:$F$17,4,FALSE)</f>
        <v>Richmond</v>
      </c>
      <c r="F169" s="8" t="s">
        <v>143</v>
      </c>
      <c r="G169" s="8">
        <v>3</v>
      </c>
      <c r="H169" s="2" t="str">
        <f>VLOOKUP($D169,'Customer Details'!$A$1:$F$17,MATCH('Order SUmmary'!H$2,'Customer Details'!$A$1:$F$1,0),0)</f>
        <v>GHCL Ltd.</v>
      </c>
      <c r="I169" s="2" t="str">
        <f>VLOOKUP($D169,'Customer Details'!$A$1:$F$17,4,0)</f>
        <v>Richmond</v>
      </c>
      <c r="J169" s="2" t="str">
        <f>VLOOKUP($D169,'Customer Details'!$A$1:$F$17,6,0)</f>
        <v>94805</v>
      </c>
      <c r="K169" s="8" t="str">
        <f>VLOOKUP(VLOOKUP(D169,'Customer Details'!$A$1:$F$17,5,0),'Region INfo'!$A$1:$C$52,3,0)</f>
        <v xml:space="preserve">Pacific   </v>
      </c>
      <c r="L169" s="8" t="str">
        <f>INDEX(Product_List,MATCH($F169,'Product List'!$B$1:$B$299,0),MATCH('Order SUmmary'!L$2,'Product List'!$A$1:$E$1,0))</f>
        <v>Xerox 1932</v>
      </c>
      <c r="M169" s="8">
        <f>INDEX(Product_List,MATCH($F169,'Product List'!$B$1:$B$299,0),MATCH('Order SUmmary'!M$2,'Product List'!$A$1:$E$1,0))</f>
        <v>4309</v>
      </c>
      <c r="N169" s="8">
        <f>INDEX(Product_List,MATCH($F169,'Product List'!$B$1:$B$299,0),MATCH('Order SUmmary'!N$2,'Product List'!$A$1:$E$1,0))</f>
        <v>1779</v>
      </c>
      <c r="O169" s="8" t="str">
        <f>INDEX(Product_List,MATCH($F169,'Product List'!$B$1:$B$299,0),MATCH('Order SUmmary'!O$2,'Product List'!$A$1:$E$1,0))</f>
        <v>Paper</v>
      </c>
      <c r="P169" s="12">
        <f>HLOOKUP(C169,'Commission Criteria'!$A$2:$I$4,3,FALSE)</f>
        <v>3</v>
      </c>
      <c r="Q169" s="8">
        <f t="shared" si="7"/>
        <v>5337</v>
      </c>
      <c r="R169" s="8">
        <f t="shared" si="8"/>
        <v>12927</v>
      </c>
      <c r="S169" s="36">
        <f>VLOOKUP(R169,'Commission Criteria'!$L$3:$M$11,2,TRUE)</f>
        <v>0.03</v>
      </c>
      <c r="T169" s="36">
        <f>IF(P169&lt;5,VLOOKUP(R169,'Commission Criteria'!$L$3:$M$11,2,1),VLOOKUP('Order SUmmary'!R169,'Commission Criteria'!$P$3:$Q$11,2,1))</f>
        <v>0.03</v>
      </c>
      <c r="U169" s="36">
        <f>VLOOKUP(R169,IF(P169&lt;5,'Commission Criteria'!$L$3:$M$11,'Commission Criteria'!$P$3:$Q$11),2,1)</f>
        <v>0.03</v>
      </c>
      <c r="V169" s="8" t="s">
        <v>40</v>
      </c>
      <c r="W169" s="36">
        <f t="shared" ca="1" si="9"/>
        <v>0.01</v>
      </c>
      <c r="X169" s="8" t="str">
        <f>_xlfn.XLOOKUP(F169,'Product List'!$B$1:$B$299,'Product List'!$A$1:$A$299)</f>
        <v>Xerox 1932</v>
      </c>
      <c r="Y169" s="8"/>
      <c r="Z169" s="8" t="str" cm="1">
        <f t="array" ref="Z169:AD169">_xlfn.XLOOKUP(D169,'Customer Details'!$A$1:$A$17,'Customer Details'!$B$1:$F$17,"No such customer",0,1)</f>
        <v>GHCL Ltd.</v>
      </c>
      <c r="AA169" s="8" t="str">
        <v>58 Clarence St</v>
      </c>
      <c r="AB169" s="8" t="str">
        <v>Richmond</v>
      </c>
      <c r="AC169" s="8" t="str">
        <v>CA</v>
      </c>
      <c r="AD169" s="8" t="str">
        <v>94805</v>
      </c>
    </row>
    <row r="170" spans="1:30">
      <c r="A170" s="8" t="s">
        <v>274</v>
      </c>
      <c r="B170" s="19">
        <v>41468</v>
      </c>
      <c r="C170" s="8" t="s">
        <v>51</v>
      </c>
      <c r="D170" s="8">
        <v>10011</v>
      </c>
      <c r="E170" s="8" t="str">
        <f>VLOOKUP($D170,'Customer Details'!$A$1:$F$17,4,FALSE)</f>
        <v>Olympia</v>
      </c>
      <c r="F170" s="8" t="s">
        <v>275</v>
      </c>
      <c r="G170" s="8">
        <v>3</v>
      </c>
      <c r="H170" s="2" t="str">
        <f>VLOOKUP($D170,'Customer Details'!$A$1:$F$17,MATCH('Order SUmmary'!H$2,'Customer Details'!$A$1:$F$1,0),0)</f>
        <v>Sonata Software</v>
      </c>
      <c r="I170" s="2" t="str">
        <f>VLOOKUP($D170,'Customer Details'!$A$1:$F$17,4,0)</f>
        <v>Olympia</v>
      </c>
      <c r="J170" s="2" t="str">
        <f>VLOOKUP($D170,'Customer Details'!$A$1:$F$17,6,0)</f>
        <v>98502</v>
      </c>
      <c r="K170" s="8" t="str">
        <f>VLOOKUP(VLOOKUP(D170,'Customer Details'!$A$1:$F$17,5,0),'Region INfo'!$A$1:$C$52,3,0)</f>
        <v xml:space="preserve">Pacific   </v>
      </c>
      <c r="L170" s="8" t="str">
        <f>INDEX(Product_List,MATCH($F170,'Product List'!$B$1:$B$299,0),MATCH('Order SUmmary'!L$2,'Product List'!$A$1:$E$1,0))</f>
        <v>Xerox 218</v>
      </c>
      <c r="M170" s="8">
        <f>INDEX(Product_List,MATCH($F170,'Product List'!$B$1:$B$299,0),MATCH('Order SUmmary'!M$2,'Product List'!$A$1:$E$1,0))</f>
        <v>4239</v>
      </c>
      <c r="N170" s="8">
        <f>INDEX(Product_List,MATCH($F170,'Product List'!$B$1:$B$299,0),MATCH('Order SUmmary'!N$2,'Product List'!$A$1:$E$1,0))</f>
        <v>1860</v>
      </c>
      <c r="O170" s="8" t="str">
        <f>INDEX(Product_List,MATCH($F170,'Product List'!$B$1:$B$299,0),MATCH('Order SUmmary'!O$2,'Product List'!$A$1:$E$1,0))</f>
        <v>Paper</v>
      </c>
      <c r="P170" s="12">
        <f>HLOOKUP(C170,'Commission Criteria'!$A$2:$I$4,3,FALSE)</f>
        <v>10</v>
      </c>
      <c r="Q170" s="8">
        <f t="shared" si="7"/>
        <v>5580</v>
      </c>
      <c r="R170" s="8">
        <f t="shared" si="8"/>
        <v>12717</v>
      </c>
      <c r="S170" s="36">
        <f>VLOOKUP(R170,'Commission Criteria'!$L$3:$M$11,2,TRUE)</f>
        <v>0.03</v>
      </c>
      <c r="T170" s="36">
        <f>IF(P170&lt;5,VLOOKUP(R170,'Commission Criteria'!$L$3:$M$11,2,1),VLOOKUP('Order SUmmary'!R170,'Commission Criteria'!$P$3:$Q$11,2,1))</f>
        <v>0.02</v>
      </c>
      <c r="U170" s="36">
        <f>VLOOKUP(R170,IF(P170&lt;5,'Commission Criteria'!$L$3:$M$11,'Commission Criteria'!$P$3:$Q$11),2,1)</f>
        <v>0.02</v>
      </c>
      <c r="V170" s="8" t="s">
        <v>35</v>
      </c>
      <c r="W170" s="36">
        <f t="shared" ca="1" si="9"/>
        <v>0</v>
      </c>
      <c r="X170" s="8" t="str">
        <f>_xlfn.XLOOKUP(F170,'Product List'!$B$1:$B$299,'Product List'!$A$1:$A$299)</f>
        <v>Xerox 218</v>
      </c>
      <c r="Y170" s="8"/>
      <c r="Z170" s="8" t="str" cm="1">
        <f t="array" ref="Z170:AD170">_xlfn.XLOOKUP(D170,'Customer Details'!$A$1:$A$17,'Customer Details'!$B$1:$F$17,"No such customer",0,1)</f>
        <v>Sonata Software</v>
      </c>
      <c r="AA170" s="8" t="str">
        <v>1331 Kimberly Dr.</v>
      </c>
      <c r="AB170" s="8" t="str">
        <v>Olympia</v>
      </c>
      <c r="AC170" s="8" t="str">
        <v>WA</v>
      </c>
      <c r="AD170" s="8" t="str">
        <v>98502</v>
      </c>
    </row>
    <row r="171" spans="1:30">
      <c r="A171" s="8" t="s">
        <v>276</v>
      </c>
      <c r="B171" s="19">
        <v>41469</v>
      </c>
      <c r="C171" s="8" t="s">
        <v>46</v>
      </c>
      <c r="D171" s="8">
        <v>10014</v>
      </c>
      <c r="E171" s="8" t="str">
        <f>VLOOKUP($D171,'Customer Details'!$A$1:$F$17,4,FALSE)</f>
        <v>Honolulu</v>
      </c>
      <c r="F171" s="8" t="s">
        <v>277</v>
      </c>
      <c r="G171" s="8">
        <v>2</v>
      </c>
      <c r="H171" s="2" t="str">
        <f>VLOOKUP($D171,'Customer Details'!$A$1:$F$17,MATCH('Order SUmmary'!H$2,'Customer Details'!$A$1:$F$1,0),0)</f>
        <v>Hindusthan National Glass &amp; Industries Ltd.</v>
      </c>
      <c r="I171" s="2" t="str">
        <f>VLOOKUP($D171,'Customer Details'!$A$1:$F$17,4,0)</f>
        <v>Honolulu</v>
      </c>
      <c r="J171" s="2" t="str">
        <f>VLOOKUP($D171,'Customer Details'!$A$1:$F$17,6,0)</f>
        <v>96825</v>
      </c>
      <c r="K171" s="8" t="str">
        <f>VLOOKUP(VLOOKUP(D171,'Customer Details'!$A$1:$F$17,5,0),'Region INfo'!$A$1:$C$52,3,0)</f>
        <v xml:space="preserve">Pacific   </v>
      </c>
      <c r="L171" s="8" t="str">
        <f>INDEX(Product_List,MATCH($F171,'Product List'!$B$1:$B$299,0),MATCH('Order SUmmary'!L$2,'Product List'!$A$1:$E$1,0))</f>
        <v>Xerox 1946</v>
      </c>
      <c r="M171" s="8">
        <f>INDEX(Product_List,MATCH($F171,'Product List'!$B$1:$B$299,0),MATCH('Order SUmmary'!M$2,'Product List'!$A$1:$E$1,0))</f>
        <v>2576</v>
      </c>
      <c r="N171" s="8">
        <f>INDEX(Product_List,MATCH($F171,'Product List'!$B$1:$B$299,0),MATCH('Order SUmmary'!N$2,'Product List'!$A$1:$E$1,0))</f>
        <v>1826</v>
      </c>
      <c r="O171" s="8" t="str">
        <f>INDEX(Product_List,MATCH($F171,'Product List'!$B$1:$B$299,0),MATCH('Order SUmmary'!O$2,'Product List'!$A$1:$E$1,0))</f>
        <v>Paper</v>
      </c>
      <c r="P171" s="12">
        <f>HLOOKUP(C171,'Commission Criteria'!$A$2:$I$4,3,FALSE)</f>
        <v>8</v>
      </c>
      <c r="Q171" s="8">
        <f t="shared" si="7"/>
        <v>3652</v>
      </c>
      <c r="R171" s="8">
        <f t="shared" si="8"/>
        <v>5152</v>
      </c>
      <c r="S171" s="36">
        <f>VLOOKUP(R171,'Commission Criteria'!$L$3:$M$11,2,TRUE)</f>
        <v>0.03</v>
      </c>
      <c r="T171" s="36">
        <f>IF(P171&lt;5,VLOOKUP(R171,'Commission Criteria'!$L$3:$M$11,2,1),VLOOKUP('Order SUmmary'!R171,'Commission Criteria'!$P$3:$Q$11,2,1))</f>
        <v>0.02</v>
      </c>
      <c r="U171" s="36">
        <f>VLOOKUP(R171,IF(P171&lt;5,'Commission Criteria'!$L$3:$M$11,'Commission Criteria'!$P$3:$Q$11),2,1)</f>
        <v>0.02</v>
      </c>
      <c r="V171" s="8" t="s">
        <v>43</v>
      </c>
      <c r="W171" s="36">
        <f t="shared" ca="1" si="9"/>
        <v>0.02</v>
      </c>
      <c r="X171" s="8" t="str">
        <f>_xlfn.XLOOKUP(F171,'Product List'!$B$1:$B$299,'Product List'!$A$1:$A$299)</f>
        <v>Xerox 1946</v>
      </c>
      <c r="Y171" s="8"/>
      <c r="Z171" s="8" t="str" cm="1">
        <f t="array" ref="Z171:AD171">_xlfn.XLOOKUP(D171,'Customer Details'!$A$1:$A$17,'Customer Details'!$B$1:$F$17,"No such customer",0,1)</f>
        <v>Hindusthan National Glass &amp; Industries Ltd.</v>
      </c>
      <c r="AA171" s="8" t="str">
        <v>11 Cathy St.</v>
      </c>
      <c r="AB171" s="8" t="str">
        <v>Honolulu</v>
      </c>
      <c r="AC171" s="8" t="str">
        <v>HI</v>
      </c>
      <c r="AD171" s="8" t="str">
        <v>96825</v>
      </c>
    </row>
    <row r="172" spans="1:30">
      <c r="A172" s="8" t="s">
        <v>278</v>
      </c>
      <c r="B172" s="19">
        <v>41472</v>
      </c>
      <c r="C172" s="8" t="s">
        <v>51</v>
      </c>
      <c r="D172" s="8">
        <v>10002</v>
      </c>
      <c r="E172" s="8" t="str">
        <f>VLOOKUP($D172,'Customer Details'!$A$1:$F$17,4,FALSE)</f>
        <v>Omaha</v>
      </c>
      <c r="F172" s="8" t="s">
        <v>118</v>
      </c>
      <c r="G172" s="8">
        <v>1</v>
      </c>
      <c r="H172" s="2" t="str">
        <f>VLOOKUP($D172,'Customer Details'!$A$1:$F$17,MATCH('Order SUmmary'!H$2,'Customer Details'!$A$1:$F$1,0),0)</f>
        <v>Elder Pharmaceuticals</v>
      </c>
      <c r="I172" s="2" t="str">
        <f>VLOOKUP($D172,'Customer Details'!$A$1:$F$17,4,0)</f>
        <v>Omaha</v>
      </c>
      <c r="J172" s="2" t="str">
        <f>VLOOKUP($D172,'Customer Details'!$A$1:$F$17,6,0)</f>
        <v>68127</v>
      </c>
      <c r="K172" s="8" t="str">
        <f>VLOOKUP(VLOOKUP(D172,'Customer Details'!$A$1:$F$17,5,0),'Region INfo'!$A$1:$C$52,3,0)</f>
        <v>Western</v>
      </c>
      <c r="L172" s="8" t="str">
        <f>INDEX(Product_List,MATCH($F172,'Product List'!$B$1:$B$299,0),MATCH('Order SUmmary'!L$2,'Product List'!$A$1:$E$1,0))</f>
        <v>Xerox 1998</v>
      </c>
      <c r="M172" s="8">
        <f>INDEX(Product_List,MATCH($F172,'Product List'!$B$1:$B$299,0),MATCH('Order SUmmary'!M$2,'Product List'!$A$1:$E$1,0))</f>
        <v>4003</v>
      </c>
      <c r="N172" s="8">
        <f>INDEX(Product_List,MATCH($F172,'Product List'!$B$1:$B$299,0),MATCH('Order SUmmary'!N$2,'Product List'!$A$1:$E$1,0))</f>
        <v>2255</v>
      </c>
      <c r="O172" s="8" t="str">
        <f>INDEX(Product_List,MATCH($F172,'Product List'!$B$1:$B$299,0),MATCH('Order SUmmary'!O$2,'Product List'!$A$1:$E$1,0))</f>
        <v>Paper</v>
      </c>
      <c r="P172" s="12">
        <f>HLOOKUP(C172,'Commission Criteria'!$A$2:$I$4,3,FALSE)</f>
        <v>10</v>
      </c>
      <c r="Q172" s="8">
        <f t="shared" si="7"/>
        <v>2255</v>
      </c>
      <c r="R172" s="8">
        <f t="shared" si="8"/>
        <v>4003</v>
      </c>
      <c r="S172" s="36">
        <f>VLOOKUP(R172,'Commission Criteria'!$L$3:$M$11,2,TRUE)</f>
        <v>0.01</v>
      </c>
      <c r="T172" s="36">
        <f>IF(P172&lt;5,VLOOKUP(R172,'Commission Criteria'!$L$3:$M$11,2,1),VLOOKUP('Order SUmmary'!R172,'Commission Criteria'!$P$3:$Q$11,2,1))</f>
        <v>0.02</v>
      </c>
      <c r="U172" s="36">
        <f>VLOOKUP(R172,IF(P172&lt;5,'Commission Criteria'!$L$3:$M$11,'Commission Criteria'!$P$3:$Q$11),2,1)</f>
        <v>0.02</v>
      </c>
      <c r="V172" s="8" t="s">
        <v>40</v>
      </c>
      <c r="W172" s="36">
        <f t="shared" ca="1" si="9"/>
        <v>0.01</v>
      </c>
      <c r="X172" s="8" t="str">
        <f>_xlfn.XLOOKUP(F172,'Product List'!$B$1:$B$299,'Product List'!$A$1:$A$299)</f>
        <v>Xerox 1998</v>
      </c>
      <c r="Y172" s="8"/>
      <c r="Z172" s="8" t="str" cm="1">
        <f t="array" ref="Z172:AD172">_xlfn.XLOOKUP(D172,'Customer Details'!$A$1:$A$17,'Customer Details'!$B$1:$F$17,"No such customer",0,1)</f>
        <v>Elder Pharmaceuticals</v>
      </c>
      <c r="AA172" s="8" t="str">
        <v>57 Neriba Cres</v>
      </c>
      <c r="AB172" s="8" t="str">
        <v>Omaha</v>
      </c>
      <c r="AC172" s="8" t="str">
        <v>NE</v>
      </c>
      <c r="AD172" s="8" t="str">
        <v>68127</v>
      </c>
    </row>
    <row r="173" spans="1:30">
      <c r="A173" s="8" t="s">
        <v>279</v>
      </c>
      <c r="B173" s="19">
        <v>41476</v>
      </c>
      <c r="C173" s="8" t="s">
        <v>54</v>
      </c>
      <c r="D173" s="8">
        <v>10010</v>
      </c>
      <c r="E173" s="8" t="str">
        <f>VLOOKUP($D173,'Customer Details'!$A$1:$F$17,4,FALSE)</f>
        <v>Tracy</v>
      </c>
      <c r="F173" s="8" t="s">
        <v>91</v>
      </c>
      <c r="G173" s="8">
        <v>1</v>
      </c>
      <c r="H173" s="2" t="str">
        <f>VLOOKUP($D173,'Customer Details'!$A$1:$F$17,MATCH('Order SUmmary'!H$2,'Customer Details'!$A$1:$F$1,0),0)</f>
        <v>Suzlon Energy Ltd.</v>
      </c>
      <c r="I173" s="2" t="str">
        <f>VLOOKUP($D173,'Customer Details'!$A$1:$F$17,4,0)</f>
        <v>Tracy</v>
      </c>
      <c r="J173" s="2" t="str">
        <f>VLOOKUP($D173,'Customer Details'!$A$1:$F$17,6,0)</f>
        <v>95376</v>
      </c>
      <c r="K173" s="8" t="str">
        <f>VLOOKUP(VLOOKUP(D173,'Customer Details'!$A$1:$F$17,5,0),'Region INfo'!$A$1:$C$52,3,0)</f>
        <v xml:space="preserve">Pacific   </v>
      </c>
      <c r="L173" s="8" t="str">
        <f>INDEX(Product_List,MATCH($F173,'Product List'!$B$1:$B$299,0),MATCH('Order SUmmary'!L$2,'Product List'!$A$1:$E$1,0))</f>
        <v>Avery 475</v>
      </c>
      <c r="M173" s="8">
        <f>INDEX(Product_List,MATCH($F173,'Product List'!$B$1:$B$299,0),MATCH('Order SUmmary'!M$2,'Product List'!$A$1:$E$1,0))</f>
        <v>4711</v>
      </c>
      <c r="N173" s="8">
        <f>INDEX(Product_List,MATCH($F173,'Product List'!$B$1:$B$299,0),MATCH('Order SUmmary'!N$2,'Product List'!$A$1:$E$1,0))</f>
        <v>1267</v>
      </c>
      <c r="O173" s="8" t="str">
        <f>INDEX(Product_List,MATCH($F173,'Product List'!$B$1:$B$299,0),MATCH('Order SUmmary'!O$2,'Product List'!$A$1:$E$1,0))</f>
        <v>Labels</v>
      </c>
      <c r="P173" s="12">
        <f>HLOOKUP(C173,'Commission Criteria'!$A$2:$I$4,3,FALSE)</f>
        <v>3</v>
      </c>
      <c r="Q173" s="8">
        <f t="shared" si="7"/>
        <v>1267</v>
      </c>
      <c r="R173" s="8">
        <f t="shared" si="8"/>
        <v>4711</v>
      </c>
      <c r="S173" s="36">
        <f>VLOOKUP(R173,'Commission Criteria'!$L$3:$M$11,2,TRUE)</f>
        <v>0.01</v>
      </c>
      <c r="T173" s="36">
        <f>IF(P173&lt;5,VLOOKUP(R173,'Commission Criteria'!$L$3:$M$11,2,1),VLOOKUP('Order SUmmary'!R173,'Commission Criteria'!$P$3:$Q$11,2,1))</f>
        <v>0.01</v>
      </c>
      <c r="U173" s="36">
        <f>VLOOKUP(R173,IF(P173&lt;5,'Commission Criteria'!$L$3:$M$11,'Commission Criteria'!$P$3:$Q$11),2,1)</f>
        <v>0.01</v>
      </c>
      <c r="V173" s="8" t="s">
        <v>43</v>
      </c>
      <c r="W173" s="36">
        <f t="shared" ca="1" si="9"/>
        <v>0.05</v>
      </c>
      <c r="X173" s="8" t="str">
        <f>_xlfn.XLOOKUP(F173,'Product List'!$B$1:$B$299,'Product List'!$A$1:$A$299)</f>
        <v>Avery 475</v>
      </c>
      <c r="Y173" s="8"/>
      <c r="Z173" s="8" t="str" cm="1">
        <f t="array" ref="Z173:AD173">_xlfn.XLOOKUP(D173,'Customer Details'!$A$1:$A$17,'Customer Details'!$B$1:$F$17,"No such customer",0,1)</f>
        <v>Suzlon Energy Ltd.</v>
      </c>
      <c r="AA173" s="8" t="str">
        <v>501 Marsh Trail Circle</v>
      </c>
      <c r="AB173" s="8" t="str">
        <v>Tracy</v>
      </c>
      <c r="AC173" s="8" t="str">
        <v>CA</v>
      </c>
      <c r="AD173" s="8" t="str">
        <v>95376</v>
      </c>
    </row>
    <row r="174" spans="1:30">
      <c r="A174" s="8" t="s">
        <v>280</v>
      </c>
      <c r="B174" s="19">
        <v>41476</v>
      </c>
      <c r="C174" s="8" t="s">
        <v>54</v>
      </c>
      <c r="D174" s="8">
        <v>10014</v>
      </c>
      <c r="E174" s="8" t="str">
        <f>VLOOKUP($D174,'Customer Details'!$A$1:$F$17,4,FALSE)</f>
        <v>Honolulu</v>
      </c>
      <c r="F174" s="8" t="s">
        <v>281</v>
      </c>
      <c r="G174" s="8">
        <v>2</v>
      </c>
      <c r="H174" s="2" t="str">
        <f>VLOOKUP($D174,'Customer Details'!$A$1:$F$17,MATCH('Order SUmmary'!H$2,'Customer Details'!$A$1:$F$1,0),0)</f>
        <v>Hindusthan National Glass &amp; Industries Ltd.</v>
      </c>
      <c r="I174" s="2" t="str">
        <f>VLOOKUP($D174,'Customer Details'!$A$1:$F$17,4,0)</f>
        <v>Honolulu</v>
      </c>
      <c r="J174" s="2" t="str">
        <f>VLOOKUP($D174,'Customer Details'!$A$1:$F$17,6,0)</f>
        <v>96825</v>
      </c>
      <c r="K174" s="8" t="str">
        <f>VLOOKUP(VLOOKUP(D174,'Customer Details'!$A$1:$F$17,5,0),'Region INfo'!$A$1:$C$52,3,0)</f>
        <v xml:space="preserve">Pacific   </v>
      </c>
      <c r="L174" s="8" t="str">
        <f>INDEX(Product_List,MATCH($F174,'Product List'!$B$1:$B$299,0),MATCH('Order SUmmary'!L$2,'Product List'!$A$1:$E$1,0))</f>
        <v>Newell 309</v>
      </c>
      <c r="M174" s="8">
        <f>INDEX(Product_List,MATCH($F174,'Product List'!$B$1:$B$299,0),MATCH('Order SUmmary'!M$2,'Product List'!$A$1:$E$1,0))</f>
        <v>4927</v>
      </c>
      <c r="N174" s="8">
        <f>INDEX(Product_List,MATCH($F174,'Product List'!$B$1:$B$299,0),MATCH('Order SUmmary'!N$2,'Product List'!$A$1:$E$1,0))</f>
        <v>2034</v>
      </c>
      <c r="O174" s="8" t="str">
        <f>INDEX(Product_List,MATCH($F174,'Product List'!$B$1:$B$299,0),MATCH('Order SUmmary'!O$2,'Product List'!$A$1:$E$1,0))</f>
        <v>Art</v>
      </c>
      <c r="P174" s="12">
        <f>HLOOKUP(C174,'Commission Criteria'!$A$2:$I$4,3,FALSE)</f>
        <v>3</v>
      </c>
      <c r="Q174" s="8">
        <f t="shared" si="7"/>
        <v>4068</v>
      </c>
      <c r="R174" s="8">
        <f t="shared" si="8"/>
        <v>9854</v>
      </c>
      <c r="S174" s="36">
        <f>VLOOKUP(R174,'Commission Criteria'!$L$3:$M$11,2,TRUE)</f>
        <v>0.03</v>
      </c>
      <c r="T174" s="36">
        <f>IF(P174&lt;5,VLOOKUP(R174,'Commission Criteria'!$L$3:$M$11,2,1),VLOOKUP('Order SUmmary'!R174,'Commission Criteria'!$P$3:$Q$11,2,1))</f>
        <v>0.03</v>
      </c>
      <c r="U174" s="36">
        <f>VLOOKUP(R174,IF(P174&lt;5,'Commission Criteria'!$L$3:$M$11,'Commission Criteria'!$P$3:$Q$11),2,1)</f>
        <v>0.03</v>
      </c>
      <c r="V174" s="8" t="s">
        <v>35</v>
      </c>
      <c r="W174" s="36">
        <f t="shared" ca="1" si="9"/>
        <v>0.03</v>
      </c>
      <c r="X174" s="8" t="str">
        <f>_xlfn.XLOOKUP(F174,'Product List'!$B$1:$B$299,'Product List'!$A$1:$A$299)</f>
        <v>Newell 309</v>
      </c>
      <c r="Y174" s="8"/>
      <c r="Z174" s="8" t="str" cm="1">
        <f t="array" ref="Z174:AD174">_xlfn.XLOOKUP(D174,'Customer Details'!$A$1:$A$17,'Customer Details'!$B$1:$F$17,"No such customer",0,1)</f>
        <v>Hindusthan National Glass &amp; Industries Ltd.</v>
      </c>
      <c r="AA174" s="8" t="str">
        <v>11 Cathy St.</v>
      </c>
      <c r="AB174" s="8" t="str">
        <v>Honolulu</v>
      </c>
      <c r="AC174" s="8" t="str">
        <v>HI</v>
      </c>
      <c r="AD174" s="8" t="str">
        <v>96825</v>
      </c>
    </row>
    <row r="175" spans="1:30">
      <c r="A175" s="8" t="s">
        <v>282</v>
      </c>
      <c r="B175" s="19">
        <v>41477</v>
      </c>
      <c r="C175" s="8" t="s">
        <v>33</v>
      </c>
      <c r="D175" s="8">
        <v>10012</v>
      </c>
      <c r="E175" s="8" t="str">
        <f>VLOOKUP($D175,'Customer Details'!$A$1:$F$17,4,FALSE)</f>
        <v>Santa Barbara</v>
      </c>
      <c r="F175" s="8" t="s">
        <v>170</v>
      </c>
      <c r="G175" s="8">
        <v>1</v>
      </c>
      <c r="H175" s="2" t="str">
        <f>VLOOKUP($D175,'Customer Details'!$A$1:$F$17,MATCH('Order SUmmary'!H$2,'Customer Details'!$A$1:$F$1,0),0)</f>
        <v>Dynamatic Technologies Ltd.</v>
      </c>
      <c r="I175" s="2" t="str">
        <f>VLOOKUP($D175,'Customer Details'!$A$1:$F$17,4,0)</f>
        <v>Santa Barbara</v>
      </c>
      <c r="J175" s="2" t="str">
        <f>VLOOKUP($D175,'Customer Details'!$A$1:$F$17,6,0)</f>
        <v>93110</v>
      </c>
      <c r="K175" s="8" t="str">
        <f>VLOOKUP(VLOOKUP(D175,'Customer Details'!$A$1:$F$17,5,0),'Region INfo'!$A$1:$C$52,3,0)</f>
        <v xml:space="preserve">Pacific   </v>
      </c>
      <c r="L175" s="8" t="str">
        <f>INDEX(Product_List,MATCH($F175,'Product List'!$B$1:$B$299,0),MATCH('Order SUmmary'!L$2,'Product List'!$A$1:$E$1,0))</f>
        <v>Xerox 1930</v>
      </c>
      <c r="M175" s="8">
        <f>INDEX(Product_List,MATCH($F175,'Product List'!$B$1:$B$299,0),MATCH('Order SUmmary'!M$2,'Product List'!$A$1:$E$1,0))</f>
        <v>2796</v>
      </c>
      <c r="N175" s="8">
        <f>INDEX(Product_List,MATCH($F175,'Product List'!$B$1:$B$299,0),MATCH('Order SUmmary'!N$2,'Product List'!$A$1:$E$1,0))</f>
        <v>2307</v>
      </c>
      <c r="O175" s="8" t="str">
        <f>INDEX(Product_List,MATCH($F175,'Product List'!$B$1:$B$299,0),MATCH('Order SUmmary'!O$2,'Product List'!$A$1:$E$1,0))</f>
        <v>Paper</v>
      </c>
      <c r="P175" s="12">
        <f>HLOOKUP(C175,'Commission Criteria'!$A$2:$I$4,3,FALSE)</f>
        <v>1</v>
      </c>
      <c r="Q175" s="8">
        <f t="shared" si="7"/>
        <v>2307</v>
      </c>
      <c r="R175" s="8">
        <f t="shared" si="8"/>
        <v>2796</v>
      </c>
      <c r="S175" s="36">
        <f>VLOOKUP(R175,'Commission Criteria'!$L$3:$M$11,2,TRUE)</f>
        <v>0.01</v>
      </c>
      <c r="T175" s="36">
        <f>IF(P175&lt;5,VLOOKUP(R175,'Commission Criteria'!$L$3:$M$11,2,1),VLOOKUP('Order SUmmary'!R175,'Commission Criteria'!$P$3:$Q$11,2,1))</f>
        <v>0.01</v>
      </c>
      <c r="U175" s="36">
        <f>VLOOKUP(R175,IF(P175&lt;5,'Commission Criteria'!$L$3:$M$11,'Commission Criteria'!$P$3:$Q$11),2,1)</f>
        <v>0.01</v>
      </c>
      <c r="V175" s="8" t="s">
        <v>35</v>
      </c>
      <c r="W175" s="36">
        <f t="shared" ca="1" si="9"/>
        <v>0.05</v>
      </c>
      <c r="X175" s="8" t="str">
        <f>_xlfn.XLOOKUP(F175,'Product List'!$B$1:$B$299,'Product List'!$A$1:$A$299)</f>
        <v>Xerox 1930</v>
      </c>
      <c r="Y175" s="8"/>
      <c r="Z175" s="8" t="str" cm="1">
        <f t="array" ref="Z175:AD175">_xlfn.XLOOKUP(D175,'Customer Details'!$A$1:$A$17,'Customer Details'!$B$1:$F$17,"No such customer",0,1)</f>
        <v>Dynamatic Technologies Ltd.</v>
      </c>
      <c r="AA175" s="8" t="str">
        <v>402 Pinkster Lane</v>
      </c>
      <c r="AB175" s="8" t="str">
        <v>Santa Barbara</v>
      </c>
      <c r="AC175" s="8" t="str">
        <v>CA</v>
      </c>
      <c r="AD175" s="8" t="str">
        <v>93110</v>
      </c>
    </row>
    <row r="176" spans="1:30">
      <c r="A176" s="8" t="s">
        <v>283</v>
      </c>
      <c r="B176" s="19">
        <v>41481</v>
      </c>
      <c r="C176" s="8" t="s">
        <v>27</v>
      </c>
      <c r="D176" s="8">
        <v>10001</v>
      </c>
      <c r="E176" s="8" t="str">
        <f>VLOOKUP($D176,'Customer Details'!$A$1:$F$17,4,FALSE)</f>
        <v>New York</v>
      </c>
      <c r="F176" s="8" t="s">
        <v>284</v>
      </c>
      <c r="G176" s="8">
        <v>1</v>
      </c>
      <c r="H176" s="2" t="str">
        <f>VLOOKUP($D176,'Customer Details'!$A$1:$F$17,MATCH('Order SUmmary'!H$2,'Customer Details'!$A$1:$F$1,0),0)</f>
        <v>Chambal Fertilisers and Chemicals Ltd.</v>
      </c>
      <c r="I176" s="2" t="str">
        <f>VLOOKUP($D176,'Customer Details'!$A$1:$F$17,4,0)</f>
        <v>New York</v>
      </c>
      <c r="J176" s="2" t="str">
        <f>VLOOKUP($D176,'Customer Details'!$A$1:$F$17,6,0)</f>
        <v>10025</v>
      </c>
      <c r="K176" s="8" t="str">
        <f>VLOOKUP(VLOOKUP(D176,'Customer Details'!$A$1:$F$17,5,0),'Region INfo'!$A$1:$C$52,3,0)</f>
        <v xml:space="preserve">Northern </v>
      </c>
      <c r="L176" s="8" t="str">
        <f>INDEX(Product_List,MATCH($F176,'Product List'!$B$1:$B$299,0),MATCH('Order SUmmary'!L$2,'Product List'!$A$1:$E$1,0))</f>
        <v>Xerox 1986</v>
      </c>
      <c r="M176" s="8">
        <f>INDEX(Product_List,MATCH($F176,'Product List'!$B$1:$B$299,0),MATCH('Order SUmmary'!M$2,'Product List'!$A$1:$E$1,0))</f>
        <v>2889</v>
      </c>
      <c r="N176" s="8">
        <f>INDEX(Product_List,MATCH($F176,'Product List'!$B$1:$B$299,0),MATCH('Order SUmmary'!N$2,'Product List'!$A$1:$E$1,0))</f>
        <v>1384</v>
      </c>
      <c r="O176" s="8" t="str">
        <f>INDEX(Product_List,MATCH($F176,'Product List'!$B$1:$B$299,0),MATCH('Order SUmmary'!O$2,'Product List'!$A$1:$E$1,0))</f>
        <v>Paper</v>
      </c>
      <c r="P176" s="12">
        <f>HLOOKUP(C176,'Commission Criteria'!$A$2:$I$4,3,FALSE)</f>
        <v>4</v>
      </c>
      <c r="Q176" s="8">
        <f t="shared" si="7"/>
        <v>1384</v>
      </c>
      <c r="R176" s="8">
        <f t="shared" si="8"/>
        <v>2889</v>
      </c>
      <c r="S176" s="36">
        <f>VLOOKUP(R176,'Commission Criteria'!$L$3:$M$11,2,TRUE)</f>
        <v>0.01</v>
      </c>
      <c r="T176" s="36">
        <f>IF(P176&lt;5,VLOOKUP(R176,'Commission Criteria'!$L$3:$M$11,2,1),VLOOKUP('Order SUmmary'!R176,'Commission Criteria'!$P$3:$Q$11,2,1))</f>
        <v>0.01</v>
      </c>
      <c r="U176" s="36">
        <f>VLOOKUP(R176,IF(P176&lt;5,'Commission Criteria'!$L$3:$M$11,'Commission Criteria'!$P$3:$Q$11),2,1)</f>
        <v>0.01</v>
      </c>
      <c r="V176" s="8" t="s">
        <v>50</v>
      </c>
      <c r="W176" s="36">
        <f t="shared" ca="1" si="9"/>
        <v>0.01</v>
      </c>
      <c r="X176" s="8" t="str">
        <f>_xlfn.XLOOKUP(F176,'Product List'!$B$1:$B$299,'Product List'!$A$1:$A$299)</f>
        <v>Xerox 1986</v>
      </c>
      <c r="Y176" s="8"/>
      <c r="Z176" s="8" t="str" cm="1">
        <f t="array" ref="Z176:AD176">_xlfn.XLOOKUP(D176,'Customer Details'!$A$1:$A$17,'Customer Details'!$B$1:$F$17,"No such customer",0,1)</f>
        <v>Chambal Fertilisers and Chemicals Ltd.</v>
      </c>
      <c r="AA176" s="8" t="str">
        <v>4951 Indiana Ave.</v>
      </c>
      <c r="AB176" s="8" t="str">
        <v>New York</v>
      </c>
      <c r="AC176" s="8" t="str">
        <v>NY</v>
      </c>
      <c r="AD176" s="8" t="str">
        <v>10025</v>
      </c>
    </row>
    <row r="177" spans="1:30">
      <c r="A177" s="8" t="s">
        <v>283</v>
      </c>
      <c r="B177" s="19">
        <v>41481</v>
      </c>
      <c r="C177" s="8" t="s">
        <v>36</v>
      </c>
      <c r="D177" s="8">
        <v>10011</v>
      </c>
      <c r="E177" s="8" t="str">
        <f>VLOOKUP($D177,'Customer Details'!$A$1:$F$17,4,FALSE)</f>
        <v>Olympia</v>
      </c>
      <c r="F177" s="8" t="s">
        <v>285</v>
      </c>
      <c r="G177" s="8">
        <v>1</v>
      </c>
      <c r="H177" s="2" t="str">
        <f>VLOOKUP($D177,'Customer Details'!$A$1:$F$17,MATCH('Order SUmmary'!H$2,'Customer Details'!$A$1:$F$1,0),0)</f>
        <v>Sonata Software</v>
      </c>
      <c r="I177" s="2" t="str">
        <f>VLOOKUP($D177,'Customer Details'!$A$1:$F$17,4,0)</f>
        <v>Olympia</v>
      </c>
      <c r="J177" s="2" t="str">
        <f>VLOOKUP($D177,'Customer Details'!$A$1:$F$17,6,0)</f>
        <v>98502</v>
      </c>
      <c r="K177" s="8" t="str">
        <f>VLOOKUP(VLOOKUP(D177,'Customer Details'!$A$1:$F$17,5,0),'Region INfo'!$A$1:$C$52,3,0)</f>
        <v xml:space="preserve">Pacific   </v>
      </c>
      <c r="L177" s="8" t="str">
        <f>INDEX(Product_List,MATCH($F177,'Product List'!$B$1:$B$299,0),MATCH('Order SUmmary'!L$2,'Product List'!$A$1:$E$1,0))</f>
        <v>Newell 344</v>
      </c>
      <c r="M177" s="8">
        <f>INDEX(Product_List,MATCH($F177,'Product List'!$B$1:$B$299,0),MATCH('Order SUmmary'!M$2,'Product List'!$A$1:$E$1,0))</f>
        <v>3282</v>
      </c>
      <c r="N177" s="8">
        <f>INDEX(Product_List,MATCH($F177,'Product List'!$B$1:$B$299,0),MATCH('Order SUmmary'!N$2,'Product List'!$A$1:$E$1,0))</f>
        <v>1654</v>
      </c>
      <c r="O177" s="8" t="str">
        <f>INDEX(Product_List,MATCH($F177,'Product List'!$B$1:$B$299,0),MATCH('Order SUmmary'!O$2,'Product List'!$A$1:$E$1,0))</f>
        <v>Art</v>
      </c>
      <c r="P177" s="12">
        <f>HLOOKUP(C177,'Commission Criteria'!$A$2:$I$4,3,FALSE)</f>
        <v>6</v>
      </c>
      <c r="Q177" s="8">
        <f t="shared" si="7"/>
        <v>1654</v>
      </c>
      <c r="R177" s="8">
        <f t="shared" si="8"/>
        <v>3282</v>
      </c>
      <c r="S177" s="36">
        <f>VLOOKUP(R177,'Commission Criteria'!$L$3:$M$11,2,TRUE)</f>
        <v>0.01</v>
      </c>
      <c r="T177" s="36">
        <f>IF(P177&lt;5,VLOOKUP(R177,'Commission Criteria'!$L$3:$M$11,2,1),VLOOKUP('Order SUmmary'!R177,'Commission Criteria'!$P$3:$Q$11,2,1))</f>
        <v>0.02</v>
      </c>
      <c r="U177" s="36">
        <f>VLOOKUP(R177,IF(P177&lt;5,'Commission Criteria'!$L$3:$M$11,'Commission Criteria'!$P$3:$Q$11),2,1)</f>
        <v>0.02</v>
      </c>
      <c r="V177" s="8" t="s">
        <v>32</v>
      </c>
      <c r="W177" s="36">
        <f t="shared" ca="1" si="9"/>
        <v>0.03</v>
      </c>
      <c r="X177" s="8" t="str">
        <f>_xlfn.XLOOKUP(F177,'Product List'!$B$1:$B$299,'Product List'!$A$1:$A$299)</f>
        <v>Newell 344</v>
      </c>
      <c r="Y177" s="8"/>
      <c r="Z177" s="8" t="str" cm="1">
        <f t="array" ref="Z177:AD177">_xlfn.XLOOKUP(D177,'Customer Details'!$A$1:$A$17,'Customer Details'!$B$1:$F$17,"No such customer",0,1)</f>
        <v>Sonata Software</v>
      </c>
      <c r="AA177" s="8" t="str">
        <v>1331 Kimberly Dr.</v>
      </c>
      <c r="AB177" s="8" t="str">
        <v>Olympia</v>
      </c>
      <c r="AC177" s="8" t="str">
        <v>WA</v>
      </c>
      <c r="AD177" s="8" t="str">
        <v>98502</v>
      </c>
    </row>
    <row r="178" spans="1:30">
      <c r="A178" s="8" t="s">
        <v>283</v>
      </c>
      <c r="B178" s="19">
        <v>41481</v>
      </c>
      <c r="C178" s="8" t="s">
        <v>36</v>
      </c>
      <c r="D178" s="8">
        <v>10007</v>
      </c>
      <c r="E178" s="8" t="str">
        <f>VLOOKUP($D178,'Customer Details'!$A$1:$F$17,4,FALSE)</f>
        <v>Richmond</v>
      </c>
      <c r="F178" s="8" t="s">
        <v>286</v>
      </c>
      <c r="G178" s="8">
        <v>2</v>
      </c>
      <c r="H178" s="2" t="str">
        <f>VLOOKUP($D178,'Customer Details'!$A$1:$F$17,MATCH('Order SUmmary'!H$2,'Customer Details'!$A$1:$F$1,0),0)</f>
        <v>GHCL Ltd.</v>
      </c>
      <c r="I178" s="2" t="str">
        <f>VLOOKUP($D178,'Customer Details'!$A$1:$F$17,4,0)</f>
        <v>Richmond</v>
      </c>
      <c r="J178" s="2" t="str">
        <f>VLOOKUP($D178,'Customer Details'!$A$1:$F$17,6,0)</f>
        <v>94805</v>
      </c>
      <c r="K178" s="8" t="str">
        <f>VLOOKUP(VLOOKUP(D178,'Customer Details'!$A$1:$F$17,5,0),'Region INfo'!$A$1:$C$52,3,0)</f>
        <v xml:space="preserve">Pacific   </v>
      </c>
      <c r="L178" s="8" t="str">
        <f>INDEX(Product_List,MATCH($F178,'Product List'!$B$1:$B$299,0),MATCH('Order SUmmary'!L$2,'Product List'!$A$1:$E$1,0))</f>
        <v>Avery 479</v>
      </c>
      <c r="M178" s="8">
        <f>INDEX(Product_List,MATCH($F178,'Product List'!$B$1:$B$299,0),MATCH('Order SUmmary'!M$2,'Product List'!$A$1:$E$1,0))</f>
        <v>4382</v>
      </c>
      <c r="N178" s="8">
        <f>INDEX(Product_List,MATCH($F178,'Product List'!$B$1:$B$299,0),MATCH('Order SUmmary'!N$2,'Product List'!$A$1:$E$1,0))</f>
        <v>1298</v>
      </c>
      <c r="O178" s="8" t="str">
        <f>INDEX(Product_List,MATCH($F178,'Product List'!$B$1:$B$299,0),MATCH('Order SUmmary'!O$2,'Product List'!$A$1:$E$1,0))</f>
        <v>Labels</v>
      </c>
      <c r="P178" s="12">
        <f>HLOOKUP(C178,'Commission Criteria'!$A$2:$I$4,3,FALSE)</f>
        <v>6</v>
      </c>
      <c r="Q178" s="8">
        <f t="shared" si="7"/>
        <v>2596</v>
      </c>
      <c r="R178" s="8">
        <f t="shared" si="8"/>
        <v>8764</v>
      </c>
      <c r="S178" s="36">
        <f>VLOOKUP(R178,'Commission Criteria'!$L$3:$M$11,2,TRUE)</f>
        <v>0.03</v>
      </c>
      <c r="T178" s="36">
        <f>IF(P178&lt;5,VLOOKUP(R178,'Commission Criteria'!$L$3:$M$11,2,1),VLOOKUP('Order SUmmary'!R178,'Commission Criteria'!$P$3:$Q$11,2,1))</f>
        <v>0.02</v>
      </c>
      <c r="U178" s="36">
        <f>VLOOKUP(R178,IF(P178&lt;5,'Commission Criteria'!$L$3:$M$11,'Commission Criteria'!$P$3:$Q$11),2,1)</f>
        <v>0.02</v>
      </c>
      <c r="V178" s="8" t="s">
        <v>40</v>
      </c>
      <c r="W178" s="36">
        <f t="shared" ca="1" si="9"/>
        <v>0.02</v>
      </c>
      <c r="X178" s="8" t="str">
        <f>_xlfn.XLOOKUP(F178,'Product List'!$B$1:$B$299,'Product List'!$A$1:$A$299)</f>
        <v>Avery 479</v>
      </c>
      <c r="Y178" s="8"/>
      <c r="Z178" s="8" t="str" cm="1">
        <f t="array" ref="Z178:AD178">_xlfn.XLOOKUP(D178,'Customer Details'!$A$1:$A$17,'Customer Details'!$B$1:$F$17,"No such customer",0,1)</f>
        <v>GHCL Ltd.</v>
      </c>
      <c r="AA178" s="8" t="str">
        <v>58 Clarence St</v>
      </c>
      <c r="AB178" s="8" t="str">
        <v>Richmond</v>
      </c>
      <c r="AC178" s="8" t="str">
        <v>CA</v>
      </c>
      <c r="AD178" s="8" t="str">
        <v>94805</v>
      </c>
    </row>
    <row r="179" spans="1:30">
      <c r="A179" s="8" t="s">
        <v>287</v>
      </c>
      <c r="B179" s="19">
        <v>41482</v>
      </c>
      <c r="C179" s="8" t="s">
        <v>36</v>
      </c>
      <c r="D179" s="8">
        <v>10001</v>
      </c>
      <c r="E179" s="8" t="str">
        <f>VLOOKUP($D179,'Customer Details'!$A$1:$F$17,4,FALSE)</f>
        <v>New York</v>
      </c>
      <c r="F179" s="8" t="s">
        <v>213</v>
      </c>
      <c r="G179" s="8">
        <v>1</v>
      </c>
      <c r="H179" s="2" t="str">
        <f>VLOOKUP($D179,'Customer Details'!$A$1:$F$17,MATCH('Order SUmmary'!H$2,'Customer Details'!$A$1:$F$1,0),0)</f>
        <v>Chambal Fertilisers and Chemicals Ltd.</v>
      </c>
      <c r="I179" s="2" t="str">
        <f>VLOOKUP($D179,'Customer Details'!$A$1:$F$17,4,0)</f>
        <v>New York</v>
      </c>
      <c r="J179" s="2" t="str">
        <f>VLOOKUP($D179,'Customer Details'!$A$1:$F$17,6,0)</f>
        <v>10025</v>
      </c>
      <c r="K179" s="8" t="str">
        <f>VLOOKUP(VLOOKUP(D179,'Customer Details'!$A$1:$F$17,5,0),'Region INfo'!$A$1:$C$52,3,0)</f>
        <v xml:space="preserve">Northern </v>
      </c>
      <c r="L179" s="8" t="str">
        <f>INDEX(Product_List,MATCH($F179,'Product List'!$B$1:$B$299,0),MATCH('Order SUmmary'!L$2,'Product List'!$A$1:$E$1,0))</f>
        <v>Cisco SPA301</v>
      </c>
      <c r="M179" s="8">
        <f>INDEX(Product_List,MATCH($F179,'Product List'!$B$1:$B$299,0),MATCH('Order SUmmary'!M$2,'Product List'!$A$1:$E$1,0))</f>
        <v>2921</v>
      </c>
      <c r="N179" s="8">
        <f>INDEX(Product_List,MATCH($F179,'Product List'!$B$1:$B$299,0),MATCH('Order SUmmary'!N$2,'Product List'!$A$1:$E$1,0))</f>
        <v>1786</v>
      </c>
      <c r="O179" s="8" t="str">
        <f>INDEX(Product_List,MATCH($F179,'Product List'!$B$1:$B$299,0),MATCH('Order SUmmary'!O$2,'Product List'!$A$1:$E$1,0))</f>
        <v>Phones</v>
      </c>
      <c r="P179" s="12">
        <f>HLOOKUP(C179,'Commission Criteria'!$A$2:$I$4,3,FALSE)</f>
        <v>6</v>
      </c>
      <c r="Q179" s="8">
        <f t="shared" si="7"/>
        <v>1786</v>
      </c>
      <c r="R179" s="8">
        <f t="shared" si="8"/>
        <v>2921</v>
      </c>
      <c r="S179" s="36">
        <f>VLOOKUP(R179,'Commission Criteria'!$L$3:$M$11,2,TRUE)</f>
        <v>0.01</v>
      </c>
      <c r="T179" s="36">
        <f>IF(P179&lt;5,VLOOKUP(R179,'Commission Criteria'!$L$3:$M$11,2,1),VLOOKUP('Order SUmmary'!R179,'Commission Criteria'!$P$3:$Q$11,2,1))</f>
        <v>0.02</v>
      </c>
      <c r="U179" s="36">
        <f>VLOOKUP(R179,IF(P179&lt;5,'Commission Criteria'!$L$3:$M$11,'Commission Criteria'!$P$3:$Q$11),2,1)</f>
        <v>0.02</v>
      </c>
      <c r="V179" s="8" t="s">
        <v>32</v>
      </c>
      <c r="W179" s="36">
        <f t="shared" ca="1" si="9"/>
        <v>0.03</v>
      </c>
      <c r="X179" s="8" t="str">
        <f>_xlfn.XLOOKUP(F179,'Product List'!$B$1:$B$299,'Product List'!$A$1:$A$299)</f>
        <v>Cisco SPA301</v>
      </c>
      <c r="Y179" s="8"/>
      <c r="Z179" s="8" t="str" cm="1">
        <f t="array" ref="Z179:AD179">_xlfn.XLOOKUP(D179,'Customer Details'!$A$1:$A$17,'Customer Details'!$B$1:$F$17,"No such customer",0,1)</f>
        <v>Chambal Fertilisers and Chemicals Ltd.</v>
      </c>
      <c r="AA179" s="8" t="str">
        <v>4951 Indiana Ave.</v>
      </c>
      <c r="AB179" s="8" t="str">
        <v>New York</v>
      </c>
      <c r="AC179" s="8" t="str">
        <v>NY</v>
      </c>
      <c r="AD179" s="8" t="str">
        <v>10025</v>
      </c>
    </row>
    <row r="180" spans="1:30">
      <c r="A180" s="8" t="s">
        <v>288</v>
      </c>
      <c r="B180" s="19">
        <v>41483</v>
      </c>
      <c r="C180" s="8" t="s">
        <v>54</v>
      </c>
      <c r="D180" s="8">
        <v>10006</v>
      </c>
      <c r="E180" s="8" t="str">
        <f>VLOOKUP($D180,'Customer Details'!$A$1:$F$17,4,FALSE)</f>
        <v>Midland</v>
      </c>
      <c r="F180" s="8" t="s">
        <v>289</v>
      </c>
      <c r="G180" s="8">
        <v>1</v>
      </c>
      <c r="H180" s="2" t="str">
        <f>VLOOKUP($D180,'Customer Details'!$A$1:$F$17,MATCH('Order SUmmary'!H$2,'Customer Details'!$A$1:$F$1,0),0)</f>
        <v>Supreme Ind</v>
      </c>
      <c r="I180" s="2" t="str">
        <f>VLOOKUP($D180,'Customer Details'!$A$1:$F$17,4,0)</f>
        <v>Midland</v>
      </c>
      <c r="J180" s="2" t="str">
        <f>VLOOKUP($D180,'Customer Details'!$A$1:$F$17,6,0)</f>
        <v>79706</v>
      </c>
      <c r="K180" s="8" t="str">
        <f>VLOOKUP(VLOOKUP(D180,'Customer Details'!$A$1:$F$17,5,0),'Region INfo'!$A$1:$C$52,3,0)</f>
        <v>Western</v>
      </c>
      <c r="L180" s="8" t="str">
        <f>INDEX(Product_List,MATCH($F180,'Product List'!$B$1:$B$299,0),MATCH('Order SUmmary'!L$2,'Product List'!$A$1:$E$1,0))</f>
        <v>Newell 348</v>
      </c>
      <c r="M180" s="8">
        <f>INDEX(Product_List,MATCH($F180,'Product List'!$B$1:$B$299,0),MATCH('Order SUmmary'!M$2,'Product List'!$A$1:$E$1,0))</f>
        <v>2898</v>
      </c>
      <c r="N180" s="8">
        <f>INDEX(Product_List,MATCH($F180,'Product List'!$B$1:$B$299,0),MATCH('Order SUmmary'!N$2,'Product List'!$A$1:$E$1,0))</f>
        <v>1324</v>
      </c>
      <c r="O180" s="8" t="str">
        <f>INDEX(Product_List,MATCH($F180,'Product List'!$B$1:$B$299,0),MATCH('Order SUmmary'!O$2,'Product List'!$A$1:$E$1,0))</f>
        <v>Art</v>
      </c>
      <c r="P180" s="12">
        <f>HLOOKUP(C180,'Commission Criteria'!$A$2:$I$4,3,FALSE)</f>
        <v>3</v>
      </c>
      <c r="Q180" s="8">
        <f t="shared" si="7"/>
        <v>1324</v>
      </c>
      <c r="R180" s="8">
        <f t="shared" si="8"/>
        <v>2898</v>
      </c>
      <c r="S180" s="36">
        <f>VLOOKUP(R180,'Commission Criteria'!$L$3:$M$11,2,TRUE)</f>
        <v>0.01</v>
      </c>
      <c r="T180" s="36">
        <f>IF(P180&lt;5,VLOOKUP(R180,'Commission Criteria'!$L$3:$M$11,2,1),VLOOKUP('Order SUmmary'!R180,'Commission Criteria'!$P$3:$Q$11,2,1))</f>
        <v>0.01</v>
      </c>
      <c r="U180" s="36">
        <f>VLOOKUP(R180,IF(P180&lt;5,'Commission Criteria'!$L$3:$M$11,'Commission Criteria'!$P$3:$Q$11),2,1)</f>
        <v>0.01</v>
      </c>
      <c r="V180" s="8" t="s">
        <v>35</v>
      </c>
      <c r="W180" s="36">
        <f t="shared" ca="1" si="9"/>
        <v>0.03</v>
      </c>
      <c r="X180" s="8" t="str">
        <f>_xlfn.XLOOKUP(F180,'Product List'!$B$1:$B$299,'Product List'!$A$1:$A$299)</f>
        <v>Newell 348</v>
      </c>
      <c r="Y180" s="8"/>
      <c r="Z180" s="8" t="str" cm="1">
        <f t="array" ref="Z180:AD180">_xlfn.XLOOKUP(D180,'Customer Details'!$A$1:$A$17,'Customer Details'!$B$1:$F$17,"No such customer",0,1)</f>
        <v>Supreme Ind</v>
      </c>
      <c r="AA180" s="8" t="str">
        <v>P.O. Box 1367</v>
      </c>
      <c r="AB180" s="8" t="str">
        <v>Midland</v>
      </c>
      <c r="AC180" s="8" t="str">
        <v>TX</v>
      </c>
      <c r="AD180" s="8" t="str">
        <v>79706</v>
      </c>
    </row>
    <row r="181" spans="1:30">
      <c r="A181" s="8" t="s">
        <v>290</v>
      </c>
      <c r="B181" s="19">
        <v>41483</v>
      </c>
      <c r="C181" s="8" t="s">
        <v>66</v>
      </c>
      <c r="D181" s="8">
        <v>10012</v>
      </c>
      <c r="E181" s="8" t="str">
        <f>VLOOKUP($D181,'Customer Details'!$A$1:$F$17,4,FALSE)</f>
        <v>Santa Barbara</v>
      </c>
      <c r="F181" s="8" t="s">
        <v>291</v>
      </c>
      <c r="G181" s="8">
        <v>3</v>
      </c>
      <c r="H181" s="2" t="str">
        <f>VLOOKUP($D181,'Customer Details'!$A$1:$F$17,MATCH('Order SUmmary'!H$2,'Customer Details'!$A$1:$F$1,0),0)</f>
        <v>Dynamatic Technologies Ltd.</v>
      </c>
      <c r="I181" s="2" t="str">
        <f>VLOOKUP($D181,'Customer Details'!$A$1:$F$17,4,0)</f>
        <v>Santa Barbara</v>
      </c>
      <c r="J181" s="2" t="str">
        <f>VLOOKUP($D181,'Customer Details'!$A$1:$F$17,6,0)</f>
        <v>93110</v>
      </c>
      <c r="K181" s="8" t="str">
        <f>VLOOKUP(VLOOKUP(D181,'Customer Details'!$A$1:$F$17,5,0),'Region INfo'!$A$1:$C$52,3,0)</f>
        <v xml:space="preserve">Pacific   </v>
      </c>
      <c r="L181" s="8" t="str">
        <f>INDEX(Product_List,MATCH($F181,'Product List'!$B$1:$B$299,0),MATCH('Order SUmmary'!L$2,'Product List'!$A$1:$E$1,0))</f>
        <v>Xerox 1990</v>
      </c>
      <c r="M181" s="8">
        <f>INDEX(Product_List,MATCH($F181,'Product List'!$B$1:$B$299,0),MATCH('Order SUmmary'!M$2,'Product List'!$A$1:$E$1,0))</f>
        <v>3330</v>
      </c>
      <c r="N181" s="8">
        <f>INDEX(Product_List,MATCH($F181,'Product List'!$B$1:$B$299,0),MATCH('Order SUmmary'!N$2,'Product List'!$A$1:$E$1,0))</f>
        <v>2283</v>
      </c>
      <c r="O181" s="8" t="str">
        <f>INDEX(Product_List,MATCH($F181,'Product List'!$B$1:$B$299,0),MATCH('Order SUmmary'!O$2,'Product List'!$A$1:$E$1,0))</f>
        <v>Paper</v>
      </c>
      <c r="P181" s="12">
        <f>HLOOKUP(C181,'Commission Criteria'!$A$2:$I$4,3,FALSE)</f>
        <v>5</v>
      </c>
      <c r="Q181" s="8">
        <f t="shared" si="7"/>
        <v>6849</v>
      </c>
      <c r="R181" s="8">
        <f t="shared" si="8"/>
        <v>9990</v>
      </c>
      <c r="S181" s="36">
        <f>VLOOKUP(R181,'Commission Criteria'!$L$3:$M$11,2,TRUE)</f>
        <v>0.03</v>
      </c>
      <c r="T181" s="36">
        <f>IF(P181&lt;5,VLOOKUP(R181,'Commission Criteria'!$L$3:$M$11,2,1),VLOOKUP('Order SUmmary'!R181,'Commission Criteria'!$P$3:$Q$11,2,1))</f>
        <v>0.02</v>
      </c>
      <c r="U181" s="36">
        <f>VLOOKUP(R181,IF(P181&lt;5,'Commission Criteria'!$L$3:$M$11,'Commission Criteria'!$P$3:$Q$11),2,1)</f>
        <v>0.02</v>
      </c>
      <c r="V181" s="8" t="s">
        <v>35</v>
      </c>
      <c r="W181" s="36">
        <f t="shared" ca="1" si="9"/>
        <v>0.03</v>
      </c>
      <c r="X181" s="8" t="str">
        <f>_xlfn.XLOOKUP(F181,'Product List'!$B$1:$B$299,'Product List'!$A$1:$A$299)</f>
        <v>Xerox 1990</v>
      </c>
      <c r="Y181" s="8"/>
      <c r="Z181" s="8" t="str" cm="1">
        <f t="array" ref="Z181:AD181">_xlfn.XLOOKUP(D181,'Customer Details'!$A$1:$A$17,'Customer Details'!$B$1:$F$17,"No such customer",0,1)</f>
        <v>Dynamatic Technologies Ltd.</v>
      </c>
      <c r="AA181" s="8" t="str">
        <v>402 Pinkster Lane</v>
      </c>
      <c r="AB181" s="8" t="str">
        <v>Santa Barbara</v>
      </c>
      <c r="AC181" s="8" t="str">
        <v>CA</v>
      </c>
      <c r="AD181" s="8" t="str">
        <v>93110</v>
      </c>
    </row>
    <row r="182" spans="1:30">
      <c r="A182" s="8" t="s">
        <v>292</v>
      </c>
      <c r="B182" s="19">
        <v>41486</v>
      </c>
      <c r="C182" s="8" t="s">
        <v>33</v>
      </c>
      <c r="D182" s="8">
        <v>10012</v>
      </c>
      <c r="E182" s="8" t="str">
        <f>VLOOKUP($D182,'Customer Details'!$A$1:$F$17,4,FALSE)</f>
        <v>Santa Barbara</v>
      </c>
      <c r="F182" s="8" t="s">
        <v>86</v>
      </c>
      <c r="G182" s="8">
        <v>1</v>
      </c>
      <c r="H182" s="2" t="str">
        <f>VLOOKUP($D182,'Customer Details'!$A$1:$F$17,MATCH('Order SUmmary'!H$2,'Customer Details'!$A$1:$F$1,0),0)</f>
        <v>Dynamatic Technologies Ltd.</v>
      </c>
      <c r="I182" s="2" t="str">
        <f>VLOOKUP($D182,'Customer Details'!$A$1:$F$17,4,0)</f>
        <v>Santa Barbara</v>
      </c>
      <c r="J182" s="2" t="str">
        <f>VLOOKUP($D182,'Customer Details'!$A$1:$F$17,6,0)</f>
        <v>93110</v>
      </c>
      <c r="K182" s="8" t="str">
        <f>VLOOKUP(VLOOKUP(D182,'Customer Details'!$A$1:$F$17,5,0),'Region INfo'!$A$1:$C$52,3,0)</f>
        <v xml:space="preserve">Pacific   </v>
      </c>
      <c r="L182" s="8" t="str">
        <f>INDEX(Product_List,MATCH($F182,'Product List'!$B$1:$B$299,0),MATCH('Order SUmmary'!L$2,'Product List'!$A$1:$E$1,0))</f>
        <v>Newell 316</v>
      </c>
      <c r="M182" s="8">
        <f>INDEX(Product_List,MATCH($F182,'Product List'!$B$1:$B$299,0),MATCH('Order SUmmary'!M$2,'Product List'!$A$1:$E$1,0))</f>
        <v>2958</v>
      </c>
      <c r="N182" s="8">
        <f>INDEX(Product_List,MATCH($F182,'Product List'!$B$1:$B$299,0),MATCH('Order SUmmary'!N$2,'Product List'!$A$1:$E$1,0))</f>
        <v>1678</v>
      </c>
      <c r="O182" s="8" t="str">
        <f>INDEX(Product_List,MATCH($F182,'Product List'!$B$1:$B$299,0),MATCH('Order SUmmary'!O$2,'Product List'!$A$1:$E$1,0))</f>
        <v>Art</v>
      </c>
      <c r="P182" s="12">
        <f>HLOOKUP(C182,'Commission Criteria'!$A$2:$I$4,3,FALSE)</f>
        <v>1</v>
      </c>
      <c r="Q182" s="8">
        <f t="shared" si="7"/>
        <v>1678</v>
      </c>
      <c r="R182" s="8">
        <f t="shared" si="8"/>
        <v>2958</v>
      </c>
      <c r="S182" s="36">
        <f>VLOOKUP(R182,'Commission Criteria'!$L$3:$M$11,2,TRUE)</f>
        <v>0.01</v>
      </c>
      <c r="T182" s="36">
        <f>IF(P182&lt;5,VLOOKUP(R182,'Commission Criteria'!$L$3:$M$11,2,1),VLOOKUP('Order SUmmary'!R182,'Commission Criteria'!$P$3:$Q$11,2,1))</f>
        <v>0.01</v>
      </c>
      <c r="U182" s="36">
        <f>VLOOKUP(R182,IF(P182&lt;5,'Commission Criteria'!$L$3:$M$11,'Commission Criteria'!$P$3:$Q$11),2,1)</f>
        <v>0.01</v>
      </c>
      <c r="V182" s="8" t="s">
        <v>35</v>
      </c>
      <c r="W182" s="36">
        <f t="shared" ca="1" si="9"/>
        <v>0</v>
      </c>
      <c r="X182" s="8" t="str">
        <f>_xlfn.XLOOKUP(F182,'Product List'!$B$1:$B$299,'Product List'!$A$1:$A$299)</f>
        <v>Newell 316</v>
      </c>
      <c r="Y182" s="8"/>
      <c r="Z182" s="8" t="str" cm="1">
        <f t="array" ref="Z182:AD182">_xlfn.XLOOKUP(D182,'Customer Details'!$A$1:$A$17,'Customer Details'!$B$1:$F$17,"No such customer",0,1)</f>
        <v>Dynamatic Technologies Ltd.</v>
      </c>
      <c r="AA182" s="8" t="str">
        <v>402 Pinkster Lane</v>
      </c>
      <c r="AB182" s="8" t="str">
        <v>Santa Barbara</v>
      </c>
      <c r="AC182" s="8" t="str">
        <v>CA</v>
      </c>
      <c r="AD182" s="8" t="str">
        <v>93110</v>
      </c>
    </row>
    <row r="183" spans="1:30">
      <c r="A183" s="8" t="s">
        <v>292</v>
      </c>
      <c r="B183" s="19">
        <v>41486</v>
      </c>
      <c r="C183" s="8" t="s">
        <v>36</v>
      </c>
      <c r="D183" s="8">
        <v>10003</v>
      </c>
      <c r="E183" s="8" t="str">
        <f>VLOOKUP($D183,'Customer Details'!$A$1:$F$17,4,FALSE)</f>
        <v>Miami</v>
      </c>
      <c r="F183" s="8" t="s">
        <v>149</v>
      </c>
      <c r="G183" s="8">
        <v>1</v>
      </c>
      <c r="H183" s="2" t="str">
        <f>VLOOKUP($D183,'Customer Details'!$A$1:$F$17,MATCH('Order SUmmary'!H$2,'Customer Details'!$A$1:$F$1,0),0)</f>
        <v>Honeywell Automation</v>
      </c>
      <c r="I183" s="2" t="str">
        <f>VLOOKUP($D183,'Customer Details'!$A$1:$F$17,4,0)</f>
        <v>Miami</v>
      </c>
      <c r="J183" s="2" t="str">
        <f>VLOOKUP($D183,'Customer Details'!$A$1:$F$17,6,0)</f>
        <v>33732</v>
      </c>
      <c r="K183" s="8" t="str">
        <f>VLOOKUP(VLOOKUP(D183,'Customer Details'!$A$1:$F$17,5,0),'Region INfo'!$A$1:$C$52,3,0)</f>
        <v>Southern</v>
      </c>
      <c r="L183" s="8" t="str">
        <f>INDEX(Product_List,MATCH($F183,'Product List'!$B$1:$B$299,0),MATCH('Order SUmmary'!L$2,'Product List'!$A$1:$E$1,0))</f>
        <v>Xerox 1992</v>
      </c>
      <c r="M183" s="8">
        <f>INDEX(Product_List,MATCH($F183,'Product List'!$B$1:$B$299,0),MATCH('Order SUmmary'!M$2,'Product List'!$A$1:$E$1,0))</f>
        <v>4218</v>
      </c>
      <c r="N183" s="8">
        <f>INDEX(Product_List,MATCH($F183,'Product List'!$B$1:$B$299,0),MATCH('Order SUmmary'!N$2,'Product List'!$A$1:$E$1,0))</f>
        <v>2421</v>
      </c>
      <c r="O183" s="8" t="str">
        <f>INDEX(Product_List,MATCH($F183,'Product List'!$B$1:$B$299,0),MATCH('Order SUmmary'!O$2,'Product List'!$A$1:$E$1,0))</f>
        <v>Paper</v>
      </c>
      <c r="P183" s="12">
        <f>HLOOKUP(C183,'Commission Criteria'!$A$2:$I$4,3,FALSE)</f>
        <v>6</v>
      </c>
      <c r="Q183" s="8">
        <f t="shared" si="7"/>
        <v>2421</v>
      </c>
      <c r="R183" s="8">
        <f t="shared" si="8"/>
        <v>4218</v>
      </c>
      <c r="S183" s="36">
        <f>VLOOKUP(R183,'Commission Criteria'!$L$3:$M$11,2,TRUE)</f>
        <v>0.01</v>
      </c>
      <c r="T183" s="36">
        <f>IF(P183&lt;5,VLOOKUP(R183,'Commission Criteria'!$L$3:$M$11,2,1),VLOOKUP('Order SUmmary'!R183,'Commission Criteria'!$P$3:$Q$11,2,1))</f>
        <v>0.02</v>
      </c>
      <c r="U183" s="36">
        <f>VLOOKUP(R183,IF(P183&lt;5,'Commission Criteria'!$L$3:$M$11,'Commission Criteria'!$P$3:$Q$11),2,1)</f>
        <v>0.02</v>
      </c>
      <c r="V183" s="8" t="s">
        <v>40</v>
      </c>
      <c r="W183" s="36">
        <f t="shared" ca="1" si="9"/>
        <v>0.01</v>
      </c>
      <c r="X183" s="8" t="str">
        <f>_xlfn.XLOOKUP(F183,'Product List'!$B$1:$B$299,'Product List'!$A$1:$A$299)</f>
        <v>Xerox 1992</v>
      </c>
      <c r="Y183" s="8"/>
      <c r="Z183" s="8" t="str" cm="1">
        <f t="array" ref="Z183:AD183">_xlfn.XLOOKUP(D183,'Customer Details'!$A$1:$A$17,'Customer Details'!$B$1:$F$17,"No such customer",0,1)</f>
        <v>Honeywell Automation</v>
      </c>
      <c r="AA183" s="8" t="str">
        <v>1272 Harbor Road</v>
      </c>
      <c r="AB183" s="8" t="str">
        <v>Miami</v>
      </c>
      <c r="AC183" s="8" t="str">
        <v>FL</v>
      </c>
      <c r="AD183" s="8" t="str">
        <v>33732</v>
      </c>
    </row>
    <row r="184" spans="1:30">
      <c r="A184" s="8" t="s">
        <v>293</v>
      </c>
      <c r="B184" s="19">
        <v>41490</v>
      </c>
      <c r="C184" s="8" t="s">
        <v>66</v>
      </c>
      <c r="D184" s="8">
        <v>10012</v>
      </c>
      <c r="E184" s="8" t="str">
        <f>VLOOKUP($D184,'Customer Details'!$A$1:$F$17,4,FALSE)</f>
        <v>Santa Barbara</v>
      </c>
      <c r="F184" s="8" t="s">
        <v>116</v>
      </c>
      <c r="G184" s="8">
        <v>1</v>
      </c>
      <c r="H184" s="2" t="str">
        <f>VLOOKUP($D184,'Customer Details'!$A$1:$F$17,MATCH('Order SUmmary'!H$2,'Customer Details'!$A$1:$F$1,0),0)</f>
        <v>Dynamatic Technologies Ltd.</v>
      </c>
      <c r="I184" s="2" t="str">
        <f>VLOOKUP($D184,'Customer Details'!$A$1:$F$17,4,0)</f>
        <v>Santa Barbara</v>
      </c>
      <c r="J184" s="2" t="str">
        <f>VLOOKUP($D184,'Customer Details'!$A$1:$F$17,6,0)</f>
        <v>93110</v>
      </c>
      <c r="K184" s="8" t="str">
        <f>VLOOKUP(VLOOKUP(D184,'Customer Details'!$A$1:$F$17,5,0),'Region INfo'!$A$1:$C$52,3,0)</f>
        <v xml:space="preserve">Pacific   </v>
      </c>
      <c r="L184" s="8" t="str">
        <f>INDEX(Product_List,MATCH($F184,'Product List'!$B$1:$B$299,0),MATCH('Order SUmmary'!L$2,'Product List'!$A$1:$E$1,0))</f>
        <v>Newell 326</v>
      </c>
      <c r="M184" s="8">
        <f>INDEX(Product_List,MATCH($F184,'Product List'!$B$1:$B$299,0),MATCH('Order SUmmary'!M$2,'Product List'!$A$1:$E$1,0))</f>
        <v>3645</v>
      </c>
      <c r="N184" s="8">
        <f>INDEX(Product_List,MATCH($F184,'Product List'!$B$1:$B$299,0),MATCH('Order SUmmary'!N$2,'Product List'!$A$1:$E$1,0))</f>
        <v>2466</v>
      </c>
      <c r="O184" s="8" t="str">
        <f>INDEX(Product_List,MATCH($F184,'Product List'!$B$1:$B$299,0),MATCH('Order SUmmary'!O$2,'Product List'!$A$1:$E$1,0))</f>
        <v>Art</v>
      </c>
      <c r="P184" s="12">
        <f>HLOOKUP(C184,'Commission Criteria'!$A$2:$I$4,3,FALSE)</f>
        <v>5</v>
      </c>
      <c r="Q184" s="8">
        <f t="shared" si="7"/>
        <v>2466</v>
      </c>
      <c r="R184" s="8">
        <f t="shared" si="8"/>
        <v>3645</v>
      </c>
      <c r="S184" s="36">
        <f>VLOOKUP(R184,'Commission Criteria'!$L$3:$M$11,2,TRUE)</f>
        <v>0.01</v>
      </c>
      <c r="T184" s="36">
        <f>IF(P184&lt;5,VLOOKUP(R184,'Commission Criteria'!$L$3:$M$11,2,1),VLOOKUP('Order SUmmary'!R184,'Commission Criteria'!$P$3:$Q$11,2,1))</f>
        <v>0.02</v>
      </c>
      <c r="U184" s="36">
        <f>VLOOKUP(R184,IF(P184&lt;5,'Commission Criteria'!$L$3:$M$11,'Commission Criteria'!$P$3:$Q$11),2,1)</f>
        <v>0.02</v>
      </c>
      <c r="V184" s="8" t="s">
        <v>35</v>
      </c>
      <c r="W184" s="36">
        <f t="shared" ca="1" si="9"/>
        <v>0.02</v>
      </c>
      <c r="X184" s="8" t="str">
        <f>_xlfn.XLOOKUP(F184,'Product List'!$B$1:$B$299,'Product List'!$A$1:$A$299)</f>
        <v>Newell 326</v>
      </c>
      <c r="Y184" s="8"/>
      <c r="Z184" s="8" t="str" cm="1">
        <f t="array" ref="Z184:AD184">_xlfn.XLOOKUP(D184,'Customer Details'!$A$1:$A$17,'Customer Details'!$B$1:$F$17,"No such customer",0,1)</f>
        <v>Dynamatic Technologies Ltd.</v>
      </c>
      <c r="AA184" s="8" t="str">
        <v>402 Pinkster Lane</v>
      </c>
      <c r="AB184" s="8" t="str">
        <v>Santa Barbara</v>
      </c>
      <c r="AC184" s="8" t="str">
        <v>CA</v>
      </c>
      <c r="AD184" s="8" t="str">
        <v>93110</v>
      </c>
    </row>
    <row r="185" spans="1:30">
      <c r="A185" s="8" t="s">
        <v>294</v>
      </c>
      <c r="B185" s="19">
        <v>41492</v>
      </c>
      <c r="C185" s="8" t="s">
        <v>46</v>
      </c>
      <c r="D185" s="8">
        <v>10009</v>
      </c>
      <c r="E185" s="8" t="str">
        <f>VLOOKUP($D185,'Customer Details'!$A$1:$F$17,4,FALSE)</f>
        <v>Salt Lake City</v>
      </c>
      <c r="F185" s="8" t="s">
        <v>295</v>
      </c>
      <c r="G185" s="8">
        <v>1</v>
      </c>
      <c r="H185" s="2" t="str">
        <f>VLOOKUP($D185,'Customer Details'!$A$1:$F$17,MATCH('Order SUmmary'!H$2,'Customer Details'!$A$1:$F$1,0),0)</f>
        <v>Godfrey Philips India Ltd.</v>
      </c>
      <c r="I185" s="2" t="str">
        <f>VLOOKUP($D185,'Customer Details'!$A$1:$F$17,4,0)</f>
        <v>Salt Lake City</v>
      </c>
      <c r="J185" s="2" t="str">
        <f>VLOOKUP($D185,'Customer Details'!$A$1:$F$17,6,0)</f>
        <v>84118</v>
      </c>
      <c r="K185" s="8" t="str">
        <f>VLOOKUP(VLOOKUP(D185,'Customer Details'!$A$1:$F$17,5,0),'Region INfo'!$A$1:$C$52,3,0)</f>
        <v xml:space="preserve">Pacific   </v>
      </c>
      <c r="L185" s="8" t="str">
        <f>INDEX(Product_List,MATCH($F185,'Product List'!$B$1:$B$299,0),MATCH('Order SUmmary'!L$2,'Product List'!$A$1:$E$1,0))</f>
        <v>Xerox 1950</v>
      </c>
      <c r="M185" s="8">
        <f>INDEX(Product_List,MATCH($F185,'Product List'!$B$1:$B$299,0),MATCH('Order SUmmary'!M$2,'Product List'!$A$1:$E$1,0))</f>
        <v>3101</v>
      </c>
      <c r="N185" s="8">
        <f>INDEX(Product_List,MATCH($F185,'Product List'!$B$1:$B$299,0),MATCH('Order SUmmary'!N$2,'Product List'!$A$1:$E$1,0))</f>
        <v>1524</v>
      </c>
      <c r="O185" s="8" t="str">
        <f>INDEX(Product_List,MATCH($F185,'Product List'!$B$1:$B$299,0),MATCH('Order SUmmary'!O$2,'Product List'!$A$1:$E$1,0))</f>
        <v>Paper</v>
      </c>
      <c r="P185" s="12">
        <f>HLOOKUP(C185,'Commission Criteria'!$A$2:$I$4,3,FALSE)</f>
        <v>8</v>
      </c>
      <c r="Q185" s="8">
        <f t="shared" si="7"/>
        <v>1524</v>
      </c>
      <c r="R185" s="8">
        <f t="shared" si="8"/>
        <v>3101</v>
      </c>
      <c r="S185" s="36">
        <f>VLOOKUP(R185,'Commission Criteria'!$L$3:$M$11,2,TRUE)</f>
        <v>0.01</v>
      </c>
      <c r="T185" s="36">
        <f>IF(P185&lt;5,VLOOKUP(R185,'Commission Criteria'!$L$3:$M$11,2,1),VLOOKUP('Order SUmmary'!R185,'Commission Criteria'!$P$3:$Q$11,2,1))</f>
        <v>0.02</v>
      </c>
      <c r="U185" s="36">
        <f>VLOOKUP(R185,IF(P185&lt;5,'Commission Criteria'!$L$3:$M$11,'Commission Criteria'!$P$3:$Q$11),2,1)</f>
        <v>0.02</v>
      </c>
      <c r="V185" s="8" t="s">
        <v>43</v>
      </c>
      <c r="W185" s="36">
        <f t="shared" ca="1" si="9"/>
        <v>0</v>
      </c>
      <c r="X185" s="8" t="str">
        <f>_xlfn.XLOOKUP(F185,'Product List'!$B$1:$B$299,'Product List'!$A$1:$A$299)</f>
        <v>Xerox 1950</v>
      </c>
      <c r="Y185" s="8"/>
      <c r="Z185" s="8" t="str" cm="1">
        <f t="array" ref="Z185:AD185">_xlfn.XLOOKUP(D185,'Customer Details'!$A$1:$A$17,'Customer Details'!$B$1:$F$17,"No such customer",0,1)</f>
        <v>Godfrey Philips India Ltd.</v>
      </c>
      <c r="AA185" s="8" t="str">
        <v>20501 Ania Ave #2</v>
      </c>
      <c r="AB185" s="8" t="str">
        <v>Salt Lake City</v>
      </c>
      <c r="AC185" s="8" t="str">
        <v>UT</v>
      </c>
      <c r="AD185" s="8" t="str">
        <v>84118</v>
      </c>
    </row>
    <row r="186" spans="1:30">
      <c r="A186" s="8" t="s">
        <v>294</v>
      </c>
      <c r="B186" s="19">
        <v>41492</v>
      </c>
      <c r="C186" s="8" t="s">
        <v>36</v>
      </c>
      <c r="D186" s="8">
        <v>10003</v>
      </c>
      <c r="E186" s="8" t="str">
        <f>VLOOKUP($D186,'Customer Details'!$A$1:$F$17,4,FALSE)</f>
        <v>Miami</v>
      </c>
      <c r="F186" s="8" t="s">
        <v>296</v>
      </c>
      <c r="G186" s="8">
        <v>1</v>
      </c>
      <c r="H186" s="2" t="str">
        <f>VLOOKUP($D186,'Customer Details'!$A$1:$F$17,MATCH('Order SUmmary'!H$2,'Customer Details'!$A$1:$F$1,0),0)</f>
        <v>Honeywell Automation</v>
      </c>
      <c r="I186" s="2" t="str">
        <f>VLOOKUP($D186,'Customer Details'!$A$1:$F$17,4,0)</f>
        <v>Miami</v>
      </c>
      <c r="J186" s="2" t="str">
        <f>VLOOKUP($D186,'Customer Details'!$A$1:$F$17,6,0)</f>
        <v>33732</v>
      </c>
      <c r="K186" s="8" t="str">
        <f>VLOOKUP(VLOOKUP(D186,'Customer Details'!$A$1:$F$17,5,0),'Region INfo'!$A$1:$C$52,3,0)</f>
        <v>Southern</v>
      </c>
      <c r="L186" s="8" t="str">
        <f>INDEX(Product_List,MATCH($F186,'Product List'!$B$1:$B$299,0),MATCH('Order SUmmary'!L$2,'Product List'!$A$1:$E$1,0))</f>
        <v>Motorola L804</v>
      </c>
      <c r="M186" s="8">
        <f>INDEX(Product_List,MATCH($F186,'Product List'!$B$1:$B$299,0),MATCH('Order SUmmary'!M$2,'Product List'!$A$1:$E$1,0))</f>
        <v>4163</v>
      </c>
      <c r="N186" s="8">
        <f>INDEX(Product_List,MATCH($F186,'Product List'!$B$1:$B$299,0),MATCH('Order SUmmary'!N$2,'Product List'!$A$1:$E$1,0))</f>
        <v>1216</v>
      </c>
      <c r="O186" s="8" t="str">
        <f>INDEX(Product_List,MATCH($F186,'Product List'!$B$1:$B$299,0),MATCH('Order SUmmary'!O$2,'Product List'!$A$1:$E$1,0))</f>
        <v>Phones</v>
      </c>
      <c r="P186" s="12">
        <f>HLOOKUP(C186,'Commission Criteria'!$A$2:$I$4,3,FALSE)</f>
        <v>6</v>
      </c>
      <c r="Q186" s="8">
        <f t="shared" si="7"/>
        <v>1216</v>
      </c>
      <c r="R186" s="8">
        <f t="shared" si="8"/>
        <v>4163</v>
      </c>
      <c r="S186" s="36">
        <f>VLOOKUP(R186,'Commission Criteria'!$L$3:$M$11,2,TRUE)</f>
        <v>0.01</v>
      </c>
      <c r="T186" s="36">
        <f>IF(P186&lt;5,VLOOKUP(R186,'Commission Criteria'!$L$3:$M$11,2,1),VLOOKUP('Order SUmmary'!R186,'Commission Criteria'!$P$3:$Q$11,2,1))</f>
        <v>0.02</v>
      </c>
      <c r="U186" s="36">
        <f>VLOOKUP(R186,IF(P186&lt;5,'Commission Criteria'!$L$3:$M$11,'Commission Criteria'!$P$3:$Q$11),2,1)</f>
        <v>0.02</v>
      </c>
      <c r="V186" s="8" t="s">
        <v>32</v>
      </c>
      <c r="W186" s="36">
        <f t="shared" ca="1" si="9"/>
        <v>0.03</v>
      </c>
      <c r="X186" s="8" t="str">
        <f>_xlfn.XLOOKUP(F186,'Product List'!$B$1:$B$299,'Product List'!$A$1:$A$299)</f>
        <v>Motorola L804</v>
      </c>
      <c r="Y186" s="8"/>
      <c r="Z186" s="8" t="str" cm="1">
        <f t="array" ref="Z186:AD186">_xlfn.XLOOKUP(D186,'Customer Details'!$A$1:$A$17,'Customer Details'!$B$1:$F$17,"No such customer",0,1)</f>
        <v>Honeywell Automation</v>
      </c>
      <c r="AA186" s="8" t="str">
        <v>1272 Harbor Road</v>
      </c>
      <c r="AB186" s="8" t="str">
        <v>Miami</v>
      </c>
      <c r="AC186" s="8" t="str">
        <v>FL</v>
      </c>
      <c r="AD186" s="8" t="str">
        <v>33732</v>
      </c>
    </row>
    <row r="187" spans="1:30">
      <c r="A187" s="8" t="s">
        <v>297</v>
      </c>
      <c r="B187" s="19">
        <v>41492</v>
      </c>
      <c r="C187" s="8" t="s">
        <v>33</v>
      </c>
      <c r="D187" s="8">
        <v>10003</v>
      </c>
      <c r="E187" s="8" t="str">
        <f>VLOOKUP($D187,'Customer Details'!$A$1:$F$17,4,FALSE)</f>
        <v>Miami</v>
      </c>
      <c r="F187" s="8" t="s">
        <v>298</v>
      </c>
      <c r="G187" s="8">
        <v>1</v>
      </c>
      <c r="H187" s="2" t="str">
        <f>VLOOKUP($D187,'Customer Details'!$A$1:$F$17,MATCH('Order SUmmary'!H$2,'Customer Details'!$A$1:$F$1,0),0)</f>
        <v>Honeywell Automation</v>
      </c>
      <c r="I187" s="2" t="str">
        <f>VLOOKUP($D187,'Customer Details'!$A$1:$F$17,4,0)</f>
        <v>Miami</v>
      </c>
      <c r="J187" s="2" t="str">
        <f>VLOOKUP($D187,'Customer Details'!$A$1:$F$17,6,0)</f>
        <v>33732</v>
      </c>
      <c r="K187" s="8" t="str">
        <f>VLOOKUP(VLOOKUP(D187,'Customer Details'!$A$1:$F$17,5,0),'Region INfo'!$A$1:$C$52,3,0)</f>
        <v>Southern</v>
      </c>
      <c r="L187" s="8" t="str">
        <f>INDEX(Product_List,MATCH($F187,'Product List'!$B$1:$B$299,0),MATCH('Order SUmmary'!L$2,'Product List'!$A$1:$E$1,0))</f>
        <v>Xerox 216</v>
      </c>
      <c r="M187" s="8">
        <f>INDEX(Product_List,MATCH($F187,'Product List'!$B$1:$B$299,0),MATCH('Order SUmmary'!M$2,'Product List'!$A$1:$E$1,0))</f>
        <v>4719</v>
      </c>
      <c r="N187" s="8">
        <f>INDEX(Product_List,MATCH($F187,'Product List'!$B$1:$B$299,0),MATCH('Order SUmmary'!N$2,'Product List'!$A$1:$E$1,0))</f>
        <v>2043</v>
      </c>
      <c r="O187" s="8" t="str">
        <f>INDEX(Product_List,MATCH($F187,'Product List'!$B$1:$B$299,0),MATCH('Order SUmmary'!O$2,'Product List'!$A$1:$E$1,0))</f>
        <v>Paper</v>
      </c>
      <c r="P187" s="12">
        <f>HLOOKUP(C187,'Commission Criteria'!$A$2:$I$4,3,FALSE)</f>
        <v>1</v>
      </c>
      <c r="Q187" s="8">
        <f t="shared" si="7"/>
        <v>2043</v>
      </c>
      <c r="R187" s="8">
        <f t="shared" si="8"/>
        <v>4719</v>
      </c>
      <c r="S187" s="36">
        <f>VLOOKUP(R187,'Commission Criteria'!$L$3:$M$11,2,TRUE)</f>
        <v>0.01</v>
      </c>
      <c r="T187" s="36">
        <f>IF(P187&lt;5,VLOOKUP(R187,'Commission Criteria'!$L$3:$M$11,2,1),VLOOKUP('Order SUmmary'!R187,'Commission Criteria'!$P$3:$Q$11,2,1))</f>
        <v>0.01</v>
      </c>
      <c r="U187" s="36">
        <f>VLOOKUP(R187,IF(P187&lt;5,'Commission Criteria'!$L$3:$M$11,'Commission Criteria'!$P$3:$Q$11),2,1)</f>
        <v>0.01</v>
      </c>
      <c r="V187" s="8" t="s">
        <v>40</v>
      </c>
      <c r="W187" s="36">
        <f t="shared" ca="1" si="9"/>
        <v>0</v>
      </c>
      <c r="X187" s="8" t="str">
        <f>_xlfn.XLOOKUP(F187,'Product List'!$B$1:$B$299,'Product List'!$A$1:$A$299)</f>
        <v>Xerox 216</v>
      </c>
      <c r="Y187" s="8"/>
      <c r="Z187" s="8" t="str" cm="1">
        <f t="array" ref="Z187:AD187">_xlfn.XLOOKUP(D187,'Customer Details'!$A$1:$A$17,'Customer Details'!$B$1:$F$17,"No such customer",0,1)</f>
        <v>Honeywell Automation</v>
      </c>
      <c r="AA187" s="8" t="str">
        <v>1272 Harbor Road</v>
      </c>
      <c r="AB187" s="8" t="str">
        <v>Miami</v>
      </c>
      <c r="AC187" s="8" t="str">
        <v>FL</v>
      </c>
      <c r="AD187" s="8" t="str">
        <v>33732</v>
      </c>
    </row>
    <row r="188" spans="1:30">
      <c r="A188" s="8" t="s">
        <v>294</v>
      </c>
      <c r="B188" s="19">
        <v>41492</v>
      </c>
      <c r="C188" s="8" t="s">
        <v>51</v>
      </c>
      <c r="D188" s="8">
        <v>10005</v>
      </c>
      <c r="E188" s="8" t="str">
        <f>VLOOKUP($D188,'Customer Details'!$A$1:$F$17,4,FALSE)</f>
        <v>Goleta</v>
      </c>
      <c r="F188" s="8" t="s">
        <v>299</v>
      </c>
      <c r="G188" s="8">
        <v>2</v>
      </c>
      <c r="H188" s="2" t="str">
        <f>VLOOKUP($D188,'Customer Details'!$A$1:$F$17,MATCH('Order SUmmary'!H$2,'Customer Details'!$A$1:$F$1,0),0)</f>
        <v>Fortis Healthcare Ltd.</v>
      </c>
      <c r="I188" s="2" t="str">
        <f>VLOOKUP($D188,'Customer Details'!$A$1:$F$17,4,0)</f>
        <v>Goleta</v>
      </c>
      <c r="J188" s="2" t="str">
        <f>VLOOKUP($D188,'Customer Details'!$A$1:$F$17,6,0)</f>
        <v>93117</v>
      </c>
      <c r="K188" s="8" t="str">
        <f>VLOOKUP(VLOOKUP(D188,'Customer Details'!$A$1:$F$17,5,0),'Region INfo'!$A$1:$C$52,3,0)</f>
        <v xml:space="preserve">Pacific   </v>
      </c>
      <c r="L188" s="8" t="str">
        <f>INDEX(Product_List,MATCH($F188,'Product List'!$B$1:$B$299,0),MATCH('Order SUmmary'!L$2,'Product List'!$A$1:$E$1,0))</f>
        <v>Xerox 1987</v>
      </c>
      <c r="M188" s="8">
        <f>INDEX(Product_List,MATCH($F188,'Product List'!$B$1:$B$299,0),MATCH('Order SUmmary'!M$2,'Product List'!$A$1:$E$1,0))</f>
        <v>3176</v>
      </c>
      <c r="N188" s="8">
        <f>INDEX(Product_List,MATCH($F188,'Product List'!$B$1:$B$299,0),MATCH('Order SUmmary'!N$2,'Product List'!$A$1:$E$1,0))</f>
        <v>1801</v>
      </c>
      <c r="O188" s="8" t="str">
        <f>INDEX(Product_List,MATCH($F188,'Product List'!$B$1:$B$299,0),MATCH('Order SUmmary'!O$2,'Product List'!$A$1:$E$1,0))</f>
        <v>Paper</v>
      </c>
      <c r="P188" s="12">
        <f>HLOOKUP(C188,'Commission Criteria'!$A$2:$I$4,3,FALSE)</f>
        <v>10</v>
      </c>
      <c r="Q188" s="8">
        <f t="shared" si="7"/>
        <v>3602</v>
      </c>
      <c r="R188" s="8">
        <f t="shared" si="8"/>
        <v>6352</v>
      </c>
      <c r="S188" s="36">
        <f>VLOOKUP(R188,'Commission Criteria'!$L$3:$M$11,2,TRUE)</f>
        <v>0.03</v>
      </c>
      <c r="T188" s="36">
        <f>IF(P188&lt;5,VLOOKUP(R188,'Commission Criteria'!$L$3:$M$11,2,1),VLOOKUP('Order SUmmary'!R188,'Commission Criteria'!$P$3:$Q$11,2,1))</f>
        <v>0.02</v>
      </c>
      <c r="U188" s="36">
        <f>VLOOKUP(R188,IF(P188&lt;5,'Commission Criteria'!$L$3:$M$11,'Commission Criteria'!$P$3:$Q$11),2,1)</f>
        <v>0.02</v>
      </c>
      <c r="V188" s="8" t="s">
        <v>40</v>
      </c>
      <c r="W188" s="36">
        <f t="shared" ca="1" si="9"/>
        <v>0.05</v>
      </c>
      <c r="X188" s="8" t="str">
        <f>_xlfn.XLOOKUP(F188,'Product List'!$B$1:$B$299,'Product List'!$A$1:$A$299)</f>
        <v>Xerox 1987</v>
      </c>
      <c r="Y188" s="8"/>
      <c r="Z188" s="8" t="str" cm="1">
        <f t="array" ref="Z188:AD188">_xlfn.XLOOKUP(D188,'Customer Details'!$A$1:$A$17,'Customer Details'!$B$1:$F$17,"No such customer",0,1)</f>
        <v>Fortis Healthcare Ltd.</v>
      </c>
      <c r="AA188" s="8" t="str">
        <v>14 Elsworthy Terrace</v>
      </c>
      <c r="AB188" s="8" t="str">
        <v>Goleta</v>
      </c>
      <c r="AC188" s="8" t="str">
        <v>CA</v>
      </c>
      <c r="AD188" s="8" t="str">
        <v>93117</v>
      </c>
    </row>
    <row r="189" spans="1:30">
      <c r="A189" s="8" t="s">
        <v>297</v>
      </c>
      <c r="B189" s="19">
        <v>41492</v>
      </c>
      <c r="C189" s="8" t="s">
        <v>46</v>
      </c>
      <c r="D189" s="8">
        <v>10013</v>
      </c>
      <c r="E189" s="8" t="str">
        <f>VLOOKUP($D189,'Customer Details'!$A$1:$F$17,4,FALSE)</f>
        <v>Naugatuck</v>
      </c>
      <c r="F189" s="8" t="s">
        <v>300</v>
      </c>
      <c r="G189" s="8">
        <v>3</v>
      </c>
      <c r="H189" s="2" t="str">
        <f>VLOOKUP($D189,'Customer Details'!$A$1:$F$17,MATCH('Order SUmmary'!H$2,'Customer Details'!$A$1:$F$1,0),0)</f>
        <v>GMR Infrastructure Ltd.</v>
      </c>
      <c r="I189" s="2" t="str">
        <f>VLOOKUP($D189,'Customer Details'!$A$1:$F$17,4,0)</f>
        <v>Naugatuck</v>
      </c>
      <c r="J189" s="2" t="str">
        <f>VLOOKUP($D189,'Customer Details'!$A$1:$F$17,6,0)</f>
        <v>06770</v>
      </c>
      <c r="K189" s="8" t="str">
        <f>VLOOKUP(VLOOKUP(D189,'Customer Details'!$A$1:$F$17,5,0),'Region INfo'!$A$1:$C$52,3,0)</f>
        <v xml:space="preserve">Northern </v>
      </c>
      <c r="L189" s="8" t="str">
        <f>INDEX(Product_List,MATCH($F189,'Product List'!$B$1:$B$299,0),MATCH('Order SUmmary'!L$2,'Product List'!$A$1:$E$1,0))</f>
        <v>Xerox 1892</v>
      </c>
      <c r="M189" s="8">
        <f>INDEX(Product_List,MATCH($F189,'Product List'!$B$1:$B$299,0),MATCH('Order SUmmary'!M$2,'Product List'!$A$1:$E$1,0))</f>
        <v>4069</v>
      </c>
      <c r="N189" s="8">
        <f>INDEX(Product_List,MATCH($F189,'Product List'!$B$1:$B$299,0),MATCH('Order SUmmary'!N$2,'Product List'!$A$1:$E$1,0))</f>
        <v>1545</v>
      </c>
      <c r="O189" s="8" t="str">
        <f>INDEX(Product_List,MATCH($F189,'Product List'!$B$1:$B$299,0),MATCH('Order SUmmary'!O$2,'Product List'!$A$1:$E$1,0))</f>
        <v>Paper</v>
      </c>
      <c r="P189" s="12">
        <f>HLOOKUP(C189,'Commission Criteria'!$A$2:$I$4,3,FALSE)</f>
        <v>8</v>
      </c>
      <c r="Q189" s="8">
        <f t="shared" si="7"/>
        <v>4635</v>
      </c>
      <c r="R189" s="8">
        <f t="shared" si="8"/>
        <v>12207</v>
      </c>
      <c r="S189" s="36">
        <f>VLOOKUP(R189,'Commission Criteria'!$L$3:$M$11,2,TRUE)</f>
        <v>0.03</v>
      </c>
      <c r="T189" s="36">
        <f>IF(P189&lt;5,VLOOKUP(R189,'Commission Criteria'!$L$3:$M$11,2,1),VLOOKUP('Order SUmmary'!R189,'Commission Criteria'!$P$3:$Q$11,2,1))</f>
        <v>0.02</v>
      </c>
      <c r="U189" s="36">
        <f>VLOOKUP(R189,IF(P189&lt;5,'Commission Criteria'!$L$3:$M$11,'Commission Criteria'!$P$3:$Q$11),2,1)</f>
        <v>0.02</v>
      </c>
      <c r="V189" s="8" t="s">
        <v>29</v>
      </c>
      <c r="W189" s="36">
        <f t="shared" ca="1" si="9"/>
        <v>0.03</v>
      </c>
      <c r="X189" s="8" t="str">
        <f>_xlfn.XLOOKUP(F189,'Product List'!$B$1:$B$299,'Product List'!$A$1:$A$299)</f>
        <v>Xerox 1892</v>
      </c>
      <c r="Y189" s="8"/>
      <c r="Z189" s="8" t="str" cm="1">
        <f t="array" ref="Z189:AD189">_xlfn.XLOOKUP(D189,'Customer Details'!$A$1:$A$17,'Customer Details'!$B$1:$F$17,"No such customer",0,1)</f>
        <v>GMR Infrastructure Ltd.</v>
      </c>
      <c r="AA189" s="8" t="str">
        <v>P.O. Box 4421</v>
      </c>
      <c r="AB189" s="8" t="str">
        <v>Naugatuck</v>
      </c>
      <c r="AC189" s="8" t="str">
        <v>CT</v>
      </c>
      <c r="AD189" s="8" t="str">
        <v>06770</v>
      </c>
    </row>
    <row r="190" spans="1:30">
      <c r="A190" s="8" t="s">
        <v>301</v>
      </c>
      <c r="B190" s="19">
        <v>41493</v>
      </c>
      <c r="C190" s="8" t="s">
        <v>33</v>
      </c>
      <c r="D190" s="8">
        <v>10011</v>
      </c>
      <c r="E190" s="8" t="str">
        <f>VLOOKUP($D190,'Customer Details'!$A$1:$F$17,4,FALSE)</f>
        <v>Olympia</v>
      </c>
      <c r="F190" s="8" t="s">
        <v>302</v>
      </c>
      <c r="G190" s="8">
        <v>1</v>
      </c>
      <c r="H190" s="2" t="str">
        <f>VLOOKUP($D190,'Customer Details'!$A$1:$F$17,MATCH('Order SUmmary'!H$2,'Customer Details'!$A$1:$F$1,0),0)</f>
        <v>Sonata Software</v>
      </c>
      <c r="I190" s="2" t="str">
        <f>VLOOKUP($D190,'Customer Details'!$A$1:$F$17,4,0)</f>
        <v>Olympia</v>
      </c>
      <c r="J190" s="2" t="str">
        <f>VLOOKUP($D190,'Customer Details'!$A$1:$F$17,6,0)</f>
        <v>98502</v>
      </c>
      <c r="K190" s="8" t="str">
        <f>VLOOKUP(VLOOKUP(D190,'Customer Details'!$A$1:$F$17,5,0),'Region INfo'!$A$1:$C$52,3,0)</f>
        <v xml:space="preserve">Pacific   </v>
      </c>
      <c r="L190" s="8" t="str">
        <f>INDEX(Product_List,MATCH($F190,'Product List'!$B$1:$B$299,0),MATCH('Order SUmmary'!L$2,'Product List'!$A$1:$E$1,0))</f>
        <v>Xerox 190</v>
      </c>
      <c r="M190" s="8">
        <f>INDEX(Product_List,MATCH($F190,'Product List'!$B$1:$B$299,0),MATCH('Order SUmmary'!M$2,'Product List'!$A$1:$E$1,0))</f>
        <v>2614</v>
      </c>
      <c r="N190" s="8">
        <f>INDEX(Product_List,MATCH($F190,'Product List'!$B$1:$B$299,0),MATCH('Order SUmmary'!N$2,'Product List'!$A$1:$E$1,0))</f>
        <v>2329</v>
      </c>
      <c r="O190" s="8" t="str">
        <f>INDEX(Product_List,MATCH($F190,'Product List'!$B$1:$B$299,0),MATCH('Order SUmmary'!O$2,'Product List'!$A$1:$E$1,0))</f>
        <v>Paper</v>
      </c>
      <c r="P190" s="12">
        <f>HLOOKUP(C190,'Commission Criteria'!$A$2:$I$4,3,FALSE)</f>
        <v>1</v>
      </c>
      <c r="Q190" s="8">
        <f t="shared" si="7"/>
        <v>2329</v>
      </c>
      <c r="R190" s="8">
        <f t="shared" si="8"/>
        <v>2614</v>
      </c>
      <c r="S190" s="36">
        <f>VLOOKUP(R190,'Commission Criteria'!$L$3:$M$11,2,TRUE)</f>
        <v>0.01</v>
      </c>
      <c r="T190" s="36">
        <f>IF(P190&lt;5,VLOOKUP(R190,'Commission Criteria'!$L$3:$M$11,2,1),VLOOKUP('Order SUmmary'!R190,'Commission Criteria'!$P$3:$Q$11,2,1))</f>
        <v>0.01</v>
      </c>
      <c r="U190" s="36">
        <f>VLOOKUP(R190,IF(P190&lt;5,'Commission Criteria'!$L$3:$M$11,'Commission Criteria'!$P$3:$Q$11),2,1)</f>
        <v>0.01</v>
      </c>
      <c r="V190" s="8" t="s">
        <v>50</v>
      </c>
      <c r="W190" s="36">
        <f t="shared" ca="1" si="9"/>
        <v>0.04</v>
      </c>
      <c r="X190" s="8" t="str">
        <f>_xlfn.XLOOKUP(F190,'Product List'!$B$1:$B$299,'Product List'!$A$1:$A$299)</f>
        <v>Xerox 190</v>
      </c>
      <c r="Y190" s="8"/>
      <c r="Z190" s="8" t="str" cm="1">
        <f t="array" ref="Z190:AD190">_xlfn.XLOOKUP(D190,'Customer Details'!$A$1:$A$17,'Customer Details'!$B$1:$F$17,"No such customer",0,1)</f>
        <v>Sonata Software</v>
      </c>
      <c r="AA190" s="8" t="str">
        <v>1331 Kimberly Dr.</v>
      </c>
      <c r="AB190" s="8" t="str">
        <v>Olympia</v>
      </c>
      <c r="AC190" s="8" t="str">
        <v>WA</v>
      </c>
      <c r="AD190" s="8" t="str">
        <v>98502</v>
      </c>
    </row>
    <row r="191" spans="1:30">
      <c r="A191" s="8" t="s">
        <v>301</v>
      </c>
      <c r="B191" s="19">
        <v>41493</v>
      </c>
      <c r="C191" s="8" t="s">
        <v>33</v>
      </c>
      <c r="D191" s="8">
        <v>10004</v>
      </c>
      <c r="E191" s="8" t="str">
        <f>VLOOKUP($D191,'Customer Details'!$A$1:$F$17,4,FALSE)</f>
        <v>New York</v>
      </c>
      <c r="F191" s="8" t="s">
        <v>303</v>
      </c>
      <c r="G191" s="8">
        <v>2</v>
      </c>
      <c r="H191" s="2" t="str">
        <f>VLOOKUP($D191,'Customer Details'!$A$1:$F$17,MATCH('Order SUmmary'!H$2,'Customer Details'!$A$1:$F$1,0),0)</f>
        <v>Lupin Ltd.</v>
      </c>
      <c r="I191" s="2" t="str">
        <f>VLOOKUP($D191,'Customer Details'!$A$1:$F$17,4,0)</f>
        <v>New York</v>
      </c>
      <c r="J191" s="2" t="str">
        <f>VLOOKUP($D191,'Customer Details'!$A$1:$F$17,6,0)</f>
        <v>10019</v>
      </c>
      <c r="K191" s="8" t="str">
        <f>VLOOKUP(VLOOKUP(D191,'Customer Details'!$A$1:$F$17,5,0),'Region INfo'!$A$1:$C$52,3,0)</f>
        <v xml:space="preserve">Northern </v>
      </c>
      <c r="L191" s="8" t="str">
        <f>INDEX(Product_List,MATCH($F191,'Product List'!$B$1:$B$299,0),MATCH('Order SUmmary'!L$2,'Product List'!$A$1:$E$1,0))</f>
        <v>Xerox 1885</v>
      </c>
      <c r="M191" s="8">
        <f>INDEX(Product_List,MATCH($F191,'Product List'!$B$1:$B$299,0),MATCH('Order SUmmary'!M$2,'Product List'!$A$1:$E$1,0))</f>
        <v>3096</v>
      </c>
      <c r="N191" s="8">
        <f>INDEX(Product_List,MATCH($F191,'Product List'!$B$1:$B$299,0),MATCH('Order SUmmary'!N$2,'Product List'!$A$1:$E$1,0))</f>
        <v>2065</v>
      </c>
      <c r="O191" s="8" t="str">
        <f>INDEX(Product_List,MATCH($F191,'Product List'!$B$1:$B$299,0),MATCH('Order SUmmary'!O$2,'Product List'!$A$1:$E$1,0))</f>
        <v>Paper</v>
      </c>
      <c r="P191" s="12">
        <f>HLOOKUP(C191,'Commission Criteria'!$A$2:$I$4,3,FALSE)</f>
        <v>1</v>
      </c>
      <c r="Q191" s="8">
        <f t="shared" si="7"/>
        <v>4130</v>
      </c>
      <c r="R191" s="8">
        <f t="shared" si="8"/>
        <v>6192</v>
      </c>
      <c r="S191" s="36">
        <f>VLOOKUP(R191,'Commission Criteria'!$L$3:$M$11,2,TRUE)</f>
        <v>0.03</v>
      </c>
      <c r="T191" s="36">
        <f>IF(P191&lt;5,VLOOKUP(R191,'Commission Criteria'!$L$3:$M$11,2,1),VLOOKUP('Order SUmmary'!R191,'Commission Criteria'!$P$3:$Q$11,2,1))</f>
        <v>0.03</v>
      </c>
      <c r="U191" s="36">
        <f>VLOOKUP(R191,IF(P191&lt;5,'Commission Criteria'!$L$3:$M$11,'Commission Criteria'!$P$3:$Q$11),2,1)</f>
        <v>0.03</v>
      </c>
      <c r="V191" s="8" t="s">
        <v>40</v>
      </c>
      <c r="W191" s="36">
        <f t="shared" ca="1" si="9"/>
        <v>0.04</v>
      </c>
      <c r="X191" s="8" t="str">
        <f>_xlfn.XLOOKUP(F191,'Product List'!$B$1:$B$299,'Product List'!$A$1:$A$299)</f>
        <v>Xerox 1885</v>
      </c>
      <c r="Y191" s="8"/>
      <c r="Z191" s="8" t="str" cm="1">
        <f t="array" ref="Z191:AD191">_xlfn.XLOOKUP(D191,'Customer Details'!$A$1:$A$17,'Customer Details'!$B$1:$F$17,"No such customer",0,1)</f>
        <v>Lupin Ltd.</v>
      </c>
      <c r="AA191" s="8" t="str">
        <v>Abbey Wood</v>
      </c>
      <c r="AB191" s="8" t="str">
        <v>New York</v>
      </c>
      <c r="AC191" s="8" t="str">
        <v>NY</v>
      </c>
      <c r="AD191" s="8" t="str">
        <v>10019</v>
      </c>
    </row>
    <row r="192" spans="1:30">
      <c r="A192" s="8" t="s">
        <v>301</v>
      </c>
      <c r="B192" s="19">
        <v>41493</v>
      </c>
      <c r="C192" s="8" t="s">
        <v>54</v>
      </c>
      <c r="D192" s="8">
        <v>10014</v>
      </c>
      <c r="E192" s="8" t="str">
        <f>VLOOKUP($D192,'Customer Details'!$A$1:$F$17,4,FALSE)</f>
        <v>Honolulu</v>
      </c>
      <c r="F192" s="8" t="s">
        <v>268</v>
      </c>
      <c r="G192" s="8">
        <v>2</v>
      </c>
      <c r="H192" s="2" t="str">
        <f>VLOOKUP($D192,'Customer Details'!$A$1:$F$17,MATCH('Order SUmmary'!H$2,'Customer Details'!$A$1:$F$1,0),0)</f>
        <v>Hindusthan National Glass &amp; Industries Ltd.</v>
      </c>
      <c r="I192" s="2" t="str">
        <f>VLOOKUP($D192,'Customer Details'!$A$1:$F$17,4,0)</f>
        <v>Honolulu</v>
      </c>
      <c r="J192" s="2" t="str">
        <f>VLOOKUP($D192,'Customer Details'!$A$1:$F$17,6,0)</f>
        <v>96825</v>
      </c>
      <c r="K192" s="8" t="str">
        <f>VLOOKUP(VLOOKUP(D192,'Customer Details'!$A$1:$F$17,5,0),'Region INfo'!$A$1:$C$52,3,0)</f>
        <v xml:space="preserve">Pacific   </v>
      </c>
      <c r="L192" s="8" t="str">
        <f>INDEX(Product_List,MATCH($F192,'Product List'!$B$1:$B$299,0),MATCH('Order SUmmary'!L$2,'Product List'!$A$1:$E$1,0))</f>
        <v>Avery 48</v>
      </c>
      <c r="M192" s="8">
        <f>INDEX(Product_List,MATCH($F192,'Product List'!$B$1:$B$299,0),MATCH('Order SUmmary'!M$2,'Product List'!$A$1:$E$1,0))</f>
        <v>3977</v>
      </c>
      <c r="N192" s="8">
        <f>INDEX(Product_List,MATCH($F192,'Product List'!$B$1:$B$299,0),MATCH('Order SUmmary'!N$2,'Product List'!$A$1:$E$1,0))</f>
        <v>2308</v>
      </c>
      <c r="O192" s="8" t="str">
        <f>INDEX(Product_List,MATCH($F192,'Product List'!$B$1:$B$299,0),MATCH('Order SUmmary'!O$2,'Product List'!$A$1:$E$1,0))</f>
        <v>Labels</v>
      </c>
      <c r="P192" s="12">
        <f>HLOOKUP(C192,'Commission Criteria'!$A$2:$I$4,3,FALSE)</f>
        <v>3</v>
      </c>
      <c r="Q192" s="8">
        <f t="shared" si="7"/>
        <v>4616</v>
      </c>
      <c r="R192" s="8">
        <f t="shared" si="8"/>
        <v>7954</v>
      </c>
      <c r="S192" s="36">
        <f>VLOOKUP(R192,'Commission Criteria'!$L$3:$M$11,2,TRUE)</f>
        <v>0.03</v>
      </c>
      <c r="T192" s="36">
        <f>IF(P192&lt;5,VLOOKUP(R192,'Commission Criteria'!$L$3:$M$11,2,1),VLOOKUP('Order SUmmary'!R192,'Commission Criteria'!$P$3:$Q$11,2,1))</f>
        <v>0.03</v>
      </c>
      <c r="U192" s="36">
        <f>VLOOKUP(R192,IF(P192&lt;5,'Commission Criteria'!$L$3:$M$11,'Commission Criteria'!$P$3:$Q$11),2,1)</f>
        <v>0.03</v>
      </c>
      <c r="V192" s="8" t="s">
        <v>35</v>
      </c>
      <c r="W192" s="36">
        <f t="shared" ca="1" si="9"/>
        <v>0.01</v>
      </c>
      <c r="X192" s="8" t="str">
        <f>_xlfn.XLOOKUP(F192,'Product List'!$B$1:$B$299,'Product List'!$A$1:$A$299)</f>
        <v>Avery 48</v>
      </c>
      <c r="Y192" s="8"/>
      <c r="Z192" s="8" t="str" cm="1">
        <f t="array" ref="Z192:AD192">_xlfn.XLOOKUP(D192,'Customer Details'!$A$1:$A$17,'Customer Details'!$B$1:$F$17,"No such customer",0,1)</f>
        <v>Hindusthan National Glass &amp; Industries Ltd.</v>
      </c>
      <c r="AA192" s="8" t="str">
        <v>11 Cathy St.</v>
      </c>
      <c r="AB192" s="8" t="str">
        <v>Honolulu</v>
      </c>
      <c r="AC192" s="8" t="str">
        <v>HI</v>
      </c>
      <c r="AD192" s="8" t="str">
        <v>96825</v>
      </c>
    </row>
    <row r="193" spans="1:30">
      <c r="A193" s="8" t="s">
        <v>304</v>
      </c>
      <c r="B193" s="19">
        <v>41494</v>
      </c>
      <c r="C193" s="8" t="s">
        <v>27</v>
      </c>
      <c r="D193" s="8">
        <v>10007</v>
      </c>
      <c r="E193" s="8" t="str">
        <f>VLOOKUP($D193,'Customer Details'!$A$1:$F$17,4,FALSE)</f>
        <v>Richmond</v>
      </c>
      <c r="F193" s="8" t="s">
        <v>305</v>
      </c>
      <c r="G193" s="8">
        <v>1</v>
      </c>
      <c r="H193" s="2" t="str">
        <f>VLOOKUP($D193,'Customer Details'!$A$1:$F$17,MATCH('Order SUmmary'!H$2,'Customer Details'!$A$1:$F$1,0),0)</f>
        <v>GHCL Ltd.</v>
      </c>
      <c r="I193" s="2" t="str">
        <f>VLOOKUP($D193,'Customer Details'!$A$1:$F$17,4,0)</f>
        <v>Richmond</v>
      </c>
      <c r="J193" s="2" t="str">
        <f>VLOOKUP($D193,'Customer Details'!$A$1:$F$17,6,0)</f>
        <v>94805</v>
      </c>
      <c r="K193" s="8" t="str">
        <f>VLOOKUP(VLOOKUP(D193,'Customer Details'!$A$1:$F$17,5,0),'Region INfo'!$A$1:$C$52,3,0)</f>
        <v xml:space="preserve">Pacific   </v>
      </c>
      <c r="L193" s="8" t="str">
        <f>INDEX(Product_List,MATCH($F193,'Product List'!$B$1:$B$299,0),MATCH('Order SUmmary'!L$2,'Product List'!$A$1:$E$1,0))</f>
        <v>Binder Posts</v>
      </c>
      <c r="M193" s="8">
        <f>INDEX(Product_List,MATCH($F193,'Product List'!$B$1:$B$299,0),MATCH('Order SUmmary'!M$2,'Product List'!$A$1:$E$1,0))</f>
        <v>4271</v>
      </c>
      <c r="N193" s="8">
        <f>INDEX(Product_List,MATCH($F193,'Product List'!$B$1:$B$299,0),MATCH('Order SUmmary'!N$2,'Product List'!$A$1:$E$1,0))</f>
        <v>2195</v>
      </c>
      <c r="O193" s="8" t="str">
        <f>INDEX(Product_List,MATCH($F193,'Product List'!$B$1:$B$299,0),MATCH('Order SUmmary'!O$2,'Product List'!$A$1:$E$1,0))</f>
        <v>Binders</v>
      </c>
      <c r="P193" s="12">
        <f>HLOOKUP(C193,'Commission Criteria'!$A$2:$I$4,3,FALSE)</f>
        <v>4</v>
      </c>
      <c r="Q193" s="8">
        <f t="shared" si="7"/>
        <v>2195</v>
      </c>
      <c r="R193" s="8">
        <f t="shared" si="8"/>
        <v>4271</v>
      </c>
      <c r="S193" s="36">
        <f>VLOOKUP(R193,'Commission Criteria'!$L$3:$M$11,2,TRUE)</f>
        <v>0.01</v>
      </c>
      <c r="T193" s="36">
        <f>IF(P193&lt;5,VLOOKUP(R193,'Commission Criteria'!$L$3:$M$11,2,1),VLOOKUP('Order SUmmary'!R193,'Commission Criteria'!$P$3:$Q$11,2,1))</f>
        <v>0.01</v>
      </c>
      <c r="U193" s="36">
        <f>VLOOKUP(R193,IF(P193&lt;5,'Commission Criteria'!$L$3:$M$11,'Commission Criteria'!$P$3:$Q$11),2,1)</f>
        <v>0.01</v>
      </c>
      <c r="V193" s="8" t="s">
        <v>35</v>
      </c>
      <c r="W193" s="36">
        <f t="shared" ca="1" si="9"/>
        <v>0</v>
      </c>
      <c r="X193" s="8" t="str">
        <f>_xlfn.XLOOKUP(F193,'Product List'!$B$1:$B$299,'Product List'!$A$1:$A$299)</f>
        <v>Binder Posts</v>
      </c>
      <c r="Y193" s="8"/>
      <c r="Z193" s="8" t="str" cm="1">
        <f t="array" ref="Z193:AD193">_xlfn.XLOOKUP(D193,'Customer Details'!$A$1:$A$17,'Customer Details'!$B$1:$F$17,"No such customer",0,1)</f>
        <v>GHCL Ltd.</v>
      </c>
      <c r="AA193" s="8" t="str">
        <v>58 Clarence St</v>
      </c>
      <c r="AB193" s="8" t="str">
        <v>Richmond</v>
      </c>
      <c r="AC193" s="8" t="str">
        <v>CA</v>
      </c>
      <c r="AD193" s="8" t="str">
        <v>94805</v>
      </c>
    </row>
    <row r="194" spans="1:30">
      <c r="A194" s="8" t="s">
        <v>306</v>
      </c>
      <c r="B194" s="19">
        <v>41494</v>
      </c>
      <c r="C194" s="8" t="s">
        <v>27</v>
      </c>
      <c r="D194" s="8">
        <v>10005</v>
      </c>
      <c r="E194" s="8" t="str">
        <f>VLOOKUP($D194,'Customer Details'!$A$1:$F$17,4,FALSE)</f>
        <v>Goleta</v>
      </c>
      <c r="F194" s="8" t="s">
        <v>307</v>
      </c>
      <c r="G194" s="8">
        <v>2</v>
      </c>
      <c r="H194" s="2" t="str">
        <f>VLOOKUP($D194,'Customer Details'!$A$1:$F$17,MATCH('Order SUmmary'!H$2,'Customer Details'!$A$1:$F$1,0),0)</f>
        <v>Fortis Healthcare Ltd.</v>
      </c>
      <c r="I194" s="2" t="str">
        <f>VLOOKUP($D194,'Customer Details'!$A$1:$F$17,4,0)</f>
        <v>Goleta</v>
      </c>
      <c r="J194" s="2" t="str">
        <f>VLOOKUP($D194,'Customer Details'!$A$1:$F$17,6,0)</f>
        <v>93117</v>
      </c>
      <c r="K194" s="8" t="str">
        <f>VLOOKUP(VLOOKUP(D194,'Customer Details'!$A$1:$F$17,5,0),'Region INfo'!$A$1:$C$52,3,0)</f>
        <v xml:space="preserve">Pacific   </v>
      </c>
      <c r="L194" s="8" t="str">
        <f>INDEX(Product_List,MATCH($F194,'Product List'!$B$1:$B$299,0),MATCH('Order SUmmary'!L$2,'Product List'!$A$1:$E$1,0))</f>
        <v>Avery 519</v>
      </c>
      <c r="M194" s="8">
        <f>INDEX(Product_List,MATCH($F194,'Product List'!$B$1:$B$299,0),MATCH('Order SUmmary'!M$2,'Product List'!$A$1:$E$1,0))</f>
        <v>3491</v>
      </c>
      <c r="N194" s="8">
        <f>INDEX(Product_List,MATCH($F194,'Product List'!$B$1:$B$299,0),MATCH('Order SUmmary'!N$2,'Product List'!$A$1:$E$1,0))</f>
        <v>1257</v>
      </c>
      <c r="O194" s="8" t="str">
        <f>INDEX(Product_List,MATCH($F194,'Product List'!$B$1:$B$299,0),MATCH('Order SUmmary'!O$2,'Product List'!$A$1:$E$1,0))</f>
        <v>Labels</v>
      </c>
      <c r="P194" s="12">
        <f>HLOOKUP(C194,'Commission Criteria'!$A$2:$I$4,3,FALSE)</f>
        <v>4</v>
      </c>
      <c r="Q194" s="8">
        <f t="shared" si="7"/>
        <v>2514</v>
      </c>
      <c r="R194" s="8">
        <f t="shared" si="8"/>
        <v>6982</v>
      </c>
      <c r="S194" s="36">
        <f>VLOOKUP(R194,'Commission Criteria'!$L$3:$M$11,2,TRUE)</f>
        <v>0.03</v>
      </c>
      <c r="T194" s="36">
        <f>IF(P194&lt;5,VLOOKUP(R194,'Commission Criteria'!$L$3:$M$11,2,1),VLOOKUP('Order SUmmary'!R194,'Commission Criteria'!$P$3:$Q$11,2,1))</f>
        <v>0.03</v>
      </c>
      <c r="U194" s="36">
        <f>VLOOKUP(R194,IF(P194&lt;5,'Commission Criteria'!$L$3:$M$11,'Commission Criteria'!$P$3:$Q$11),2,1)</f>
        <v>0.03</v>
      </c>
      <c r="V194" s="8" t="s">
        <v>43</v>
      </c>
      <c r="W194" s="36">
        <f t="shared" ca="1" si="9"/>
        <v>0.05</v>
      </c>
      <c r="X194" s="8" t="str">
        <f>_xlfn.XLOOKUP(F194,'Product List'!$B$1:$B$299,'Product List'!$A$1:$A$299)</f>
        <v>Avery 519</v>
      </c>
      <c r="Y194" s="8"/>
      <c r="Z194" s="8" t="str" cm="1">
        <f t="array" ref="Z194:AD194">_xlfn.XLOOKUP(D194,'Customer Details'!$A$1:$A$17,'Customer Details'!$B$1:$F$17,"No such customer",0,1)</f>
        <v>Fortis Healthcare Ltd.</v>
      </c>
      <c r="AA194" s="8" t="str">
        <v>14 Elsworthy Terrace</v>
      </c>
      <c r="AB194" s="8" t="str">
        <v>Goleta</v>
      </c>
      <c r="AC194" s="8" t="str">
        <v>CA</v>
      </c>
      <c r="AD194" s="8" t="str">
        <v>93117</v>
      </c>
    </row>
    <row r="195" spans="1:30">
      <c r="A195" s="8" t="s">
        <v>306</v>
      </c>
      <c r="B195" s="19">
        <v>41494</v>
      </c>
      <c r="C195" s="8" t="s">
        <v>27</v>
      </c>
      <c r="D195" s="8">
        <v>10001</v>
      </c>
      <c r="E195" s="8" t="str">
        <f>VLOOKUP($D195,'Customer Details'!$A$1:$F$17,4,FALSE)</f>
        <v>New York</v>
      </c>
      <c r="F195" s="8" t="s">
        <v>114</v>
      </c>
      <c r="G195" s="8">
        <v>3</v>
      </c>
      <c r="H195" s="2" t="str">
        <f>VLOOKUP($D195,'Customer Details'!$A$1:$F$17,MATCH('Order SUmmary'!H$2,'Customer Details'!$A$1:$F$1,0),0)</f>
        <v>Chambal Fertilisers and Chemicals Ltd.</v>
      </c>
      <c r="I195" s="2" t="str">
        <f>VLOOKUP($D195,'Customer Details'!$A$1:$F$17,4,0)</f>
        <v>New York</v>
      </c>
      <c r="J195" s="2" t="str">
        <f>VLOOKUP($D195,'Customer Details'!$A$1:$F$17,6,0)</f>
        <v>10025</v>
      </c>
      <c r="K195" s="8" t="str">
        <f>VLOOKUP(VLOOKUP(D195,'Customer Details'!$A$1:$F$17,5,0),'Region INfo'!$A$1:$C$52,3,0)</f>
        <v xml:space="preserve">Northern </v>
      </c>
      <c r="L195" s="8" t="str">
        <f>INDEX(Product_List,MATCH($F195,'Product List'!$B$1:$B$299,0),MATCH('Order SUmmary'!L$2,'Product List'!$A$1:$E$1,0))</f>
        <v>Xerox 1910</v>
      </c>
      <c r="M195" s="8">
        <f>INDEX(Product_List,MATCH($F195,'Product List'!$B$1:$B$299,0),MATCH('Order SUmmary'!M$2,'Product List'!$A$1:$E$1,0))</f>
        <v>2588</v>
      </c>
      <c r="N195" s="8">
        <f>INDEX(Product_List,MATCH($F195,'Product List'!$B$1:$B$299,0),MATCH('Order SUmmary'!N$2,'Product List'!$A$1:$E$1,0))</f>
        <v>2069</v>
      </c>
      <c r="O195" s="8" t="str">
        <f>INDEX(Product_List,MATCH($F195,'Product List'!$B$1:$B$299,0),MATCH('Order SUmmary'!O$2,'Product List'!$A$1:$E$1,0))</f>
        <v>Paper</v>
      </c>
      <c r="P195" s="12">
        <f>HLOOKUP(C195,'Commission Criteria'!$A$2:$I$4,3,FALSE)</f>
        <v>4</v>
      </c>
      <c r="Q195" s="8">
        <f t="shared" si="7"/>
        <v>6207</v>
      </c>
      <c r="R195" s="8">
        <f t="shared" si="8"/>
        <v>7764</v>
      </c>
      <c r="S195" s="36">
        <f>VLOOKUP(R195,'Commission Criteria'!$L$3:$M$11,2,TRUE)</f>
        <v>0.03</v>
      </c>
      <c r="T195" s="36">
        <f>IF(P195&lt;5,VLOOKUP(R195,'Commission Criteria'!$L$3:$M$11,2,1),VLOOKUP('Order SUmmary'!R195,'Commission Criteria'!$P$3:$Q$11,2,1))</f>
        <v>0.03</v>
      </c>
      <c r="U195" s="36">
        <f>VLOOKUP(R195,IF(P195&lt;5,'Commission Criteria'!$L$3:$M$11,'Commission Criteria'!$P$3:$Q$11),2,1)</f>
        <v>0.03</v>
      </c>
      <c r="V195" s="8" t="s">
        <v>40</v>
      </c>
      <c r="W195" s="36">
        <f t="shared" ca="1" si="9"/>
        <v>0.03</v>
      </c>
      <c r="X195" s="8" t="str">
        <f>_xlfn.XLOOKUP(F195,'Product List'!$B$1:$B$299,'Product List'!$A$1:$A$299)</f>
        <v>Xerox 1910</v>
      </c>
      <c r="Y195" s="8"/>
      <c r="Z195" s="8" t="str" cm="1">
        <f t="array" ref="Z195:AD195">_xlfn.XLOOKUP(D195,'Customer Details'!$A$1:$A$17,'Customer Details'!$B$1:$F$17,"No such customer",0,1)</f>
        <v>Chambal Fertilisers and Chemicals Ltd.</v>
      </c>
      <c r="AA195" s="8" t="str">
        <v>4951 Indiana Ave.</v>
      </c>
      <c r="AB195" s="8" t="str">
        <v>New York</v>
      </c>
      <c r="AC195" s="8" t="str">
        <v>NY</v>
      </c>
      <c r="AD195" s="8" t="str">
        <v>10025</v>
      </c>
    </row>
    <row r="196" spans="1:30">
      <c r="A196" s="8" t="s">
        <v>308</v>
      </c>
      <c r="B196" s="19">
        <v>41494</v>
      </c>
      <c r="C196" s="8" t="s">
        <v>33</v>
      </c>
      <c r="D196" s="8">
        <v>10012</v>
      </c>
      <c r="E196" s="8" t="str">
        <f>VLOOKUP($D196,'Customer Details'!$A$1:$F$17,4,FALSE)</f>
        <v>Santa Barbara</v>
      </c>
      <c r="F196" s="8" t="s">
        <v>309</v>
      </c>
      <c r="G196" s="8">
        <v>2</v>
      </c>
      <c r="H196" s="2" t="str">
        <f>VLOOKUP($D196,'Customer Details'!$A$1:$F$17,MATCH('Order SUmmary'!H$2,'Customer Details'!$A$1:$F$1,0),0)</f>
        <v>Dynamatic Technologies Ltd.</v>
      </c>
      <c r="I196" s="2" t="str">
        <f>VLOOKUP($D196,'Customer Details'!$A$1:$F$17,4,0)</f>
        <v>Santa Barbara</v>
      </c>
      <c r="J196" s="2" t="str">
        <f>VLOOKUP($D196,'Customer Details'!$A$1:$F$17,6,0)</f>
        <v>93110</v>
      </c>
      <c r="K196" s="8" t="str">
        <f>VLOOKUP(VLOOKUP(D196,'Customer Details'!$A$1:$F$17,5,0),'Region INfo'!$A$1:$C$52,3,0)</f>
        <v xml:space="preserve">Pacific   </v>
      </c>
      <c r="L196" s="8" t="str">
        <f>INDEX(Product_List,MATCH($F196,'Product List'!$B$1:$B$299,0),MATCH('Order SUmmary'!L$2,'Product List'!$A$1:$E$1,0))</f>
        <v>Xerox 1996</v>
      </c>
      <c r="M196" s="8">
        <f>INDEX(Product_List,MATCH($F196,'Product List'!$B$1:$B$299,0),MATCH('Order SUmmary'!M$2,'Product List'!$A$1:$E$1,0))</f>
        <v>4220</v>
      </c>
      <c r="N196" s="8">
        <f>INDEX(Product_List,MATCH($F196,'Product List'!$B$1:$B$299,0),MATCH('Order SUmmary'!N$2,'Product List'!$A$1:$E$1,0))</f>
        <v>1635</v>
      </c>
      <c r="O196" s="8" t="str">
        <f>INDEX(Product_List,MATCH($F196,'Product List'!$B$1:$B$299,0),MATCH('Order SUmmary'!O$2,'Product List'!$A$1:$E$1,0))</f>
        <v>Paper</v>
      </c>
      <c r="P196" s="12">
        <f>HLOOKUP(C196,'Commission Criteria'!$A$2:$I$4,3,FALSE)</f>
        <v>1</v>
      </c>
      <c r="Q196" s="8">
        <f t="shared" ref="Q196:Q259" si="10">N196*G196</f>
        <v>3270</v>
      </c>
      <c r="R196" s="8">
        <f t="shared" ref="R196:R259" si="11">M196*G196</f>
        <v>8440</v>
      </c>
      <c r="S196" s="36">
        <f>VLOOKUP(R196,'Commission Criteria'!$L$3:$M$11,2,TRUE)</f>
        <v>0.03</v>
      </c>
      <c r="T196" s="36">
        <f>IF(P196&lt;5,VLOOKUP(R196,'Commission Criteria'!$L$3:$M$11,2,1),VLOOKUP('Order SUmmary'!R196,'Commission Criteria'!$P$3:$Q$11,2,1))</f>
        <v>0.03</v>
      </c>
      <c r="U196" s="36">
        <f>VLOOKUP(R196,IF(P196&lt;5,'Commission Criteria'!$L$3:$M$11,'Commission Criteria'!$P$3:$Q$11),2,1)</f>
        <v>0.03</v>
      </c>
      <c r="V196" s="8" t="s">
        <v>29</v>
      </c>
      <c r="W196" s="36">
        <f t="shared" ref="W196:W259" ca="1" si="12">VLOOKUP(F196,INDIRECT(V196&amp;"!$A$1:$B$296"),2,0)</f>
        <v>0.05</v>
      </c>
      <c r="X196" s="8" t="str">
        <f>_xlfn.XLOOKUP(F196,'Product List'!$B$1:$B$299,'Product List'!$A$1:$A$299)</f>
        <v>Xerox 1996</v>
      </c>
      <c r="Y196" s="8"/>
      <c r="Z196" s="8" t="str" cm="1">
        <f t="array" ref="Z196:AD196">_xlfn.XLOOKUP(D196,'Customer Details'!$A$1:$A$17,'Customer Details'!$B$1:$F$17,"No such customer",0,1)</f>
        <v>Dynamatic Technologies Ltd.</v>
      </c>
      <c r="AA196" s="8" t="str">
        <v>402 Pinkster Lane</v>
      </c>
      <c r="AB196" s="8" t="str">
        <v>Santa Barbara</v>
      </c>
      <c r="AC196" s="8" t="str">
        <v>CA</v>
      </c>
      <c r="AD196" s="8" t="str">
        <v>93110</v>
      </c>
    </row>
    <row r="197" spans="1:30">
      <c r="A197" s="8" t="s">
        <v>310</v>
      </c>
      <c r="B197" s="19">
        <v>41498</v>
      </c>
      <c r="C197" s="8" t="s">
        <v>51</v>
      </c>
      <c r="D197" s="8">
        <v>10015</v>
      </c>
      <c r="E197" s="8" t="str">
        <f>VLOOKUP($D197,'Customer Details'!$A$1:$F$17,4,FALSE)</f>
        <v>South Windsor</v>
      </c>
      <c r="F197" s="8" t="s">
        <v>311</v>
      </c>
      <c r="G197" s="8">
        <v>1</v>
      </c>
      <c r="H197" s="2" t="str">
        <f>VLOOKUP($D197,'Customer Details'!$A$1:$F$17,MATCH('Order SUmmary'!H$2,'Customer Details'!$A$1:$F$1,0),0)</f>
        <v>Punj Lloyd Ltd.</v>
      </c>
      <c r="I197" s="2" t="str">
        <f>VLOOKUP($D197,'Customer Details'!$A$1:$F$17,4,0)</f>
        <v>South Windsor</v>
      </c>
      <c r="J197" s="2" t="str">
        <f>VLOOKUP($D197,'Customer Details'!$A$1:$F$17,6,0)</f>
        <v>06074</v>
      </c>
      <c r="K197" s="8" t="str">
        <f>VLOOKUP(VLOOKUP(D197,'Customer Details'!$A$1:$F$17,5,0),'Region INfo'!$A$1:$C$52,3,0)</f>
        <v xml:space="preserve">Northern </v>
      </c>
      <c r="L197" s="8" t="str">
        <f>INDEX(Product_List,MATCH($F197,'Product List'!$B$1:$B$299,0),MATCH('Order SUmmary'!L$2,'Product List'!$A$1:$E$1,0))</f>
        <v>Xerox 1923</v>
      </c>
      <c r="M197" s="8">
        <f>INDEX(Product_List,MATCH($F197,'Product List'!$B$1:$B$299,0),MATCH('Order SUmmary'!M$2,'Product List'!$A$1:$E$1,0))</f>
        <v>3039</v>
      </c>
      <c r="N197" s="8">
        <f>INDEX(Product_List,MATCH($F197,'Product List'!$B$1:$B$299,0),MATCH('Order SUmmary'!N$2,'Product List'!$A$1:$E$1,0))</f>
        <v>1730</v>
      </c>
      <c r="O197" s="8" t="str">
        <f>INDEX(Product_List,MATCH($F197,'Product List'!$B$1:$B$299,0),MATCH('Order SUmmary'!O$2,'Product List'!$A$1:$E$1,0))</f>
        <v>Paper</v>
      </c>
      <c r="P197" s="12">
        <f>HLOOKUP(C197,'Commission Criteria'!$A$2:$I$4,3,FALSE)</f>
        <v>10</v>
      </c>
      <c r="Q197" s="8">
        <f t="shared" si="10"/>
        <v>1730</v>
      </c>
      <c r="R197" s="8">
        <f t="shared" si="11"/>
        <v>3039</v>
      </c>
      <c r="S197" s="36">
        <f>VLOOKUP(R197,'Commission Criteria'!$L$3:$M$11,2,TRUE)</f>
        <v>0.01</v>
      </c>
      <c r="T197" s="36">
        <f>IF(P197&lt;5,VLOOKUP(R197,'Commission Criteria'!$L$3:$M$11,2,1),VLOOKUP('Order SUmmary'!R197,'Commission Criteria'!$P$3:$Q$11,2,1))</f>
        <v>0.02</v>
      </c>
      <c r="U197" s="36">
        <f>VLOOKUP(R197,IF(P197&lt;5,'Commission Criteria'!$L$3:$M$11,'Commission Criteria'!$P$3:$Q$11),2,1)</f>
        <v>0.02</v>
      </c>
      <c r="V197" s="8" t="s">
        <v>43</v>
      </c>
      <c r="W197" s="36">
        <f t="shared" ca="1" si="12"/>
        <v>0</v>
      </c>
      <c r="X197" s="8" t="str">
        <f>_xlfn.XLOOKUP(F197,'Product List'!$B$1:$B$299,'Product List'!$A$1:$A$299)</f>
        <v>Xerox 1923</v>
      </c>
      <c r="Y197" s="8"/>
      <c r="Z197" s="8" t="str" cm="1">
        <f t="array" ref="Z197:AD197">_xlfn.XLOOKUP(D197,'Customer Details'!$A$1:$A$17,'Customer Details'!$B$1:$F$17,"No such customer",0,1)</f>
        <v>Punj Lloyd Ltd.</v>
      </c>
      <c r="AA197" s="8" t="str">
        <v>Box 3263</v>
      </c>
      <c r="AB197" s="8" t="str">
        <v>South Windsor</v>
      </c>
      <c r="AC197" s="8" t="str">
        <v>CT</v>
      </c>
      <c r="AD197" s="8" t="str">
        <v>06074</v>
      </c>
    </row>
    <row r="198" spans="1:30">
      <c r="A198" s="8" t="s">
        <v>310</v>
      </c>
      <c r="B198" s="19">
        <v>41498</v>
      </c>
      <c r="C198" s="8" t="s">
        <v>36</v>
      </c>
      <c r="D198" s="8">
        <v>10011</v>
      </c>
      <c r="E198" s="8" t="str">
        <f>VLOOKUP($D198,'Customer Details'!$A$1:$F$17,4,FALSE)</f>
        <v>Olympia</v>
      </c>
      <c r="F198" s="8" t="s">
        <v>312</v>
      </c>
      <c r="G198" s="8">
        <v>1</v>
      </c>
      <c r="H198" s="2" t="str">
        <f>VLOOKUP($D198,'Customer Details'!$A$1:$F$17,MATCH('Order SUmmary'!H$2,'Customer Details'!$A$1:$F$1,0),0)</f>
        <v>Sonata Software</v>
      </c>
      <c r="I198" s="2" t="str">
        <f>VLOOKUP($D198,'Customer Details'!$A$1:$F$17,4,0)</f>
        <v>Olympia</v>
      </c>
      <c r="J198" s="2" t="str">
        <f>VLOOKUP($D198,'Customer Details'!$A$1:$F$17,6,0)</f>
        <v>98502</v>
      </c>
      <c r="K198" s="8" t="str">
        <f>VLOOKUP(VLOOKUP(D198,'Customer Details'!$A$1:$F$17,5,0),'Region INfo'!$A$1:$C$52,3,0)</f>
        <v xml:space="preserve">Pacific   </v>
      </c>
      <c r="L198" s="8" t="str">
        <f>INDEX(Product_List,MATCH($F198,'Product List'!$B$1:$B$299,0),MATCH('Order SUmmary'!L$2,'Product List'!$A$1:$E$1,0))</f>
        <v>Avery 492</v>
      </c>
      <c r="M198" s="8">
        <f>INDEX(Product_List,MATCH($F198,'Product List'!$B$1:$B$299,0),MATCH('Order SUmmary'!M$2,'Product List'!$A$1:$E$1,0))</f>
        <v>4685</v>
      </c>
      <c r="N198" s="8">
        <f>INDEX(Product_List,MATCH($F198,'Product List'!$B$1:$B$299,0),MATCH('Order SUmmary'!N$2,'Product List'!$A$1:$E$1,0))</f>
        <v>2036</v>
      </c>
      <c r="O198" s="8" t="str">
        <f>INDEX(Product_List,MATCH($F198,'Product List'!$B$1:$B$299,0),MATCH('Order SUmmary'!O$2,'Product List'!$A$1:$E$1,0))</f>
        <v>Labels</v>
      </c>
      <c r="P198" s="12">
        <f>HLOOKUP(C198,'Commission Criteria'!$A$2:$I$4,3,FALSE)</f>
        <v>6</v>
      </c>
      <c r="Q198" s="8">
        <f t="shared" si="10"/>
        <v>2036</v>
      </c>
      <c r="R198" s="8">
        <f t="shared" si="11"/>
        <v>4685</v>
      </c>
      <c r="S198" s="36">
        <f>VLOOKUP(R198,'Commission Criteria'!$L$3:$M$11,2,TRUE)</f>
        <v>0.01</v>
      </c>
      <c r="T198" s="36">
        <f>IF(P198&lt;5,VLOOKUP(R198,'Commission Criteria'!$L$3:$M$11,2,1),VLOOKUP('Order SUmmary'!R198,'Commission Criteria'!$P$3:$Q$11,2,1))</f>
        <v>0.02</v>
      </c>
      <c r="U198" s="36">
        <f>VLOOKUP(R198,IF(P198&lt;5,'Commission Criteria'!$L$3:$M$11,'Commission Criteria'!$P$3:$Q$11),2,1)</f>
        <v>0.02</v>
      </c>
      <c r="V198" s="8" t="s">
        <v>29</v>
      </c>
      <c r="W198" s="36">
        <f t="shared" ca="1" si="12"/>
        <v>0.02</v>
      </c>
      <c r="X198" s="8" t="str">
        <f>_xlfn.XLOOKUP(F198,'Product List'!$B$1:$B$299,'Product List'!$A$1:$A$299)</f>
        <v>Avery 492</v>
      </c>
      <c r="Y198" s="8"/>
      <c r="Z198" s="8" t="str" cm="1">
        <f t="array" ref="Z198:AD198">_xlfn.XLOOKUP(D198,'Customer Details'!$A$1:$A$17,'Customer Details'!$B$1:$F$17,"No such customer",0,1)</f>
        <v>Sonata Software</v>
      </c>
      <c r="AA198" s="8" t="str">
        <v>1331 Kimberly Dr.</v>
      </c>
      <c r="AB198" s="8" t="str">
        <v>Olympia</v>
      </c>
      <c r="AC198" s="8" t="str">
        <v>WA</v>
      </c>
      <c r="AD198" s="8" t="str">
        <v>98502</v>
      </c>
    </row>
    <row r="199" spans="1:30">
      <c r="A199" s="8" t="s">
        <v>310</v>
      </c>
      <c r="B199" s="19">
        <v>41498</v>
      </c>
      <c r="C199" s="8" t="s">
        <v>33</v>
      </c>
      <c r="D199" s="8">
        <v>10012</v>
      </c>
      <c r="E199" s="8" t="str">
        <f>VLOOKUP($D199,'Customer Details'!$A$1:$F$17,4,FALSE)</f>
        <v>Santa Barbara</v>
      </c>
      <c r="F199" s="8" t="s">
        <v>168</v>
      </c>
      <c r="G199" s="8">
        <v>3</v>
      </c>
      <c r="H199" s="2" t="str">
        <f>VLOOKUP($D199,'Customer Details'!$A$1:$F$17,MATCH('Order SUmmary'!H$2,'Customer Details'!$A$1:$F$1,0),0)</f>
        <v>Dynamatic Technologies Ltd.</v>
      </c>
      <c r="I199" s="2" t="str">
        <f>VLOOKUP($D199,'Customer Details'!$A$1:$F$17,4,0)</f>
        <v>Santa Barbara</v>
      </c>
      <c r="J199" s="2" t="str">
        <f>VLOOKUP($D199,'Customer Details'!$A$1:$F$17,6,0)</f>
        <v>93110</v>
      </c>
      <c r="K199" s="8" t="str">
        <f>VLOOKUP(VLOOKUP(D199,'Customer Details'!$A$1:$F$17,5,0),'Region INfo'!$A$1:$C$52,3,0)</f>
        <v xml:space="preserve">Pacific   </v>
      </c>
      <c r="L199" s="8" t="str">
        <f>INDEX(Product_List,MATCH($F199,'Product List'!$B$1:$B$299,0),MATCH('Order SUmmary'!L$2,'Product List'!$A$1:$E$1,0))</f>
        <v>Newell 334</v>
      </c>
      <c r="M199" s="8">
        <f>INDEX(Product_List,MATCH($F199,'Product List'!$B$1:$B$299,0),MATCH('Order SUmmary'!M$2,'Product List'!$A$1:$E$1,0))</f>
        <v>4589</v>
      </c>
      <c r="N199" s="8">
        <f>INDEX(Product_List,MATCH($F199,'Product List'!$B$1:$B$299,0),MATCH('Order SUmmary'!N$2,'Product List'!$A$1:$E$1,0))</f>
        <v>1478</v>
      </c>
      <c r="O199" s="8" t="str">
        <f>INDEX(Product_List,MATCH($F199,'Product List'!$B$1:$B$299,0),MATCH('Order SUmmary'!O$2,'Product List'!$A$1:$E$1,0))</f>
        <v>Art</v>
      </c>
      <c r="P199" s="12">
        <f>HLOOKUP(C199,'Commission Criteria'!$A$2:$I$4,3,FALSE)</f>
        <v>1</v>
      </c>
      <c r="Q199" s="8">
        <f t="shared" si="10"/>
        <v>4434</v>
      </c>
      <c r="R199" s="8">
        <f t="shared" si="11"/>
        <v>13767</v>
      </c>
      <c r="S199" s="36">
        <f>VLOOKUP(R199,'Commission Criteria'!$L$3:$M$11,2,TRUE)</f>
        <v>0.03</v>
      </c>
      <c r="T199" s="36">
        <f>IF(P199&lt;5,VLOOKUP(R199,'Commission Criteria'!$L$3:$M$11,2,1),VLOOKUP('Order SUmmary'!R199,'Commission Criteria'!$P$3:$Q$11,2,1))</f>
        <v>0.03</v>
      </c>
      <c r="U199" s="36">
        <f>VLOOKUP(R199,IF(P199&lt;5,'Commission Criteria'!$L$3:$M$11,'Commission Criteria'!$P$3:$Q$11),2,1)</f>
        <v>0.03</v>
      </c>
      <c r="V199" s="8" t="s">
        <v>50</v>
      </c>
      <c r="W199" s="36">
        <f t="shared" ca="1" si="12"/>
        <v>0.04</v>
      </c>
      <c r="X199" s="8" t="str">
        <f>_xlfn.XLOOKUP(F199,'Product List'!$B$1:$B$299,'Product List'!$A$1:$A$299)</f>
        <v>Newell 334</v>
      </c>
      <c r="Y199" s="8"/>
      <c r="Z199" s="8" t="str" cm="1">
        <f t="array" ref="Z199:AD199">_xlfn.XLOOKUP(D199,'Customer Details'!$A$1:$A$17,'Customer Details'!$B$1:$F$17,"No such customer",0,1)</f>
        <v>Dynamatic Technologies Ltd.</v>
      </c>
      <c r="AA199" s="8" t="str">
        <v>402 Pinkster Lane</v>
      </c>
      <c r="AB199" s="8" t="str">
        <v>Santa Barbara</v>
      </c>
      <c r="AC199" s="8" t="str">
        <v>CA</v>
      </c>
      <c r="AD199" s="8" t="str">
        <v>93110</v>
      </c>
    </row>
    <row r="200" spans="1:30">
      <c r="A200" s="8" t="s">
        <v>313</v>
      </c>
      <c r="B200" s="19">
        <v>41499</v>
      </c>
      <c r="C200" s="8" t="s">
        <v>44</v>
      </c>
      <c r="D200" s="8">
        <v>10013</v>
      </c>
      <c r="E200" s="8" t="str">
        <f>VLOOKUP($D200,'Customer Details'!$A$1:$F$17,4,FALSE)</f>
        <v>Naugatuck</v>
      </c>
      <c r="F200" s="8" t="s">
        <v>216</v>
      </c>
      <c r="G200" s="8">
        <v>1</v>
      </c>
      <c r="H200" s="2" t="str">
        <f>VLOOKUP($D200,'Customer Details'!$A$1:$F$17,MATCH('Order SUmmary'!H$2,'Customer Details'!$A$1:$F$1,0),0)</f>
        <v>GMR Infrastructure Ltd.</v>
      </c>
      <c r="I200" s="2" t="str">
        <f>VLOOKUP($D200,'Customer Details'!$A$1:$F$17,4,0)</f>
        <v>Naugatuck</v>
      </c>
      <c r="J200" s="2" t="str">
        <f>VLOOKUP($D200,'Customer Details'!$A$1:$F$17,6,0)</f>
        <v>06770</v>
      </c>
      <c r="K200" s="8" t="str">
        <f>VLOOKUP(VLOOKUP(D200,'Customer Details'!$A$1:$F$17,5,0),'Region INfo'!$A$1:$C$52,3,0)</f>
        <v xml:space="preserve">Northern </v>
      </c>
      <c r="L200" s="8" t="str">
        <f>INDEX(Product_List,MATCH($F200,'Product List'!$B$1:$B$299,0),MATCH('Order SUmmary'!L$2,'Product List'!$A$1:$E$1,0))</f>
        <v>Xerox 1920</v>
      </c>
      <c r="M200" s="8">
        <f>INDEX(Product_List,MATCH($F200,'Product List'!$B$1:$B$299,0),MATCH('Order SUmmary'!M$2,'Product List'!$A$1:$E$1,0))</f>
        <v>2610</v>
      </c>
      <c r="N200" s="8">
        <f>INDEX(Product_List,MATCH($F200,'Product List'!$B$1:$B$299,0),MATCH('Order SUmmary'!N$2,'Product List'!$A$1:$E$1,0))</f>
        <v>1307</v>
      </c>
      <c r="O200" s="8" t="str">
        <f>INDEX(Product_List,MATCH($F200,'Product List'!$B$1:$B$299,0),MATCH('Order SUmmary'!O$2,'Product List'!$A$1:$E$1,0))</f>
        <v>Paper</v>
      </c>
      <c r="P200" s="12">
        <f>HLOOKUP(C200,'Commission Criteria'!$A$2:$I$4,3,FALSE)</f>
        <v>4</v>
      </c>
      <c r="Q200" s="8">
        <f t="shared" si="10"/>
        <v>1307</v>
      </c>
      <c r="R200" s="8">
        <f t="shared" si="11"/>
        <v>2610</v>
      </c>
      <c r="S200" s="36">
        <f>VLOOKUP(R200,'Commission Criteria'!$L$3:$M$11,2,TRUE)</f>
        <v>0.01</v>
      </c>
      <c r="T200" s="36">
        <f>IF(P200&lt;5,VLOOKUP(R200,'Commission Criteria'!$L$3:$M$11,2,1),VLOOKUP('Order SUmmary'!R200,'Commission Criteria'!$P$3:$Q$11,2,1))</f>
        <v>0.01</v>
      </c>
      <c r="U200" s="36">
        <f>VLOOKUP(R200,IF(P200&lt;5,'Commission Criteria'!$L$3:$M$11,'Commission Criteria'!$P$3:$Q$11),2,1)</f>
        <v>0.01</v>
      </c>
      <c r="V200" s="8" t="s">
        <v>32</v>
      </c>
      <c r="W200" s="36">
        <f t="shared" ca="1" si="12"/>
        <v>0.05</v>
      </c>
      <c r="X200" s="8" t="str">
        <f>_xlfn.XLOOKUP(F200,'Product List'!$B$1:$B$299,'Product List'!$A$1:$A$299)</f>
        <v>Xerox 1920</v>
      </c>
      <c r="Y200" s="8"/>
      <c r="Z200" s="8" t="str" cm="1">
        <f t="array" ref="Z200:AD200">_xlfn.XLOOKUP(D200,'Customer Details'!$A$1:$A$17,'Customer Details'!$B$1:$F$17,"No such customer",0,1)</f>
        <v>GMR Infrastructure Ltd.</v>
      </c>
      <c r="AA200" s="8" t="str">
        <v>P.O. Box 4421</v>
      </c>
      <c r="AB200" s="8" t="str">
        <v>Naugatuck</v>
      </c>
      <c r="AC200" s="8" t="str">
        <v>CT</v>
      </c>
      <c r="AD200" s="8" t="str">
        <v>06770</v>
      </c>
    </row>
    <row r="201" spans="1:30">
      <c r="A201" s="8" t="s">
        <v>314</v>
      </c>
      <c r="B201" s="19">
        <v>41499</v>
      </c>
      <c r="C201" s="8" t="s">
        <v>36</v>
      </c>
      <c r="D201" s="8">
        <v>10013</v>
      </c>
      <c r="E201" s="8" t="str">
        <f>VLOOKUP($D201,'Customer Details'!$A$1:$F$17,4,FALSE)</f>
        <v>Naugatuck</v>
      </c>
      <c r="F201" s="8" t="s">
        <v>315</v>
      </c>
      <c r="G201" s="8">
        <v>2</v>
      </c>
      <c r="H201" s="2" t="str">
        <f>VLOOKUP($D201,'Customer Details'!$A$1:$F$17,MATCH('Order SUmmary'!H$2,'Customer Details'!$A$1:$F$1,0),0)</f>
        <v>GMR Infrastructure Ltd.</v>
      </c>
      <c r="I201" s="2" t="str">
        <f>VLOOKUP($D201,'Customer Details'!$A$1:$F$17,4,0)</f>
        <v>Naugatuck</v>
      </c>
      <c r="J201" s="2" t="str">
        <f>VLOOKUP($D201,'Customer Details'!$A$1:$F$17,6,0)</f>
        <v>06770</v>
      </c>
      <c r="K201" s="8" t="str">
        <f>VLOOKUP(VLOOKUP(D201,'Customer Details'!$A$1:$F$17,5,0),'Region INfo'!$A$1:$C$52,3,0)</f>
        <v xml:space="preserve">Northern </v>
      </c>
      <c r="L201" s="8" t="str">
        <f>INDEX(Product_List,MATCH($F201,'Product List'!$B$1:$B$299,0),MATCH('Order SUmmary'!L$2,'Product List'!$A$1:$E$1,0))</f>
        <v>Xerox 1918</v>
      </c>
      <c r="M201" s="8">
        <f>INDEX(Product_List,MATCH($F201,'Product List'!$B$1:$B$299,0),MATCH('Order SUmmary'!M$2,'Product List'!$A$1:$E$1,0))</f>
        <v>3421</v>
      </c>
      <c r="N201" s="8">
        <f>INDEX(Product_List,MATCH($F201,'Product List'!$B$1:$B$299,0),MATCH('Order SUmmary'!N$2,'Product List'!$A$1:$E$1,0))</f>
        <v>1569</v>
      </c>
      <c r="O201" s="8" t="str">
        <f>INDEX(Product_List,MATCH($F201,'Product List'!$B$1:$B$299,0),MATCH('Order SUmmary'!O$2,'Product List'!$A$1:$E$1,0))</f>
        <v>Paper</v>
      </c>
      <c r="P201" s="12">
        <f>HLOOKUP(C201,'Commission Criteria'!$A$2:$I$4,3,FALSE)</f>
        <v>6</v>
      </c>
      <c r="Q201" s="8">
        <f t="shared" si="10"/>
        <v>3138</v>
      </c>
      <c r="R201" s="8">
        <f t="shared" si="11"/>
        <v>6842</v>
      </c>
      <c r="S201" s="36">
        <f>VLOOKUP(R201,'Commission Criteria'!$L$3:$M$11,2,TRUE)</f>
        <v>0.03</v>
      </c>
      <c r="T201" s="36">
        <f>IF(P201&lt;5,VLOOKUP(R201,'Commission Criteria'!$L$3:$M$11,2,1),VLOOKUP('Order SUmmary'!R201,'Commission Criteria'!$P$3:$Q$11,2,1))</f>
        <v>0.02</v>
      </c>
      <c r="U201" s="36">
        <f>VLOOKUP(R201,IF(P201&lt;5,'Commission Criteria'!$L$3:$M$11,'Commission Criteria'!$P$3:$Q$11),2,1)</f>
        <v>0.02</v>
      </c>
      <c r="V201" s="8" t="s">
        <v>32</v>
      </c>
      <c r="W201" s="36">
        <f t="shared" ca="1" si="12"/>
        <v>0</v>
      </c>
      <c r="X201" s="8" t="str">
        <f>_xlfn.XLOOKUP(F201,'Product List'!$B$1:$B$299,'Product List'!$A$1:$A$299)</f>
        <v>Xerox 1918</v>
      </c>
      <c r="Y201" s="8"/>
      <c r="Z201" s="8" t="str" cm="1">
        <f t="array" ref="Z201:AD201">_xlfn.XLOOKUP(D201,'Customer Details'!$A$1:$A$17,'Customer Details'!$B$1:$F$17,"No such customer",0,1)</f>
        <v>GMR Infrastructure Ltd.</v>
      </c>
      <c r="AA201" s="8" t="str">
        <v>P.O. Box 4421</v>
      </c>
      <c r="AB201" s="8" t="str">
        <v>Naugatuck</v>
      </c>
      <c r="AC201" s="8" t="str">
        <v>CT</v>
      </c>
      <c r="AD201" s="8" t="str">
        <v>06770</v>
      </c>
    </row>
    <row r="202" spans="1:30">
      <c r="A202" s="8" t="s">
        <v>313</v>
      </c>
      <c r="B202" s="19">
        <v>41499</v>
      </c>
      <c r="C202" s="8" t="s">
        <v>33</v>
      </c>
      <c r="D202" s="8">
        <v>10010</v>
      </c>
      <c r="E202" s="8" t="str">
        <f>VLOOKUP($D202,'Customer Details'!$A$1:$F$17,4,FALSE)</f>
        <v>Tracy</v>
      </c>
      <c r="F202" s="8" t="s">
        <v>316</v>
      </c>
      <c r="G202" s="8">
        <v>3</v>
      </c>
      <c r="H202" s="2" t="str">
        <f>VLOOKUP($D202,'Customer Details'!$A$1:$F$17,MATCH('Order SUmmary'!H$2,'Customer Details'!$A$1:$F$1,0),0)</f>
        <v>Suzlon Energy Ltd.</v>
      </c>
      <c r="I202" s="2" t="str">
        <f>VLOOKUP($D202,'Customer Details'!$A$1:$F$17,4,0)</f>
        <v>Tracy</v>
      </c>
      <c r="J202" s="2" t="str">
        <f>VLOOKUP($D202,'Customer Details'!$A$1:$F$17,6,0)</f>
        <v>95376</v>
      </c>
      <c r="K202" s="8" t="str">
        <f>VLOOKUP(VLOOKUP(D202,'Customer Details'!$A$1:$F$17,5,0),'Region INfo'!$A$1:$C$52,3,0)</f>
        <v xml:space="preserve">Pacific   </v>
      </c>
      <c r="L202" s="8" t="str">
        <f>INDEX(Product_List,MATCH($F202,'Product List'!$B$1:$B$299,0),MATCH('Order SUmmary'!L$2,'Product List'!$A$1:$E$1,0))</f>
        <v>Xerox 1900</v>
      </c>
      <c r="M202" s="8">
        <f>INDEX(Product_List,MATCH($F202,'Product List'!$B$1:$B$299,0),MATCH('Order SUmmary'!M$2,'Product List'!$A$1:$E$1,0))</f>
        <v>4399</v>
      </c>
      <c r="N202" s="8">
        <f>INDEX(Product_List,MATCH($F202,'Product List'!$B$1:$B$299,0),MATCH('Order SUmmary'!N$2,'Product List'!$A$1:$E$1,0))</f>
        <v>2093</v>
      </c>
      <c r="O202" s="8" t="str">
        <f>INDEX(Product_List,MATCH($F202,'Product List'!$B$1:$B$299,0),MATCH('Order SUmmary'!O$2,'Product List'!$A$1:$E$1,0))</f>
        <v>Paper</v>
      </c>
      <c r="P202" s="12">
        <f>HLOOKUP(C202,'Commission Criteria'!$A$2:$I$4,3,FALSE)</f>
        <v>1</v>
      </c>
      <c r="Q202" s="8">
        <f t="shared" si="10"/>
        <v>6279</v>
      </c>
      <c r="R202" s="8">
        <f t="shared" si="11"/>
        <v>13197</v>
      </c>
      <c r="S202" s="36">
        <f>VLOOKUP(R202,'Commission Criteria'!$L$3:$M$11,2,TRUE)</f>
        <v>0.03</v>
      </c>
      <c r="T202" s="36">
        <f>IF(P202&lt;5,VLOOKUP(R202,'Commission Criteria'!$L$3:$M$11,2,1),VLOOKUP('Order SUmmary'!R202,'Commission Criteria'!$P$3:$Q$11,2,1))</f>
        <v>0.03</v>
      </c>
      <c r="U202" s="36">
        <f>VLOOKUP(R202,IF(P202&lt;5,'Commission Criteria'!$L$3:$M$11,'Commission Criteria'!$P$3:$Q$11),2,1)</f>
        <v>0.03</v>
      </c>
      <c r="V202" s="8" t="s">
        <v>35</v>
      </c>
      <c r="W202" s="36">
        <f t="shared" ca="1" si="12"/>
        <v>0.03</v>
      </c>
      <c r="X202" s="8" t="str">
        <f>_xlfn.XLOOKUP(F202,'Product List'!$B$1:$B$299,'Product List'!$A$1:$A$299)</f>
        <v>Xerox 1900</v>
      </c>
      <c r="Y202" s="8"/>
      <c r="Z202" s="8" t="str" cm="1">
        <f t="array" ref="Z202:AD202">_xlfn.XLOOKUP(D202,'Customer Details'!$A$1:$A$17,'Customer Details'!$B$1:$F$17,"No such customer",0,1)</f>
        <v>Suzlon Energy Ltd.</v>
      </c>
      <c r="AA202" s="8" t="str">
        <v>501 Marsh Trail Circle</v>
      </c>
      <c r="AB202" s="8" t="str">
        <v>Tracy</v>
      </c>
      <c r="AC202" s="8" t="str">
        <v>CA</v>
      </c>
      <c r="AD202" s="8" t="str">
        <v>95376</v>
      </c>
    </row>
    <row r="203" spans="1:30">
      <c r="A203" s="8" t="s">
        <v>317</v>
      </c>
      <c r="B203" s="19">
        <v>41501</v>
      </c>
      <c r="C203" s="8" t="s">
        <v>44</v>
      </c>
      <c r="D203" s="8">
        <v>10004</v>
      </c>
      <c r="E203" s="8" t="str">
        <f>VLOOKUP($D203,'Customer Details'!$A$1:$F$17,4,FALSE)</f>
        <v>New York</v>
      </c>
      <c r="F203" s="8" t="s">
        <v>318</v>
      </c>
      <c r="G203" s="8">
        <v>1</v>
      </c>
      <c r="H203" s="2" t="str">
        <f>VLOOKUP($D203,'Customer Details'!$A$1:$F$17,MATCH('Order SUmmary'!H$2,'Customer Details'!$A$1:$F$1,0),0)</f>
        <v>Lupin Ltd.</v>
      </c>
      <c r="I203" s="2" t="str">
        <f>VLOOKUP($D203,'Customer Details'!$A$1:$F$17,4,0)</f>
        <v>New York</v>
      </c>
      <c r="J203" s="2" t="str">
        <f>VLOOKUP($D203,'Customer Details'!$A$1:$F$17,6,0)</f>
        <v>10019</v>
      </c>
      <c r="K203" s="8" t="str">
        <f>VLOOKUP(VLOOKUP(D203,'Customer Details'!$A$1:$F$17,5,0),'Region INfo'!$A$1:$C$52,3,0)</f>
        <v xml:space="preserve">Northern </v>
      </c>
      <c r="L203" s="8" t="str">
        <f>INDEX(Product_List,MATCH($F203,'Product List'!$B$1:$B$299,0),MATCH('Order SUmmary'!L$2,'Product List'!$A$1:$E$1,0))</f>
        <v>Newell 331</v>
      </c>
      <c r="M203" s="8">
        <f>INDEX(Product_List,MATCH($F203,'Product List'!$B$1:$B$299,0),MATCH('Order SUmmary'!M$2,'Product List'!$A$1:$E$1,0))</f>
        <v>3048</v>
      </c>
      <c r="N203" s="8">
        <f>INDEX(Product_List,MATCH($F203,'Product List'!$B$1:$B$299,0),MATCH('Order SUmmary'!N$2,'Product List'!$A$1:$E$1,0))</f>
        <v>1616</v>
      </c>
      <c r="O203" s="8" t="str">
        <f>INDEX(Product_List,MATCH($F203,'Product List'!$B$1:$B$299,0),MATCH('Order SUmmary'!O$2,'Product List'!$A$1:$E$1,0))</f>
        <v>Art</v>
      </c>
      <c r="P203" s="12">
        <f>HLOOKUP(C203,'Commission Criteria'!$A$2:$I$4,3,FALSE)</f>
        <v>4</v>
      </c>
      <c r="Q203" s="8">
        <f t="shared" si="10"/>
        <v>1616</v>
      </c>
      <c r="R203" s="8">
        <f t="shared" si="11"/>
        <v>3048</v>
      </c>
      <c r="S203" s="36">
        <f>VLOOKUP(R203,'Commission Criteria'!$L$3:$M$11,2,TRUE)</f>
        <v>0.01</v>
      </c>
      <c r="T203" s="36">
        <f>IF(P203&lt;5,VLOOKUP(R203,'Commission Criteria'!$L$3:$M$11,2,1),VLOOKUP('Order SUmmary'!R203,'Commission Criteria'!$P$3:$Q$11,2,1))</f>
        <v>0.01</v>
      </c>
      <c r="U203" s="36">
        <f>VLOOKUP(R203,IF(P203&lt;5,'Commission Criteria'!$L$3:$M$11,'Commission Criteria'!$P$3:$Q$11),2,1)</f>
        <v>0.01</v>
      </c>
      <c r="V203" s="8" t="s">
        <v>50</v>
      </c>
      <c r="W203" s="36">
        <f t="shared" ca="1" si="12"/>
        <v>0.05</v>
      </c>
      <c r="X203" s="8" t="str">
        <f>_xlfn.XLOOKUP(F203,'Product List'!$B$1:$B$299,'Product List'!$A$1:$A$299)</f>
        <v>Newell 331</v>
      </c>
      <c r="Y203" s="8"/>
      <c r="Z203" s="8" t="str" cm="1">
        <f t="array" ref="Z203:AD203">_xlfn.XLOOKUP(D203,'Customer Details'!$A$1:$A$17,'Customer Details'!$B$1:$F$17,"No such customer",0,1)</f>
        <v>Lupin Ltd.</v>
      </c>
      <c r="AA203" s="8" t="str">
        <v>Abbey Wood</v>
      </c>
      <c r="AB203" s="8" t="str">
        <v>New York</v>
      </c>
      <c r="AC203" s="8" t="str">
        <v>NY</v>
      </c>
      <c r="AD203" s="8" t="str">
        <v>10019</v>
      </c>
    </row>
    <row r="204" spans="1:30">
      <c r="A204" s="8" t="s">
        <v>319</v>
      </c>
      <c r="B204" s="19">
        <v>41501</v>
      </c>
      <c r="C204" s="8" t="s">
        <v>33</v>
      </c>
      <c r="D204" s="8">
        <v>10011</v>
      </c>
      <c r="E204" s="8" t="str">
        <f>VLOOKUP($D204,'Customer Details'!$A$1:$F$17,4,FALSE)</f>
        <v>Olympia</v>
      </c>
      <c r="F204" s="8" t="s">
        <v>320</v>
      </c>
      <c r="G204" s="8">
        <v>1</v>
      </c>
      <c r="H204" s="2" t="str">
        <f>VLOOKUP($D204,'Customer Details'!$A$1:$F$17,MATCH('Order SUmmary'!H$2,'Customer Details'!$A$1:$F$1,0),0)</f>
        <v>Sonata Software</v>
      </c>
      <c r="I204" s="2" t="str">
        <f>VLOOKUP($D204,'Customer Details'!$A$1:$F$17,4,0)</f>
        <v>Olympia</v>
      </c>
      <c r="J204" s="2" t="str">
        <f>VLOOKUP($D204,'Customer Details'!$A$1:$F$17,6,0)</f>
        <v>98502</v>
      </c>
      <c r="K204" s="8" t="str">
        <f>VLOOKUP(VLOOKUP(D204,'Customer Details'!$A$1:$F$17,5,0),'Region INfo'!$A$1:$C$52,3,0)</f>
        <v xml:space="preserve">Pacific   </v>
      </c>
      <c r="L204" s="8" t="str">
        <f>INDEX(Product_List,MATCH($F204,'Product List'!$B$1:$B$299,0),MATCH('Order SUmmary'!L$2,'Product List'!$A$1:$E$1,0))</f>
        <v>LG Exalt</v>
      </c>
      <c r="M204" s="8">
        <f>INDEX(Product_List,MATCH($F204,'Product List'!$B$1:$B$299,0),MATCH('Order SUmmary'!M$2,'Product List'!$A$1:$E$1,0))</f>
        <v>4599</v>
      </c>
      <c r="N204" s="8">
        <f>INDEX(Product_List,MATCH($F204,'Product List'!$B$1:$B$299,0),MATCH('Order SUmmary'!N$2,'Product List'!$A$1:$E$1,0))</f>
        <v>1332</v>
      </c>
      <c r="O204" s="8" t="str">
        <f>INDEX(Product_List,MATCH($F204,'Product List'!$B$1:$B$299,0),MATCH('Order SUmmary'!O$2,'Product List'!$A$1:$E$1,0))</f>
        <v>Phones</v>
      </c>
      <c r="P204" s="12">
        <f>HLOOKUP(C204,'Commission Criteria'!$A$2:$I$4,3,FALSE)</f>
        <v>1</v>
      </c>
      <c r="Q204" s="8">
        <f t="shared" si="10"/>
        <v>1332</v>
      </c>
      <c r="R204" s="8">
        <f t="shared" si="11"/>
        <v>4599</v>
      </c>
      <c r="S204" s="36">
        <f>VLOOKUP(R204,'Commission Criteria'!$L$3:$M$11,2,TRUE)</f>
        <v>0.01</v>
      </c>
      <c r="T204" s="36">
        <f>IF(P204&lt;5,VLOOKUP(R204,'Commission Criteria'!$L$3:$M$11,2,1),VLOOKUP('Order SUmmary'!R204,'Commission Criteria'!$P$3:$Q$11,2,1))</f>
        <v>0.01</v>
      </c>
      <c r="U204" s="36">
        <f>VLOOKUP(R204,IF(P204&lt;5,'Commission Criteria'!$L$3:$M$11,'Commission Criteria'!$P$3:$Q$11),2,1)</f>
        <v>0.01</v>
      </c>
      <c r="V204" s="8" t="s">
        <v>29</v>
      </c>
      <c r="W204" s="36">
        <f t="shared" ca="1" si="12"/>
        <v>0</v>
      </c>
      <c r="X204" s="8" t="str">
        <f>_xlfn.XLOOKUP(F204,'Product List'!$B$1:$B$299,'Product List'!$A$1:$A$299)</f>
        <v>LG Exalt</v>
      </c>
      <c r="Y204" s="8"/>
      <c r="Z204" s="8" t="str" cm="1">
        <f t="array" ref="Z204:AD204">_xlfn.XLOOKUP(D204,'Customer Details'!$A$1:$A$17,'Customer Details'!$B$1:$F$17,"No such customer",0,1)</f>
        <v>Sonata Software</v>
      </c>
      <c r="AA204" s="8" t="str">
        <v>1331 Kimberly Dr.</v>
      </c>
      <c r="AB204" s="8" t="str">
        <v>Olympia</v>
      </c>
      <c r="AC204" s="8" t="str">
        <v>WA</v>
      </c>
      <c r="AD204" s="8" t="str">
        <v>98502</v>
      </c>
    </row>
    <row r="205" spans="1:30">
      <c r="A205" s="8" t="s">
        <v>319</v>
      </c>
      <c r="B205" s="19">
        <v>41501</v>
      </c>
      <c r="C205" s="8" t="s">
        <v>46</v>
      </c>
      <c r="D205" s="8">
        <v>10015</v>
      </c>
      <c r="E205" s="8" t="str">
        <f>VLOOKUP($D205,'Customer Details'!$A$1:$F$17,4,FALSE)</f>
        <v>South Windsor</v>
      </c>
      <c r="F205" s="8" t="s">
        <v>321</v>
      </c>
      <c r="G205" s="8">
        <v>2</v>
      </c>
      <c r="H205" s="2" t="str">
        <f>VLOOKUP($D205,'Customer Details'!$A$1:$F$17,MATCH('Order SUmmary'!H$2,'Customer Details'!$A$1:$F$1,0),0)</f>
        <v>Punj Lloyd Ltd.</v>
      </c>
      <c r="I205" s="2" t="str">
        <f>VLOOKUP($D205,'Customer Details'!$A$1:$F$17,4,0)</f>
        <v>South Windsor</v>
      </c>
      <c r="J205" s="2" t="str">
        <f>VLOOKUP($D205,'Customer Details'!$A$1:$F$17,6,0)</f>
        <v>06074</v>
      </c>
      <c r="K205" s="8" t="str">
        <f>VLOOKUP(VLOOKUP(D205,'Customer Details'!$A$1:$F$17,5,0),'Region INfo'!$A$1:$C$52,3,0)</f>
        <v xml:space="preserve">Northern </v>
      </c>
      <c r="L205" s="8" t="str">
        <f>INDEX(Product_List,MATCH($F205,'Product List'!$B$1:$B$299,0),MATCH('Order SUmmary'!L$2,'Product List'!$A$1:$E$1,0))</f>
        <v>Xerox 1938</v>
      </c>
      <c r="M205" s="8">
        <f>INDEX(Product_List,MATCH($F205,'Product List'!$B$1:$B$299,0),MATCH('Order SUmmary'!M$2,'Product List'!$A$1:$E$1,0))</f>
        <v>3626</v>
      </c>
      <c r="N205" s="8">
        <f>INDEX(Product_List,MATCH($F205,'Product List'!$B$1:$B$299,0),MATCH('Order SUmmary'!N$2,'Product List'!$A$1:$E$1,0))</f>
        <v>1590</v>
      </c>
      <c r="O205" s="8" t="str">
        <f>INDEX(Product_List,MATCH($F205,'Product List'!$B$1:$B$299,0),MATCH('Order SUmmary'!O$2,'Product List'!$A$1:$E$1,0))</f>
        <v>Paper</v>
      </c>
      <c r="P205" s="12">
        <f>HLOOKUP(C205,'Commission Criteria'!$A$2:$I$4,3,FALSE)</f>
        <v>8</v>
      </c>
      <c r="Q205" s="8">
        <f t="shared" si="10"/>
        <v>3180</v>
      </c>
      <c r="R205" s="8">
        <f t="shared" si="11"/>
        <v>7252</v>
      </c>
      <c r="S205" s="36">
        <f>VLOOKUP(R205,'Commission Criteria'!$L$3:$M$11,2,TRUE)</f>
        <v>0.03</v>
      </c>
      <c r="T205" s="36">
        <f>IF(P205&lt;5,VLOOKUP(R205,'Commission Criteria'!$L$3:$M$11,2,1),VLOOKUP('Order SUmmary'!R205,'Commission Criteria'!$P$3:$Q$11,2,1))</f>
        <v>0.02</v>
      </c>
      <c r="U205" s="36">
        <f>VLOOKUP(R205,IF(P205&lt;5,'Commission Criteria'!$L$3:$M$11,'Commission Criteria'!$P$3:$Q$11),2,1)</f>
        <v>0.02</v>
      </c>
      <c r="V205" s="8" t="s">
        <v>50</v>
      </c>
      <c r="W205" s="36">
        <f t="shared" ca="1" si="12"/>
        <v>0</v>
      </c>
      <c r="X205" s="8" t="str">
        <f>_xlfn.XLOOKUP(F205,'Product List'!$B$1:$B$299,'Product List'!$A$1:$A$299)</f>
        <v>Xerox 1938</v>
      </c>
      <c r="Y205" s="8"/>
      <c r="Z205" s="8" t="str" cm="1">
        <f t="array" ref="Z205:AD205">_xlfn.XLOOKUP(D205,'Customer Details'!$A$1:$A$17,'Customer Details'!$B$1:$F$17,"No such customer",0,1)</f>
        <v>Punj Lloyd Ltd.</v>
      </c>
      <c r="AA205" s="8" t="str">
        <v>Box 3263</v>
      </c>
      <c r="AB205" s="8" t="str">
        <v>South Windsor</v>
      </c>
      <c r="AC205" s="8" t="str">
        <v>CT</v>
      </c>
      <c r="AD205" s="8" t="str">
        <v>06074</v>
      </c>
    </row>
    <row r="206" spans="1:30">
      <c r="A206" s="8" t="s">
        <v>317</v>
      </c>
      <c r="B206" s="19">
        <v>41501</v>
      </c>
      <c r="C206" s="8" t="s">
        <v>51</v>
      </c>
      <c r="D206" s="8">
        <v>10003</v>
      </c>
      <c r="E206" s="8" t="str">
        <f>VLOOKUP($D206,'Customer Details'!$A$1:$F$17,4,FALSE)</f>
        <v>Miami</v>
      </c>
      <c r="F206" s="8" t="s">
        <v>149</v>
      </c>
      <c r="G206" s="8">
        <v>2</v>
      </c>
      <c r="H206" s="2" t="str">
        <f>VLOOKUP($D206,'Customer Details'!$A$1:$F$17,MATCH('Order SUmmary'!H$2,'Customer Details'!$A$1:$F$1,0),0)</f>
        <v>Honeywell Automation</v>
      </c>
      <c r="I206" s="2" t="str">
        <f>VLOOKUP($D206,'Customer Details'!$A$1:$F$17,4,0)</f>
        <v>Miami</v>
      </c>
      <c r="J206" s="2" t="str">
        <f>VLOOKUP($D206,'Customer Details'!$A$1:$F$17,6,0)</f>
        <v>33732</v>
      </c>
      <c r="K206" s="8" t="str">
        <f>VLOOKUP(VLOOKUP(D206,'Customer Details'!$A$1:$F$17,5,0),'Region INfo'!$A$1:$C$52,3,0)</f>
        <v>Southern</v>
      </c>
      <c r="L206" s="8" t="str">
        <f>INDEX(Product_List,MATCH($F206,'Product List'!$B$1:$B$299,0),MATCH('Order SUmmary'!L$2,'Product List'!$A$1:$E$1,0))</f>
        <v>Xerox 1992</v>
      </c>
      <c r="M206" s="8">
        <f>INDEX(Product_List,MATCH($F206,'Product List'!$B$1:$B$299,0),MATCH('Order SUmmary'!M$2,'Product List'!$A$1:$E$1,0))</f>
        <v>4218</v>
      </c>
      <c r="N206" s="8">
        <f>INDEX(Product_List,MATCH($F206,'Product List'!$B$1:$B$299,0),MATCH('Order SUmmary'!N$2,'Product List'!$A$1:$E$1,0))</f>
        <v>2421</v>
      </c>
      <c r="O206" s="8" t="str">
        <f>INDEX(Product_List,MATCH($F206,'Product List'!$B$1:$B$299,0),MATCH('Order SUmmary'!O$2,'Product List'!$A$1:$E$1,0))</f>
        <v>Paper</v>
      </c>
      <c r="P206" s="12">
        <f>HLOOKUP(C206,'Commission Criteria'!$A$2:$I$4,3,FALSE)</f>
        <v>10</v>
      </c>
      <c r="Q206" s="8">
        <f t="shared" si="10"/>
        <v>4842</v>
      </c>
      <c r="R206" s="8">
        <f t="shared" si="11"/>
        <v>8436</v>
      </c>
      <c r="S206" s="36">
        <f>VLOOKUP(R206,'Commission Criteria'!$L$3:$M$11,2,TRUE)</f>
        <v>0.03</v>
      </c>
      <c r="T206" s="36">
        <f>IF(P206&lt;5,VLOOKUP(R206,'Commission Criteria'!$L$3:$M$11,2,1),VLOOKUP('Order SUmmary'!R206,'Commission Criteria'!$P$3:$Q$11,2,1))</f>
        <v>0.02</v>
      </c>
      <c r="U206" s="36">
        <f>VLOOKUP(R206,IF(P206&lt;5,'Commission Criteria'!$L$3:$M$11,'Commission Criteria'!$P$3:$Q$11),2,1)</f>
        <v>0.02</v>
      </c>
      <c r="V206" s="8" t="s">
        <v>32</v>
      </c>
      <c r="W206" s="36">
        <f t="shared" ca="1" si="12"/>
        <v>0</v>
      </c>
      <c r="X206" s="8" t="str">
        <f>_xlfn.XLOOKUP(F206,'Product List'!$B$1:$B$299,'Product List'!$A$1:$A$299)</f>
        <v>Xerox 1992</v>
      </c>
      <c r="Y206" s="8"/>
      <c r="Z206" s="8" t="str" cm="1">
        <f t="array" ref="Z206:AD206">_xlfn.XLOOKUP(D206,'Customer Details'!$A$1:$A$17,'Customer Details'!$B$1:$F$17,"No such customer",0,1)</f>
        <v>Honeywell Automation</v>
      </c>
      <c r="AA206" s="8" t="str">
        <v>1272 Harbor Road</v>
      </c>
      <c r="AB206" s="8" t="str">
        <v>Miami</v>
      </c>
      <c r="AC206" s="8" t="str">
        <v>FL</v>
      </c>
      <c r="AD206" s="8" t="str">
        <v>33732</v>
      </c>
    </row>
    <row r="207" spans="1:30">
      <c r="A207" s="8" t="s">
        <v>319</v>
      </c>
      <c r="B207" s="19">
        <v>41501</v>
      </c>
      <c r="C207" s="8" t="s">
        <v>36</v>
      </c>
      <c r="D207" s="8">
        <v>10006</v>
      </c>
      <c r="E207" s="8" t="str">
        <f>VLOOKUP($D207,'Customer Details'!$A$1:$F$17,4,FALSE)</f>
        <v>Midland</v>
      </c>
      <c r="F207" s="8" t="s">
        <v>322</v>
      </c>
      <c r="G207" s="8">
        <v>3</v>
      </c>
      <c r="H207" s="2" t="str">
        <f>VLOOKUP($D207,'Customer Details'!$A$1:$F$17,MATCH('Order SUmmary'!H$2,'Customer Details'!$A$1:$F$1,0),0)</f>
        <v>Supreme Ind</v>
      </c>
      <c r="I207" s="2" t="str">
        <f>VLOOKUP($D207,'Customer Details'!$A$1:$F$17,4,0)</f>
        <v>Midland</v>
      </c>
      <c r="J207" s="2" t="str">
        <f>VLOOKUP($D207,'Customer Details'!$A$1:$F$17,6,0)</f>
        <v>79706</v>
      </c>
      <c r="K207" s="8" t="str">
        <f>VLOOKUP(VLOOKUP(D207,'Customer Details'!$A$1:$F$17,5,0),'Region INfo'!$A$1:$C$52,3,0)</f>
        <v>Western</v>
      </c>
      <c r="L207" s="8" t="str">
        <f>INDEX(Product_List,MATCH($F207,'Product List'!$B$1:$B$299,0),MATCH('Order SUmmary'!L$2,'Product List'!$A$1:$E$1,0))</f>
        <v>Xerox 1966</v>
      </c>
      <c r="M207" s="8">
        <f>INDEX(Product_List,MATCH($F207,'Product List'!$B$1:$B$299,0),MATCH('Order SUmmary'!M$2,'Product List'!$A$1:$E$1,0))</f>
        <v>4476</v>
      </c>
      <c r="N207" s="8">
        <f>INDEX(Product_List,MATCH($F207,'Product List'!$B$1:$B$299,0),MATCH('Order SUmmary'!N$2,'Product List'!$A$1:$E$1,0))</f>
        <v>2494</v>
      </c>
      <c r="O207" s="8" t="str">
        <f>INDEX(Product_List,MATCH($F207,'Product List'!$B$1:$B$299,0),MATCH('Order SUmmary'!O$2,'Product List'!$A$1:$E$1,0))</f>
        <v>Paper</v>
      </c>
      <c r="P207" s="12">
        <f>HLOOKUP(C207,'Commission Criteria'!$A$2:$I$4,3,FALSE)</f>
        <v>6</v>
      </c>
      <c r="Q207" s="8">
        <f t="shared" si="10"/>
        <v>7482</v>
      </c>
      <c r="R207" s="8">
        <f t="shared" si="11"/>
        <v>13428</v>
      </c>
      <c r="S207" s="36">
        <f>VLOOKUP(R207,'Commission Criteria'!$L$3:$M$11,2,TRUE)</f>
        <v>0.03</v>
      </c>
      <c r="T207" s="36">
        <f>IF(P207&lt;5,VLOOKUP(R207,'Commission Criteria'!$L$3:$M$11,2,1),VLOOKUP('Order SUmmary'!R207,'Commission Criteria'!$P$3:$Q$11,2,1))</f>
        <v>0.02</v>
      </c>
      <c r="U207" s="36">
        <f>VLOOKUP(R207,IF(P207&lt;5,'Commission Criteria'!$L$3:$M$11,'Commission Criteria'!$P$3:$Q$11),2,1)</f>
        <v>0.02</v>
      </c>
      <c r="V207" s="8" t="s">
        <v>35</v>
      </c>
      <c r="W207" s="36">
        <f t="shared" ca="1" si="12"/>
        <v>0.05</v>
      </c>
      <c r="X207" s="8" t="str">
        <f>_xlfn.XLOOKUP(F207,'Product List'!$B$1:$B$299,'Product List'!$A$1:$A$299)</f>
        <v>Xerox 1966</v>
      </c>
      <c r="Y207" s="8"/>
      <c r="Z207" s="8" t="str" cm="1">
        <f t="array" ref="Z207:AD207">_xlfn.XLOOKUP(D207,'Customer Details'!$A$1:$A$17,'Customer Details'!$B$1:$F$17,"No such customer",0,1)</f>
        <v>Supreme Ind</v>
      </c>
      <c r="AA207" s="8" t="str">
        <v>P.O. Box 1367</v>
      </c>
      <c r="AB207" s="8" t="str">
        <v>Midland</v>
      </c>
      <c r="AC207" s="8" t="str">
        <v>TX</v>
      </c>
      <c r="AD207" s="8" t="str">
        <v>79706</v>
      </c>
    </row>
    <row r="208" spans="1:30">
      <c r="A208" s="8" t="s">
        <v>323</v>
      </c>
      <c r="B208" s="19">
        <v>41501</v>
      </c>
      <c r="C208" s="8" t="s">
        <v>44</v>
      </c>
      <c r="D208" s="8">
        <v>10006</v>
      </c>
      <c r="E208" s="8" t="str">
        <f>VLOOKUP($D208,'Customer Details'!$A$1:$F$17,4,FALSE)</f>
        <v>Midland</v>
      </c>
      <c r="F208" s="8" t="s">
        <v>324</v>
      </c>
      <c r="G208" s="8">
        <v>3</v>
      </c>
      <c r="H208" s="2" t="str">
        <f>VLOOKUP($D208,'Customer Details'!$A$1:$F$17,MATCH('Order SUmmary'!H$2,'Customer Details'!$A$1:$F$1,0),0)</f>
        <v>Supreme Ind</v>
      </c>
      <c r="I208" s="2" t="str">
        <f>VLOOKUP($D208,'Customer Details'!$A$1:$F$17,4,0)</f>
        <v>Midland</v>
      </c>
      <c r="J208" s="2" t="str">
        <f>VLOOKUP($D208,'Customer Details'!$A$1:$F$17,6,0)</f>
        <v>79706</v>
      </c>
      <c r="K208" s="8" t="str">
        <f>VLOOKUP(VLOOKUP(D208,'Customer Details'!$A$1:$F$17,5,0),'Region INfo'!$A$1:$C$52,3,0)</f>
        <v>Western</v>
      </c>
      <c r="L208" s="8" t="str">
        <f>INDEX(Product_List,MATCH($F208,'Product List'!$B$1:$B$299,0),MATCH('Order SUmmary'!L$2,'Product List'!$A$1:$E$1,0))</f>
        <v>Newell 31</v>
      </c>
      <c r="M208" s="8">
        <f>INDEX(Product_List,MATCH($F208,'Product List'!$B$1:$B$299,0),MATCH('Order SUmmary'!M$2,'Product List'!$A$1:$E$1,0))</f>
        <v>4729</v>
      </c>
      <c r="N208" s="8">
        <f>INDEX(Product_List,MATCH($F208,'Product List'!$B$1:$B$299,0),MATCH('Order SUmmary'!N$2,'Product List'!$A$1:$E$1,0))</f>
        <v>1359</v>
      </c>
      <c r="O208" s="8" t="str">
        <f>INDEX(Product_List,MATCH($F208,'Product List'!$B$1:$B$299,0),MATCH('Order SUmmary'!O$2,'Product List'!$A$1:$E$1,0))</f>
        <v>Art</v>
      </c>
      <c r="P208" s="12">
        <f>HLOOKUP(C208,'Commission Criteria'!$A$2:$I$4,3,FALSE)</f>
        <v>4</v>
      </c>
      <c r="Q208" s="8">
        <f t="shared" si="10"/>
        <v>4077</v>
      </c>
      <c r="R208" s="8">
        <f t="shared" si="11"/>
        <v>14187</v>
      </c>
      <c r="S208" s="36">
        <f>VLOOKUP(R208,'Commission Criteria'!$L$3:$M$11,2,TRUE)</f>
        <v>0.03</v>
      </c>
      <c r="T208" s="36">
        <f>IF(P208&lt;5,VLOOKUP(R208,'Commission Criteria'!$L$3:$M$11,2,1),VLOOKUP('Order SUmmary'!R208,'Commission Criteria'!$P$3:$Q$11,2,1))</f>
        <v>0.03</v>
      </c>
      <c r="U208" s="36">
        <f>VLOOKUP(R208,IF(P208&lt;5,'Commission Criteria'!$L$3:$M$11,'Commission Criteria'!$P$3:$Q$11),2,1)</f>
        <v>0.03</v>
      </c>
      <c r="V208" s="8" t="s">
        <v>50</v>
      </c>
      <c r="W208" s="36">
        <f t="shared" ca="1" si="12"/>
        <v>0.05</v>
      </c>
      <c r="X208" s="8" t="str">
        <f>_xlfn.XLOOKUP(F208,'Product List'!$B$1:$B$299,'Product List'!$A$1:$A$299)</f>
        <v>Newell 31</v>
      </c>
      <c r="Y208" s="8"/>
      <c r="Z208" s="8" t="str" cm="1">
        <f t="array" ref="Z208:AD208">_xlfn.XLOOKUP(D208,'Customer Details'!$A$1:$A$17,'Customer Details'!$B$1:$F$17,"No such customer",0,1)</f>
        <v>Supreme Ind</v>
      </c>
      <c r="AA208" s="8" t="str">
        <v>P.O. Box 1367</v>
      </c>
      <c r="AB208" s="8" t="str">
        <v>Midland</v>
      </c>
      <c r="AC208" s="8" t="str">
        <v>TX</v>
      </c>
      <c r="AD208" s="8" t="str">
        <v>79706</v>
      </c>
    </row>
    <row r="209" spans="1:30">
      <c r="A209" s="8" t="s">
        <v>325</v>
      </c>
      <c r="B209" s="19">
        <v>41503</v>
      </c>
      <c r="C209" s="8" t="s">
        <v>51</v>
      </c>
      <c r="D209" s="8">
        <v>10007</v>
      </c>
      <c r="E209" s="8" t="str">
        <f>VLOOKUP($D209,'Customer Details'!$A$1:$F$17,4,FALSE)</f>
        <v>Richmond</v>
      </c>
      <c r="F209" s="8" t="s">
        <v>143</v>
      </c>
      <c r="G209" s="8">
        <v>1</v>
      </c>
      <c r="H209" s="2" t="str">
        <f>VLOOKUP($D209,'Customer Details'!$A$1:$F$17,MATCH('Order SUmmary'!H$2,'Customer Details'!$A$1:$F$1,0),0)</f>
        <v>GHCL Ltd.</v>
      </c>
      <c r="I209" s="2" t="str">
        <f>VLOOKUP($D209,'Customer Details'!$A$1:$F$17,4,0)</f>
        <v>Richmond</v>
      </c>
      <c r="J209" s="2" t="str">
        <f>VLOOKUP($D209,'Customer Details'!$A$1:$F$17,6,0)</f>
        <v>94805</v>
      </c>
      <c r="K209" s="8" t="str">
        <f>VLOOKUP(VLOOKUP(D209,'Customer Details'!$A$1:$F$17,5,0),'Region INfo'!$A$1:$C$52,3,0)</f>
        <v xml:space="preserve">Pacific   </v>
      </c>
      <c r="L209" s="8" t="str">
        <f>INDEX(Product_List,MATCH($F209,'Product List'!$B$1:$B$299,0),MATCH('Order SUmmary'!L$2,'Product List'!$A$1:$E$1,0))</f>
        <v>Xerox 1932</v>
      </c>
      <c r="M209" s="8">
        <f>INDEX(Product_List,MATCH($F209,'Product List'!$B$1:$B$299,0),MATCH('Order SUmmary'!M$2,'Product List'!$A$1:$E$1,0))</f>
        <v>4309</v>
      </c>
      <c r="N209" s="8">
        <f>INDEX(Product_List,MATCH($F209,'Product List'!$B$1:$B$299,0),MATCH('Order SUmmary'!N$2,'Product List'!$A$1:$E$1,0))</f>
        <v>1779</v>
      </c>
      <c r="O209" s="8" t="str">
        <f>INDEX(Product_List,MATCH($F209,'Product List'!$B$1:$B$299,0),MATCH('Order SUmmary'!O$2,'Product List'!$A$1:$E$1,0))</f>
        <v>Paper</v>
      </c>
      <c r="P209" s="12">
        <f>HLOOKUP(C209,'Commission Criteria'!$A$2:$I$4,3,FALSE)</f>
        <v>10</v>
      </c>
      <c r="Q209" s="8">
        <f t="shared" si="10"/>
        <v>1779</v>
      </c>
      <c r="R209" s="8">
        <f t="shared" si="11"/>
        <v>4309</v>
      </c>
      <c r="S209" s="36">
        <f>VLOOKUP(R209,'Commission Criteria'!$L$3:$M$11,2,TRUE)</f>
        <v>0.01</v>
      </c>
      <c r="T209" s="36">
        <f>IF(P209&lt;5,VLOOKUP(R209,'Commission Criteria'!$L$3:$M$11,2,1),VLOOKUP('Order SUmmary'!R209,'Commission Criteria'!$P$3:$Q$11,2,1))</f>
        <v>0.02</v>
      </c>
      <c r="U209" s="36">
        <f>VLOOKUP(R209,IF(P209&lt;5,'Commission Criteria'!$L$3:$M$11,'Commission Criteria'!$P$3:$Q$11),2,1)</f>
        <v>0.02</v>
      </c>
      <c r="V209" s="8" t="s">
        <v>32</v>
      </c>
      <c r="W209" s="36">
        <f t="shared" ca="1" si="12"/>
        <v>0</v>
      </c>
      <c r="X209" s="8" t="str">
        <f>_xlfn.XLOOKUP(F209,'Product List'!$B$1:$B$299,'Product List'!$A$1:$A$299)</f>
        <v>Xerox 1932</v>
      </c>
      <c r="Y209" s="8"/>
      <c r="Z209" s="8" t="str" cm="1">
        <f t="array" ref="Z209:AD209">_xlfn.XLOOKUP(D209,'Customer Details'!$A$1:$A$17,'Customer Details'!$B$1:$F$17,"No such customer",0,1)</f>
        <v>GHCL Ltd.</v>
      </c>
      <c r="AA209" s="8" t="str">
        <v>58 Clarence St</v>
      </c>
      <c r="AB209" s="8" t="str">
        <v>Richmond</v>
      </c>
      <c r="AC209" s="8" t="str">
        <v>CA</v>
      </c>
      <c r="AD209" s="8" t="str">
        <v>94805</v>
      </c>
    </row>
    <row r="210" spans="1:30">
      <c r="A210" s="8" t="s">
        <v>326</v>
      </c>
      <c r="B210" s="19">
        <v>41503</v>
      </c>
      <c r="C210" s="8" t="s">
        <v>33</v>
      </c>
      <c r="D210" s="8">
        <v>10001</v>
      </c>
      <c r="E210" s="8" t="str">
        <f>VLOOKUP($D210,'Customer Details'!$A$1:$F$17,4,FALSE)</f>
        <v>New York</v>
      </c>
      <c r="F210" s="8" t="s">
        <v>327</v>
      </c>
      <c r="G210" s="8">
        <v>3</v>
      </c>
      <c r="H210" s="2" t="str">
        <f>VLOOKUP($D210,'Customer Details'!$A$1:$F$17,MATCH('Order SUmmary'!H$2,'Customer Details'!$A$1:$F$1,0),0)</f>
        <v>Chambal Fertilisers and Chemicals Ltd.</v>
      </c>
      <c r="I210" s="2" t="str">
        <f>VLOOKUP($D210,'Customer Details'!$A$1:$F$17,4,0)</f>
        <v>New York</v>
      </c>
      <c r="J210" s="2" t="str">
        <f>VLOOKUP($D210,'Customer Details'!$A$1:$F$17,6,0)</f>
        <v>10025</v>
      </c>
      <c r="K210" s="8" t="str">
        <f>VLOOKUP(VLOOKUP(D210,'Customer Details'!$A$1:$F$17,5,0),'Region INfo'!$A$1:$C$52,3,0)</f>
        <v xml:space="preserve">Northern </v>
      </c>
      <c r="L210" s="8" t="str">
        <f>INDEX(Product_List,MATCH($F210,'Product List'!$B$1:$B$299,0),MATCH('Order SUmmary'!L$2,'Product List'!$A$1:$E$1,0))</f>
        <v>HTC One Mini</v>
      </c>
      <c r="M210" s="8">
        <f>INDEX(Product_List,MATCH($F210,'Product List'!$B$1:$B$299,0),MATCH('Order SUmmary'!M$2,'Product List'!$A$1:$E$1,0))</f>
        <v>4843</v>
      </c>
      <c r="N210" s="8">
        <f>INDEX(Product_List,MATCH($F210,'Product List'!$B$1:$B$299,0),MATCH('Order SUmmary'!N$2,'Product List'!$A$1:$E$1,0))</f>
        <v>2192</v>
      </c>
      <c r="O210" s="8" t="str">
        <f>INDEX(Product_List,MATCH($F210,'Product List'!$B$1:$B$299,0),MATCH('Order SUmmary'!O$2,'Product List'!$A$1:$E$1,0))</f>
        <v>Phones</v>
      </c>
      <c r="P210" s="12">
        <f>HLOOKUP(C210,'Commission Criteria'!$A$2:$I$4,3,FALSE)</f>
        <v>1</v>
      </c>
      <c r="Q210" s="8">
        <f t="shared" si="10"/>
        <v>6576</v>
      </c>
      <c r="R210" s="8">
        <f t="shared" si="11"/>
        <v>14529</v>
      </c>
      <c r="S210" s="36">
        <f>VLOOKUP(R210,'Commission Criteria'!$L$3:$M$11,2,TRUE)</f>
        <v>0.03</v>
      </c>
      <c r="T210" s="36">
        <f>IF(P210&lt;5,VLOOKUP(R210,'Commission Criteria'!$L$3:$M$11,2,1),VLOOKUP('Order SUmmary'!R210,'Commission Criteria'!$P$3:$Q$11,2,1))</f>
        <v>0.03</v>
      </c>
      <c r="U210" s="36">
        <f>VLOOKUP(R210,IF(P210&lt;5,'Commission Criteria'!$L$3:$M$11,'Commission Criteria'!$P$3:$Q$11),2,1)</f>
        <v>0.03</v>
      </c>
      <c r="V210" s="8" t="s">
        <v>32</v>
      </c>
      <c r="W210" s="36">
        <f t="shared" ca="1" si="12"/>
        <v>0.05</v>
      </c>
      <c r="X210" s="8" t="str">
        <f>_xlfn.XLOOKUP(F210,'Product List'!$B$1:$B$299,'Product List'!$A$1:$A$299)</f>
        <v>HTC One Mini</v>
      </c>
      <c r="Y210" s="8"/>
      <c r="Z210" s="8" t="str" cm="1">
        <f t="array" ref="Z210:AD210">_xlfn.XLOOKUP(D210,'Customer Details'!$A$1:$A$17,'Customer Details'!$B$1:$F$17,"No such customer",0,1)</f>
        <v>Chambal Fertilisers and Chemicals Ltd.</v>
      </c>
      <c r="AA210" s="8" t="str">
        <v>4951 Indiana Ave.</v>
      </c>
      <c r="AB210" s="8" t="str">
        <v>New York</v>
      </c>
      <c r="AC210" s="8" t="str">
        <v>NY</v>
      </c>
      <c r="AD210" s="8" t="str">
        <v>10025</v>
      </c>
    </row>
    <row r="211" spans="1:30">
      <c r="A211" s="8" t="s">
        <v>328</v>
      </c>
      <c r="B211" s="19">
        <v>41505</v>
      </c>
      <c r="C211" s="8" t="s">
        <v>27</v>
      </c>
      <c r="D211" s="8">
        <v>10009</v>
      </c>
      <c r="E211" s="8" t="str">
        <f>VLOOKUP($D211,'Customer Details'!$A$1:$F$17,4,FALSE)</f>
        <v>Salt Lake City</v>
      </c>
      <c r="F211" s="8" t="s">
        <v>329</v>
      </c>
      <c r="G211" s="8">
        <v>1</v>
      </c>
      <c r="H211" s="2" t="str">
        <f>VLOOKUP($D211,'Customer Details'!$A$1:$F$17,MATCH('Order SUmmary'!H$2,'Customer Details'!$A$1:$F$1,0),0)</f>
        <v>Godfrey Philips India Ltd.</v>
      </c>
      <c r="I211" s="2" t="str">
        <f>VLOOKUP($D211,'Customer Details'!$A$1:$F$17,4,0)</f>
        <v>Salt Lake City</v>
      </c>
      <c r="J211" s="2" t="str">
        <f>VLOOKUP($D211,'Customer Details'!$A$1:$F$17,6,0)</f>
        <v>84118</v>
      </c>
      <c r="K211" s="8" t="str">
        <f>VLOOKUP(VLOOKUP(D211,'Customer Details'!$A$1:$F$17,5,0),'Region INfo'!$A$1:$C$52,3,0)</f>
        <v xml:space="preserve">Pacific   </v>
      </c>
      <c r="L211" s="8" t="str">
        <f>INDEX(Product_List,MATCH($F211,'Product List'!$B$1:$B$299,0),MATCH('Order SUmmary'!L$2,'Product List'!$A$1:$E$1,0))</f>
        <v>Xerox 1991</v>
      </c>
      <c r="M211" s="8">
        <f>INDEX(Product_List,MATCH($F211,'Product List'!$B$1:$B$299,0),MATCH('Order SUmmary'!M$2,'Product List'!$A$1:$E$1,0))</f>
        <v>3634</v>
      </c>
      <c r="N211" s="8">
        <f>INDEX(Product_List,MATCH($F211,'Product List'!$B$1:$B$299,0),MATCH('Order SUmmary'!N$2,'Product List'!$A$1:$E$1,0))</f>
        <v>1487</v>
      </c>
      <c r="O211" s="8" t="str">
        <f>INDEX(Product_List,MATCH($F211,'Product List'!$B$1:$B$299,0),MATCH('Order SUmmary'!O$2,'Product List'!$A$1:$E$1,0))</f>
        <v>Paper</v>
      </c>
      <c r="P211" s="12">
        <f>HLOOKUP(C211,'Commission Criteria'!$A$2:$I$4,3,FALSE)</f>
        <v>4</v>
      </c>
      <c r="Q211" s="8">
        <f t="shared" si="10"/>
        <v>1487</v>
      </c>
      <c r="R211" s="8">
        <f t="shared" si="11"/>
        <v>3634</v>
      </c>
      <c r="S211" s="36">
        <f>VLOOKUP(R211,'Commission Criteria'!$L$3:$M$11,2,TRUE)</f>
        <v>0.01</v>
      </c>
      <c r="T211" s="36">
        <f>IF(P211&lt;5,VLOOKUP(R211,'Commission Criteria'!$L$3:$M$11,2,1),VLOOKUP('Order SUmmary'!R211,'Commission Criteria'!$P$3:$Q$11,2,1))</f>
        <v>0.01</v>
      </c>
      <c r="U211" s="36">
        <f>VLOOKUP(R211,IF(P211&lt;5,'Commission Criteria'!$L$3:$M$11,'Commission Criteria'!$P$3:$Q$11),2,1)</f>
        <v>0.01</v>
      </c>
      <c r="V211" s="8" t="s">
        <v>43</v>
      </c>
      <c r="W211" s="36">
        <f t="shared" ca="1" si="12"/>
        <v>0.04</v>
      </c>
      <c r="X211" s="8" t="str">
        <f>_xlfn.XLOOKUP(F211,'Product List'!$B$1:$B$299,'Product List'!$A$1:$A$299)</f>
        <v>Xerox 1991</v>
      </c>
      <c r="Y211" s="8"/>
      <c r="Z211" s="8" t="str" cm="1">
        <f t="array" ref="Z211:AD211">_xlfn.XLOOKUP(D211,'Customer Details'!$A$1:$A$17,'Customer Details'!$B$1:$F$17,"No such customer",0,1)</f>
        <v>Godfrey Philips India Ltd.</v>
      </c>
      <c r="AA211" s="8" t="str">
        <v>20501 Ania Ave #2</v>
      </c>
      <c r="AB211" s="8" t="str">
        <v>Salt Lake City</v>
      </c>
      <c r="AC211" s="8" t="str">
        <v>UT</v>
      </c>
      <c r="AD211" s="8" t="str">
        <v>84118</v>
      </c>
    </row>
    <row r="212" spans="1:30">
      <c r="A212" s="8" t="s">
        <v>328</v>
      </c>
      <c r="B212" s="19">
        <v>41505</v>
      </c>
      <c r="C212" s="8" t="s">
        <v>44</v>
      </c>
      <c r="D212" s="8">
        <v>10002</v>
      </c>
      <c r="E212" s="8" t="str">
        <f>VLOOKUP($D212,'Customer Details'!$A$1:$F$17,4,FALSE)</f>
        <v>Omaha</v>
      </c>
      <c r="F212" s="8" t="s">
        <v>330</v>
      </c>
      <c r="G212" s="8">
        <v>2</v>
      </c>
      <c r="H212" s="2" t="str">
        <f>VLOOKUP($D212,'Customer Details'!$A$1:$F$17,MATCH('Order SUmmary'!H$2,'Customer Details'!$A$1:$F$1,0),0)</f>
        <v>Elder Pharmaceuticals</v>
      </c>
      <c r="I212" s="2" t="str">
        <f>VLOOKUP($D212,'Customer Details'!$A$1:$F$17,4,0)</f>
        <v>Omaha</v>
      </c>
      <c r="J212" s="2" t="str">
        <f>VLOOKUP($D212,'Customer Details'!$A$1:$F$17,6,0)</f>
        <v>68127</v>
      </c>
      <c r="K212" s="8" t="str">
        <f>VLOOKUP(VLOOKUP(D212,'Customer Details'!$A$1:$F$17,5,0),'Region INfo'!$A$1:$C$52,3,0)</f>
        <v>Western</v>
      </c>
      <c r="L212" s="8" t="str">
        <f>INDEX(Product_List,MATCH($F212,'Product List'!$B$1:$B$299,0),MATCH('Order SUmmary'!L$2,'Product List'!$A$1:$E$1,0))</f>
        <v>Xerox 1909</v>
      </c>
      <c r="M212" s="8">
        <f>INDEX(Product_List,MATCH($F212,'Product List'!$B$1:$B$299,0),MATCH('Order SUmmary'!M$2,'Product List'!$A$1:$E$1,0))</f>
        <v>2628</v>
      </c>
      <c r="N212" s="8">
        <f>INDEX(Product_List,MATCH($F212,'Product List'!$B$1:$B$299,0),MATCH('Order SUmmary'!N$2,'Product List'!$A$1:$E$1,0))</f>
        <v>1803</v>
      </c>
      <c r="O212" s="8" t="str">
        <f>INDEX(Product_List,MATCH($F212,'Product List'!$B$1:$B$299,0),MATCH('Order SUmmary'!O$2,'Product List'!$A$1:$E$1,0))</f>
        <v>Paper</v>
      </c>
      <c r="P212" s="12">
        <f>HLOOKUP(C212,'Commission Criteria'!$A$2:$I$4,3,FALSE)</f>
        <v>4</v>
      </c>
      <c r="Q212" s="8">
        <f t="shared" si="10"/>
        <v>3606</v>
      </c>
      <c r="R212" s="8">
        <f t="shared" si="11"/>
        <v>5256</v>
      </c>
      <c r="S212" s="36">
        <f>VLOOKUP(R212,'Commission Criteria'!$L$3:$M$11,2,TRUE)</f>
        <v>0.03</v>
      </c>
      <c r="T212" s="36">
        <f>IF(P212&lt;5,VLOOKUP(R212,'Commission Criteria'!$L$3:$M$11,2,1),VLOOKUP('Order SUmmary'!R212,'Commission Criteria'!$P$3:$Q$11,2,1))</f>
        <v>0.03</v>
      </c>
      <c r="U212" s="36">
        <f>VLOOKUP(R212,IF(P212&lt;5,'Commission Criteria'!$L$3:$M$11,'Commission Criteria'!$P$3:$Q$11),2,1)</f>
        <v>0.03</v>
      </c>
      <c r="V212" s="8" t="s">
        <v>32</v>
      </c>
      <c r="W212" s="36">
        <f t="shared" ca="1" si="12"/>
        <v>0.03</v>
      </c>
      <c r="X212" s="8" t="str">
        <f>_xlfn.XLOOKUP(F212,'Product List'!$B$1:$B$299,'Product List'!$A$1:$A$299)</f>
        <v>Xerox 1909</v>
      </c>
      <c r="Y212" s="8"/>
      <c r="Z212" s="8" t="str" cm="1">
        <f t="array" ref="Z212:AD212">_xlfn.XLOOKUP(D212,'Customer Details'!$A$1:$A$17,'Customer Details'!$B$1:$F$17,"No such customer",0,1)</f>
        <v>Elder Pharmaceuticals</v>
      </c>
      <c r="AA212" s="8" t="str">
        <v>57 Neriba Cres</v>
      </c>
      <c r="AB212" s="8" t="str">
        <v>Omaha</v>
      </c>
      <c r="AC212" s="8" t="str">
        <v>NE</v>
      </c>
      <c r="AD212" s="8" t="str">
        <v>68127</v>
      </c>
    </row>
    <row r="213" spans="1:30">
      <c r="A213" s="8" t="s">
        <v>331</v>
      </c>
      <c r="B213" s="19">
        <v>41505</v>
      </c>
      <c r="C213" s="8" t="s">
        <v>54</v>
      </c>
      <c r="D213" s="8">
        <v>10009</v>
      </c>
      <c r="E213" s="8" t="str">
        <f>VLOOKUP($D213,'Customer Details'!$A$1:$F$17,4,FALSE)</f>
        <v>Salt Lake City</v>
      </c>
      <c r="F213" s="8" t="s">
        <v>227</v>
      </c>
      <c r="G213" s="8">
        <v>3</v>
      </c>
      <c r="H213" s="2" t="str">
        <f>VLOOKUP($D213,'Customer Details'!$A$1:$F$17,MATCH('Order SUmmary'!H$2,'Customer Details'!$A$1:$F$1,0),0)</f>
        <v>Godfrey Philips India Ltd.</v>
      </c>
      <c r="I213" s="2" t="str">
        <f>VLOOKUP($D213,'Customer Details'!$A$1:$F$17,4,0)</f>
        <v>Salt Lake City</v>
      </c>
      <c r="J213" s="2" t="str">
        <f>VLOOKUP($D213,'Customer Details'!$A$1:$F$17,6,0)</f>
        <v>84118</v>
      </c>
      <c r="K213" s="8" t="str">
        <f>VLOOKUP(VLOOKUP(D213,'Customer Details'!$A$1:$F$17,5,0),'Region INfo'!$A$1:$C$52,3,0)</f>
        <v xml:space="preserve">Pacific   </v>
      </c>
      <c r="L213" s="8" t="str">
        <f>INDEX(Product_List,MATCH($F213,'Product List'!$B$1:$B$299,0),MATCH('Order SUmmary'!L$2,'Product List'!$A$1:$E$1,0))</f>
        <v>Xerox 21</v>
      </c>
      <c r="M213" s="8">
        <f>INDEX(Product_List,MATCH($F213,'Product List'!$B$1:$B$299,0),MATCH('Order SUmmary'!M$2,'Product List'!$A$1:$E$1,0))</f>
        <v>2787</v>
      </c>
      <c r="N213" s="8">
        <f>INDEX(Product_List,MATCH($F213,'Product List'!$B$1:$B$299,0),MATCH('Order SUmmary'!N$2,'Product List'!$A$1:$E$1,0))</f>
        <v>2020</v>
      </c>
      <c r="O213" s="8" t="str">
        <f>INDEX(Product_List,MATCH($F213,'Product List'!$B$1:$B$299,0),MATCH('Order SUmmary'!O$2,'Product List'!$A$1:$E$1,0))</f>
        <v>Paper</v>
      </c>
      <c r="P213" s="12">
        <f>HLOOKUP(C213,'Commission Criteria'!$A$2:$I$4,3,FALSE)</f>
        <v>3</v>
      </c>
      <c r="Q213" s="8">
        <f t="shared" si="10"/>
        <v>6060</v>
      </c>
      <c r="R213" s="8">
        <f t="shared" si="11"/>
        <v>8361</v>
      </c>
      <c r="S213" s="36">
        <f>VLOOKUP(R213,'Commission Criteria'!$L$3:$M$11,2,TRUE)</f>
        <v>0.03</v>
      </c>
      <c r="T213" s="36">
        <f>IF(P213&lt;5,VLOOKUP(R213,'Commission Criteria'!$L$3:$M$11,2,1),VLOOKUP('Order SUmmary'!R213,'Commission Criteria'!$P$3:$Q$11,2,1))</f>
        <v>0.03</v>
      </c>
      <c r="U213" s="36">
        <f>VLOOKUP(R213,IF(P213&lt;5,'Commission Criteria'!$L$3:$M$11,'Commission Criteria'!$P$3:$Q$11),2,1)</f>
        <v>0.03</v>
      </c>
      <c r="V213" s="8" t="s">
        <v>40</v>
      </c>
      <c r="W213" s="36">
        <f t="shared" ca="1" si="12"/>
        <v>0.05</v>
      </c>
      <c r="X213" s="8" t="str">
        <f>_xlfn.XLOOKUP(F213,'Product List'!$B$1:$B$299,'Product List'!$A$1:$A$299)</f>
        <v>Xerox 21</v>
      </c>
      <c r="Y213" s="8"/>
      <c r="Z213" s="8" t="str" cm="1">
        <f t="array" ref="Z213:AD213">_xlfn.XLOOKUP(D213,'Customer Details'!$A$1:$A$17,'Customer Details'!$B$1:$F$17,"No such customer",0,1)</f>
        <v>Godfrey Philips India Ltd.</v>
      </c>
      <c r="AA213" s="8" t="str">
        <v>20501 Ania Ave #2</v>
      </c>
      <c r="AB213" s="8" t="str">
        <v>Salt Lake City</v>
      </c>
      <c r="AC213" s="8" t="str">
        <v>UT</v>
      </c>
      <c r="AD213" s="8" t="str">
        <v>84118</v>
      </c>
    </row>
    <row r="214" spans="1:30">
      <c r="A214" s="8" t="s">
        <v>328</v>
      </c>
      <c r="B214" s="19">
        <v>41505</v>
      </c>
      <c r="C214" s="8" t="s">
        <v>54</v>
      </c>
      <c r="D214" s="8">
        <v>10007</v>
      </c>
      <c r="E214" s="8" t="str">
        <f>VLOOKUP($D214,'Customer Details'!$A$1:$F$17,4,FALSE)</f>
        <v>Richmond</v>
      </c>
      <c r="F214" s="8" t="s">
        <v>172</v>
      </c>
      <c r="G214" s="8">
        <v>2</v>
      </c>
      <c r="H214" s="2" t="str">
        <f>VLOOKUP($D214,'Customer Details'!$A$1:$F$17,MATCH('Order SUmmary'!H$2,'Customer Details'!$A$1:$F$1,0),0)</f>
        <v>GHCL Ltd.</v>
      </c>
      <c r="I214" s="2" t="str">
        <f>VLOOKUP($D214,'Customer Details'!$A$1:$F$17,4,0)</f>
        <v>Richmond</v>
      </c>
      <c r="J214" s="2" t="str">
        <f>VLOOKUP($D214,'Customer Details'!$A$1:$F$17,6,0)</f>
        <v>94805</v>
      </c>
      <c r="K214" s="8" t="str">
        <f>VLOOKUP(VLOOKUP(D214,'Customer Details'!$A$1:$F$17,5,0),'Region INfo'!$A$1:$C$52,3,0)</f>
        <v xml:space="preserve">Pacific   </v>
      </c>
      <c r="L214" s="8" t="str">
        <f>INDEX(Product_List,MATCH($F214,'Product List'!$B$1:$B$299,0),MATCH('Order SUmmary'!L$2,'Product List'!$A$1:$E$1,0))</f>
        <v>Xerox 223</v>
      </c>
      <c r="M214" s="8">
        <f>INDEX(Product_List,MATCH($F214,'Product List'!$B$1:$B$299,0),MATCH('Order SUmmary'!M$2,'Product List'!$A$1:$E$1,0))</f>
        <v>4733</v>
      </c>
      <c r="N214" s="8">
        <f>INDEX(Product_List,MATCH($F214,'Product List'!$B$1:$B$299,0),MATCH('Order SUmmary'!N$2,'Product List'!$A$1:$E$1,0))</f>
        <v>1415</v>
      </c>
      <c r="O214" s="8" t="str">
        <f>INDEX(Product_List,MATCH($F214,'Product List'!$B$1:$B$299,0),MATCH('Order SUmmary'!O$2,'Product List'!$A$1:$E$1,0))</f>
        <v>Paper</v>
      </c>
      <c r="P214" s="12">
        <f>HLOOKUP(C214,'Commission Criteria'!$A$2:$I$4,3,FALSE)</f>
        <v>3</v>
      </c>
      <c r="Q214" s="8">
        <f t="shared" si="10"/>
        <v>2830</v>
      </c>
      <c r="R214" s="8">
        <f t="shared" si="11"/>
        <v>9466</v>
      </c>
      <c r="S214" s="36">
        <f>VLOOKUP(R214,'Commission Criteria'!$L$3:$M$11,2,TRUE)</f>
        <v>0.03</v>
      </c>
      <c r="T214" s="36">
        <f>IF(P214&lt;5,VLOOKUP(R214,'Commission Criteria'!$L$3:$M$11,2,1),VLOOKUP('Order SUmmary'!R214,'Commission Criteria'!$P$3:$Q$11,2,1))</f>
        <v>0.03</v>
      </c>
      <c r="U214" s="36">
        <f>VLOOKUP(R214,IF(P214&lt;5,'Commission Criteria'!$L$3:$M$11,'Commission Criteria'!$P$3:$Q$11),2,1)</f>
        <v>0.03</v>
      </c>
      <c r="V214" s="8" t="s">
        <v>29</v>
      </c>
      <c r="W214" s="36">
        <f t="shared" ca="1" si="12"/>
        <v>0</v>
      </c>
      <c r="X214" s="8" t="str">
        <f>_xlfn.XLOOKUP(F214,'Product List'!$B$1:$B$299,'Product List'!$A$1:$A$299)</f>
        <v>Xerox 223</v>
      </c>
      <c r="Y214" s="8"/>
      <c r="Z214" s="8" t="str" cm="1">
        <f t="array" ref="Z214:AD214">_xlfn.XLOOKUP(D214,'Customer Details'!$A$1:$A$17,'Customer Details'!$B$1:$F$17,"No such customer",0,1)</f>
        <v>GHCL Ltd.</v>
      </c>
      <c r="AA214" s="8" t="str">
        <v>58 Clarence St</v>
      </c>
      <c r="AB214" s="8" t="str">
        <v>Richmond</v>
      </c>
      <c r="AC214" s="8" t="str">
        <v>CA</v>
      </c>
      <c r="AD214" s="8" t="str">
        <v>94805</v>
      </c>
    </row>
    <row r="215" spans="1:30">
      <c r="A215" s="8" t="s">
        <v>332</v>
      </c>
      <c r="B215" s="19">
        <v>41506</v>
      </c>
      <c r="C215" s="8" t="s">
        <v>54</v>
      </c>
      <c r="D215" s="8">
        <v>10003</v>
      </c>
      <c r="E215" s="8" t="str">
        <f>VLOOKUP($D215,'Customer Details'!$A$1:$F$17,4,FALSE)</f>
        <v>Miami</v>
      </c>
      <c r="F215" s="8" t="s">
        <v>333</v>
      </c>
      <c r="G215" s="8">
        <v>1</v>
      </c>
      <c r="H215" s="2" t="str">
        <f>VLOOKUP($D215,'Customer Details'!$A$1:$F$17,MATCH('Order SUmmary'!H$2,'Customer Details'!$A$1:$F$1,0),0)</f>
        <v>Honeywell Automation</v>
      </c>
      <c r="I215" s="2" t="str">
        <f>VLOOKUP($D215,'Customer Details'!$A$1:$F$17,4,0)</f>
        <v>Miami</v>
      </c>
      <c r="J215" s="2" t="str">
        <f>VLOOKUP($D215,'Customer Details'!$A$1:$F$17,6,0)</f>
        <v>33732</v>
      </c>
      <c r="K215" s="8" t="str">
        <f>VLOOKUP(VLOOKUP(D215,'Customer Details'!$A$1:$F$17,5,0),'Region INfo'!$A$1:$C$52,3,0)</f>
        <v>Southern</v>
      </c>
      <c r="L215" s="8" t="str">
        <f>INDEX(Product_List,MATCH($F215,'Product List'!$B$1:$B$299,0),MATCH('Order SUmmary'!L$2,'Product List'!$A$1:$E$1,0))</f>
        <v>Xerox 1881</v>
      </c>
      <c r="M215" s="8">
        <f>INDEX(Product_List,MATCH($F215,'Product List'!$B$1:$B$299,0),MATCH('Order SUmmary'!M$2,'Product List'!$A$1:$E$1,0))</f>
        <v>3330</v>
      </c>
      <c r="N215" s="8">
        <f>INDEX(Product_List,MATCH($F215,'Product List'!$B$1:$B$299,0),MATCH('Order SUmmary'!N$2,'Product List'!$A$1:$E$1,0))</f>
        <v>1819</v>
      </c>
      <c r="O215" s="8" t="str">
        <f>INDEX(Product_List,MATCH($F215,'Product List'!$B$1:$B$299,0),MATCH('Order SUmmary'!O$2,'Product List'!$A$1:$E$1,0))</f>
        <v>Paper</v>
      </c>
      <c r="P215" s="12">
        <f>HLOOKUP(C215,'Commission Criteria'!$A$2:$I$4,3,FALSE)</f>
        <v>3</v>
      </c>
      <c r="Q215" s="8">
        <f t="shared" si="10"/>
        <v>1819</v>
      </c>
      <c r="R215" s="8">
        <f t="shared" si="11"/>
        <v>3330</v>
      </c>
      <c r="S215" s="36">
        <f>VLOOKUP(R215,'Commission Criteria'!$L$3:$M$11,2,TRUE)</f>
        <v>0.01</v>
      </c>
      <c r="T215" s="36">
        <f>IF(P215&lt;5,VLOOKUP(R215,'Commission Criteria'!$L$3:$M$11,2,1),VLOOKUP('Order SUmmary'!R215,'Commission Criteria'!$P$3:$Q$11,2,1))</f>
        <v>0.01</v>
      </c>
      <c r="U215" s="36">
        <f>VLOOKUP(R215,IF(P215&lt;5,'Commission Criteria'!$L$3:$M$11,'Commission Criteria'!$P$3:$Q$11),2,1)</f>
        <v>0.01</v>
      </c>
      <c r="V215" s="8" t="s">
        <v>35</v>
      </c>
      <c r="W215" s="36">
        <f t="shared" ca="1" si="12"/>
        <v>0.05</v>
      </c>
      <c r="X215" s="8" t="str">
        <f>_xlfn.XLOOKUP(F215,'Product List'!$B$1:$B$299,'Product List'!$A$1:$A$299)</f>
        <v>Xerox 1881</v>
      </c>
      <c r="Y215" s="8"/>
      <c r="Z215" s="8" t="str" cm="1">
        <f t="array" ref="Z215:AD215">_xlfn.XLOOKUP(D215,'Customer Details'!$A$1:$A$17,'Customer Details'!$B$1:$F$17,"No such customer",0,1)</f>
        <v>Honeywell Automation</v>
      </c>
      <c r="AA215" s="8" t="str">
        <v>1272 Harbor Road</v>
      </c>
      <c r="AB215" s="8" t="str">
        <v>Miami</v>
      </c>
      <c r="AC215" s="8" t="str">
        <v>FL</v>
      </c>
      <c r="AD215" s="8" t="str">
        <v>33732</v>
      </c>
    </row>
    <row r="216" spans="1:30">
      <c r="A216" s="8" t="s">
        <v>334</v>
      </c>
      <c r="B216" s="19">
        <v>41506</v>
      </c>
      <c r="C216" s="8" t="s">
        <v>33</v>
      </c>
      <c r="D216" s="8">
        <v>10011</v>
      </c>
      <c r="E216" s="8" t="str">
        <f>VLOOKUP($D216,'Customer Details'!$A$1:$F$17,4,FALSE)</f>
        <v>Olympia</v>
      </c>
      <c r="F216" s="8" t="s">
        <v>335</v>
      </c>
      <c r="G216" s="8">
        <v>2</v>
      </c>
      <c r="H216" s="2" t="str">
        <f>VLOOKUP($D216,'Customer Details'!$A$1:$F$17,MATCH('Order SUmmary'!H$2,'Customer Details'!$A$1:$F$1,0),0)</f>
        <v>Sonata Software</v>
      </c>
      <c r="I216" s="2" t="str">
        <f>VLOOKUP($D216,'Customer Details'!$A$1:$F$17,4,0)</f>
        <v>Olympia</v>
      </c>
      <c r="J216" s="2" t="str">
        <f>VLOOKUP($D216,'Customer Details'!$A$1:$F$17,6,0)</f>
        <v>98502</v>
      </c>
      <c r="K216" s="8" t="str">
        <f>VLOOKUP(VLOOKUP(D216,'Customer Details'!$A$1:$F$17,5,0),'Region INfo'!$A$1:$C$52,3,0)</f>
        <v xml:space="preserve">Pacific   </v>
      </c>
      <c r="L216" s="8" t="str">
        <f>INDEX(Product_List,MATCH($F216,'Product List'!$B$1:$B$299,0),MATCH('Order SUmmary'!L$2,'Product List'!$A$1:$E$1,0))</f>
        <v>Xerox 1940</v>
      </c>
      <c r="M216" s="8">
        <f>INDEX(Product_List,MATCH($F216,'Product List'!$B$1:$B$299,0),MATCH('Order SUmmary'!M$2,'Product List'!$A$1:$E$1,0))</f>
        <v>4026</v>
      </c>
      <c r="N216" s="8">
        <f>INDEX(Product_List,MATCH($F216,'Product List'!$B$1:$B$299,0),MATCH('Order SUmmary'!N$2,'Product List'!$A$1:$E$1,0))</f>
        <v>1829</v>
      </c>
      <c r="O216" s="8" t="str">
        <f>INDEX(Product_List,MATCH($F216,'Product List'!$B$1:$B$299,0),MATCH('Order SUmmary'!O$2,'Product List'!$A$1:$E$1,0))</f>
        <v>Paper</v>
      </c>
      <c r="P216" s="12">
        <f>HLOOKUP(C216,'Commission Criteria'!$A$2:$I$4,3,FALSE)</f>
        <v>1</v>
      </c>
      <c r="Q216" s="8">
        <f t="shared" si="10"/>
        <v>3658</v>
      </c>
      <c r="R216" s="8">
        <f t="shared" si="11"/>
        <v>8052</v>
      </c>
      <c r="S216" s="36">
        <f>VLOOKUP(R216,'Commission Criteria'!$L$3:$M$11,2,TRUE)</f>
        <v>0.03</v>
      </c>
      <c r="T216" s="36">
        <f>IF(P216&lt;5,VLOOKUP(R216,'Commission Criteria'!$L$3:$M$11,2,1),VLOOKUP('Order SUmmary'!R216,'Commission Criteria'!$P$3:$Q$11,2,1))</f>
        <v>0.03</v>
      </c>
      <c r="U216" s="36">
        <f>VLOOKUP(R216,IF(P216&lt;5,'Commission Criteria'!$L$3:$M$11,'Commission Criteria'!$P$3:$Q$11),2,1)</f>
        <v>0.03</v>
      </c>
      <c r="V216" s="8" t="s">
        <v>50</v>
      </c>
      <c r="W216" s="36">
        <f t="shared" ca="1" si="12"/>
        <v>0</v>
      </c>
      <c r="X216" s="8" t="str">
        <f>_xlfn.XLOOKUP(F216,'Product List'!$B$1:$B$299,'Product List'!$A$1:$A$299)</f>
        <v>Xerox 1940</v>
      </c>
      <c r="Y216" s="8"/>
      <c r="Z216" s="8" t="str" cm="1">
        <f t="array" ref="Z216:AD216">_xlfn.XLOOKUP(D216,'Customer Details'!$A$1:$A$17,'Customer Details'!$B$1:$F$17,"No such customer",0,1)</f>
        <v>Sonata Software</v>
      </c>
      <c r="AA216" s="8" t="str">
        <v>1331 Kimberly Dr.</v>
      </c>
      <c r="AB216" s="8" t="str">
        <v>Olympia</v>
      </c>
      <c r="AC216" s="8" t="str">
        <v>WA</v>
      </c>
      <c r="AD216" s="8" t="str">
        <v>98502</v>
      </c>
    </row>
    <row r="217" spans="1:30">
      <c r="A217" s="8" t="s">
        <v>332</v>
      </c>
      <c r="B217" s="19">
        <v>41506</v>
      </c>
      <c r="C217" s="8" t="s">
        <v>36</v>
      </c>
      <c r="D217" s="8">
        <v>10006</v>
      </c>
      <c r="E217" s="8" t="str">
        <f>VLOOKUP($D217,'Customer Details'!$A$1:$F$17,4,FALSE)</f>
        <v>Midland</v>
      </c>
      <c r="F217" s="8" t="s">
        <v>250</v>
      </c>
      <c r="G217" s="8">
        <v>3</v>
      </c>
      <c r="H217" s="2" t="str">
        <f>VLOOKUP($D217,'Customer Details'!$A$1:$F$17,MATCH('Order SUmmary'!H$2,'Customer Details'!$A$1:$F$1,0),0)</f>
        <v>Supreme Ind</v>
      </c>
      <c r="I217" s="2" t="str">
        <f>VLOOKUP($D217,'Customer Details'!$A$1:$F$17,4,0)</f>
        <v>Midland</v>
      </c>
      <c r="J217" s="2" t="str">
        <f>VLOOKUP($D217,'Customer Details'!$A$1:$F$17,6,0)</f>
        <v>79706</v>
      </c>
      <c r="K217" s="8" t="str">
        <f>VLOOKUP(VLOOKUP(D217,'Customer Details'!$A$1:$F$17,5,0),'Region INfo'!$A$1:$C$52,3,0)</f>
        <v>Western</v>
      </c>
      <c r="L217" s="8" t="str">
        <f>INDEX(Product_List,MATCH($F217,'Product List'!$B$1:$B$299,0),MATCH('Order SUmmary'!L$2,'Product List'!$A$1:$E$1,0))</f>
        <v>Avery 473</v>
      </c>
      <c r="M217" s="8">
        <f>INDEX(Product_List,MATCH($F217,'Product List'!$B$1:$B$299,0),MATCH('Order SUmmary'!M$2,'Product List'!$A$1:$E$1,0))</f>
        <v>4185</v>
      </c>
      <c r="N217" s="8">
        <f>INDEX(Product_List,MATCH($F217,'Product List'!$B$1:$B$299,0),MATCH('Order SUmmary'!N$2,'Product List'!$A$1:$E$1,0))</f>
        <v>1204</v>
      </c>
      <c r="O217" s="8" t="str">
        <f>INDEX(Product_List,MATCH($F217,'Product List'!$B$1:$B$299,0),MATCH('Order SUmmary'!O$2,'Product List'!$A$1:$E$1,0))</f>
        <v>Labels</v>
      </c>
      <c r="P217" s="12">
        <f>HLOOKUP(C217,'Commission Criteria'!$A$2:$I$4,3,FALSE)</f>
        <v>6</v>
      </c>
      <c r="Q217" s="8">
        <f t="shared" si="10"/>
        <v>3612</v>
      </c>
      <c r="R217" s="8">
        <f t="shared" si="11"/>
        <v>12555</v>
      </c>
      <c r="S217" s="36">
        <f>VLOOKUP(R217,'Commission Criteria'!$L$3:$M$11,2,TRUE)</f>
        <v>0.03</v>
      </c>
      <c r="T217" s="36">
        <f>IF(P217&lt;5,VLOOKUP(R217,'Commission Criteria'!$L$3:$M$11,2,1),VLOOKUP('Order SUmmary'!R217,'Commission Criteria'!$P$3:$Q$11,2,1))</f>
        <v>0.02</v>
      </c>
      <c r="U217" s="36">
        <f>VLOOKUP(R217,IF(P217&lt;5,'Commission Criteria'!$L$3:$M$11,'Commission Criteria'!$P$3:$Q$11),2,1)</f>
        <v>0.02</v>
      </c>
      <c r="V217" s="8" t="s">
        <v>35</v>
      </c>
      <c r="W217" s="36">
        <f t="shared" ca="1" si="12"/>
        <v>0.03</v>
      </c>
      <c r="X217" s="8" t="str">
        <f>_xlfn.XLOOKUP(F217,'Product List'!$B$1:$B$299,'Product List'!$A$1:$A$299)</f>
        <v>Avery 473</v>
      </c>
      <c r="Y217" s="8"/>
      <c r="Z217" s="8" t="str" cm="1">
        <f t="array" ref="Z217:AD217">_xlfn.XLOOKUP(D217,'Customer Details'!$A$1:$A$17,'Customer Details'!$B$1:$F$17,"No such customer",0,1)</f>
        <v>Supreme Ind</v>
      </c>
      <c r="AA217" s="8" t="str">
        <v>P.O. Box 1367</v>
      </c>
      <c r="AB217" s="8" t="str">
        <v>Midland</v>
      </c>
      <c r="AC217" s="8" t="str">
        <v>TX</v>
      </c>
      <c r="AD217" s="8" t="str">
        <v>79706</v>
      </c>
    </row>
    <row r="218" spans="1:30">
      <c r="A218" s="8" t="s">
        <v>336</v>
      </c>
      <c r="B218" s="19">
        <v>41507</v>
      </c>
      <c r="C218" s="8" t="s">
        <v>54</v>
      </c>
      <c r="D218" s="8">
        <v>10014</v>
      </c>
      <c r="E218" s="8" t="str">
        <f>VLOOKUP($D218,'Customer Details'!$A$1:$F$17,4,FALSE)</f>
        <v>Honolulu</v>
      </c>
      <c r="F218" s="8" t="s">
        <v>337</v>
      </c>
      <c r="G218" s="8">
        <v>1</v>
      </c>
      <c r="H218" s="2" t="str">
        <f>VLOOKUP($D218,'Customer Details'!$A$1:$F$17,MATCH('Order SUmmary'!H$2,'Customer Details'!$A$1:$F$1,0),0)</f>
        <v>Hindusthan National Glass &amp; Industries Ltd.</v>
      </c>
      <c r="I218" s="2" t="str">
        <f>VLOOKUP($D218,'Customer Details'!$A$1:$F$17,4,0)</f>
        <v>Honolulu</v>
      </c>
      <c r="J218" s="2" t="str">
        <f>VLOOKUP($D218,'Customer Details'!$A$1:$F$17,6,0)</f>
        <v>96825</v>
      </c>
      <c r="K218" s="8" t="str">
        <f>VLOOKUP(VLOOKUP(D218,'Customer Details'!$A$1:$F$17,5,0),'Region INfo'!$A$1:$C$52,3,0)</f>
        <v xml:space="preserve">Pacific   </v>
      </c>
      <c r="L218" s="8" t="str">
        <f>INDEX(Product_List,MATCH($F218,'Product List'!$B$1:$B$299,0),MATCH('Order SUmmary'!L$2,'Product List'!$A$1:$E$1,0))</f>
        <v>Avery 487</v>
      </c>
      <c r="M218" s="8">
        <f>INDEX(Product_List,MATCH($F218,'Product List'!$B$1:$B$299,0),MATCH('Order SUmmary'!M$2,'Product List'!$A$1:$E$1,0))</f>
        <v>2775</v>
      </c>
      <c r="N218" s="8">
        <f>INDEX(Product_List,MATCH($F218,'Product List'!$B$1:$B$299,0),MATCH('Order SUmmary'!N$2,'Product List'!$A$1:$E$1,0))</f>
        <v>1946</v>
      </c>
      <c r="O218" s="8" t="str">
        <f>INDEX(Product_List,MATCH($F218,'Product List'!$B$1:$B$299,0),MATCH('Order SUmmary'!O$2,'Product List'!$A$1:$E$1,0))</f>
        <v>Labels</v>
      </c>
      <c r="P218" s="12">
        <f>HLOOKUP(C218,'Commission Criteria'!$A$2:$I$4,3,FALSE)</f>
        <v>3</v>
      </c>
      <c r="Q218" s="8">
        <f t="shared" si="10"/>
        <v>1946</v>
      </c>
      <c r="R218" s="8">
        <f t="shared" si="11"/>
        <v>2775</v>
      </c>
      <c r="S218" s="36">
        <f>VLOOKUP(R218,'Commission Criteria'!$L$3:$M$11,2,TRUE)</f>
        <v>0.01</v>
      </c>
      <c r="T218" s="36">
        <f>IF(P218&lt;5,VLOOKUP(R218,'Commission Criteria'!$L$3:$M$11,2,1),VLOOKUP('Order SUmmary'!R218,'Commission Criteria'!$P$3:$Q$11,2,1))</f>
        <v>0.01</v>
      </c>
      <c r="U218" s="36">
        <f>VLOOKUP(R218,IF(P218&lt;5,'Commission Criteria'!$L$3:$M$11,'Commission Criteria'!$P$3:$Q$11),2,1)</f>
        <v>0.01</v>
      </c>
      <c r="V218" s="8" t="s">
        <v>50</v>
      </c>
      <c r="W218" s="36">
        <f t="shared" ca="1" si="12"/>
        <v>0.05</v>
      </c>
      <c r="X218" s="8" t="str">
        <f>_xlfn.XLOOKUP(F218,'Product List'!$B$1:$B$299,'Product List'!$A$1:$A$299)</f>
        <v>Avery 487</v>
      </c>
      <c r="Y218" s="8"/>
      <c r="Z218" s="8" t="str" cm="1">
        <f t="array" ref="Z218:AD218">_xlfn.XLOOKUP(D218,'Customer Details'!$A$1:$A$17,'Customer Details'!$B$1:$F$17,"No such customer",0,1)</f>
        <v>Hindusthan National Glass &amp; Industries Ltd.</v>
      </c>
      <c r="AA218" s="8" t="str">
        <v>11 Cathy St.</v>
      </c>
      <c r="AB218" s="8" t="str">
        <v>Honolulu</v>
      </c>
      <c r="AC218" s="8" t="str">
        <v>HI</v>
      </c>
      <c r="AD218" s="8" t="str">
        <v>96825</v>
      </c>
    </row>
    <row r="219" spans="1:30">
      <c r="A219" s="8" t="s">
        <v>338</v>
      </c>
      <c r="B219" s="19">
        <v>41507</v>
      </c>
      <c r="C219" s="8" t="s">
        <v>66</v>
      </c>
      <c r="D219" s="8">
        <v>10001</v>
      </c>
      <c r="E219" s="8" t="str">
        <f>VLOOKUP($D219,'Customer Details'!$A$1:$F$17,4,FALSE)</f>
        <v>New York</v>
      </c>
      <c r="F219" s="8" t="s">
        <v>339</v>
      </c>
      <c r="G219" s="8">
        <v>1</v>
      </c>
      <c r="H219" s="2" t="str">
        <f>VLOOKUP($D219,'Customer Details'!$A$1:$F$17,MATCH('Order SUmmary'!H$2,'Customer Details'!$A$1:$F$1,0),0)</f>
        <v>Chambal Fertilisers and Chemicals Ltd.</v>
      </c>
      <c r="I219" s="2" t="str">
        <f>VLOOKUP($D219,'Customer Details'!$A$1:$F$17,4,0)</f>
        <v>New York</v>
      </c>
      <c r="J219" s="2" t="str">
        <f>VLOOKUP($D219,'Customer Details'!$A$1:$F$17,6,0)</f>
        <v>10025</v>
      </c>
      <c r="K219" s="8" t="str">
        <f>VLOOKUP(VLOOKUP(D219,'Customer Details'!$A$1:$F$17,5,0),'Region INfo'!$A$1:$C$52,3,0)</f>
        <v xml:space="preserve">Northern </v>
      </c>
      <c r="L219" s="8" t="str">
        <f>INDEX(Product_List,MATCH($F219,'Product List'!$B$1:$B$299,0),MATCH('Order SUmmary'!L$2,'Product List'!$A$1:$E$1,0))</f>
        <v>Avery 489</v>
      </c>
      <c r="M219" s="8">
        <f>INDEX(Product_List,MATCH($F219,'Product List'!$B$1:$B$299,0),MATCH('Order SUmmary'!M$2,'Product List'!$A$1:$E$1,0))</f>
        <v>4605</v>
      </c>
      <c r="N219" s="8">
        <f>INDEX(Product_List,MATCH($F219,'Product List'!$B$1:$B$299,0),MATCH('Order SUmmary'!N$2,'Product List'!$A$1:$E$1,0))</f>
        <v>1834</v>
      </c>
      <c r="O219" s="8" t="str">
        <f>INDEX(Product_List,MATCH($F219,'Product List'!$B$1:$B$299,0),MATCH('Order SUmmary'!O$2,'Product List'!$A$1:$E$1,0))</f>
        <v>Labels</v>
      </c>
      <c r="P219" s="12">
        <f>HLOOKUP(C219,'Commission Criteria'!$A$2:$I$4,3,FALSE)</f>
        <v>5</v>
      </c>
      <c r="Q219" s="8">
        <f t="shared" si="10"/>
        <v>1834</v>
      </c>
      <c r="R219" s="8">
        <f t="shared" si="11"/>
        <v>4605</v>
      </c>
      <c r="S219" s="36">
        <f>VLOOKUP(R219,'Commission Criteria'!$L$3:$M$11,2,TRUE)</f>
        <v>0.01</v>
      </c>
      <c r="T219" s="36">
        <f>IF(P219&lt;5,VLOOKUP(R219,'Commission Criteria'!$L$3:$M$11,2,1),VLOOKUP('Order SUmmary'!R219,'Commission Criteria'!$P$3:$Q$11,2,1))</f>
        <v>0.02</v>
      </c>
      <c r="U219" s="36">
        <f>VLOOKUP(R219,IF(P219&lt;5,'Commission Criteria'!$L$3:$M$11,'Commission Criteria'!$P$3:$Q$11),2,1)</f>
        <v>0.02</v>
      </c>
      <c r="V219" s="8" t="s">
        <v>32</v>
      </c>
      <c r="W219" s="36">
        <f t="shared" ca="1" si="12"/>
        <v>0.01</v>
      </c>
      <c r="X219" s="8" t="str">
        <f>_xlfn.XLOOKUP(F219,'Product List'!$B$1:$B$299,'Product List'!$A$1:$A$299)</f>
        <v>Avery 489</v>
      </c>
      <c r="Y219" s="8"/>
      <c r="Z219" s="8" t="str" cm="1">
        <f t="array" ref="Z219:AD219">_xlfn.XLOOKUP(D219,'Customer Details'!$A$1:$A$17,'Customer Details'!$B$1:$F$17,"No such customer",0,1)</f>
        <v>Chambal Fertilisers and Chemicals Ltd.</v>
      </c>
      <c r="AA219" s="8" t="str">
        <v>4951 Indiana Ave.</v>
      </c>
      <c r="AB219" s="8" t="str">
        <v>New York</v>
      </c>
      <c r="AC219" s="8" t="str">
        <v>NY</v>
      </c>
      <c r="AD219" s="8" t="str">
        <v>10025</v>
      </c>
    </row>
    <row r="220" spans="1:30">
      <c r="A220" s="8" t="s">
        <v>336</v>
      </c>
      <c r="B220" s="19">
        <v>41507</v>
      </c>
      <c r="C220" s="8" t="s">
        <v>36</v>
      </c>
      <c r="D220" s="8">
        <v>10009</v>
      </c>
      <c r="E220" s="8" t="str">
        <f>VLOOKUP($D220,'Customer Details'!$A$1:$F$17,4,FALSE)</f>
        <v>Salt Lake City</v>
      </c>
      <c r="F220" s="8" t="s">
        <v>339</v>
      </c>
      <c r="G220" s="8">
        <v>1</v>
      </c>
      <c r="H220" s="2" t="str">
        <f>VLOOKUP($D220,'Customer Details'!$A$1:$F$17,MATCH('Order SUmmary'!H$2,'Customer Details'!$A$1:$F$1,0),0)</f>
        <v>Godfrey Philips India Ltd.</v>
      </c>
      <c r="I220" s="2" t="str">
        <f>VLOOKUP($D220,'Customer Details'!$A$1:$F$17,4,0)</f>
        <v>Salt Lake City</v>
      </c>
      <c r="J220" s="2" t="str">
        <f>VLOOKUP($D220,'Customer Details'!$A$1:$F$17,6,0)</f>
        <v>84118</v>
      </c>
      <c r="K220" s="8" t="str">
        <f>VLOOKUP(VLOOKUP(D220,'Customer Details'!$A$1:$F$17,5,0),'Region INfo'!$A$1:$C$52,3,0)</f>
        <v xml:space="preserve">Pacific   </v>
      </c>
      <c r="L220" s="8" t="str">
        <f>INDEX(Product_List,MATCH($F220,'Product List'!$B$1:$B$299,0),MATCH('Order SUmmary'!L$2,'Product List'!$A$1:$E$1,0))</f>
        <v>Avery 489</v>
      </c>
      <c r="M220" s="8">
        <f>INDEX(Product_List,MATCH($F220,'Product List'!$B$1:$B$299,0),MATCH('Order SUmmary'!M$2,'Product List'!$A$1:$E$1,0))</f>
        <v>4605</v>
      </c>
      <c r="N220" s="8">
        <f>INDEX(Product_List,MATCH($F220,'Product List'!$B$1:$B$299,0),MATCH('Order SUmmary'!N$2,'Product List'!$A$1:$E$1,0))</f>
        <v>1834</v>
      </c>
      <c r="O220" s="8" t="str">
        <f>INDEX(Product_List,MATCH($F220,'Product List'!$B$1:$B$299,0),MATCH('Order SUmmary'!O$2,'Product List'!$A$1:$E$1,0))</f>
        <v>Labels</v>
      </c>
      <c r="P220" s="12">
        <f>HLOOKUP(C220,'Commission Criteria'!$A$2:$I$4,3,FALSE)</f>
        <v>6</v>
      </c>
      <c r="Q220" s="8">
        <f t="shared" si="10"/>
        <v>1834</v>
      </c>
      <c r="R220" s="8">
        <f t="shared" si="11"/>
        <v>4605</v>
      </c>
      <c r="S220" s="36">
        <f>VLOOKUP(R220,'Commission Criteria'!$L$3:$M$11,2,TRUE)</f>
        <v>0.01</v>
      </c>
      <c r="T220" s="36">
        <f>IF(P220&lt;5,VLOOKUP(R220,'Commission Criteria'!$L$3:$M$11,2,1),VLOOKUP('Order SUmmary'!R220,'Commission Criteria'!$P$3:$Q$11,2,1))</f>
        <v>0.02</v>
      </c>
      <c r="U220" s="36">
        <f>VLOOKUP(R220,IF(P220&lt;5,'Commission Criteria'!$L$3:$M$11,'Commission Criteria'!$P$3:$Q$11),2,1)</f>
        <v>0.02</v>
      </c>
      <c r="V220" s="8" t="s">
        <v>40</v>
      </c>
      <c r="W220" s="36">
        <f t="shared" ca="1" si="12"/>
        <v>0.03</v>
      </c>
      <c r="X220" s="8" t="str">
        <f>_xlfn.XLOOKUP(F220,'Product List'!$B$1:$B$299,'Product List'!$A$1:$A$299)</f>
        <v>Avery 489</v>
      </c>
      <c r="Y220" s="8"/>
      <c r="Z220" s="8" t="str" cm="1">
        <f t="array" ref="Z220:AD220">_xlfn.XLOOKUP(D220,'Customer Details'!$A$1:$A$17,'Customer Details'!$B$1:$F$17,"No such customer",0,1)</f>
        <v>Godfrey Philips India Ltd.</v>
      </c>
      <c r="AA220" s="8" t="str">
        <v>20501 Ania Ave #2</v>
      </c>
      <c r="AB220" s="8" t="str">
        <v>Salt Lake City</v>
      </c>
      <c r="AC220" s="8" t="str">
        <v>UT</v>
      </c>
      <c r="AD220" s="8" t="str">
        <v>84118</v>
      </c>
    </row>
    <row r="221" spans="1:30">
      <c r="A221" s="8" t="s">
        <v>338</v>
      </c>
      <c r="B221" s="19">
        <v>41507</v>
      </c>
      <c r="C221" s="8" t="s">
        <v>54</v>
      </c>
      <c r="D221" s="8">
        <v>10015</v>
      </c>
      <c r="E221" s="8" t="str">
        <f>VLOOKUP($D221,'Customer Details'!$A$1:$F$17,4,FALSE)</f>
        <v>South Windsor</v>
      </c>
      <c r="F221" s="8" t="s">
        <v>42</v>
      </c>
      <c r="G221" s="8">
        <v>2</v>
      </c>
      <c r="H221" s="2" t="str">
        <f>VLOOKUP($D221,'Customer Details'!$A$1:$F$17,MATCH('Order SUmmary'!H$2,'Customer Details'!$A$1:$F$1,0),0)</f>
        <v>Punj Lloyd Ltd.</v>
      </c>
      <c r="I221" s="2" t="str">
        <f>VLOOKUP($D221,'Customer Details'!$A$1:$F$17,4,0)</f>
        <v>South Windsor</v>
      </c>
      <c r="J221" s="2" t="str">
        <f>VLOOKUP($D221,'Customer Details'!$A$1:$F$17,6,0)</f>
        <v>06074</v>
      </c>
      <c r="K221" s="8" t="str">
        <f>VLOOKUP(VLOOKUP(D221,'Customer Details'!$A$1:$F$17,5,0),'Region INfo'!$A$1:$C$52,3,0)</f>
        <v xml:space="preserve">Northern </v>
      </c>
      <c r="L221" s="8" t="str">
        <f>INDEX(Product_List,MATCH($F221,'Product List'!$B$1:$B$299,0),MATCH('Order SUmmary'!L$2,'Product List'!$A$1:$E$1,0))</f>
        <v>Staple magnet</v>
      </c>
      <c r="M221" s="8">
        <f>INDEX(Product_List,MATCH($F221,'Product List'!$B$1:$B$299,0),MATCH('Order SUmmary'!M$2,'Product List'!$A$1:$E$1,0))</f>
        <v>3993</v>
      </c>
      <c r="N221" s="8">
        <f>INDEX(Product_List,MATCH($F221,'Product List'!$B$1:$B$299,0),MATCH('Order SUmmary'!N$2,'Product List'!$A$1:$E$1,0))</f>
        <v>1338</v>
      </c>
      <c r="O221" s="8" t="str">
        <f>INDEX(Product_List,MATCH($F221,'Product List'!$B$1:$B$299,0),MATCH('Order SUmmary'!O$2,'Product List'!$A$1:$E$1,0))</f>
        <v>Storage</v>
      </c>
      <c r="P221" s="12">
        <f>HLOOKUP(C221,'Commission Criteria'!$A$2:$I$4,3,FALSE)</f>
        <v>3</v>
      </c>
      <c r="Q221" s="8">
        <f t="shared" si="10"/>
        <v>2676</v>
      </c>
      <c r="R221" s="8">
        <f t="shared" si="11"/>
        <v>7986</v>
      </c>
      <c r="S221" s="36">
        <f>VLOOKUP(R221,'Commission Criteria'!$L$3:$M$11,2,TRUE)</f>
        <v>0.03</v>
      </c>
      <c r="T221" s="36">
        <f>IF(P221&lt;5,VLOOKUP(R221,'Commission Criteria'!$L$3:$M$11,2,1),VLOOKUP('Order SUmmary'!R221,'Commission Criteria'!$P$3:$Q$11,2,1))</f>
        <v>0.03</v>
      </c>
      <c r="U221" s="36">
        <f>VLOOKUP(R221,IF(P221&lt;5,'Commission Criteria'!$L$3:$M$11,'Commission Criteria'!$P$3:$Q$11),2,1)</f>
        <v>0.03</v>
      </c>
      <c r="V221" s="8" t="s">
        <v>32</v>
      </c>
      <c r="W221" s="36">
        <f t="shared" ca="1" si="12"/>
        <v>0.02</v>
      </c>
      <c r="X221" s="8" t="str">
        <f>_xlfn.XLOOKUP(F221,'Product List'!$B$1:$B$299,'Product List'!$A$1:$A$299)</f>
        <v>Staple magnet</v>
      </c>
      <c r="Y221" s="8"/>
      <c r="Z221" s="8" t="str" cm="1">
        <f t="array" ref="Z221:AD221">_xlfn.XLOOKUP(D221,'Customer Details'!$A$1:$A$17,'Customer Details'!$B$1:$F$17,"No such customer",0,1)</f>
        <v>Punj Lloyd Ltd.</v>
      </c>
      <c r="AA221" s="8" t="str">
        <v>Box 3263</v>
      </c>
      <c r="AB221" s="8" t="str">
        <v>South Windsor</v>
      </c>
      <c r="AC221" s="8" t="str">
        <v>CT</v>
      </c>
      <c r="AD221" s="8" t="str">
        <v>06074</v>
      </c>
    </row>
    <row r="222" spans="1:30">
      <c r="A222" s="8" t="s">
        <v>340</v>
      </c>
      <c r="B222" s="19">
        <v>41508</v>
      </c>
      <c r="C222" s="8" t="s">
        <v>44</v>
      </c>
      <c r="D222" s="8">
        <v>10006</v>
      </c>
      <c r="E222" s="8" t="str">
        <f>VLOOKUP($D222,'Customer Details'!$A$1:$F$17,4,FALSE)</f>
        <v>Midland</v>
      </c>
      <c r="F222" s="8" t="s">
        <v>231</v>
      </c>
      <c r="G222" s="8">
        <v>1</v>
      </c>
      <c r="H222" s="2" t="str">
        <f>VLOOKUP($D222,'Customer Details'!$A$1:$F$17,MATCH('Order SUmmary'!H$2,'Customer Details'!$A$1:$F$1,0),0)</f>
        <v>Supreme Ind</v>
      </c>
      <c r="I222" s="2" t="str">
        <f>VLOOKUP($D222,'Customer Details'!$A$1:$F$17,4,0)</f>
        <v>Midland</v>
      </c>
      <c r="J222" s="2" t="str">
        <f>VLOOKUP($D222,'Customer Details'!$A$1:$F$17,6,0)</f>
        <v>79706</v>
      </c>
      <c r="K222" s="8" t="str">
        <f>VLOOKUP(VLOOKUP(D222,'Customer Details'!$A$1:$F$17,5,0),'Region INfo'!$A$1:$C$52,3,0)</f>
        <v>Western</v>
      </c>
      <c r="L222" s="8" t="str">
        <f>INDEX(Product_List,MATCH($F222,'Product List'!$B$1:$B$299,0),MATCH('Order SUmmary'!L$2,'Product List'!$A$1:$E$1,0))</f>
        <v>Newell 350</v>
      </c>
      <c r="M222" s="8">
        <f>INDEX(Product_List,MATCH($F222,'Product List'!$B$1:$B$299,0),MATCH('Order SUmmary'!M$2,'Product List'!$A$1:$E$1,0))</f>
        <v>2912</v>
      </c>
      <c r="N222" s="8">
        <f>INDEX(Product_List,MATCH($F222,'Product List'!$B$1:$B$299,0),MATCH('Order SUmmary'!N$2,'Product List'!$A$1:$E$1,0))</f>
        <v>2328</v>
      </c>
      <c r="O222" s="8" t="str">
        <f>INDEX(Product_List,MATCH($F222,'Product List'!$B$1:$B$299,0),MATCH('Order SUmmary'!O$2,'Product List'!$A$1:$E$1,0))</f>
        <v>Art</v>
      </c>
      <c r="P222" s="12">
        <f>HLOOKUP(C222,'Commission Criteria'!$A$2:$I$4,3,FALSE)</f>
        <v>4</v>
      </c>
      <c r="Q222" s="8">
        <f t="shared" si="10"/>
        <v>2328</v>
      </c>
      <c r="R222" s="8">
        <f t="shared" si="11"/>
        <v>2912</v>
      </c>
      <c r="S222" s="36">
        <f>VLOOKUP(R222,'Commission Criteria'!$L$3:$M$11,2,TRUE)</f>
        <v>0.01</v>
      </c>
      <c r="T222" s="36">
        <f>IF(P222&lt;5,VLOOKUP(R222,'Commission Criteria'!$L$3:$M$11,2,1),VLOOKUP('Order SUmmary'!R222,'Commission Criteria'!$P$3:$Q$11,2,1))</f>
        <v>0.01</v>
      </c>
      <c r="U222" s="36">
        <f>VLOOKUP(R222,IF(P222&lt;5,'Commission Criteria'!$L$3:$M$11,'Commission Criteria'!$P$3:$Q$11),2,1)</f>
        <v>0.01</v>
      </c>
      <c r="V222" s="8" t="s">
        <v>35</v>
      </c>
      <c r="W222" s="36">
        <f t="shared" ca="1" si="12"/>
        <v>0.01</v>
      </c>
      <c r="X222" s="8" t="str">
        <f>_xlfn.XLOOKUP(F222,'Product List'!$B$1:$B$299,'Product List'!$A$1:$A$299)</f>
        <v>Newell 350</v>
      </c>
      <c r="Y222" s="8"/>
      <c r="Z222" s="8" t="str" cm="1">
        <f t="array" ref="Z222:AD222">_xlfn.XLOOKUP(D222,'Customer Details'!$A$1:$A$17,'Customer Details'!$B$1:$F$17,"No such customer",0,1)</f>
        <v>Supreme Ind</v>
      </c>
      <c r="AA222" s="8" t="str">
        <v>P.O. Box 1367</v>
      </c>
      <c r="AB222" s="8" t="str">
        <v>Midland</v>
      </c>
      <c r="AC222" s="8" t="str">
        <v>TX</v>
      </c>
      <c r="AD222" s="8" t="str">
        <v>79706</v>
      </c>
    </row>
    <row r="223" spans="1:30">
      <c r="A223" s="8" t="s">
        <v>340</v>
      </c>
      <c r="B223" s="19">
        <v>41508</v>
      </c>
      <c r="C223" s="8" t="s">
        <v>54</v>
      </c>
      <c r="D223" s="8">
        <v>10008</v>
      </c>
      <c r="E223" s="8" t="str">
        <f>VLOOKUP($D223,'Customer Details'!$A$1:$F$17,4,FALSE)</f>
        <v>Chestnut Ridge</v>
      </c>
      <c r="F223" s="8" t="s">
        <v>341</v>
      </c>
      <c r="G223" s="8">
        <v>3</v>
      </c>
      <c r="H223" s="2" t="str">
        <f>VLOOKUP($D223,'Customer Details'!$A$1:$F$17,MATCH('Order SUmmary'!H$2,'Customer Details'!$A$1:$F$1,0),0)</f>
        <v>Reliance Industries Limited</v>
      </c>
      <c r="I223" s="2" t="str">
        <f>VLOOKUP($D223,'Customer Details'!$A$1:$F$17,4,0)</f>
        <v>Chestnut Ridge</v>
      </c>
      <c r="J223" s="2" t="str">
        <f>VLOOKUP($D223,'Customer Details'!$A$1:$F$17,6,0)</f>
        <v>10977</v>
      </c>
      <c r="K223" s="8" t="str">
        <f>VLOOKUP(VLOOKUP(D223,'Customer Details'!$A$1:$F$17,5,0),'Region INfo'!$A$1:$C$52,3,0)</f>
        <v xml:space="preserve">Northern </v>
      </c>
      <c r="L223" s="8" t="str">
        <f>INDEX(Product_List,MATCH($F223,'Product List'!$B$1:$B$299,0),MATCH('Order SUmmary'!L$2,'Product List'!$A$1:$E$1,0))</f>
        <v>Newell 342</v>
      </c>
      <c r="M223" s="8">
        <f>INDEX(Product_List,MATCH($F223,'Product List'!$B$1:$B$299,0),MATCH('Order SUmmary'!M$2,'Product List'!$A$1:$E$1,0))</f>
        <v>4310</v>
      </c>
      <c r="N223" s="8">
        <f>INDEX(Product_List,MATCH($F223,'Product List'!$B$1:$B$299,0),MATCH('Order SUmmary'!N$2,'Product List'!$A$1:$E$1,0))</f>
        <v>2350</v>
      </c>
      <c r="O223" s="8" t="str">
        <f>INDEX(Product_List,MATCH($F223,'Product List'!$B$1:$B$299,0),MATCH('Order SUmmary'!O$2,'Product List'!$A$1:$E$1,0))</f>
        <v>Art</v>
      </c>
      <c r="P223" s="12">
        <f>HLOOKUP(C223,'Commission Criteria'!$A$2:$I$4,3,FALSE)</f>
        <v>3</v>
      </c>
      <c r="Q223" s="8">
        <f t="shared" si="10"/>
        <v>7050</v>
      </c>
      <c r="R223" s="8">
        <f t="shared" si="11"/>
        <v>12930</v>
      </c>
      <c r="S223" s="36">
        <f>VLOOKUP(R223,'Commission Criteria'!$L$3:$M$11,2,TRUE)</f>
        <v>0.03</v>
      </c>
      <c r="T223" s="36">
        <f>IF(P223&lt;5,VLOOKUP(R223,'Commission Criteria'!$L$3:$M$11,2,1),VLOOKUP('Order SUmmary'!R223,'Commission Criteria'!$P$3:$Q$11,2,1))</f>
        <v>0.03</v>
      </c>
      <c r="U223" s="36">
        <f>VLOOKUP(R223,IF(P223&lt;5,'Commission Criteria'!$L$3:$M$11,'Commission Criteria'!$P$3:$Q$11),2,1)</f>
        <v>0.03</v>
      </c>
      <c r="V223" s="8" t="s">
        <v>50</v>
      </c>
      <c r="W223" s="36">
        <f t="shared" ca="1" si="12"/>
        <v>0.01</v>
      </c>
      <c r="X223" s="8" t="str">
        <f>_xlfn.XLOOKUP(F223,'Product List'!$B$1:$B$299,'Product List'!$A$1:$A$299)</f>
        <v>Newell 342</v>
      </c>
      <c r="Y223" s="8"/>
      <c r="Z223" s="8" t="str" cm="1">
        <f t="array" ref="Z223:AD223">_xlfn.XLOOKUP(D223,'Customer Details'!$A$1:$A$17,'Customer Details'!$B$1:$F$17,"No such customer",0,1)</f>
        <v>Reliance Industries Limited</v>
      </c>
      <c r="AA223" s="8" t="str">
        <v>12020 Shamrock Rd., Suite 333</v>
      </c>
      <c r="AB223" s="8" t="str">
        <v>Chestnut Ridge</v>
      </c>
      <c r="AC223" s="8" t="str">
        <v>NY</v>
      </c>
      <c r="AD223" s="8" t="str">
        <v>10977</v>
      </c>
    </row>
    <row r="224" spans="1:30">
      <c r="A224" s="8" t="s">
        <v>342</v>
      </c>
      <c r="B224" s="19">
        <v>41510</v>
      </c>
      <c r="C224" s="8" t="s">
        <v>54</v>
      </c>
      <c r="D224" s="8">
        <v>10015</v>
      </c>
      <c r="E224" s="8" t="str">
        <f>VLOOKUP($D224,'Customer Details'!$A$1:$F$17,4,FALSE)</f>
        <v>South Windsor</v>
      </c>
      <c r="F224" s="8" t="s">
        <v>343</v>
      </c>
      <c r="G224" s="8">
        <v>1</v>
      </c>
      <c r="H224" s="2" t="str">
        <f>VLOOKUP($D224,'Customer Details'!$A$1:$F$17,MATCH('Order SUmmary'!H$2,'Customer Details'!$A$1:$F$1,0),0)</f>
        <v>Punj Lloyd Ltd.</v>
      </c>
      <c r="I224" s="2" t="str">
        <f>VLOOKUP($D224,'Customer Details'!$A$1:$F$17,4,0)</f>
        <v>South Windsor</v>
      </c>
      <c r="J224" s="2" t="str">
        <f>VLOOKUP($D224,'Customer Details'!$A$1:$F$17,6,0)</f>
        <v>06074</v>
      </c>
      <c r="K224" s="8" t="str">
        <f>VLOOKUP(VLOOKUP(D224,'Customer Details'!$A$1:$F$17,5,0),'Region INfo'!$A$1:$C$52,3,0)</f>
        <v xml:space="preserve">Northern </v>
      </c>
      <c r="L224" s="8" t="str">
        <f>INDEX(Product_List,MATCH($F224,'Product List'!$B$1:$B$299,0),MATCH('Order SUmmary'!L$2,'Product List'!$A$1:$E$1,0))</f>
        <v>Newell 333</v>
      </c>
      <c r="M224" s="8">
        <f>INDEX(Product_List,MATCH($F224,'Product List'!$B$1:$B$299,0),MATCH('Order SUmmary'!M$2,'Product List'!$A$1:$E$1,0))</f>
        <v>3000</v>
      </c>
      <c r="N224" s="8">
        <f>INDEX(Product_List,MATCH($F224,'Product List'!$B$1:$B$299,0),MATCH('Order SUmmary'!N$2,'Product List'!$A$1:$E$1,0))</f>
        <v>2148</v>
      </c>
      <c r="O224" s="8" t="str">
        <f>INDEX(Product_List,MATCH($F224,'Product List'!$B$1:$B$299,0),MATCH('Order SUmmary'!O$2,'Product List'!$A$1:$E$1,0))</f>
        <v>Art</v>
      </c>
      <c r="P224" s="12">
        <f>HLOOKUP(C224,'Commission Criteria'!$A$2:$I$4,3,FALSE)</f>
        <v>3</v>
      </c>
      <c r="Q224" s="8">
        <f t="shared" si="10"/>
        <v>2148</v>
      </c>
      <c r="R224" s="8">
        <f t="shared" si="11"/>
        <v>3000</v>
      </c>
      <c r="S224" s="36">
        <f>VLOOKUP(R224,'Commission Criteria'!$L$3:$M$11,2,TRUE)</f>
        <v>0.01</v>
      </c>
      <c r="T224" s="36">
        <f>IF(P224&lt;5,VLOOKUP(R224,'Commission Criteria'!$L$3:$M$11,2,1),VLOOKUP('Order SUmmary'!R224,'Commission Criteria'!$P$3:$Q$11,2,1))</f>
        <v>0.01</v>
      </c>
      <c r="U224" s="36">
        <f>VLOOKUP(R224,IF(P224&lt;5,'Commission Criteria'!$L$3:$M$11,'Commission Criteria'!$P$3:$Q$11),2,1)</f>
        <v>0.01</v>
      </c>
      <c r="V224" s="8" t="s">
        <v>43</v>
      </c>
      <c r="W224" s="36">
        <f t="shared" ca="1" si="12"/>
        <v>0.01</v>
      </c>
      <c r="X224" s="8" t="str">
        <f>_xlfn.XLOOKUP(F224,'Product List'!$B$1:$B$299,'Product List'!$A$1:$A$299)</f>
        <v>Newell 333</v>
      </c>
      <c r="Y224" s="8"/>
      <c r="Z224" s="8" t="str" cm="1">
        <f t="array" ref="Z224:AD224">_xlfn.XLOOKUP(D224,'Customer Details'!$A$1:$A$17,'Customer Details'!$B$1:$F$17,"No such customer",0,1)</f>
        <v>Punj Lloyd Ltd.</v>
      </c>
      <c r="AA224" s="8" t="str">
        <v>Box 3263</v>
      </c>
      <c r="AB224" s="8" t="str">
        <v>South Windsor</v>
      </c>
      <c r="AC224" s="8" t="str">
        <v>CT</v>
      </c>
      <c r="AD224" s="8" t="str">
        <v>06074</v>
      </c>
    </row>
    <row r="225" spans="1:30">
      <c r="A225" s="8" t="s">
        <v>342</v>
      </c>
      <c r="B225" s="19">
        <v>41510</v>
      </c>
      <c r="C225" s="8" t="s">
        <v>33</v>
      </c>
      <c r="D225" s="8">
        <v>10002</v>
      </c>
      <c r="E225" s="8" t="str">
        <f>VLOOKUP($D225,'Customer Details'!$A$1:$F$17,4,FALSE)</f>
        <v>Omaha</v>
      </c>
      <c r="F225" s="8" t="s">
        <v>284</v>
      </c>
      <c r="G225" s="8">
        <v>2</v>
      </c>
      <c r="H225" s="2" t="str">
        <f>VLOOKUP($D225,'Customer Details'!$A$1:$F$17,MATCH('Order SUmmary'!H$2,'Customer Details'!$A$1:$F$1,0),0)</f>
        <v>Elder Pharmaceuticals</v>
      </c>
      <c r="I225" s="2" t="str">
        <f>VLOOKUP($D225,'Customer Details'!$A$1:$F$17,4,0)</f>
        <v>Omaha</v>
      </c>
      <c r="J225" s="2" t="str">
        <f>VLOOKUP($D225,'Customer Details'!$A$1:$F$17,6,0)</f>
        <v>68127</v>
      </c>
      <c r="K225" s="8" t="str">
        <f>VLOOKUP(VLOOKUP(D225,'Customer Details'!$A$1:$F$17,5,0),'Region INfo'!$A$1:$C$52,3,0)</f>
        <v>Western</v>
      </c>
      <c r="L225" s="8" t="str">
        <f>INDEX(Product_List,MATCH($F225,'Product List'!$B$1:$B$299,0),MATCH('Order SUmmary'!L$2,'Product List'!$A$1:$E$1,0))</f>
        <v>Xerox 1986</v>
      </c>
      <c r="M225" s="8">
        <f>INDEX(Product_List,MATCH($F225,'Product List'!$B$1:$B$299,0),MATCH('Order SUmmary'!M$2,'Product List'!$A$1:$E$1,0))</f>
        <v>2889</v>
      </c>
      <c r="N225" s="8">
        <f>INDEX(Product_List,MATCH($F225,'Product List'!$B$1:$B$299,0),MATCH('Order SUmmary'!N$2,'Product List'!$A$1:$E$1,0))</f>
        <v>1384</v>
      </c>
      <c r="O225" s="8" t="str">
        <f>INDEX(Product_List,MATCH($F225,'Product List'!$B$1:$B$299,0),MATCH('Order SUmmary'!O$2,'Product List'!$A$1:$E$1,0))</f>
        <v>Paper</v>
      </c>
      <c r="P225" s="12">
        <f>HLOOKUP(C225,'Commission Criteria'!$A$2:$I$4,3,FALSE)</f>
        <v>1</v>
      </c>
      <c r="Q225" s="8">
        <f t="shared" si="10"/>
        <v>2768</v>
      </c>
      <c r="R225" s="8">
        <f t="shared" si="11"/>
        <v>5778</v>
      </c>
      <c r="S225" s="36">
        <f>VLOOKUP(R225,'Commission Criteria'!$L$3:$M$11,2,TRUE)</f>
        <v>0.03</v>
      </c>
      <c r="T225" s="36">
        <f>IF(P225&lt;5,VLOOKUP(R225,'Commission Criteria'!$L$3:$M$11,2,1),VLOOKUP('Order SUmmary'!R225,'Commission Criteria'!$P$3:$Q$11,2,1))</f>
        <v>0.03</v>
      </c>
      <c r="U225" s="36">
        <f>VLOOKUP(R225,IF(P225&lt;5,'Commission Criteria'!$L$3:$M$11,'Commission Criteria'!$P$3:$Q$11),2,1)</f>
        <v>0.03</v>
      </c>
      <c r="V225" s="8" t="s">
        <v>32</v>
      </c>
      <c r="W225" s="36">
        <f t="shared" ca="1" si="12"/>
        <v>0.02</v>
      </c>
      <c r="X225" s="8" t="str">
        <f>_xlfn.XLOOKUP(F225,'Product List'!$B$1:$B$299,'Product List'!$A$1:$A$299)</f>
        <v>Xerox 1986</v>
      </c>
      <c r="Y225" s="8"/>
      <c r="Z225" s="8" t="str" cm="1">
        <f t="array" ref="Z225:AD225">_xlfn.XLOOKUP(D225,'Customer Details'!$A$1:$A$17,'Customer Details'!$B$1:$F$17,"No such customer",0,1)</f>
        <v>Elder Pharmaceuticals</v>
      </c>
      <c r="AA225" s="8" t="str">
        <v>57 Neriba Cres</v>
      </c>
      <c r="AB225" s="8" t="str">
        <v>Omaha</v>
      </c>
      <c r="AC225" s="8" t="str">
        <v>NE</v>
      </c>
      <c r="AD225" s="8" t="str">
        <v>68127</v>
      </c>
    </row>
    <row r="226" spans="1:30">
      <c r="A226" s="8" t="s">
        <v>344</v>
      </c>
      <c r="B226" s="19">
        <v>41511</v>
      </c>
      <c r="C226" s="8" t="s">
        <v>27</v>
      </c>
      <c r="D226" s="8">
        <v>10003</v>
      </c>
      <c r="E226" s="8" t="str">
        <f>VLOOKUP($D226,'Customer Details'!$A$1:$F$17,4,FALSE)</f>
        <v>Miami</v>
      </c>
      <c r="F226" s="8" t="s">
        <v>345</v>
      </c>
      <c r="G226" s="8">
        <v>1</v>
      </c>
      <c r="H226" s="2" t="str">
        <f>VLOOKUP($D226,'Customer Details'!$A$1:$F$17,MATCH('Order SUmmary'!H$2,'Customer Details'!$A$1:$F$1,0),0)</f>
        <v>Honeywell Automation</v>
      </c>
      <c r="I226" s="2" t="str">
        <f>VLOOKUP($D226,'Customer Details'!$A$1:$F$17,4,0)</f>
        <v>Miami</v>
      </c>
      <c r="J226" s="2" t="str">
        <f>VLOOKUP($D226,'Customer Details'!$A$1:$F$17,6,0)</f>
        <v>33732</v>
      </c>
      <c r="K226" s="8" t="str">
        <f>VLOOKUP(VLOOKUP(D226,'Customer Details'!$A$1:$F$17,5,0),'Region INfo'!$A$1:$C$52,3,0)</f>
        <v>Southern</v>
      </c>
      <c r="L226" s="8" t="str">
        <f>INDEX(Product_List,MATCH($F226,'Product List'!$B$1:$B$299,0),MATCH('Order SUmmary'!L$2,'Product List'!$A$1:$E$1,0))</f>
        <v>Newell 340</v>
      </c>
      <c r="M226" s="8">
        <f>INDEX(Product_List,MATCH($F226,'Product List'!$B$1:$B$299,0),MATCH('Order SUmmary'!M$2,'Product List'!$A$1:$E$1,0))</f>
        <v>4239</v>
      </c>
      <c r="N226" s="8">
        <f>INDEX(Product_List,MATCH($F226,'Product List'!$B$1:$B$299,0),MATCH('Order SUmmary'!N$2,'Product List'!$A$1:$E$1,0))</f>
        <v>1749</v>
      </c>
      <c r="O226" s="8" t="str">
        <f>INDEX(Product_List,MATCH($F226,'Product List'!$B$1:$B$299,0),MATCH('Order SUmmary'!O$2,'Product List'!$A$1:$E$1,0))</f>
        <v>Art</v>
      </c>
      <c r="P226" s="12">
        <f>HLOOKUP(C226,'Commission Criteria'!$A$2:$I$4,3,FALSE)</f>
        <v>4</v>
      </c>
      <c r="Q226" s="8">
        <f t="shared" si="10"/>
        <v>1749</v>
      </c>
      <c r="R226" s="8">
        <f t="shared" si="11"/>
        <v>4239</v>
      </c>
      <c r="S226" s="36">
        <f>VLOOKUP(R226,'Commission Criteria'!$L$3:$M$11,2,TRUE)</f>
        <v>0.01</v>
      </c>
      <c r="T226" s="36">
        <f>IF(P226&lt;5,VLOOKUP(R226,'Commission Criteria'!$L$3:$M$11,2,1),VLOOKUP('Order SUmmary'!R226,'Commission Criteria'!$P$3:$Q$11,2,1))</f>
        <v>0.01</v>
      </c>
      <c r="U226" s="36">
        <f>VLOOKUP(R226,IF(P226&lt;5,'Commission Criteria'!$L$3:$M$11,'Commission Criteria'!$P$3:$Q$11),2,1)</f>
        <v>0.01</v>
      </c>
      <c r="V226" s="8" t="s">
        <v>50</v>
      </c>
      <c r="W226" s="36">
        <f t="shared" ca="1" si="12"/>
        <v>0.04</v>
      </c>
      <c r="X226" s="8" t="str">
        <f>_xlfn.XLOOKUP(F226,'Product List'!$B$1:$B$299,'Product List'!$A$1:$A$299)</f>
        <v>Newell 340</v>
      </c>
      <c r="Y226" s="8"/>
      <c r="Z226" s="8" t="str" cm="1">
        <f t="array" ref="Z226:AD226">_xlfn.XLOOKUP(D226,'Customer Details'!$A$1:$A$17,'Customer Details'!$B$1:$F$17,"No such customer",0,1)</f>
        <v>Honeywell Automation</v>
      </c>
      <c r="AA226" s="8" t="str">
        <v>1272 Harbor Road</v>
      </c>
      <c r="AB226" s="8" t="str">
        <v>Miami</v>
      </c>
      <c r="AC226" s="8" t="str">
        <v>FL</v>
      </c>
      <c r="AD226" s="8" t="str">
        <v>33732</v>
      </c>
    </row>
    <row r="227" spans="1:30">
      <c r="A227" s="8" t="s">
        <v>346</v>
      </c>
      <c r="B227" s="19">
        <v>41511</v>
      </c>
      <c r="C227" s="8" t="s">
        <v>54</v>
      </c>
      <c r="D227" s="8">
        <v>10011</v>
      </c>
      <c r="E227" s="8" t="str">
        <f>VLOOKUP($D227,'Customer Details'!$A$1:$F$17,4,FALSE)</f>
        <v>Olympia</v>
      </c>
      <c r="F227" s="8" t="s">
        <v>67</v>
      </c>
      <c r="G227" s="8">
        <v>1</v>
      </c>
      <c r="H227" s="2" t="str">
        <f>VLOOKUP($D227,'Customer Details'!$A$1:$F$17,MATCH('Order SUmmary'!H$2,'Customer Details'!$A$1:$F$1,0),0)</f>
        <v>Sonata Software</v>
      </c>
      <c r="I227" s="2" t="str">
        <f>VLOOKUP($D227,'Customer Details'!$A$1:$F$17,4,0)</f>
        <v>Olympia</v>
      </c>
      <c r="J227" s="2" t="str">
        <f>VLOOKUP($D227,'Customer Details'!$A$1:$F$17,6,0)</f>
        <v>98502</v>
      </c>
      <c r="K227" s="8" t="str">
        <f>VLOOKUP(VLOOKUP(D227,'Customer Details'!$A$1:$F$17,5,0),'Region INfo'!$A$1:$C$52,3,0)</f>
        <v xml:space="preserve">Pacific   </v>
      </c>
      <c r="L227" s="8" t="str">
        <f>INDEX(Product_List,MATCH($F227,'Product List'!$B$1:$B$299,0),MATCH('Order SUmmary'!L$2,'Product List'!$A$1:$E$1,0))</f>
        <v>Xerox 1927</v>
      </c>
      <c r="M227" s="8">
        <f>INDEX(Product_List,MATCH($F227,'Product List'!$B$1:$B$299,0),MATCH('Order SUmmary'!M$2,'Product List'!$A$1:$E$1,0))</f>
        <v>4392</v>
      </c>
      <c r="N227" s="8">
        <f>INDEX(Product_List,MATCH($F227,'Product List'!$B$1:$B$299,0),MATCH('Order SUmmary'!N$2,'Product List'!$A$1:$E$1,0))</f>
        <v>1542</v>
      </c>
      <c r="O227" s="8" t="str">
        <f>INDEX(Product_List,MATCH($F227,'Product List'!$B$1:$B$299,0),MATCH('Order SUmmary'!O$2,'Product List'!$A$1:$E$1,0))</f>
        <v>Paper</v>
      </c>
      <c r="P227" s="12">
        <f>HLOOKUP(C227,'Commission Criteria'!$A$2:$I$4,3,FALSE)</f>
        <v>3</v>
      </c>
      <c r="Q227" s="8">
        <f t="shared" si="10"/>
        <v>1542</v>
      </c>
      <c r="R227" s="8">
        <f t="shared" si="11"/>
        <v>4392</v>
      </c>
      <c r="S227" s="36">
        <f>VLOOKUP(R227,'Commission Criteria'!$L$3:$M$11,2,TRUE)</f>
        <v>0.01</v>
      </c>
      <c r="T227" s="36">
        <f>IF(P227&lt;5,VLOOKUP(R227,'Commission Criteria'!$L$3:$M$11,2,1),VLOOKUP('Order SUmmary'!R227,'Commission Criteria'!$P$3:$Q$11,2,1))</f>
        <v>0.01</v>
      </c>
      <c r="U227" s="36">
        <f>VLOOKUP(R227,IF(P227&lt;5,'Commission Criteria'!$L$3:$M$11,'Commission Criteria'!$P$3:$Q$11),2,1)</f>
        <v>0.01</v>
      </c>
      <c r="V227" s="8" t="s">
        <v>32</v>
      </c>
      <c r="W227" s="36">
        <f t="shared" ca="1" si="12"/>
        <v>0.01</v>
      </c>
      <c r="X227" s="8" t="str">
        <f>_xlfn.XLOOKUP(F227,'Product List'!$B$1:$B$299,'Product List'!$A$1:$A$299)</f>
        <v>Xerox 1927</v>
      </c>
      <c r="Y227" s="8"/>
      <c r="Z227" s="8" t="str" cm="1">
        <f t="array" ref="Z227:AD227">_xlfn.XLOOKUP(D227,'Customer Details'!$A$1:$A$17,'Customer Details'!$B$1:$F$17,"No such customer",0,1)</f>
        <v>Sonata Software</v>
      </c>
      <c r="AA227" s="8" t="str">
        <v>1331 Kimberly Dr.</v>
      </c>
      <c r="AB227" s="8" t="str">
        <v>Olympia</v>
      </c>
      <c r="AC227" s="8" t="str">
        <v>WA</v>
      </c>
      <c r="AD227" s="8" t="str">
        <v>98502</v>
      </c>
    </row>
    <row r="228" spans="1:30">
      <c r="A228" s="8" t="s">
        <v>344</v>
      </c>
      <c r="B228" s="19">
        <v>41511</v>
      </c>
      <c r="C228" s="8" t="s">
        <v>33</v>
      </c>
      <c r="D228" s="8">
        <v>10001</v>
      </c>
      <c r="E228" s="8" t="str">
        <f>VLOOKUP($D228,'Customer Details'!$A$1:$F$17,4,FALSE)</f>
        <v>New York</v>
      </c>
      <c r="F228" s="8" t="s">
        <v>347</v>
      </c>
      <c r="G228" s="8">
        <v>1</v>
      </c>
      <c r="H228" s="2" t="str">
        <f>VLOOKUP($D228,'Customer Details'!$A$1:$F$17,MATCH('Order SUmmary'!H$2,'Customer Details'!$A$1:$F$1,0),0)</f>
        <v>Chambal Fertilisers and Chemicals Ltd.</v>
      </c>
      <c r="I228" s="2" t="str">
        <f>VLOOKUP($D228,'Customer Details'!$A$1:$F$17,4,0)</f>
        <v>New York</v>
      </c>
      <c r="J228" s="2" t="str">
        <f>VLOOKUP($D228,'Customer Details'!$A$1:$F$17,6,0)</f>
        <v>10025</v>
      </c>
      <c r="K228" s="8" t="str">
        <f>VLOOKUP(VLOOKUP(D228,'Customer Details'!$A$1:$F$17,5,0),'Region INfo'!$A$1:$C$52,3,0)</f>
        <v xml:space="preserve">Northern </v>
      </c>
      <c r="L228" s="8" t="str">
        <f>INDEX(Product_List,MATCH($F228,'Product List'!$B$1:$B$299,0),MATCH('Order SUmmary'!L$2,'Product List'!$A$1:$E$1,0))</f>
        <v>Avery 511</v>
      </c>
      <c r="M228" s="8">
        <f>INDEX(Product_List,MATCH($F228,'Product List'!$B$1:$B$299,0),MATCH('Order SUmmary'!M$2,'Product List'!$A$1:$E$1,0))</f>
        <v>4706</v>
      </c>
      <c r="N228" s="8">
        <f>INDEX(Product_List,MATCH($F228,'Product List'!$B$1:$B$299,0),MATCH('Order SUmmary'!N$2,'Product List'!$A$1:$E$1,0))</f>
        <v>1714</v>
      </c>
      <c r="O228" s="8" t="str">
        <f>INDEX(Product_List,MATCH($F228,'Product List'!$B$1:$B$299,0),MATCH('Order SUmmary'!O$2,'Product List'!$A$1:$E$1,0))</f>
        <v>Labels</v>
      </c>
      <c r="P228" s="12">
        <f>HLOOKUP(C228,'Commission Criteria'!$A$2:$I$4,3,FALSE)</f>
        <v>1</v>
      </c>
      <c r="Q228" s="8">
        <f t="shared" si="10"/>
        <v>1714</v>
      </c>
      <c r="R228" s="8">
        <f t="shared" si="11"/>
        <v>4706</v>
      </c>
      <c r="S228" s="36">
        <f>VLOOKUP(R228,'Commission Criteria'!$L$3:$M$11,2,TRUE)</f>
        <v>0.01</v>
      </c>
      <c r="T228" s="36">
        <f>IF(P228&lt;5,VLOOKUP(R228,'Commission Criteria'!$L$3:$M$11,2,1),VLOOKUP('Order SUmmary'!R228,'Commission Criteria'!$P$3:$Q$11,2,1))</f>
        <v>0.01</v>
      </c>
      <c r="U228" s="36">
        <f>VLOOKUP(R228,IF(P228&lt;5,'Commission Criteria'!$L$3:$M$11,'Commission Criteria'!$P$3:$Q$11),2,1)</f>
        <v>0.01</v>
      </c>
      <c r="V228" s="8" t="s">
        <v>50</v>
      </c>
      <c r="W228" s="36">
        <f t="shared" ca="1" si="12"/>
        <v>0</v>
      </c>
      <c r="X228" s="8" t="str">
        <f>_xlfn.XLOOKUP(F228,'Product List'!$B$1:$B$299,'Product List'!$A$1:$A$299)</f>
        <v>Avery 511</v>
      </c>
      <c r="Y228" s="8"/>
      <c r="Z228" s="8" t="str" cm="1">
        <f t="array" ref="Z228:AD228">_xlfn.XLOOKUP(D228,'Customer Details'!$A$1:$A$17,'Customer Details'!$B$1:$F$17,"No such customer",0,1)</f>
        <v>Chambal Fertilisers and Chemicals Ltd.</v>
      </c>
      <c r="AA228" s="8" t="str">
        <v>4951 Indiana Ave.</v>
      </c>
      <c r="AB228" s="8" t="str">
        <v>New York</v>
      </c>
      <c r="AC228" s="8" t="str">
        <v>NY</v>
      </c>
      <c r="AD228" s="8" t="str">
        <v>10025</v>
      </c>
    </row>
    <row r="229" spans="1:30">
      <c r="A229" s="8" t="s">
        <v>344</v>
      </c>
      <c r="B229" s="19">
        <v>41511</v>
      </c>
      <c r="C229" s="8" t="s">
        <v>51</v>
      </c>
      <c r="D229" s="8">
        <v>10010</v>
      </c>
      <c r="E229" s="8" t="str">
        <f>VLOOKUP($D229,'Customer Details'!$A$1:$F$17,4,FALSE)</f>
        <v>Tracy</v>
      </c>
      <c r="F229" s="8" t="s">
        <v>348</v>
      </c>
      <c r="G229" s="8">
        <v>3</v>
      </c>
      <c r="H229" s="2" t="str">
        <f>VLOOKUP($D229,'Customer Details'!$A$1:$F$17,MATCH('Order SUmmary'!H$2,'Customer Details'!$A$1:$F$1,0),0)</f>
        <v>Suzlon Energy Ltd.</v>
      </c>
      <c r="I229" s="2" t="str">
        <f>VLOOKUP($D229,'Customer Details'!$A$1:$F$17,4,0)</f>
        <v>Tracy</v>
      </c>
      <c r="J229" s="2" t="str">
        <f>VLOOKUP($D229,'Customer Details'!$A$1:$F$17,6,0)</f>
        <v>95376</v>
      </c>
      <c r="K229" s="8" t="str">
        <f>VLOOKUP(VLOOKUP(D229,'Customer Details'!$A$1:$F$17,5,0),'Region INfo'!$A$1:$C$52,3,0)</f>
        <v xml:space="preserve">Pacific   </v>
      </c>
      <c r="L229" s="8" t="str">
        <f>INDEX(Product_List,MATCH($F229,'Product List'!$B$1:$B$299,0),MATCH('Order SUmmary'!L$2,'Product List'!$A$1:$E$1,0))</f>
        <v>Avery 512</v>
      </c>
      <c r="M229" s="8">
        <f>INDEX(Product_List,MATCH($F229,'Product List'!$B$1:$B$299,0),MATCH('Order SUmmary'!M$2,'Product List'!$A$1:$E$1,0))</f>
        <v>3507</v>
      </c>
      <c r="N229" s="8">
        <f>INDEX(Product_List,MATCH($F229,'Product List'!$B$1:$B$299,0),MATCH('Order SUmmary'!N$2,'Product List'!$A$1:$E$1,0))</f>
        <v>1643</v>
      </c>
      <c r="O229" s="8" t="str">
        <f>INDEX(Product_List,MATCH($F229,'Product List'!$B$1:$B$299,0),MATCH('Order SUmmary'!O$2,'Product List'!$A$1:$E$1,0))</f>
        <v>Labels</v>
      </c>
      <c r="P229" s="12">
        <f>HLOOKUP(C229,'Commission Criteria'!$A$2:$I$4,3,FALSE)</f>
        <v>10</v>
      </c>
      <c r="Q229" s="8">
        <f t="shared" si="10"/>
        <v>4929</v>
      </c>
      <c r="R229" s="8">
        <f t="shared" si="11"/>
        <v>10521</v>
      </c>
      <c r="S229" s="36">
        <f>VLOOKUP(R229,'Commission Criteria'!$L$3:$M$11,2,TRUE)</f>
        <v>0.03</v>
      </c>
      <c r="T229" s="36">
        <f>IF(P229&lt;5,VLOOKUP(R229,'Commission Criteria'!$L$3:$M$11,2,1),VLOOKUP('Order SUmmary'!R229,'Commission Criteria'!$P$3:$Q$11,2,1))</f>
        <v>0.02</v>
      </c>
      <c r="U229" s="36">
        <f>VLOOKUP(R229,IF(P229&lt;5,'Commission Criteria'!$L$3:$M$11,'Commission Criteria'!$P$3:$Q$11),2,1)</f>
        <v>0.02</v>
      </c>
      <c r="V229" s="8" t="s">
        <v>40</v>
      </c>
      <c r="W229" s="36">
        <f t="shared" ca="1" si="12"/>
        <v>0.01</v>
      </c>
      <c r="X229" s="8" t="str">
        <f>_xlfn.XLOOKUP(F229,'Product List'!$B$1:$B$299,'Product List'!$A$1:$A$299)</f>
        <v>Avery 512</v>
      </c>
      <c r="Y229" s="8"/>
      <c r="Z229" s="8" t="str" cm="1">
        <f t="array" ref="Z229:AD229">_xlfn.XLOOKUP(D229,'Customer Details'!$A$1:$A$17,'Customer Details'!$B$1:$F$17,"No such customer",0,1)</f>
        <v>Suzlon Energy Ltd.</v>
      </c>
      <c r="AA229" s="8" t="str">
        <v>501 Marsh Trail Circle</v>
      </c>
      <c r="AB229" s="8" t="str">
        <v>Tracy</v>
      </c>
      <c r="AC229" s="8" t="str">
        <v>CA</v>
      </c>
      <c r="AD229" s="8" t="str">
        <v>95376</v>
      </c>
    </row>
    <row r="230" spans="1:30">
      <c r="A230" s="8" t="s">
        <v>349</v>
      </c>
      <c r="B230" s="19">
        <v>41515</v>
      </c>
      <c r="C230" s="8" t="s">
        <v>46</v>
      </c>
      <c r="D230" s="8">
        <v>10012</v>
      </c>
      <c r="E230" s="8" t="str">
        <f>VLOOKUP($D230,'Customer Details'!$A$1:$F$17,4,FALSE)</f>
        <v>Santa Barbara</v>
      </c>
      <c r="F230" s="8" t="s">
        <v>151</v>
      </c>
      <c r="G230" s="8">
        <v>3</v>
      </c>
      <c r="H230" s="2" t="str">
        <f>VLOOKUP($D230,'Customer Details'!$A$1:$F$17,MATCH('Order SUmmary'!H$2,'Customer Details'!$A$1:$F$1,0),0)</f>
        <v>Dynamatic Technologies Ltd.</v>
      </c>
      <c r="I230" s="2" t="str">
        <f>VLOOKUP($D230,'Customer Details'!$A$1:$F$17,4,0)</f>
        <v>Santa Barbara</v>
      </c>
      <c r="J230" s="2" t="str">
        <f>VLOOKUP($D230,'Customer Details'!$A$1:$F$17,6,0)</f>
        <v>93110</v>
      </c>
      <c r="K230" s="8" t="str">
        <f>VLOOKUP(VLOOKUP(D230,'Customer Details'!$A$1:$F$17,5,0),'Region INfo'!$A$1:$C$52,3,0)</f>
        <v xml:space="preserve">Pacific   </v>
      </c>
      <c r="L230" s="8" t="str">
        <f>INDEX(Product_List,MATCH($F230,'Product List'!$B$1:$B$299,0),MATCH('Order SUmmary'!L$2,'Product List'!$A$1:$E$1,0))</f>
        <v>Newell 346</v>
      </c>
      <c r="M230" s="8">
        <f>INDEX(Product_List,MATCH($F230,'Product List'!$B$1:$B$299,0),MATCH('Order SUmmary'!M$2,'Product List'!$A$1:$E$1,0))</f>
        <v>3039</v>
      </c>
      <c r="N230" s="8">
        <f>INDEX(Product_List,MATCH($F230,'Product List'!$B$1:$B$299,0),MATCH('Order SUmmary'!N$2,'Product List'!$A$1:$E$1,0))</f>
        <v>2426</v>
      </c>
      <c r="O230" s="8" t="str">
        <f>INDEX(Product_List,MATCH($F230,'Product List'!$B$1:$B$299,0),MATCH('Order SUmmary'!O$2,'Product List'!$A$1:$E$1,0))</f>
        <v>Art</v>
      </c>
      <c r="P230" s="12">
        <f>HLOOKUP(C230,'Commission Criteria'!$A$2:$I$4,3,FALSE)</f>
        <v>8</v>
      </c>
      <c r="Q230" s="8">
        <f t="shared" si="10"/>
        <v>7278</v>
      </c>
      <c r="R230" s="8">
        <f t="shared" si="11"/>
        <v>9117</v>
      </c>
      <c r="S230" s="36">
        <f>VLOOKUP(R230,'Commission Criteria'!$L$3:$M$11,2,TRUE)</f>
        <v>0.03</v>
      </c>
      <c r="T230" s="36">
        <f>IF(P230&lt;5,VLOOKUP(R230,'Commission Criteria'!$L$3:$M$11,2,1),VLOOKUP('Order SUmmary'!R230,'Commission Criteria'!$P$3:$Q$11,2,1))</f>
        <v>0.02</v>
      </c>
      <c r="U230" s="36">
        <f>VLOOKUP(R230,IF(P230&lt;5,'Commission Criteria'!$L$3:$M$11,'Commission Criteria'!$P$3:$Q$11),2,1)</f>
        <v>0.02</v>
      </c>
      <c r="V230" s="8" t="s">
        <v>50</v>
      </c>
      <c r="W230" s="36">
        <f t="shared" ca="1" si="12"/>
        <v>0.05</v>
      </c>
      <c r="X230" s="8" t="str">
        <f>_xlfn.XLOOKUP(F230,'Product List'!$B$1:$B$299,'Product List'!$A$1:$A$299)</f>
        <v>Newell 346</v>
      </c>
      <c r="Y230" s="8"/>
      <c r="Z230" s="8" t="str" cm="1">
        <f t="array" ref="Z230:AD230">_xlfn.XLOOKUP(D230,'Customer Details'!$A$1:$A$17,'Customer Details'!$B$1:$F$17,"No such customer",0,1)</f>
        <v>Dynamatic Technologies Ltd.</v>
      </c>
      <c r="AA230" s="8" t="str">
        <v>402 Pinkster Lane</v>
      </c>
      <c r="AB230" s="8" t="str">
        <v>Santa Barbara</v>
      </c>
      <c r="AC230" s="8" t="str">
        <v>CA</v>
      </c>
      <c r="AD230" s="8" t="str">
        <v>93110</v>
      </c>
    </row>
    <row r="231" spans="1:30">
      <c r="A231" s="8" t="s">
        <v>350</v>
      </c>
      <c r="B231" s="19">
        <v>41517</v>
      </c>
      <c r="C231" s="8" t="s">
        <v>27</v>
      </c>
      <c r="D231" s="8">
        <v>10006</v>
      </c>
      <c r="E231" s="8" t="str">
        <f>VLOOKUP($D231,'Customer Details'!$A$1:$F$17,4,FALSE)</f>
        <v>Midland</v>
      </c>
      <c r="F231" s="8" t="s">
        <v>256</v>
      </c>
      <c r="G231" s="8">
        <v>1</v>
      </c>
      <c r="H231" s="2" t="str">
        <f>VLOOKUP($D231,'Customer Details'!$A$1:$F$17,MATCH('Order SUmmary'!H$2,'Customer Details'!$A$1:$F$1,0),0)</f>
        <v>Supreme Ind</v>
      </c>
      <c r="I231" s="2" t="str">
        <f>VLOOKUP($D231,'Customer Details'!$A$1:$F$17,4,0)</f>
        <v>Midland</v>
      </c>
      <c r="J231" s="2" t="str">
        <f>VLOOKUP($D231,'Customer Details'!$A$1:$F$17,6,0)</f>
        <v>79706</v>
      </c>
      <c r="K231" s="8" t="str">
        <f>VLOOKUP(VLOOKUP(D231,'Customer Details'!$A$1:$F$17,5,0),'Region INfo'!$A$1:$C$52,3,0)</f>
        <v>Western</v>
      </c>
      <c r="L231" s="8" t="str">
        <f>INDEX(Product_List,MATCH($F231,'Product List'!$B$1:$B$299,0),MATCH('Order SUmmary'!L$2,'Product List'!$A$1:$E$1,0))</f>
        <v>Newell 313</v>
      </c>
      <c r="M231" s="8">
        <f>INDEX(Product_List,MATCH($F231,'Product List'!$B$1:$B$299,0),MATCH('Order SUmmary'!M$2,'Product List'!$A$1:$E$1,0))</f>
        <v>2517</v>
      </c>
      <c r="N231" s="8">
        <f>INDEX(Product_List,MATCH($F231,'Product List'!$B$1:$B$299,0),MATCH('Order SUmmary'!N$2,'Product List'!$A$1:$E$1,0))</f>
        <v>2149</v>
      </c>
      <c r="O231" s="8" t="str">
        <f>INDEX(Product_List,MATCH($F231,'Product List'!$B$1:$B$299,0),MATCH('Order SUmmary'!O$2,'Product List'!$A$1:$E$1,0))</f>
        <v>Art</v>
      </c>
      <c r="P231" s="12">
        <f>HLOOKUP(C231,'Commission Criteria'!$A$2:$I$4,3,FALSE)</f>
        <v>4</v>
      </c>
      <c r="Q231" s="8">
        <f t="shared" si="10"/>
        <v>2149</v>
      </c>
      <c r="R231" s="8">
        <f t="shared" si="11"/>
        <v>2517</v>
      </c>
      <c r="S231" s="36">
        <f>VLOOKUP(R231,'Commission Criteria'!$L$3:$M$11,2,TRUE)</f>
        <v>0.01</v>
      </c>
      <c r="T231" s="36">
        <f>IF(P231&lt;5,VLOOKUP(R231,'Commission Criteria'!$L$3:$M$11,2,1),VLOOKUP('Order SUmmary'!R231,'Commission Criteria'!$P$3:$Q$11,2,1))</f>
        <v>0.01</v>
      </c>
      <c r="U231" s="36">
        <f>VLOOKUP(R231,IF(P231&lt;5,'Commission Criteria'!$L$3:$M$11,'Commission Criteria'!$P$3:$Q$11),2,1)</f>
        <v>0.01</v>
      </c>
      <c r="V231" s="8" t="s">
        <v>40</v>
      </c>
      <c r="W231" s="36">
        <f t="shared" ca="1" si="12"/>
        <v>0</v>
      </c>
      <c r="X231" s="8" t="str">
        <f>_xlfn.XLOOKUP(F231,'Product List'!$B$1:$B$299,'Product List'!$A$1:$A$299)</f>
        <v>Newell 313</v>
      </c>
      <c r="Y231" s="8"/>
      <c r="Z231" s="8" t="str" cm="1">
        <f t="array" ref="Z231:AD231">_xlfn.XLOOKUP(D231,'Customer Details'!$A$1:$A$17,'Customer Details'!$B$1:$F$17,"No such customer",0,1)</f>
        <v>Supreme Ind</v>
      </c>
      <c r="AA231" s="8" t="str">
        <v>P.O. Box 1367</v>
      </c>
      <c r="AB231" s="8" t="str">
        <v>Midland</v>
      </c>
      <c r="AC231" s="8" t="str">
        <v>TX</v>
      </c>
      <c r="AD231" s="8" t="str">
        <v>79706</v>
      </c>
    </row>
    <row r="232" spans="1:30">
      <c r="A232" s="8" t="s">
        <v>351</v>
      </c>
      <c r="B232" s="19">
        <v>41518</v>
      </c>
      <c r="C232" s="8" t="s">
        <v>51</v>
      </c>
      <c r="D232" s="8">
        <v>10012</v>
      </c>
      <c r="E232" s="8" t="str">
        <f>VLOOKUP($D232,'Customer Details'!$A$1:$F$17,4,FALSE)</f>
        <v>Santa Barbara</v>
      </c>
      <c r="F232" s="8" t="s">
        <v>352</v>
      </c>
      <c r="G232" s="8">
        <v>1</v>
      </c>
      <c r="H232" s="2" t="str">
        <f>VLOOKUP($D232,'Customer Details'!$A$1:$F$17,MATCH('Order SUmmary'!H$2,'Customer Details'!$A$1:$F$1,0),0)</f>
        <v>Dynamatic Technologies Ltd.</v>
      </c>
      <c r="I232" s="2" t="str">
        <f>VLOOKUP($D232,'Customer Details'!$A$1:$F$17,4,0)</f>
        <v>Santa Barbara</v>
      </c>
      <c r="J232" s="2" t="str">
        <f>VLOOKUP($D232,'Customer Details'!$A$1:$F$17,6,0)</f>
        <v>93110</v>
      </c>
      <c r="K232" s="8" t="str">
        <f>VLOOKUP(VLOOKUP(D232,'Customer Details'!$A$1:$F$17,5,0),'Region INfo'!$A$1:$C$52,3,0)</f>
        <v xml:space="preserve">Pacific   </v>
      </c>
      <c r="L232" s="8" t="str">
        <f>INDEX(Product_List,MATCH($F232,'Product List'!$B$1:$B$299,0),MATCH('Order SUmmary'!L$2,'Product List'!$A$1:$E$1,0))</f>
        <v>Avery 501</v>
      </c>
      <c r="M232" s="8">
        <f>INDEX(Product_List,MATCH($F232,'Product List'!$B$1:$B$299,0),MATCH('Order SUmmary'!M$2,'Product List'!$A$1:$E$1,0))</f>
        <v>3295</v>
      </c>
      <c r="N232" s="8">
        <f>INDEX(Product_List,MATCH($F232,'Product List'!$B$1:$B$299,0),MATCH('Order SUmmary'!N$2,'Product List'!$A$1:$E$1,0))</f>
        <v>1841</v>
      </c>
      <c r="O232" s="8" t="str">
        <f>INDEX(Product_List,MATCH($F232,'Product List'!$B$1:$B$299,0),MATCH('Order SUmmary'!O$2,'Product List'!$A$1:$E$1,0))</f>
        <v>Labels</v>
      </c>
      <c r="P232" s="12">
        <f>HLOOKUP(C232,'Commission Criteria'!$A$2:$I$4,3,FALSE)</f>
        <v>10</v>
      </c>
      <c r="Q232" s="8">
        <f t="shared" si="10"/>
        <v>1841</v>
      </c>
      <c r="R232" s="8">
        <f t="shared" si="11"/>
        <v>3295</v>
      </c>
      <c r="S232" s="36">
        <f>VLOOKUP(R232,'Commission Criteria'!$L$3:$M$11,2,TRUE)</f>
        <v>0.01</v>
      </c>
      <c r="T232" s="36">
        <f>IF(P232&lt;5,VLOOKUP(R232,'Commission Criteria'!$L$3:$M$11,2,1),VLOOKUP('Order SUmmary'!R232,'Commission Criteria'!$P$3:$Q$11,2,1))</f>
        <v>0.02</v>
      </c>
      <c r="U232" s="36">
        <f>VLOOKUP(R232,IF(P232&lt;5,'Commission Criteria'!$L$3:$M$11,'Commission Criteria'!$P$3:$Q$11),2,1)</f>
        <v>0.02</v>
      </c>
      <c r="V232" s="8" t="s">
        <v>40</v>
      </c>
      <c r="W232" s="36">
        <f t="shared" ca="1" si="12"/>
        <v>0.01</v>
      </c>
      <c r="X232" s="8" t="str">
        <f>_xlfn.XLOOKUP(F232,'Product List'!$B$1:$B$299,'Product List'!$A$1:$A$299)</f>
        <v>Avery 501</v>
      </c>
      <c r="Y232" s="8"/>
      <c r="Z232" s="8" t="str" cm="1">
        <f t="array" ref="Z232:AD232">_xlfn.XLOOKUP(D232,'Customer Details'!$A$1:$A$17,'Customer Details'!$B$1:$F$17,"No such customer",0,1)</f>
        <v>Dynamatic Technologies Ltd.</v>
      </c>
      <c r="AA232" s="8" t="str">
        <v>402 Pinkster Lane</v>
      </c>
      <c r="AB232" s="8" t="str">
        <v>Santa Barbara</v>
      </c>
      <c r="AC232" s="8" t="str">
        <v>CA</v>
      </c>
      <c r="AD232" s="8" t="str">
        <v>93110</v>
      </c>
    </row>
    <row r="233" spans="1:30">
      <c r="A233" s="8" t="s">
        <v>353</v>
      </c>
      <c r="B233" s="19">
        <v>41518</v>
      </c>
      <c r="C233" s="8" t="s">
        <v>66</v>
      </c>
      <c r="D233" s="8">
        <v>10009</v>
      </c>
      <c r="E233" s="8" t="str">
        <f>VLOOKUP($D233,'Customer Details'!$A$1:$F$17,4,FALSE)</f>
        <v>Salt Lake City</v>
      </c>
      <c r="F233" s="8" t="s">
        <v>182</v>
      </c>
      <c r="G233" s="8">
        <v>3</v>
      </c>
      <c r="H233" s="2" t="str">
        <f>VLOOKUP($D233,'Customer Details'!$A$1:$F$17,MATCH('Order SUmmary'!H$2,'Customer Details'!$A$1:$F$1,0),0)</f>
        <v>Godfrey Philips India Ltd.</v>
      </c>
      <c r="I233" s="2" t="str">
        <f>VLOOKUP($D233,'Customer Details'!$A$1:$F$17,4,0)</f>
        <v>Salt Lake City</v>
      </c>
      <c r="J233" s="2" t="str">
        <f>VLOOKUP($D233,'Customer Details'!$A$1:$F$17,6,0)</f>
        <v>84118</v>
      </c>
      <c r="K233" s="8" t="str">
        <f>VLOOKUP(VLOOKUP(D233,'Customer Details'!$A$1:$F$17,5,0),'Region INfo'!$A$1:$C$52,3,0)</f>
        <v xml:space="preserve">Pacific   </v>
      </c>
      <c r="L233" s="8" t="str">
        <f>INDEX(Product_List,MATCH($F233,'Product List'!$B$1:$B$299,0),MATCH('Order SUmmary'!L$2,'Product List'!$A$1:$E$1,0))</f>
        <v>Newell 351</v>
      </c>
      <c r="M233" s="8">
        <f>INDEX(Product_List,MATCH($F233,'Product List'!$B$1:$B$299,0),MATCH('Order SUmmary'!M$2,'Product List'!$A$1:$E$1,0))</f>
        <v>2850</v>
      </c>
      <c r="N233" s="8">
        <f>INDEX(Product_List,MATCH($F233,'Product List'!$B$1:$B$299,0),MATCH('Order SUmmary'!N$2,'Product List'!$A$1:$E$1,0))</f>
        <v>2007</v>
      </c>
      <c r="O233" s="8" t="str">
        <f>INDEX(Product_List,MATCH($F233,'Product List'!$B$1:$B$299,0),MATCH('Order SUmmary'!O$2,'Product List'!$A$1:$E$1,0))</f>
        <v>Art</v>
      </c>
      <c r="P233" s="12">
        <f>HLOOKUP(C233,'Commission Criteria'!$A$2:$I$4,3,FALSE)</f>
        <v>5</v>
      </c>
      <c r="Q233" s="8">
        <f t="shared" si="10"/>
        <v>6021</v>
      </c>
      <c r="R233" s="8">
        <f t="shared" si="11"/>
        <v>8550</v>
      </c>
      <c r="S233" s="36">
        <f>VLOOKUP(R233,'Commission Criteria'!$L$3:$M$11,2,TRUE)</f>
        <v>0.03</v>
      </c>
      <c r="T233" s="36">
        <f>IF(P233&lt;5,VLOOKUP(R233,'Commission Criteria'!$L$3:$M$11,2,1),VLOOKUP('Order SUmmary'!R233,'Commission Criteria'!$P$3:$Q$11,2,1))</f>
        <v>0.02</v>
      </c>
      <c r="U233" s="36">
        <f>VLOOKUP(R233,IF(P233&lt;5,'Commission Criteria'!$L$3:$M$11,'Commission Criteria'!$P$3:$Q$11),2,1)</f>
        <v>0.02</v>
      </c>
      <c r="V233" s="8" t="s">
        <v>50</v>
      </c>
      <c r="W233" s="36">
        <f t="shared" ca="1" si="12"/>
        <v>0.05</v>
      </c>
      <c r="X233" s="8" t="str">
        <f>_xlfn.XLOOKUP(F233,'Product List'!$B$1:$B$299,'Product List'!$A$1:$A$299)</f>
        <v>Newell 351</v>
      </c>
      <c r="Y233" s="8"/>
      <c r="Z233" s="8" t="str" cm="1">
        <f t="array" ref="Z233:AD233">_xlfn.XLOOKUP(D233,'Customer Details'!$A$1:$A$17,'Customer Details'!$B$1:$F$17,"No such customer",0,1)</f>
        <v>Godfrey Philips India Ltd.</v>
      </c>
      <c r="AA233" s="8" t="str">
        <v>20501 Ania Ave #2</v>
      </c>
      <c r="AB233" s="8" t="str">
        <v>Salt Lake City</v>
      </c>
      <c r="AC233" s="8" t="str">
        <v>UT</v>
      </c>
      <c r="AD233" s="8" t="str">
        <v>84118</v>
      </c>
    </row>
    <row r="234" spans="1:30">
      <c r="A234" s="8" t="s">
        <v>353</v>
      </c>
      <c r="B234" s="19">
        <v>41518</v>
      </c>
      <c r="C234" s="8" t="s">
        <v>44</v>
      </c>
      <c r="D234" s="8">
        <v>10011</v>
      </c>
      <c r="E234" s="8" t="str">
        <f>VLOOKUP($D234,'Customer Details'!$A$1:$F$17,4,FALSE)</f>
        <v>Olympia</v>
      </c>
      <c r="F234" s="8" t="s">
        <v>322</v>
      </c>
      <c r="G234" s="8">
        <v>3</v>
      </c>
      <c r="H234" s="2" t="str">
        <f>VLOOKUP($D234,'Customer Details'!$A$1:$F$17,MATCH('Order SUmmary'!H$2,'Customer Details'!$A$1:$F$1,0),0)</f>
        <v>Sonata Software</v>
      </c>
      <c r="I234" s="2" t="str">
        <f>VLOOKUP($D234,'Customer Details'!$A$1:$F$17,4,0)</f>
        <v>Olympia</v>
      </c>
      <c r="J234" s="2" t="str">
        <f>VLOOKUP($D234,'Customer Details'!$A$1:$F$17,6,0)</f>
        <v>98502</v>
      </c>
      <c r="K234" s="8" t="str">
        <f>VLOOKUP(VLOOKUP(D234,'Customer Details'!$A$1:$F$17,5,0),'Region INfo'!$A$1:$C$52,3,0)</f>
        <v xml:space="preserve">Pacific   </v>
      </c>
      <c r="L234" s="8" t="str">
        <f>INDEX(Product_List,MATCH($F234,'Product List'!$B$1:$B$299,0),MATCH('Order SUmmary'!L$2,'Product List'!$A$1:$E$1,0))</f>
        <v>Xerox 1966</v>
      </c>
      <c r="M234" s="8">
        <f>INDEX(Product_List,MATCH($F234,'Product List'!$B$1:$B$299,0),MATCH('Order SUmmary'!M$2,'Product List'!$A$1:$E$1,0))</f>
        <v>4476</v>
      </c>
      <c r="N234" s="8">
        <f>INDEX(Product_List,MATCH($F234,'Product List'!$B$1:$B$299,0),MATCH('Order SUmmary'!N$2,'Product List'!$A$1:$E$1,0))</f>
        <v>2494</v>
      </c>
      <c r="O234" s="8" t="str">
        <f>INDEX(Product_List,MATCH($F234,'Product List'!$B$1:$B$299,0),MATCH('Order SUmmary'!O$2,'Product List'!$A$1:$E$1,0))</f>
        <v>Paper</v>
      </c>
      <c r="P234" s="12">
        <f>HLOOKUP(C234,'Commission Criteria'!$A$2:$I$4,3,FALSE)</f>
        <v>4</v>
      </c>
      <c r="Q234" s="8">
        <f t="shared" si="10"/>
        <v>7482</v>
      </c>
      <c r="R234" s="8">
        <f t="shared" si="11"/>
        <v>13428</v>
      </c>
      <c r="S234" s="36">
        <f>VLOOKUP(R234,'Commission Criteria'!$L$3:$M$11,2,TRUE)</f>
        <v>0.03</v>
      </c>
      <c r="T234" s="36">
        <f>IF(P234&lt;5,VLOOKUP(R234,'Commission Criteria'!$L$3:$M$11,2,1),VLOOKUP('Order SUmmary'!R234,'Commission Criteria'!$P$3:$Q$11,2,1))</f>
        <v>0.03</v>
      </c>
      <c r="U234" s="36">
        <f>VLOOKUP(R234,IF(P234&lt;5,'Commission Criteria'!$L$3:$M$11,'Commission Criteria'!$P$3:$Q$11),2,1)</f>
        <v>0.03</v>
      </c>
      <c r="V234" s="8" t="s">
        <v>32</v>
      </c>
      <c r="W234" s="36">
        <f t="shared" ca="1" si="12"/>
        <v>0</v>
      </c>
      <c r="X234" s="8" t="str">
        <f>_xlfn.XLOOKUP(F234,'Product List'!$B$1:$B$299,'Product List'!$A$1:$A$299)</f>
        <v>Xerox 1966</v>
      </c>
      <c r="Y234" s="8"/>
      <c r="Z234" s="8" t="str" cm="1">
        <f t="array" ref="Z234:AD234">_xlfn.XLOOKUP(D234,'Customer Details'!$A$1:$A$17,'Customer Details'!$B$1:$F$17,"No such customer",0,1)</f>
        <v>Sonata Software</v>
      </c>
      <c r="AA234" s="8" t="str">
        <v>1331 Kimberly Dr.</v>
      </c>
      <c r="AB234" s="8" t="str">
        <v>Olympia</v>
      </c>
      <c r="AC234" s="8" t="str">
        <v>WA</v>
      </c>
      <c r="AD234" s="8" t="str">
        <v>98502</v>
      </c>
    </row>
    <row r="235" spans="1:30">
      <c r="A235" s="8" t="s">
        <v>354</v>
      </c>
      <c r="B235" s="19">
        <v>41519</v>
      </c>
      <c r="C235" s="8" t="s">
        <v>33</v>
      </c>
      <c r="D235" s="8">
        <v>10008</v>
      </c>
      <c r="E235" s="8" t="str">
        <f>VLOOKUP($D235,'Customer Details'!$A$1:$F$17,4,FALSE)</f>
        <v>Chestnut Ridge</v>
      </c>
      <c r="F235" s="8" t="s">
        <v>200</v>
      </c>
      <c r="G235" s="8">
        <v>1</v>
      </c>
      <c r="H235" s="2" t="str">
        <f>VLOOKUP($D235,'Customer Details'!$A$1:$F$17,MATCH('Order SUmmary'!H$2,'Customer Details'!$A$1:$F$1,0),0)</f>
        <v>Reliance Industries Limited</v>
      </c>
      <c r="I235" s="2" t="str">
        <f>VLOOKUP($D235,'Customer Details'!$A$1:$F$17,4,0)</f>
        <v>Chestnut Ridge</v>
      </c>
      <c r="J235" s="2" t="str">
        <f>VLOOKUP($D235,'Customer Details'!$A$1:$F$17,6,0)</f>
        <v>10977</v>
      </c>
      <c r="K235" s="8" t="str">
        <f>VLOOKUP(VLOOKUP(D235,'Customer Details'!$A$1:$F$17,5,0),'Region INfo'!$A$1:$C$52,3,0)</f>
        <v xml:space="preserve">Northern </v>
      </c>
      <c r="L235" s="8" t="str">
        <f>INDEX(Product_List,MATCH($F235,'Product List'!$B$1:$B$299,0),MATCH('Order SUmmary'!L$2,'Product List'!$A$1:$E$1,0))</f>
        <v>Xerox 1980</v>
      </c>
      <c r="M235" s="8">
        <f>INDEX(Product_List,MATCH($F235,'Product List'!$B$1:$B$299,0),MATCH('Order SUmmary'!M$2,'Product List'!$A$1:$E$1,0))</f>
        <v>2738</v>
      </c>
      <c r="N235" s="8">
        <f>INDEX(Product_List,MATCH($F235,'Product List'!$B$1:$B$299,0),MATCH('Order SUmmary'!N$2,'Product List'!$A$1:$E$1,0))</f>
        <v>1737</v>
      </c>
      <c r="O235" s="8" t="str">
        <f>INDEX(Product_List,MATCH($F235,'Product List'!$B$1:$B$299,0),MATCH('Order SUmmary'!O$2,'Product List'!$A$1:$E$1,0))</f>
        <v>Paper</v>
      </c>
      <c r="P235" s="12">
        <f>HLOOKUP(C235,'Commission Criteria'!$A$2:$I$4,3,FALSE)</f>
        <v>1</v>
      </c>
      <c r="Q235" s="8">
        <f t="shared" si="10"/>
        <v>1737</v>
      </c>
      <c r="R235" s="8">
        <f t="shared" si="11"/>
        <v>2738</v>
      </c>
      <c r="S235" s="36">
        <f>VLOOKUP(R235,'Commission Criteria'!$L$3:$M$11,2,TRUE)</f>
        <v>0.01</v>
      </c>
      <c r="T235" s="36">
        <f>IF(P235&lt;5,VLOOKUP(R235,'Commission Criteria'!$L$3:$M$11,2,1),VLOOKUP('Order SUmmary'!R235,'Commission Criteria'!$P$3:$Q$11,2,1))</f>
        <v>0.01</v>
      </c>
      <c r="U235" s="36">
        <f>VLOOKUP(R235,IF(P235&lt;5,'Commission Criteria'!$L$3:$M$11,'Commission Criteria'!$P$3:$Q$11),2,1)</f>
        <v>0.01</v>
      </c>
      <c r="V235" s="8" t="s">
        <v>50</v>
      </c>
      <c r="W235" s="36">
        <f t="shared" ca="1" si="12"/>
        <v>0.04</v>
      </c>
      <c r="X235" s="8" t="str">
        <f>_xlfn.XLOOKUP(F235,'Product List'!$B$1:$B$299,'Product List'!$A$1:$A$299)</f>
        <v>Xerox 1980</v>
      </c>
      <c r="Y235" s="8"/>
      <c r="Z235" s="8" t="str" cm="1">
        <f t="array" ref="Z235:AD235">_xlfn.XLOOKUP(D235,'Customer Details'!$A$1:$A$17,'Customer Details'!$B$1:$F$17,"No such customer",0,1)</f>
        <v>Reliance Industries Limited</v>
      </c>
      <c r="AA235" s="8" t="str">
        <v>12020 Shamrock Rd., Suite 333</v>
      </c>
      <c r="AB235" s="8" t="str">
        <v>Chestnut Ridge</v>
      </c>
      <c r="AC235" s="8" t="str">
        <v>NY</v>
      </c>
      <c r="AD235" s="8" t="str">
        <v>10977</v>
      </c>
    </row>
    <row r="236" spans="1:30">
      <c r="A236" s="8" t="s">
        <v>354</v>
      </c>
      <c r="B236" s="19">
        <v>41519</v>
      </c>
      <c r="C236" s="8" t="s">
        <v>66</v>
      </c>
      <c r="D236" s="8">
        <v>10007</v>
      </c>
      <c r="E236" s="8" t="str">
        <f>VLOOKUP($D236,'Customer Details'!$A$1:$F$17,4,FALSE)</f>
        <v>Richmond</v>
      </c>
      <c r="F236" s="8" t="s">
        <v>355</v>
      </c>
      <c r="G236" s="8">
        <v>1</v>
      </c>
      <c r="H236" s="2" t="str">
        <f>VLOOKUP($D236,'Customer Details'!$A$1:$F$17,MATCH('Order SUmmary'!H$2,'Customer Details'!$A$1:$F$1,0),0)</f>
        <v>GHCL Ltd.</v>
      </c>
      <c r="I236" s="2" t="str">
        <f>VLOOKUP($D236,'Customer Details'!$A$1:$F$17,4,0)</f>
        <v>Richmond</v>
      </c>
      <c r="J236" s="2" t="str">
        <f>VLOOKUP($D236,'Customer Details'!$A$1:$F$17,6,0)</f>
        <v>94805</v>
      </c>
      <c r="K236" s="8" t="str">
        <f>VLOOKUP(VLOOKUP(D236,'Customer Details'!$A$1:$F$17,5,0),'Region INfo'!$A$1:$C$52,3,0)</f>
        <v xml:space="preserve">Pacific   </v>
      </c>
      <c r="L236" s="8" t="str">
        <f>INDEX(Product_List,MATCH($F236,'Product List'!$B$1:$B$299,0),MATCH('Order SUmmary'!L$2,'Product List'!$A$1:$E$1,0))</f>
        <v>Avery 51</v>
      </c>
      <c r="M236" s="8">
        <f>INDEX(Product_List,MATCH($F236,'Product List'!$B$1:$B$299,0),MATCH('Order SUmmary'!M$2,'Product List'!$A$1:$E$1,0))</f>
        <v>3717</v>
      </c>
      <c r="N236" s="8">
        <f>INDEX(Product_List,MATCH($F236,'Product List'!$B$1:$B$299,0),MATCH('Order SUmmary'!N$2,'Product List'!$A$1:$E$1,0))</f>
        <v>2146</v>
      </c>
      <c r="O236" s="8" t="str">
        <f>INDEX(Product_List,MATCH($F236,'Product List'!$B$1:$B$299,0),MATCH('Order SUmmary'!O$2,'Product List'!$A$1:$E$1,0))</f>
        <v>Labels</v>
      </c>
      <c r="P236" s="12">
        <f>HLOOKUP(C236,'Commission Criteria'!$A$2:$I$4,3,FALSE)</f>
        <v>5</v>
      </c>
      <c r="Q236" s="8">
        <f t="shared" si="10"/>
        <v>2146</v>
      </c>
      <c r="R236" s="8">
        <f t="shared" si="11"/>
        <v>3717</v>
      </c>
      <c r="S236" s="36">
        <f>VLOOKUP(R236,'Commission Criteria'!$L$3:$M$11,2,TRUE)</f>
        <v>0.01</v>
      </c>
      <c r="T236" s="36">
        <f>IF(P236&lt;5,VLOOKUP(R236,'Commission Criteria'!$L$3:$M$11,2,1),VLOOKUP('Order SUmmary'!R236,'Commission Criteria'!$P$3:$Q$11,2,1))</f>
        <v>0.02</v>
      </c>
      <c r="U236" s="36">
        <f>VLOOKUP(R236,IF(P236&lt;5,'Commission Criteria'!$L$3:$M$11,'Commission Criteria'!$P$3:$Q$11),2,1)</f>
        <v>0.02</v>
      </c>
      <c r="V236" s="8" t="s">
        <v>32</v>
      </c>
      <c r="W236" s="36">
        <f t="shared" ca="1" si="12"/>
        <v>0.02</v>
      </c>
      <c r="X236" s="8" t="str">
        <f>_xlfn.XLOOKUP(F236,'Product List'!$B$1:$B$299,'Product List'!$A$1:$A$299)</f>
        <v>Avery 51</v>
      </c>
      <c r="Y236" s="8"/>
      <c r="Z236" s="8" t="str" cm="1">
        <f t="array" ref="Z236:AD236">_xlfn.XLOOKUP(D236,'Customer Details'!$A$1:$A$17,'Customer Details'!$B$1:$F$17,"No such customer",0,1)</f>
        <v>GHCL Ltd.</v>
      </c>
      <c r="AA236" s="8" t="str">
        <v>58 Clarence St</v>
      </c>
      <c r="AB236" s="8" t="str">
        <v>Richmond</v>
      </c>
      <c r="AC236" s="8" t="str">
        <v>CA</v>
      </c>
      <c r="AD236" s="8" t="str">
        <v>94805</v>
      </c>
    </row>
    <row r="237" spans="1:30">
      <c r="A237" s="8" t="s">
        <v>354</v>
      </c>
      <c r="B237" s="19">
        <v>41519</v>
      </c>
      <c r="C237" s="8" t="s">
        <v>27</v>
      </c>
      <c r="D237" s="8">
        <v>10009</v>
      </c>
      <c r="E237" s="8" t="str">
        <f>VLOOKUP($D237,'Customer Details'!$A$1:$F$17,4,FALSE)</f>
        <v>Salt Lake City</v>
      </c>
      <c r="F237" s="8" t="s">
        <v>356</v>
      </c>
      <c r="G237" s="8">
        <v>3</v>
      </c>
      <c r="H237" s="2" t="str">
        <f>VLOOKUP($D237,'Customer Details'!$A$1:$F$17,MATCH('Order SUmmary'!H$2,'Customer Details'!$A$1:$F$1,0),0)</f>
        <v>Godfrey Philips India Ltd.</v>
      </c>
      <c r="I237" s="2" t="str">
        <f>VLOOKUP($D237,'Customer Details'!$A$1:$F$17,4,0)</f>
        <v>Salt Lake City</v>
      </c>
      <c r="J237" s="2" t="str">
        <f>VLOOKUP($D237,'Customer Details'!$A$1:$F$17,6,0)</f>
        <v>84118</v>
      </c>
      <c r="K237" s="8" t="str">
        <f>VLOOKUP(VLOOKUP(D237,'Customer Details'!$A$1:$F$17,5,0),'Region INfo'!$A$1:$C$52,3,0)</f>
        <v xml:space="preserve">Pacific   </v>
      </c>
      <c r="L237" s="8" t="str">
        <f>INDEX(Product_List,MATCH($F237,'Product List'!$B$1:$B$299,0),MATCH('Order SUmmary'!L$2,'Product List'!$A$1:$E$1,0))</f>
        <v>Newell 32</v>
      </c>
      <c r="M237" s="8">
        <f>INDEX(Product_List,MATCH($F237,'Product List'!$B$1:$B$299,0),MATCH('Order SUmmary'!M$2,'Product List'!$A$1:$E$1,0))</f>
        <v>4051</v>
      </c>
      <c r="N237" s="8">
        <f>INDEX(Product_List,MATCH($F237,'Product List'!$B$1:$B$299,0),MATCH('Order SUmmary'!N$2,'Product List'!$A$1:$E$1,0))</f>
        <v>1962</v>
      </c>
      <c r="O237" s="8" t="str">
        <f>INDEX(Product_List,MATCH($F237,'Product List'!$B$1:$B$299,0),MATCH('Order SUmmary'!O$2,'Product List'!$A$1:$E$1,0))</f>
        <v>Art</v>
      </c>
      <c r="P237" s="12">
        <f>HLOOKUP(C237,'Commission Criteria'!$A$2:$I$4,3,FALSE)</f>
        <v>4</v>
      </c>
      <c r="Q237" s="8">
        <f t="shared" si="10"/>
        <v>5886</v>
      </c>
      <c r="R237" s="8">
        <f t="shared" si="11"/>
        <v>12153</v>
      </c>
      <c r="S237" s="36">
        <f>VLOOKUP(R237,'Commission Criteria'!$L$3:$M$11,2,TRUE)</f>
        <v>0.03</v>
      </c>
      <c r="T237" s="36">
        <f>IF(P237&lt;5,VLOOKUP(R237,'Commission Criteria'!$L$3:$M$11,2,1),VLOOKUP('Order SUmmary'!R237,'Commission Criteria'!$P$3:$Q$11,2,1))</f>
        <v>0.03</v>
      </c>
      <c r="U237" s="36">
        <f>VLOOKUP(R237,IF(P237&lt;5,'Commission Criteria'!$L$3:$M$11,'Commission Criteria'!$P$3:$Q$11),2,1)</f>
        <v>0.03</v>
      </c>
      <c r="V237" s="8" t="s">
        <v>29</v>
      </c>
      <c r="W237" s="36">
        <f t="shared" ca="1" si="12"/>
        <v>0.05</v>
      </c>
      <c r="X237" s="8" t="str">
        <f>_xlfn.XLOOKUP(F237,'Product List'!$B$1:$B$299,'Product List'!$A$1:$A$299)</f>
        <v>Newell 32</v>
      </c>
      <c r="Y237" s="8"/>
      <c r="Z237" s="8" t="str" cm="1">
        <f t="array" ref="Z237:AD237">_xlfn.XLOOKUP(D237,'Customer Details'!$A$1:$A$17,'Customer Details'!$B$1:$F$17,"No such customer",0,1)</f>
        <v>Godfrey Philips India Ltd.</v>
      </c>
      <c r="AA237" s="8" t="str">
        <v>20501 Ania Ave #2</v>
      </c>
      <c r="AB237" s="8" t="str">
        <v>Salt Lake City</v>
      </c>
      <c r="AC237" s="8" t="str">
        <v>UT</v>
      </c>
      <c r="AD237" s="8" t="str">
        <v>84118</v>
      </c>
    </row>
    <row r="238" spans="1:30">
      <c r="A238" s="8" t="s">
        <v>357</v>
      </c>
      <c r="B238" s="19">
        <v>41521</v>
      </c>
      <c r="C238" s="8" t="s">
        <v>46</v>
      </c>
      <c r="D238" s="8">
        <v>10005</v>
      </c>
      <c r="E238" s="8" t="str">
        <f>VLOOKUP($D238,'Customer Details'!$A$1:$F$17,4,FALSE)</f>
        <v>Goleta</v>
      </c>
      <c r="F238" s="8" t="s">
        <v>358</v>
      </c>
      <c r="G238" s="8">
        <v>1</v>
      </c>
      <c r="H238" s="2" t="str">
        <f>VLOOKUP($D238,'Customer Details'!$A$1:$F$17,MATCH('Order SUmmary'!H$2,'Customer Details'!$A$1:$F$1,0),0)</f>
        <v>Fortis Healthcare Ltd.</v>
      </c>
      <c r="I238" s="2" t="str">
        <f>VLOOKUP($D238,'Customer Details'!$A$1:$F$17,4,0)</f>
        <v>Goleta</v>
      </c>
      <c r="J238" s="2" t="str">
        <f>VLOOKUP($D238,'Customer Details'!$A$1:$F$17,6,0)</f>
        <v>93117</v>
      </c>
      <c r="K238" s="8" t="str">
        <f>VLOOKUP(VLOOKUP(D238,'Customer Details'!$A$1:$F$17,5,0),'Region INfo'!$A$1:$C$52,3,0)</f>
        <v xml:space="preserve">Pacific   </v>
      </c>
      <c r="L238" s="8" t="str">
        <f>INDEX(Product_List,MATCH($F238,'Product List'!$B$1:$B$299,0),MATCH('Order SUmmary'!L$2,'Product List'!$A$1:$E$1,0))</f>
        <v>Xerox 1962</v>
      </c>
      <c r="M238" s="8">
        <f>INDEX(Product_List,MATCH($F238,'Product List'!$B$1:$B$299,0),MATCH('Order SUmmary'!M$2,'Product List'!$A$1:$E$1,0))</f>
        <v>3573</v>
      </c>
      <c r="N238" s="8">
        <f>INDEX(Product_List,MATCH($F238,'Product List'!$B$1:$B$299,0),MATCH('Order SUmmary'!N$2,'Product List'!$A$1:$E$1,0))</f>
        <v>1857</v>
      </c>
      <c r="O238" s="8" t="str">
        <f>INDEX(Product_List,MATCH($F238,'Product List'!$B$1:$B$299,0),MATCH('Order SUmmary'!O$2,'Product List'!$A$1:$E$1,0))</f>
        <v>Paper</v>
      </c>
      <c r="P238" s="12">
        <f>HLOOKUP(C238,'Commission Criteria'!$A$2:$I$4,3,FALSE)</f>
        <v>8</v>
      </c>
      <c r="Q238" s="8">
        <f t="shared" si="10"/>
        <v>1857</v>
      </c>
      <c r="R238" s="8">
        <f t="shared" si="11"/>
        <v>3573</v>
      </c>
      <c r="S238" s="36">
        <f>VLOOKUP(R238,'Commission Criteria'!$L$3:$M$11,2,TRUE)</f>
        <v>0.01</v>
      </c>
      <c r="T238" s="36">
        <f>IF(P238&lt;5,VLOOKUP(R238,'Commission Criteria'!$L$3:$M$11,2,1),VLOOKUP('Order SUmmary'!R238,'Commission Criteria'!$P$3:$Q$11,2,1))</f>
        <v>0.02</v>
      </c>
      <c r="U238" s="36">
        <f>VLOOKUP(R238,IF(P238&lt;5,'Commission Criteria'!$L$3:$M$11,'Commission Criteria'!$P$3:$Q$11),2,1)</f>
        <v>0.02</v>
      </c>
      <c r="V238" s="8" t="s">
        <v>32</v>
      </c>
      <c r="W238" s="36">
        <f t="shared" ca="1" si="12"/>
        <v>0.01</v>
      </c>
      <c r="X238" s="8" t="str">
        <f>_xlfn.XLOOKUP(F238,'Product List'!$B$1:$B$299,'Product List'!$A$1:$A$299)</f>
        <v>Xerox 1962</v>
      </c>
      <c r="Y238" s="8"/>
      <c r="Z238" s="8" t="str" cm="1">
        <f t="array" ref="Z238:AD238">_xlfn.XLOOKUP(D238,'Customer Details'!$A$1:$A$17,'Customer Details'!$B$1:$F$17,"No such customer",0,1)</f>
        <v>Fortis Healthcare Ltd.</v>
      </c>
      <c r="AA238" s="8" t="str">
        <v>14 Elsworthy Terrace</v>
      </c>
      <c r="AB238" s="8" t="str">
        <v>Goleta</v>
      </c>
      <c r="AC238" s="8" t="str">
        <v>CA</v>
      </c>
      <c r="AD238" s="8" t="str">
        <v>93117</v>
      </c>
    </row>
    <row r="239" spans="1:30">
      <c r="A239" s="8" t="s">
        <v>359</v>
      </c>
      <c r="B239" s="19">
        <v>41522</v>
      </c>
      <c r="C239" s="8" t="s">
        <v>46</v>
      </c>
      <c r="D239" s="8">
        <v>10004</v>
      </c>
      <c r="E239" s="8" t="str">
        <f>VLOOKUP($D239,'Customer Details'!$A$1:$F$17,4,FALSE)</f>
        <v>New York</v>
      </c>
      <c r="F239" s="8" t="s">
        <v>78</v>
      </c>
      <c r="G239" s="8">
        <v>1</v>
      </c>
      <c r="H239" s="2" t="str">
        <f>VLOOKUP($D239,'Customer Details'!$A$1:$F$17,MATCH('Order SUmmary'!H$2,'Customer Details'!$A$1:$F$1,0),0)</f>
        <v>Lupin Ltd.</v>
      </c>
      <c r="I239" s="2" t="str">
        <f>VLOOKUP($D239,'Customer Details'!$A$1:$F$17,4,0)</f>
        <v>New York</v>
      </c>
      <c r="J239" s="2" t="str">
        <f>VLOOKUP($D239,'Customer Details'!$A$1:$F$17,6,0)</f>
        <v>10019</v>
      </c>
      <c r="K239" s="8" t="str">
        <f>VLOOKUP(VLOOKUP(D239,'Customer Details'!$A$1:$F$17,5,0),'Region INfo'!$A$1:$C$52,3,0)</f>
        <v xml:space="preserve">Northern </v>
      </c>
      <c r="L239" s="8" t="str">
        <f>INDEX(Product_List,MATCH($F239,'Product List'!$B$1:$B$299,0),MATCH('Order SUmmary'!L$2,'Product List'!$A$1:$E$1,0))</f>
        <v>Xerox 199</v>
      </c>
      <c r="M239" s="8">
        <f>INDEX(Product_List,MATCH($F239,'Product List'!$B$1:$B$299,0),MATCH('Order SUmmary'!M$2,'Product List'!$A$1:$E$1,0))</f>
        <v>2523</v>
      </c>
      <c r="N239" s="8">
        <f>INDEX(Product_List,MATCH($F239,'Product List'!$B$1:$B$299,0),MATCH('Order SUmmary'!N$2,'Product List'!$A$1:$E$1,0))</f>
        <v>1665</v>
      </c>
      <c r="O239" s="8" t="str">
        <f>INDEX(Product_List,MATCH($F239,'Product List'!$B$1:$B$299,0),MATCH('Order SUmmary'!O$2,'Product List'!$A$1:$E$1,0))</f>
        <v>Paper</v>
      </c>
      <c r="P239" s="12">
        <f>HLOOKUP(C239,'Commission Criteria'!$A$2:$I$4,3,FALSE)</f>
        <v>8</v>
      </c>
      <c r="Q239" s="8">
        <f t="shared" si="10"/>
        <v>1665</v>
      </c>
      <c r="R239" s="8">
        <f t="shared" si="11"/>
        <v>2523</v>
      </c>
      <c r="S239" s="36">
        <f>VLOOKUP(R239,'Commission Criteria'!$L$3:$M$11,2,TRUE)</f>
        <v>0.01</v>
      </c>
      <c r="T239" s="36">
        <f>IF(P239&lt;5,VLOOKUP(R239,'Commission Criteria'!$L$3:$M$11,2,1),VLOOKUP('Order SUmmary'!R239,'Commission Criteria'!$P$3:$Q$11,2,1))</f>
        <v>0.02</v>
      </c>
      <c r="U239" s="36">
        <f>VLOOKUP(R239,IF(P239&lt;5,'Commission Criteria'!$L$3:$M$11,'Commission Criteria'!$P$3:$Q$11),2,1)</f>
        <v>0.02</v>
      </c>
      <c r="V239" s="8" t="s">
        <v>29</v>
      </c>
      <c r="W239" s="36">
        <f t="shared" ca="1" si="12"/>
        <v>0.04</v>
      </c>
      <c r="X239" s="8" t="str">
        <f>_xlfn.XLOOKUP(F239,'Product List'!$B$1:$B$299,'Product List'!$A$1:$A$299)</f>
        <v>Xerox 199</v>
      </c>
      <c r="Y239" s="8"/>
      <c r="Z239" s="8" t="str" cm="1">
        <f t="array" ref="Z239:AD239">_xlfn.XLOOKUP(D239,'Customer Details'!$A$1:$A$17,'Customer Details'!$B$1:$F$17,"No such customer",0,1)</f>
        <v>Lupin Ltd.</v>
      </c>
      <c r="AA239" s="8" t="str">
        <v>Abbey Wood</v>
      </c>
      <c r="AB239" s="8" t="str">
        <v>New York</v>
      </c>
      <c r="AC239" s="8" t="str">
        <v>NY</v>
      </c>
      <c r="AD239" s="8" t="str">
        <v>10019</v>
      </c>
    </row>
    <row r="240" spans="1:30">
      <c r="A240" s="8" t="s">
        <v>359</v>
      </c>
      <c r="B240" s="19">
        <v>41522</v>
      </c>
      <c r="C240" s="8" t="s">
        <v>33</v>
      </c>
      <c r="D240" s="8">
        <v>10006</v>
      </c>
      <c r="E240" s="8" t="str">
        <f>VLOOKUP($D240,'Customer Details'!$A$1:$F$17,4,FALSE)</f>
        <v>Midland</v>
      </c>
      <c r="F240" s="8" t="s">
        <v>356</v>
      </c>
      <c r="G240" s="8">
        <v>1</v>
      </c>
      <c r="H240" s="2" t="str">
        <f>VLOOKUP($D240,'Customer Details'!$A$1:$F$17,MATCH('Order SUmmary'!H$2,'Customer Details'!$A$1:$F$1,0),0)</f>
        <v>Supreme Ind</v>
      </c>
      <c r="I240" s="2" t="str">
        <f>VLOOKUP($D240,'Customer Details'!$A$1:$F$17,4,0)</f>
        <v>Midland</v>
      </c>
      <c r="J240" s="2" t="str">
        <f>VLOOKUP($D240,'Customer Details'!$A$1:$F$17,6,0)</f>
        <v>79706</v>
      </c>
      <c r="K240" s="8" t="str">
        <f>VLOOKUP(VLOOKUP(D240,'Customer Details'!$A$1:$F$17,5,0),'Region INfo'!$A$1:$C$52,3,0)</f>
        <v>Western</v>
      </c>
      <c r="L240" s="8" t="str">
        <f>INDEX(Product_List,MATCH($F240,'Product List'!$B$1:$B$299,0),MATCH('Order SUmmary'!L$2,'Product List'!$A$1:$E$1,0))</f>
        <v>Newell 32</v>
      </c>
      <c r="M240" s="8">
        <f>INDEX(Product_List,MATCH($F240,'Product List'!$B$1:$B$299,0),MATCH('Order SUmmary'!M$2,'Product List'!$A$1:$E$1,0))</f>
        <v>4051</v>
      </c>
      <c r="N240" s="8">
        <f>INDEX(Product_List,MATCH($F240,'Product List'!$B$1:$B$299,0),MATCH('Order SUmmary'!N$2,'Product List'!$A$1:$E$1,0))</f>
        <v>1962</v>
      </c>
      <c r="O240" s="8" t="str">
        <f>INDEX(Product_List,MATCH($F240,'Product List'!$B$1:$B$299,0),MATCH('Order SUmmary'!O$2,'Product List'!$A$1:$E$1,0))</f>
        <v>Art</v>
      </c>
      <c r="P240" s="12">
        <f>HLOOKUP(C240,'Commission Criteria'!$A$2:$I$4,3,FALSE)</f>
        <v>1</v>
      </c>
      <c r="Q240" s="8">
        <f t="shared" si="10"/>
        <v>1962</v>
      </c>
      <c r="R240" s="8">
        <f t="shared" si="11"/>
        <v>4051</v>
      </c>
      <c r="S240" s="36">
        <f>VLOOKUP(R240,'Commission Criteria'!$L$3:$M$11,2,TRUE)</f>
        <v>0.01</v>
      </c>
      <c r="T240" s="36">
        <f>IF(P240&lt;5,VLOOKUP(R240,'Commission Criteria'!$L$3:$M$11,2,1),VLOOKUP('Order SUmmary'!R240,'Commission Criteria'!$P$3:$Q$11,2,1))</f>
        <v>0.01</v>
      </c>
      <c r="U240" s="36">
        <f>VLOOKUP(R240,IF(P240&lt;5,'Commission Criteria'!$L$3:$M$11,'Commission Criteria'!$P$3:$Q$11),2,1)</f>
        <v>0.01</v>
      </c>
      <c r="V240" s="8" t="s">
        <v>40</v>
      </c>
      <c r="W240" s="36">
        <f t="shared" ca="1" si="12"/>
        <v>0.02</v>
      </c>
      <c r="X240" s="8" t="str">
        <f>_xlfn.XLOOKUP(F240,'Product List'!$B$1:$B$299,'Product List'!$A$1:$A$299)</f>
        <v>Newell 32</v>
      </c>
      <c r="Y240" s="8"/>
      <c r="Z240" s="8" t="str" cm="1">
        <f t="array" ref="Z240:AD240">_xlfn.XLOOKUP(D240,'Customer Details'!$A$1:$A$17,'Customer Details'!$B$1:$F$17,"No such customer",0,1)</f>
        <v>Supreme Ind</v>
      </c>
      <c r="AA240" s="8" t="str">
        <v>P.O. Box 1367</v>
      </c>
      <c r="AB240" s="8" t="str">
        <v>Midland</v>
      </c>
      <c r="AC240" s="8" t="str">
        <v>TX</v>
      </c>
      <c r="AD240" s="8" t="str">
        <v>79706</v>
      </c>
    </row>
    <row r="241" spans="1:30">
      <c r="A241" s="8" t="s">
        <v>360</v>
      </c>
      <c r="B241" s="19">
        <v>41522</v>
      </c>
      <c r="C241" s="8" t="s">
        <v>54</v>
      </c>
      <c r="D241" s="8">
        <v>10001</v>
      </c>
      <c r="E241" s="8" t="str">
        <f>VLOOKUP($D241,'Customer Details'!$A$1:$F$17,4,FALSE)</f>
        <v>New York</v>
      </c>
      <c r="F241" s="8" t="s">
        <v>361</v>
      </c>
      <c r="G241" s="8">
        <v>1</v>
      </c>
      <c r="H241" s="2" t="str">
        <f>VLOOKUP($D241,'Customer Details'!$A$1:$F$17,MATCH('Order SUmmary'!H$2,'Customer Details'!$A$1:$F$1,0),0)</f>
        <v>Chambal Fertilisers and Chemicals Ltd.</v>
      </c>
      <c r="I241" s="2" t="str">
        <f>VLOOKUP($D241,'Customer Details'!$A$1:$F$17,4,0)</f>
        <v>New York</v>
      </c>
      <c r="J241" s="2" t="str">
        <f>VLOOKUP($D241,'Customer Details'!$A$1:$F$17,6,0)</f>
        <v>10025</v>
      </c>
      <c r="K241" s="8" t="str">
        <f>VLOOKUP(VLOOKUP(D241,'Customer Details'!$A$1:$F$17,5,0),'Region INfo'!$A$1:$C$52,3,0)</f>
        <v xml:space="preserve">Northern </v>
      </c>
      <c r="L241" s="8" t="str">
        <f>INDEX(Product_List,MATCH($F241,'Product List'!$B$1:$B$299,0),MATCH('Order SUmmary'!L$2,'Product List'!$A$1:$E$1,0))</f>
        <v>Avery 518</v>
      </c>
      <c r="M241" s="8">
        <f>INDEX(Product_List,MATCH($F241,'Product List'!$B$1:$B$299,0),MATCH('Order SUmmary'!M$2,'Product List'!$A$1:$E$1,0))</f>
        <v>4741</v>
      </c>
      <c r="N241" s="8">
        <f>INDEX(Product_List,MATCH($F241,'Product List'!$B$1:$B$299,0),MATCH('Order SUmmary'!N$2,'Product List'!$A$1:$E$1,0))</f>
        <v>1849</v>
      </c>
      <c r="O241" s="8" t="str">
        <f>INDEX(Product_List,MATCH($F241,'Product List'!$B$1:$B$299,0),MATCH('Order SUmmary'!O$2,'Product List'!$A$1:$E$1,0))</f>
        <v>Labels</v>
      </c>
      <c r="P241" s="12">
        <f>HLOOKUP(C241,'Commission Criteria'!$A$2:$I$4,3,FALSE)</f>
        <v>3</v>
      </c>
      <c r="Q241" s="8">
        <f t="shared" si="10"/>
        <v>1849</v>
      </c>
      <c r="R241" s="8">
        <f t="shared" si="11"/>
        <v>4741</v>
      </c>
      <c r="S241" s="36">
        <f>VLOOKUP(R241,'Commission Criteria'!$L$3:$M$11,2,TRUE)</f>
        <v>0.01</v>
      </c>
      <c r="T241" s="36">
        <f>IF(P241&lt;5,VLOOKUP(R241,'Commission Criteria'!$L$3:$M$11,2,1),VLOOKUP('Order SUmmary'!R241,'Commission Criteria'!$P$3:$Q$11,2,1))</f>
        <v>0.01</v>
      </c>
      <c r="U241" s="36">
        <f>VLOOKUP(R241,IF(P241&lt;5,'Commission Criteria'!$L$3:$M$11,'Commission Criteria'!$P$3:$Q$11),2,1)</f>
        <v>0.01</v>
      </c>
      <c r="V241" s="8" t="s">
        <v>40</v>
      </c>
      <c r="W241" s="36">
        <f t="shared" ca="1" si="12"/>
        <v>0.03</v>
      </c>
      <c r="X241" s="8" t="str">
        <f>_xlfn.XLOOKUP(F241,'Product List'!$B$1:$B$299,'Product List'!$A$1:$A$299)</f>
        <v>Avery 518</v>
      </c>
      <c r="Y241" s="8"/>
      <c r="Z241" s="8" t="str" cm="1">
        <f t="array" ref="Z241:AD241">_xlfn.XLOOKUP(D241,'Customer Details'!$A$1:$A$17,'Customer Details'!$B$1:$F$17,"No such customer",0,1)</f>
        <v>Chambal Fertilisers and Chemicals Ltd.</v>
      </c>
      <c r="AA241" s="8" t="str">
        <v>4951 Indiana Ave.</v>
      </c>
      <c r="AB241" s="8" t="str">
        <v>New York</v>
      </c>
      <c r="AC241" s="8" t="str">
        <v>NY</v>
      </c>
      <c r="AD241" s="8" t="str">
        <v>10025</v>
      </c>
    </row>
    <row r="242" spans="1:30">
      <c r="A242" s="8" t="s">
        <v>359</v>
      </c>
      <c r="B242" s="19">
        <v>41522</v>
      </c>
      <c r="C242" s="8" t="s">
        <v>51</v>
      </c>
      <c r="D242" s="8">
        <v>10015</v>
      </c>
      <c r="E242" s="8" t="str">
        <f>VLOOKUP($D242,'Customer Details'!$A$1:$F$17,4,FALSE)</f>
        <v>South Windsor</v>
      </c>
      <c r="F242" s="8" t="s">
        <v>362</v>
      </c>
      <c r="G242" s="8">
        <v>1</v>
      </c>
      <c r="H242" s="2" t="str">
        <f>VLOOKUP($D242,'Customer Details'!$A$1:$F$17,MATCH('Order SUmmary'!H$2,'Customer Details'!$A$1:$F$1,0),0)</f>
        <v>Punj Lloyd Ltd.</v>
      </c>
      <c r="I242" s="2" t="str">
        <f>VLOOKUP($D242,'Customer Details'!$A$1:$F$17,4,0)</f>
        <v>South Windsor</v>
      </c>
      <c r="J242" s="2" t="str">
        <f>VLOOKUP($D242,'Customer Details'!$A$1:$F$17,6,0)</f>
        <v>06074</v>
      </c>
      <c r="K242" s="8" t="str">
        <f>VLOOKUP(VLOOKUP(D242,'Customer Details'!$A$1:$F$17,5,0),'Region INfo'!$A$1:$C$52,3,0)</f>
        <v xml:space="preserve">Northern </v>
      </c>
      <c r="L242" s="8" t="str">
        <f>INDEX(Product_List,MATCH($F242,'Product List'!$B$1:$B$299,0),MATCH('Order SUmmary'!L$2,'Product List'!$A$1:$E$1,0))</f>
        <v>Avery 499</v>
      </c>
      <c r="M242" s="8">
        <f>INDEX(Product_List,MATCH($F242,'Product List'!$B$1:$B$299,0),MATCH('Order SUmmary'!M$2,'Product List'!$A$1:$E$1,0))</f>
        <v>4765</v>
      </c>
      <c r="N242" s="8">
        <f>INDEX(Product_List,MATCH($F242,'Product List'!$B$1:$B$299,0),MATCH('Order SUmmary'!N$2,'Product List'!$A$1:$E$1,0))</f>
        <v>1286</v>
      </c>
      <c r="O242" s="8" t="str">
        <f>INDEX(Product_List,MATCH($F242,'Product List'!$B$1:$B$299,0),MATCH('Order SUmmary'!O$2,'Product List'!$A$1:$E$1,0))</f>
        <v>Labels</v>
      </c>
      <c r="P242" s="12">
        <f>HLOOKUP(C242,'Commission Criteria'!$A$2:$I$4,3,FALSE)</f>
        <v>10</v>
      </c>
      <c r="Q242" s="8">
        <f t="shared" si="10"/>
        <v>1286</v>
      </c>
      <c r="R242" s="8">
        <f t="shared" si="11"/>
        <v>4765</v>
      </c>
      <c r="S242" s="36">
        <f>VLOOKUP(R242,'Commission Criteria'!$L$3:$M$11,2,TRUE)</f>
        <v>0.01</v>
      </c>
      <c r="T242" s="36">
        <f>IF(P242&lt;5,VLOOKUP(R242,'Commission Criteria'!$L$3:$M$11,2,1),VLOOKUP('Order SUmmary'!R242,'Commission Criteria'!$P$3:$Q$11,2,1))</f>
        <v>0.02</v>
      </c>
      <c r="U242" s="36">
        <f>VLOOKUP(R242,IF(P242&lt;5,'Commission Criteria'!$L$3:$M$11,'Commission Criteria'!$P$3:$Q$11),2,1)</f>
        <v>0.02</v>
      </c>
      <c r="V242" s="8" t="s">
        <v>32</v>
      </c>
      <c r="W242" s="36">
        <f t="shared" ca="1" si="12"/>
        <v>0</v>
      </c>
      <c r="X242" s="8" t="str">
        <f>_xlfn.XLOOKUP(F242,'Product List'!$B$1:$B$299,'Product List'!$A$1:$A$299)</f>
        <v>Avery 499</v>
      </c>
      <c r="Y242" s="8"/>
      <c r="Z242" s="8" t="str" cm="1">
        <f t="array" ref="Z242:AD242">_xlfn.XLOOKUP(D242,'Customer Details'!$A$1:$A$17,'Customer Details'!$B$1:$F$17,"No such customer",0,1)</f>
        <v>Punj Lloyd Ltd.</v>
      </c>
      <c r="AA242" s="8" t="str">
        <v>Box 3263</v>
      </c>
      <c r="AB242" s="8" t="str">
        <v>South Windsor</v>
      </c>
      <c r="AC242" s="8" t="str">
        <v>CT</v>
      </c>
      <c r="AD242" s="8" t="str">
        <v>06074</v>
      </c>
    </row>
    <row r="243" spans="1:30">
      <c r="A243" s="8" t="s">
        <v>363</v>
      </c>
      <c r="B243" s="19">
        <v>41525</v>
      </c>
      <c r="C243" s="8" t="s">
        <v>27</v>
      </c>
      <c r="D243" s="8">
        <v>10010</v>
      </c>
      <c r="E243" s="8" t="str">
        <f>VLOOKUP($D243,'Customer Details'!$A$1:$F$17,4,FALSE)</f>
        <v>Tracy</v>
      </c>
      <c r="F243" s="8" t="s">
        <v>364</v>
      </c>
      <c r="G243" s="8">
        <v>1</v>
      </c>
      <c r="H243" s="2" t="str">
        <f>VLOOKUP($D243,'Customer Details'!$A$1:$F$17,MATCH('Order SUmmary'!H$2,'Customer Details'!$A$1:$F$1,0),0)</f>
        <v>Suzlon Energy Ltd.</v>
      </c>
      <c r="I243" s="2" t="str">
        <f>VLOOKUP($D243,'Customer Details'!$A$1:$F$17,4,0)</f>
        <v>Tracy</v>
      </c>
      <c r="J243" s="2" t="str">
        <f>VLOOKUP($D243,'Customer Details'!$A$1:$F$17,6,0)</f>
        <v>95376</v>
      </c>
      <c r="K243" s="8" t="str">
        <f>VLOOKUP(VLOOKUP(D243,'Customer Details'!$A$1:$F$17,5,0),'Region INfo'!$A$1:$C$52,3,0)</f>
        <v xml:space="preserve">Pacific   </v>
      </c>
      <c r="L243" s="8" t="str">
        <f>INDEX(Product_List,MATCH($F243,'Product List'!$B$1:$B$299,0),MATCH('Order SUmmary'!L$2,'Product List'!$A$1:$E$1,0))</f>
        <v>Avery 474</v>
      </c>
      <c r="M243" s="8">
        <f>INDEX(Product_List,MATCH($F243,'Product List'!$B$1:$B$299,0),MATCH('Order SUmmary'!M$2,'Product List'!$A$1:$E$1,0))</f>
        <v>3421</v>
      </c>
      <c r="N243" s="8">
        <f>INDEX(Product_List,MATCH($F243,'Product List'!$B$1:$B$299,0),MATCH('Order SUmmary'!N$2,'Product List'!$A$1:$E$1,0))</f>
        <v>1370</v>
      </c>
      <c r="O243" s="8" t="str">
        <f>INDEX(Product_List,MATCH($F243,'Product List'!$B$1:$B$299,0),MATCH('Order SUmmary'!O$2,'Product List'!$A$1:$E$1,0))</f>
        <v>Labels</v>
      </c>
      <c r="P243" s="12">
        <f>HLOOKUP(C243,'Commission Criteria'!$A$2:$I$4,3,FALSE)</f>
        <v>4</v>
      </c>
      <c r="Q243" s="8">
        <f t="shared" si="10"/>
        <v>1370</v>
      </c>
      <c r="R243" s="8">
        <f t="shared" si="11"/>
        <v>3421</v>
      </c>
      <c r="S243" s="36">
        <f>VLOOKUP(R243,'Commission Criteria'!$L$3:$M$11,2,TRUE)</f>
        <v>0.01</v>
      </c>
      <c r="T243" s="36">
        <f>IF(P243&lt;5,VLOOKUP(R243,'Commission Criteria'!$L$3:$M$11,2,1),VLOOKUP('Order SUmmary'!R243,'Commission Criteria'!$P$3:$Q$11,2,1))</f>
        <v>0.01</v>
      </c>
      <c r="U243" s="36">
        <f>VLOOKUP(R243,IF(P243&lt;5,'Commission Criteria'!$L$3:$M$11,'Commission Criteria'!$P$3:$Q$11),2,1)</f>
        <v>0.01</v>
      </c>
      <c r="V243" s="8" t="s">
        <v>29</v>
      </c>
      <c r="W243" s="36">
        <f t="shared" ca="1" si="12"/>
        <v>0.01</v>
      </c>
      <c r="X243" s="8" t="str">
        <f>_xlfn.XLOOKUP(F243,'Product List'!$B$1:$B$299,'Product List'!$A$1:$A$299)</f>
        <v>Avery 474</v>
      </c>
      <c r="Y243" s="8"/>
      <c r="Z243" s="8" t="str" cm="1">
        <f t="array" ref="Z243:AD243">_xlfn.XLOOKUP(D243,'Customer Details'!$A$1:$A$17,'Customer Details'!$B$1:$F$17,"No such customer",0,1)</f>
        <v>Suzlon Energy Ltd.</v>
      </c>
      <c r="AA243" s="8" t="str">
        <v>501 Marsh Trail Circle</v>
      </c>
      <c r="AB243" s="8" t="str">
        <v>Tracy</v>
      </c>
      <c r="AC243" s="8" t="str">
        <v>CA</v>
      </c>
      <c r="AD243" s="8" t="str">
        <v>95376</v>
      </c>
    </row>
    <row r="244" spans="1:30">
      <c r="A244" s="8" t="s">
        <v>365</v>
      </c>
      <c r="B244" s="19">
        <v>41527</v>
      </c>
      <c r="C244" s="8" t="s">
        <v>44</v>
      </c>
      <c r="D244" s="8">
        <v>10002</v>
      </c>
      <c r="E244" s="8" t="str">
        <f>VLOOKUP($D244,'Customer Details'!$A$1:$F$17,4,FALSE)</f>
        <v>Omaha</v>
      </c>
      <c r="F244" s="8" t="s">
        <v>135</v>
      </c>
      <c r="G244" s="8">
        <v>1</v>
      </c>
      <c r="H244" s="2" t="str">
        <f>VLOOKUP($D244,'Customer Details'!$A$1:$F$17,MATCH('Order SUmmary'!H$2,'Customer Details'!$A$1:$F$1,0),0)</f>
        <v>Elder Pharmaceuticals</v>
      </c>
      <c r="I244" s="2" t="str">
        <f>VLOOKUP($D244,'Customer Details'!$A$1:$F$17,4,0)</f>
        <v>Omaha</v>
      </c>
      <c r="J244" s="2" t="str">
        <f>VLOOKUP($D244,'Customer Details'!$A$1:$F$17,6,0)</f>
        <v>68127</v>
      </c>
      <c r="K244" s="8" t="str">
        <f>VLOOKUP(VLOOKUP(D244,'Customer Details'!$A$1:$F$17,5,0),'Region INfo'!$A$1:$C$52,3,0)</f>
        <v>Western</v>
      </c>
      <c r="L244" s="8" t="str">
        <f>INDEX(Product_List,MATCH($F244,'Product List'!$B$1:$B$299,0),MATCH('Order SUmmary'!L$2,'Product List'!$A$1:$E$1,0))</f>
        <v>Xerox 1939</v>
      </c>
      <c r="M244" s="8">
        <f>INDEX(Product_List,MATCH($F244,'Product List'!$B$1:$B$299,0),MATCH('Order SUmmary'!M$2,'Product List'!$A$1:$E$1,0))</f>
        <v>3408</v>
      </c>
      <c r="N244" s="8">
        <f>INDEX(Product_List,MATCH($F244,'Product List'!$B$1:$B$299,0),MATCH('Order SUmmary'!N$2,'Product List'!$A$1:$E$1,0))</f>
        <v>2467</v>
      </c>
      <c r="O244" s="8" t="str">
        <f>INDEX(Product_List,MATCH($F244,'Product List'!$B$1:$B$299,0),MATCH('Order SUmmary'!O$2,'Product List'!$A$1:$E$1,0))</f>
        <v>Paper</v>
      </c>
      <c r="P244" s="12">
        <f>HLOOKUP(C244,'Commission Criteria'!$A$2:$I$4,3,FALSE)</f>
        <v>4</v>
      </c>
      <c r="Q244" s="8">
        <f t="shared" si="10"/>
        <v>2467</v>
      </c>
      <c r="R244" s="8">
        <f t="shared" si="11"/>
        <v>3408</v>
      </c>
      <c r="S244" s="36">
        <f>VLOOKUP(R244,'Commission Criteria'!$L$3:$M$11,2,TRUE)</f>
        <v>0.01</v>
      </c>
      <c r="T244" s="36">
        <f>IF(P244&lt;5,VLOOKUP(R244,'Commission Criteria'!$L$3:$M$11,2,1),VLOOKUP('Order SUmmary'!R244,'Commission Criteria'!$P$3:$Q$11,2,1))</f>
        <v>0.01</v>
      </c>
      <c r="U244" s="36">
        <f>VLOOKUP(R244,IF(P244&lt;5,'Commission Criteria'!$L$3:$M$11,'Commission Criteria'!$P$3:$Q$11),2,1)</f>
        <v>0.01</v>
      </c>
      <c r="V244" s="8" t="s">
        <v>32</v>
      </c>
      <c r="W244" s="36">
        <f t="shared" ca="1" si="12"/>
        <v>0.02</v>
      </c>
      <c r="X244" s="8" t="str">
        <f>_xlfn.XLOOKUP(F244,'Product List'!$B$1:$B$299,'Product List'!$A$1:$A$299)</f>
        <v>Xerox 1939</v>
      </c>
      <c r="Y244" s="8"/>
      <c r="Z244" s="8" t="str" cm="1">
        <f t="array" ref="Z244:AD244">_xlfn.XLOOKUP(D244,'Customer Details'!$A$1:$A$17,'Customer Details'!$B$1:$F$17,"No such customer",0,1)</f>
        <v>Elder Pharmaceuticals</v>
      </c>
      <c r="AA244" s="8" t="str">
        <v>57 Neriba Cres</v>
      </c>
      <c r="AB244" s="8" t="str">
        <v>Omaha</v>
      </c>
      <c r="AC244" s="8" t="str">
        <v>NE</v>
      </c>
      <c r="AD244" s="8" t="str">
        <v>68127</v>
      </c>
    </row>
    <row r="245" spans="1:30">
      <c r="A245" s="8" t="s">
        <v>366</v>
      </c>
      <c r="B245" s="19">
        <v>41529</v>
      </c>
      <c r="C245" s="8" t="s">
        <v>46</v>
      </c>
      <c r="D245" s="8">
        <v>10006</v>
      </c>
      <c r="E245" s="8" t="str">
        <f>VLOOKUP($D245,'Customer Details'!$A$1:$F$17,4,FALSE)</f>
        <v>Midland</v>
      </c>
      <c r="F245" s="8" t="s">
        <v>367</v>
      </c>
      <c r="G245" s="8">
        <v>1</v>
      </c>
      <c r="H245" s="2" t="str">
        <f>VLOOKUP($D245,'Customer Details'!$A$1:$F$17,MATCH('Order SUmmary'!H$2,'Customer Details'!$A$1:$F$1,0),0)</f>
        <v>Supreme Ind</v>
      </c>
      <c r="I245" s="2" t="str">
        <f>VLOOKUP($D245,'Customer Details'!$A$1:$F$17,4,0)</f>
        <v>Midland</v>
      </c>
      <c r="J245" s="2" t="str">
        <f>VLOOKUP($D245,'Customer Details'!$A$1:$F$17,6,0)</f>
        <v>79706</v>
      </c>
      <c r="K245" s="8" t="str">
        <f>VLOOKUP(VLOOKUP(D245,'Customer Details'!$A$1:$F$17,5,0),'Region INfo'!$A$1:$C$52,3,0)</f>
        <v>Western</v>
      </c>
      <c r="L245" s="8" t="str">
        <f>INDEX(Product_List,MATCH($F245,'Product List'!$B$1:$B$299,0),MATCH('Order SUmmary'!L$2,'Product List'!$A$1:$E$1,0))</f>
        <v>Xerox 196</v>
      </c>
      <c r="M245" s="8">
        <f>INDEX(Product_List,MATCH($F245,'Product List'!$B$1:$B$299,0),MATCH('Order SUmmary'!M$2,'Product List'!$A$1:$E$1,0))</f>
        <v>3018</v>
      </c>
      <c r="N245" s="8">
        <f>INDEX(Product_List,MATCH($F245,'Product List'!$B$1:$B$299,0),MATCH('Order SUmmary'!N$2,'Product List'!$A$1:$E$1,0))</f>
        <v>1286</v>
      </c>
      <c r="O245" s="8" t="str">
        <f>INDEX(Product_List,MATCH($F245,'Product List'!$B$1:$B$299,0),MATCH('Order SUmmary'!O$2,'Product List'!$A$1:$E$1,0))</f>
        <v>Paper</v>
      </c>
      <c r="P245" s="12">
        <f>HLOOKUP(C245,'Commission Criteria'!$A$2:$I$4,3,FALSE)</f>
        <v>8</v>
      </c>
      <c r="Q245" s="8">
        <f t="shared" si="10"/>
        <v>1286</v>
      </c>
      <c r="R245" s="8">
        <f t="shared" si="11"/>
        <v>3018</v>
      </c>
      <c r="S245" s="36">
        <f>VLOOKUP(R245,'Commission Criteria'!$L$3:$M$11,2,TRUE)</f>
        <v>0.01</v>
      </c>
      <c r="T245" s="36">
        <f>IF(P245&lt;5,VLOOKUP(R245,'Commission Criteria'!$L$3:$M$11,2,1),VLOOKUP('Order SUmmary'!R245,'Commission Criteria'!$P$3:$Q$11,2,1))</f>
        <v>0.02</v>
      </c>
      <c r="U245" s="36">
        <f>VLOOKUP(R245,IF(P245&lt;5,'Commission Criteria'!$L$3:$M$11,'Commission Criteria'!$P$3:$Q$11),2,1)</f>
        <v>0.02</v>
      </c>
      <c r="V245" s="8" t="s">
        <v>43</v>
      </c>
      <c r="W245" s="36">
        <f t="shared" ca="1" si="12"/>
        <v>0.03</v>
      </c>
      <c r="X245" s="8" t="str">
        <f>_xlfn.XLOOKUP(F245,'Product List'!$B$1:$B$299,'Product List'!$A$1:$A$299)</f>
        <v>Xerox 196</v>
      </c>
      <c r="Y245" s="8"/>
      <c r="Z245" s="8" t="str" cm="1">
        <f t="array" ref="Z245:AD245">_xlfn.XLOOKUP(D245,'Customer Details'!$A$1:$A$17,'Customer Details'!$B$1:$F$17,"No such customer",0,1)</f>
        <v>Supreme Ind</v>
      </c>
      <c r="AA245" s="8" t="str">
        <v>P.O. Box 1367</v>
      </c>
      <c r="AB245" s="8" t="str">
        <v>Midland</v>
      </c>
      <c r="AC245" s="8" t="str">
        <v>TX</v>
      </c>
      <c r="AD245" s="8" t="str">
        <v>79706</v>
      </c>
    </row>
    <row r="246" spans="1:30">
      <c r="A246" s="8" t="s">
        <v>366</v>
      </c>
      <c r="B246" s="19">
        <v>41529</v>
      </c>
      <c r="C246" s="8" t="s">
        <v>66</v>
      </c>
      <c r="D246" s="8">
        <v>10012</v>
      </c>
      <c r="E246" s="8" t="str">
        <f>VLOOKUP($D246,'Customer Details'!$A$1:$F$17,4,FALSE)</f>
        <v>Santa Barbara</v>
      </c>
      <c r="F246" s="8" t="s">
        <v>206</v>
      </c>
      <c r="G246" s="8">
        <v>1</v>
      </c>
      <c r="H246" s="2" t="str">
        <f>VLOOKUP($D246,'Customer Details'!$A$1:$F$17,MATCH('Order SUmmary'!H$2,'Customer Details'!$A$1:$F$1,0),0)</f>
        <v>Dynamatic Technologies Ltd.</v>
      </c>
      <c r="I246" s="2" t="str">
        <f>VLOOKUP($D246,'Customer Details'!$A$1:$F$17,4,0)</f>
        <v>Santa Barbara</v>
      </c>
      <c r="J246" s="2" t="str">
        <f>VLOOKUP($D246,'Customer Details'!$A$1:$F$17,6,0)</f>
        <v>93110</v>
      </c>
      <c r="K246" s="8" t="str">
        <f>VLOOKUP(VLOOKUP(D246,'Customer Details'!$A$1:$F$17,5,0),'Region INfo'!$A$1:$C$52,3,0)</f>
        <v xml:space="preserve">Pacific   </v>
      </c>
      <c r="L246" s="8" t="str">
        <f>INDEX(Product_List,MATCH($F246,'Product List'!$B$1:$B$299,0),MATCH('Order SUmmary'!L$2,'Product List'!$A$1:$E$1,0))</f>
        <v>Xerox 1973</v>
      </c>
      <c r="M246" s="8">
        <f>INDEX(Product_List,MATCH($F246,'Product List'!$B$1:$B$299,0),MATCH('Order SUmmary'!M$2,'Product List'!$A$1:$E$1,0))</f>
        <v>4928</v>
      </c>
      <c r="N246" s="8">
        <f>INDEX(Product_List,MATCH($F246,'Product List'!$B$1:$B$299,0),MATCH('Order SUmmary'!N$2,'Product List'!$A$1:$E$1,0))</f>
        <v>2101</v>
      </c>
      <c r="O246" s="8" t="str">
        <f>INDEX(Product_List,MATCH($F246,'Product List'!$B$1:$B$299,0),MATCH('Order SUmmary'!O$2,'Product List'!$A$1:$E$1,0))</f>
        <v>Paper</v>
      </c>
      <c r="P246" s="12">
        <f>HLOOKUP(C246,'Commission Criteria'!$A$2:$I$4,3,FALSE)</f>
        <v>5</v>
      </c>
      <c r="Q246" s="8">
        <f t="shared" si="10"/>
        <v>2101</v>
      </c>
      <c r="R246" s="8">
        <f t="shared" si="11"/>
        <v>4928</v>
      </c>
      <c r="S246" s="36">
        <f>VLOOKUP(R246,'Commission Criteria'!$L$3:$M$11,2,TRUE)</f>
        <v>0.01</v>
      </c>
      <c r="T246" s="36">
        <f>IF(P246&lt;5,VLOOKUP(R246,'Commission Criteria'!$L$3:$M$11,2,1),VLOOKUP('Order SUmmary'!R246,'Commission Criteria'!$P$3:$Q$11,2,1))</f>
        <v>0.02</v>
      </c>
      <c r="U246" s="36">
        <f>VLOOKUP(R246,IF(P246&lt;5,'Commission Criteria'!$L$3:$M$11,'Commission Criteria'!$P$3:$Q$11),2,1)</f>
        <v>0.02</v>
      </c>
      <c r="V246" s="8" t="s">
        <v>40</v>
      </c>
      <c r="W246" s="36">
        <f t="shared" ca="1" si="12"/>
        <v>0.05</v>
      </c>
      <c r="X246" s="8" t="str">
        <f>_xlfn.XLOOKUP(F246,'Product List'!$B$1:$B$299,'Product List'!$A$1:$A$299)</f>
        <v>Xerox 1973</v>
      </c>
      <c r="Y246" s="8"/>
      <c r="Z246" s="8" t="str" cm="1">
        <f t="array" ref="Z246:AD246">_xlfn.XLOOKUP(D246,'Customer Details'!$A$1:$A$17,'Customer Details'!$B$1:$F$17,"No such customer",0,1)</f>
        <v>Dynamatic Technologies Ltd.</v>
      </c>
      <c r="AA246" s="8" t="str">
        <v>402 Pinkster Lane</v>
      </c>
      <c r="AB246" s="8" t="str">
        <v>Santa Barbara</v>
      </c>
      <c r="AC246" s="8" t="str">
        <v>CA</v>
      </c>
      <c r="AD246" s="8" t="str">
        <v>93110</v>
      </c>
    </row>
    <row r="247" spans="1:30">
      <c r="A247" s="8" t="s">
        <v>366</v>
      </c>
      <c r="B247" s="19">
        <v>41529</v>
      </c>
      <c r="C247" s="8" t="s">
        <v>66</v>
      </c>
      <c r="D247" s="8">
        <v>10015</v>
      </c>
      <c r="E247" s="8" t="str">
        <f>VLOOKUP($D247,'Customer Details'!$A$1:$F$17,4,FALSE)</f>
        <v>South Windsor</v>
      </c>
      <c r="F247" s="8" t="s">
        <v>368</v>
      </c>
      <c r="G247" s="8">
        <v>2</v>
      </c>
      <c r="H247" s="2" t="str">
        <f>VLOOKUP($D247,'Customer Details'!$A$1:$F$17,MATCH('Order SUmmary'!H$2,'Customer Details'!$A$1:$F$1,0),0)</f>
        <v>Punj Lloyd Ltd.</v>
      </c>
      <c r="I247" s="2" t="str">
        <f>VLOOKUP($D247,'Customer Details'!$A$1:$F$17,4,0)</f>
        <v>South Windsor</v>
      </c>
      <c r="J247" s="2" t="str">
        <f>VLOOKUP($D247,'Customer Details'!$A$1:$F$17,6,0)</f>
        <v>06074</v>
      </c>
      <c r="K247" s="8" t="str">
        <f>VLOOKUP(VLOOKUP(D247,'Customer Details'!$A$1:$F$17,5,0),'Region INfo'!$A$1:$C$52,3,0)</f>
        <v xml:space="preserve">Northern </v>
      </c>
      <c r="L247" s="8" t="str">
        <f>INDEX(Product_List,MATCH($F247,'Product List'!$B$1:$B$299,0),MATCH('Order SUmmary'!L$2,'Product List'!$A$1:$E$1,0))</f>
        <v>Xerox 1978</v>
      </c>
      <c r="M247" s="8">
        <f>INDEX(Product_List,MATCH($F247,'Product List'!$B$1:$B$299,0),MATCH('Order SUmmary'!M$2,'Product List'!$A$1:$E$1,0))</f>
        <v>4757</v>
      </c>
      <c r="N247" s="8">
        <f>INDEX(Product_List,MATCH($F247,'Product List'!$B$1:$B$299,0),MATCH('Order SUmmary'!N$2,'Product List'!$A$1:$E$1,0))</f>
        <v>1534</v>
      </c>
      <c r="O247" s="8" t="str">
        <f>INDEX(Product_List,MATCH($F247,'Product List'!$B$1:$B$299,0),MATCH('Order SUmmary'!O$2,'Product List'!$A$1:$E$1,0))</f>
        <v>Paper</v>
      </c>
      <c r="P247" s="12">
        <f>HLOOKUP(C247,'Commission Criteria'!$A$2:$I$4,3,FALSE)</f>
        <v>5</v>
      </c>
      <c r="Q247" s="8">
        <f t="shared" si="10"/>
        <v>3068</v>
      </c>
      <c r="R247" s="8">
        <f t="shared" si="11"/>
        <v>9514</v>
      </c>
      <c r="S247" s="36">
        <f>VLOOKUP(R247,'Commission Criteria'!$L$3:$M$11,2,TRUE)</f>
        <v>0.03</v>
      </c>
      <c r="T247" s="36">
        <f>IF(P247&lt;5,VLOOKUP(R247,'Commission Criteria'!$L$3:$M$11,2,1),VLOOKUP('Order SUmmary'!R247,'Commission Criteria'!$P$3:$Q$11,2,1))</f>
        <v>0.02</v>
      </c>
      <c r="U247" s="36">
        <f>VLOOKUP(R247,IF(P247&lt;5,'Commission Criteria'!$L$3:$M$11,'Commission Criteria'!$P$3:$Q$11),2,1)</f>
        <v>0.02</v>
      </c>
      <c r="V247" s="8" t="s">
        <v>29</v>
      </c>
      <c r="W247" s="36">
        <f t="shared" ca="1" si="12"/>
        <v>0</v>
      </c>
      <c r="X247" s="8" t="str">
        <f>_xlfn.XLOOKUP(F247,'Product List'!$B$1:$B$299,'Product List'!$A$1:$A$299)</f>
        <v>Xerox 1978</v>
      </c>
      <c r="Y247" s="8"/>
      <c r="Z247" s="8" t="str" cm="1">
        <f t="array" ref="Z247:AD247">_xlfn.XLOOKUP(D247,'Customer Details'!$A$1:$A$17,'Customer Details'!$B$1:$F$17,"No such customer",0,1)</f>
        <v>Punj Lloyd Ltd.</v>
      </c>
      <c r="AA247" s="8" t="str">
        <v>Box 3263</v>
      </c>
      <c r="AB247" s="8" t="str">
        <v>South Windsor</v>
      </c>
      <c r="AC247" s="8" t="str">
        <v>CT</v>
      </c>
      <c r="AD247" s="8" t="str">
        <v>06074</v>
      </c>
    </row>
    <row r="248" spans="1:30">
      <c r="A248" s="8" t="s">
        <v>369</v>
      </c>
      <c r="B248" s="19">
        <v>41531</v>
      </c>
      <c r="C248" s="8" t="s">
        <v>27</v>
      </c>
      <c r="D248" s="8">
        <v>10012</v>
      </c>
      <c r="E248" s="8" t="str">
        <f>VLOOKUP($D248,'Customer Details'!$A$1:$F$17,4,FALSE)</f>
        <v>Santa Barbara</v>
      </c>
      <c r="F248" s="8" t="s">
        <v>370</v>
      </c>
      <c r="G248" s="8">
        <v>1</v>
      </c>
      <c r="H248" s="2" t="str">
        <f>VLOOKUP($D248,'Customer Details'!$A$1:$F$17,MATCH('Order SUmmary'!H$2,'Customer Details'!$A$1:$F$1,0),0)</f>
        <v>Dynamatic Technologies Ltd.</v>
      </c>
      <c r="I248" s="2" t="str">
        <f>VLOOKUP($D248,'Customer Details'!$A$1:$F$17,4,0)</f>
        <v>Santa Barbara</v>
      </c>
      <c r="J248" s="2" t="str">
        <f>VLOOKUP($D248,'Customer Details'!$A$1:$F$17,6,0)</f>
        <v>93110</v>
      </c>
      <c r="K248" s="8" t="str">
        <f>VLOOKUP(VLOOKUP(D248,'Customer Details'!$A$1:$F$17,5,0),'Region INfo'!$A$1:$C$52,3,0)</f>
        <v xml:space="preserve">Pacific   </v>
      </c>
      <c r="L248" s="8" t="str">
        <f>INDEX(Product_List,MATCH($F248,'Product List'!$B$1:$B$299,0),MATCH('Order SUmmary'!L$2,'Product List'!$A$1:$E$1,0))</f>
        <v>Avery 496</v>
      </c>
      <c r="M248" s="8">
        <f>INDEX(Product_List,MATCH($F248,'Product List'!$B$1:$B$299,0),MATCH('Order SUmmary'!M$2,'Product List'!$A$1:$E$1,0))</f>
        <v>2902</v>
      </c>
      <c r="N248" s="8">
        <f>INDEX(Product_List,MATCH($F248,'Product List'!$B$1:$B$299,0),MATCH('Order SUmmary'!N$2,'Product List'!$A$1:$E$1,0))</f>
        <v>1633</v>
      </c>
      <c r="O248" s="8" t="str">
        <f>INDEX(Product_List,MATCH($F248,'Product List'!$B$1:$B$299,0),MATCH('Order SUmmary'!O$2,'Product List'!$A$1:$E$1,0))</f>
        <v>Labels</v>
      </c>
      <c r="P248" s="12">
        <f>HLOOKUP(C248,'Commission Criteria'!$A$2:$I$4,3,FALSE)</f>
        <v>4</v>
      </c>
      <c r="Q248" s="8">
        <f t="shared" si="10"/>
        <v>1633</v>
      </c>
      <c r="R248" s="8">
        <f t="shared" si="11"/>
        <v>2902</v>
      </c>
      <c r="S248" s="36">
        <f>VLOOKUP(R248,'Commission Criteria'!$L$3:$M$11,2,TRUE)</f>
        <v>0.01</v>
      </c>
      <c r="T248" s="36">
        <f>IF(P248&lt;5,VLOOKUP(R248,'Commission Criteria'!$L$3:$M$11,2,1),VLOOKUP('Order SUmmary'!R248,'Commission Criteria'!$P$3:$Q$11,2,1))</f>
        <v>0.01</v>
      </c>
      <c r="U248" s="36">
        <f>VLOOKUP(R248,IF(P248&lt;5,'Commission Criteria'!$L$3:$M$11,'Commission Criteria'!$P$3:$Q$11),2,1)</f>
        <v>0.01</v>
      </c>
      <c r="V248" s="8" t="s">
        <v>43</v>
      </c>
      <c r="W248" s="36">
        <f t="shared" ca="1" si="12"/>
        <v>0</v>
      </c>
      <c r="X248" s="8" t="str">
        <f>_xlfn.XLOOKUP(F248,'Product List'!$B$1:$B$299,'Product List'!$A$1:$A$299)</f>
        <v>Avery 496</v>
      </c>
      <c r="Y248" s="8"/>
      <c r="Z248" s="8" t="str" cm="1">
        <f t="array" ref="Z248:AD248">_xlfn.XLOOKUP(D248,'Customer Details'!$A$1:$A$17,'Customer Details'!$B$1:$F$17,"No such customer",0,1)</f>
        <v>Dynamatic Technologies Ltd.</v>
      </c>
      <c r="AA248" s="8" t="str">
        <v>402 Pinkster Lane</v>
      </c>
      <c r="AB248" s="8" t="str">
        <v>Santa Barbara</v>
      </c>
      <c r="AC248" s="8" t="str">
        <v>CA</v>
      </c>
      <c r="AD248" s="8" t="str">
        <v>93110</v>
      </c>
    </row>
    <row r="249" spans="1:30">
      <c r="A249" s="8" t="s">
        <v>369</v>
      </c>
      <c r="B249" s="19">
        <v>41531</v>
      </c>
      <c r="C249" s="8" t="s">
        <v>27</v>
      </c>
      <c r="D249" s="8">
        <v>10006</v>
      </c>
      <c r="E249" s="8" t="str">
        <f>VLOOKUP($D249,'Customer Details'!$A$1:$F$17,4,FALSE)</f>
        <v>Midland</v>
      </c>
      <c r="F249" s="8" t="s">
        <v>371</v>
      </c>
      <c r="G249" s="8">
        <v>1</v>
      </c>
      <c r="H249" s="2" t="str">
        <f>VLOOKUP($D249,'Customer Details'!$A$1:$F$17,MATCH('Order SUmmary'!H$2,'Customer Details'!$A$1:$F$1,0),0)</f>
        <v>Supreme Ind</v>
      </c>
      <c r="I249" s="2" t="str">
        <f>VLOOKUP($D249,'Customer Details'!$A$1:$F$17,4,0)</f>
        <v>Midland</v>
      </c>
      <c r="J249" s="2" t="str">
        <f>VLOOKUP($D249,'Customer Details'!$A$1:$F$17,6,0)</f>
        <v>79706</v>
      </c>
      <c r="K249" s="8" t="str">
        <f>VLOOKUP(VLOOKUP(D249,'Customer Details'!$A$1:$F$17,5,0),'Region INfo'!$A$1:$C$52,3,0)</f>
        <v>Western</v>
      </c>
      <c r="L249" s="8" t="str">
        <f>INDEX(Product_List,MATCH($F249,'Product List'!$B$1:$B$299,0),MATCH('Order SUmmary'!L$2,'Product List'!$A$1:$E$1,0))</f>
        <v>Xerox 1968</v>
      </c>
      <c r="M249" s="8">
        <f>INDEX(Product_List,MATCH($F249,'Product List'!$B$1:$B$299,0),MATCH('Order SUmmary'!M$2,'Product List'!$A$1:$E$1,0))</f>
        <v>3413</v>
      </c>
      <c r="N249" s="8">
        <f>INDEX(Product_List,MATCH($F249,'Product List'!$B$1:$B$299,0),MATCH('Order SUmmary'!N$2,'Product List'!$A$1:$E$1,0))</f>
        <v>1700</v>
      </c>
      <c r="O249" s="8" t="str">
        <f>INDEX(Product_List,MATCH($F249,'Product List'!$B$1:$B$299,0),MATCH('Order SUmmary'!O$2,'Product List'!$A$1:$E$1,0))</f>
        <v>Paper</v>
      </c>
      <c r="P249" s="12">
        <f>HLOOKUP(C249,'Commission Criteria'!$A$2:$I$4,3,FALSE)</f>
        <v>4</v>
      </c>
      <c r="Q249" s="8">
        <f t="shared" si="10"/>
        <v>1700</v>
      </c>
      <c r="R249" s="8">
        <f t="shared" si="11"/>
        <v>3413</v>
      </c>
      <c r="S249" s="36">
        <f>VLOOKUP(R249,'Commission Criteria'!$L$3:$M$11,2,TRUE)</f>
        <v>0.01</v>
      </c>
      <c r="T249" s="36">
        <f>IF(P249&lt;5,VLOOKUP(R249,'Commission Criteria'!$L$3:$M$11,2,1),VLOOKUP('Order SUmmary'!R249,'Commission Criteria'!$P$3:$Q$11,2,1))</f>
        <v>0.01</v>
      </c>
      <c r="U249" s="36">
        <f>VLOOKUP(R249,IF(P249&lt;5,'Commission Criteria'!$L$3:$M$11,'Commission Criteria'!$P$3:$Q$11),2,1)</f>
        <v>0.01</v>
      </c>
      <c r="V249" s="8" t="s">
        <v>35</v>
      </c>
      <c r="W249" s="36">
        <f t="shared" ca="1" si="12"/>
        <v>0.04</v>
      </c>
      <c r="X249" s="8" t="str">
        <f>_xlfn.XLOOKUP(F249,'Product List'!$B$1:$B$299,'Product List'!$A$1:$A$299)</f>
        <v>Xerox 1968</v>
      </c>
      <c r="Y249" s="8"/>
      <c r="Z249" s="8" t="str" cm="1">
        <f t="array" ref="Z249:AD249">_xlfn.XLOOKUP(D249,'Customer Details'!$A$1:$A$17,'Customer Details'!$B$1:$F$17,"No such customer",0,1)</f>
        <v>Supreme Ind</v>
      </c>
      <c r="AA249" s="8" t="str">
        <v>P.O. Box 1367</v>
      </c>
      <c r="AB249" s="8" t="str">
        <v>Midland</v>
      </c>
      <c r="AC249" s="8" t="str">
        <v>TX</v>
      </c>
      <c r="AD249" s="8" t="str">
        <v>79706</v>
      </c>
    </row>
    <row r="250" spans="1:30">
      <c r="A250" s="8" t="s">
        <v>369</v>
      </c>
      <c r="B250" s="19">
        <v>41531</v>
      </c>
      <c r="C250" s="8" t="s">
        <v>44</v>
      </c>
      <c r="D250" s="8">
        <v>10011</v>
      </c>
      <c r="E250" s="8" t="str">
        <f>VLOOKUP($D250,'Customer Details'!$A$1:$F$17,4,FALSE)</f>
        <v>Olympia</v>
      </c>
      <c r="F250" s="8" t="s">
        <v>281</v>
      </c>
      <c r="G250" s="8">
        <v>1</v>
      </c>
      <c r="H250" s="2" t="str">
        <f>VLOOKUP($D250,'Customer Details'!$A$1:$F$17,MATCH('Order SUmmary'!H$2,'Customer Details'!$A$1:$F$1,0),0)</f>
        <v>Sonata Software</v>
      </c>
      <c r="I250" s="2" t="str">
        <f>VLOOKUP($D250,'Customer Details'!$A$1:$F$17,4,0)</f>
        <v>Olympia</v>
      </c>
      <c r="J250" s="2" t="str">
        <f>VLOOKUP($D250,'Customer Details'!$A$1:$F$17,6,0)</f>
        <v>98502</v>
      </c>
      <c r="K250" s="8" t="str">
        <f>VLOOKUP(VLOOKUP(D250,'Customer Details'!$A$1:$F$17,5,0),'Region INfo'!$A$1:$C$52,3,0)</f>
        <v xml:space="preserve">Pacific   </v>
      </c>
      <c r="L250" s="8" t="str">
        <f>INDEX(Product_List,MATCH($F250,'Product List'!$B$1:$B$299,0),MATCH('Order SUmmary'!L$2,'Product List'!$A$1:$E$1,0))</f>
        <v>Newell 309</v>
      </c>
      <c r="M250" s="8">
        <f>INDEX(Product_List,MATCH($F250,'Product List'!$B$1:$B$299,0),MATCH('Order SUmmary'!M$2,'Product List'!$A$1:$E$1,0))</f>
        <v>4927</v>
      </c>
      <c r="N250" s="8">
        <f>INDEX(Product_List,MATCH($F250,'Product List'!$B$1:$B$299,0),MATCH('Order SUmmary'!N$2,'Product List'!$A$1:$E$1,0))</f>
        <v>2034</v>
      </c>
      <c r="O250" s="8" t="str">
        <f>INDEX(Product_List,MATCH($F250,'Product List'!$B$1:$B$299,0),MATCH('Order SUmmary'!O$2,'Product List'!$A$1:$E$1,0))</f>
        <v>Art</v>
      </c>
      <c r="P250" s="12">
        <f>HLOOKUP(C250,'Commission Criteria'!$A$2:$I$4,3,FALSE)</f>
        <v>4</v>
      </c>
      <c r="Q250" s="8">
        <f t="shared" si="10"/>
        <v>2034</v>
      </c>
      <c r="R250" s="8">
        <f t="shared" si="11"/>
        <v>4927</v>
      </c>
      <c r="S250" s="36">
        <f>VLOOKUP(R250,'Commission Criteria'!$L$3:$M$11,2,TRUE)</f>
        <v>0.01</v>
      </c>
      <c r="T250" s="36">
        <f>IF(P250&lt;5,VLOOKUP(R250,'Commission Criteria'!$L$3:$M$11,2,1),VLOOKUP('Order SUmmary'!R250,'Commission Criteria'!$P$3:$Q$11,2,1))</f>
        <v>0.01</v>
      </c>
      <c r="U250" s="36">
        <f>VLOOKUP(R250,IF(P250&lt;5,'Commission Criteria'!$L$3:$M$11,'Commission Criteria'!$P$3:$Q$11),2,1)</f>
        <v>0.01</v>
      </c>
      <c r="V250" s="8" t="s">
        <v>50</v>
      </c>
      <c r="W250" s="36">
        <f t="shared" ca="1" si="12"/>
        <v>0.04</v>
      </c>
      <c r="X250" s="8" t="str">
        <f>_xlfn.XLOOKUP(F250,'Product List'!$B$1:$B$299,'Product List'!$A$1:$A$299)</f>
        <v>Newell 309</v>
      </c>
      <c r="Y250" s="8"/>
      <c r="Z250" s="8" t="str" cm="1">
        <f t="array" ref="Z250:AD250">_xlfn.XLOOKUP(D250,'Customer Details'!$A$1:$A$17,'Customer Details'!$B$1:$F$17,"No such customer",0,1)</f>
        <v>Sonata Software</v>
      </c>
      <c r="AA250" s="8" t="str">
        <v>1331 Kimberly Dr.</v>
      </c>
      <c r="AB250" s="8" t="str">
        <v>Olympia</v>
      </c>
      <c r="AC250" s="8" t="str">
        <v>WA</v>
      </c>
      <c r="AD250" s="8" t="str">
        <v>98502</v>
      </c>
    </row>
    <row r="251" spans="1:30">
      <c r="A251" s="8" t="s">
        <v>372</v>
      </c>
      <c r="B251" s="19">
        <v>41534</v>
      </c>
      <c r="C251" s="8" t="s">
        <v>66</v>
      </c>
      <c r="D251" s="8">
        <v>10009</v>
      </c>
      <c r="E251" s="8" t="str">
        <f>VLOOKUP($D251,'Customer Details'!$A$1:$F$17,4,FALSE)</f>
        <v>Salt Lake City</v>
      </c>
      <c r="F251" s="8" t="s">
        <v>112</v>
      </c>
      <c r="G251" s="8">
        <v>1</v>
      </c>
      <c r="H251" s="2" t="str">
        <f>VLOOKUP($D251,'Customer Details'!$A$1:$F$17,MATCH('Order SUmmary'!H$2,'Customer Details'!$A$1:$F$1,0),0)</f>
        <v>Godfrey Philips India Ltd.</v>
      </c>
      <c r="I251" s="2" t="str">
        <f>VLOOKUP($D251,'Customer Details'!$A$1:$F$17,4,0)</f>
        <v>Salt Lake City</v>
      </c>
      <c r="J251" s="2" t="str">
        <f>VLOOKUP($D251,'Customer Details'!$A$1:$F$17,6,0)</f>
        <v>84118</v>
      </c>
      <c r="K251" s="8" t="str">
        <f>VLOOKUP(VLOOKUP(D251,'Customer Details'!$A$1:$F$17,5,0),'Region INfo'!$A$1:$C$52,3,0)</f>
        <v xml:space="preserve">Pacific   </v>
      </c>
      <c r="L251" s="8" t="str">
        <f>INDEX(Product_List,MATCH($F251,'Product List'!$B$1:$B$299,0),MATCH('Order SUmmary'!L$2,'Product List'!$A$1:$E$1,0))</f>
        <v>Newell 317</v>
      </c>
      <c r="M251" s="8">
        <f>INDEX(Product_List,MATCH($F251,'Product List'!$B$1:$B$299,0),MATCH('Order SUmmary'!M$2,'Product List'!$A$1:$E$1,0))</f>
        <v>4891</v>
      </c>
      <c r="N251" s="8">
        <f>INDEX(Product_List,MATCH($F251,'Product List'!$B$1:$B$299,0),MATCH('Order SUmmary'!N$2,'Product List'!$A$1:$E$1,0))</f>
        <v>1745</v>
      </c>
      <c r="O251" s="8" t="str">
        <f>INDEX(Product_List,MATCH($F251,'Product List'!$B$1:$B$299,0),MATCH('Order SUmmary'!O$2,'Product List'!$A$1:$E$1,0))</f>
        <v>Art</v>
      </c>
      <c r="P251" s="12">
        <f>HLOOKUP(C251,'Commission Criteria'!$A$2:$I$4,3,FALSE)</f>
        <v>5</v>
      </c>
      <c r="Q251" s="8">
        <f t="shared" si="10"/>
        <v>1745</v>
      </c>
      <c r="R251" s="8">
        <f t="shared" si="11"/>
        <v>4891</v>
      </c>
      <c r="S251" s="36">
        <f>VLOOKUP(R251,'Commission Criteria'!$L$3:$M$11,2,TRUE)</f>
        <v>0.01</v>
      </c>
      <c r="T251" s="36">
        <f>IF(P251&lt;5,VLOOKUP(R251,'Commission Criteria'!$L$3:$M$11,2,1),VLOOKUP('Order SUmmary'!R251,'Commission Criteria'!$P$3:$Q$11,2,1))</f>
        <v>0.02</v>
      </c>
      <c r="U251" s="36">
        <f>VLOOKUP(R251,IF(P251&lt;5,'Commission Criteria'!$L$3:$M$11,'Commission Criteria'!$P$3:$Q$11),2,1)</f>
        <v>0.02</v>
      </c>
      <c r="V251" s="8" t="s">
        <v>35</v>
      </c>
      <c r="W251" s="36">
        <f t="shared" ca="1" si="12"/>
        <v>0.04</v>
      </c>
      <c r="X251" s="8" t="str">
        <f>_xlfn.XLOOKUP(F251,'Product List'!$B$1:$B$299,'Product List'!$A$1:$A$299)</f>
        <v>Newell 317</v>
      </c>
      <c r="Y251" s="8"/>
      <c r="Z251" s="8" t="str" cm="1">
        <f t="array" ref="Z251:AD251">_xlfn.XLOOKUP(D251,'Customer Details'!$A$1:$A$17,'Customer Details'!$B$1:$F$17,"No such customer",0,1)</f>
        <v>Godfrey Philips India Ltd.</v>
      </c>
      <c r="AA251" s="8" t="str">
        <v>20501 Ania Ave #2</v>
      </c>
      <c r="AB251" s="8" t="str">
        <v>Salt Lake City</v>
      </c>
      <c r="AC251" s="8" t="str">
        <v>UT</v>
      </c>
      <c r="AD251" s="8" t="str">
        <v>84118</v>
      </c>
    </row>
    <row r="252" spans="1:30">
      <c r="A252" s="8" t="s">
        <v>373</v>
      </c>
      <c r="B252" s="19">
        <v>41538</v>
      </c>
      <c r="C252" s="8" t="s">
        <v>51</v>
      </c>
      <c r="D252" s="8">
        <v>10015</v>
      </c>
      <c r="E252" s="8" t="str">
        <f>VLOOKUP($D252,'Customer Details'!$A$1:$F$17,4,FALSE)</f>
        <v>South Windsor</v>
      </c>
      <c r="F252" s="8" t="s">
        <v>39</v>
      </c>
      <c r="G252" s="8">
        <v>1</v>
      </c>
      <c r="H252" s="2" t="str">
        <f>VLOOKUP($D252,'Customer Details'!$A$1:$F$17,MATCH('Order SUmmary'!H$2,'Customer Details'!$A$1:$F$1,0),0)</f>
        <v>Punj Lloyd Ltd.</v>
      </c>
      <c r="I252" s="2" t="str">
        <f>VLOOKUP($D252,'Customer Details'!$A$1:$F$17,4,0)</f>
        <v>South Windsor</v>
      </c>
      <c r="J252" s="2" t="str">
        <f>VLOOKUP($D252,'Customer Details'!$A$1:$F$17,6,0)</f>
        <v>06074</v>
      </c>
      <c r="K252" s="8" t="str">
        <f>VLOOKUP(VLOOKUP(D252,'Customer Details'!$A$1:$F$17,5,0),'Region INfo'!$A$1:$C$52,3,0)</f>
        <v xml:space="preserve">Northern </v>
      </c>
      <c r="L252" s="8" t="str">
        <f>INDEX(Product_List,MATCH($F252,'Product List'!$B$1:$B$299,0),MATCH('Order SUmmary'!L$2,'Product List'!$A$1:$E$1,0))</f>
        <v>Xerox 1890</v>
      </c>
      <c r="M252" s="8">
        <f>INDEX(Product_List,MATCH($F252,'Product List'!$B$1:$B$299,0),MATCH('Order SUmmary'!M$2,'Product List'!$A$1:$E$1,0))</f>
        <v>3878</v>
      </c>
      <c r="N252" s="8">
        <f>INDEX(Product_List,MATCH($F252,'Product List'!$B$1:$B$299,0),MATCH('Order SUmmary'!N$2,'Product List'!$A$1:$E$1,0))</f>
        <v>2236</v>
      </c>
      <c r="O252" s="8" t="str">
        <f>INDEX(Product_List,MATCH($F252,'Product List'!$B$1:$B$299,0),MATCH('Order SUmmary'!O$2,'Product List'!$A$1:$E$1,0))</f>
        <v>Paper</v>
      </c>
      <c r="P252" s="12">
        <f>HLOOKUP(C252,'Commission Criteria'!$A$2:$I$4,3,FALSE)</f>
        <v>10</v>
      </c>
      <c r="Q252" s="8">
        <f t="shared" si="10"/>
        <v>2236</v>
      </c>
      <c r="R252" s="8">
        <f t="shared" si="11"/>
        <v>3878</v>
      </c>
      <c r="S252" s="36">
        <f>VLOOKUP(R252,'Commission Criteria'!$L$3:$M$11,2,TRUE)</f>
        <v>0.01</v>
      </c>
      <c r="T252" s="36">
        <f>IF(P252&lt;5,VLOOKUP(R252,'Commission Criteria'!$L$3:$M$11,2,1),VLOOKUP('Order SUmmary'!R252,'Commission Criteria'!$P$3:$Q$11,2,1))</f>
        <v>0.02</v>
      </c>
      <c r="U252" s="36">
        <f>VLOOKUP(R252,IF(P252&lt;5,'Commission Criteria'!$L$3:$M$11,'Commission Criteria'!$P$3:$Q$11),2,1)</f>
        <v>0.02</v>
      </c>
      <c r="V252" s="8" t="s">
        <v>35</v>
      </c>
      <c r="W252" s="36">
        <f t="shared" ca="1" si="12"/>
        <v>0.05</v>
      </c>
      <c r="X252" s="8" t="str">
        <f>_xlfn.XLOOKUP(F252,'Product List'!$B$1:$B$299,'Product List'!$A$1:$A$299)</f>
        <v>Xerox 1890</v>
      </c>
      <c r="Y252" s="8"/>
      <c r="Z252" s="8" t="str" cm="1">
        <f t="array" ref="Z252:AD252">_xlfn.XLOOKUP(D252,'Customer Details'!$A$1:$A$17,'Customer Details'!$B$1:$F$17,"No such customer",0,1)</f>
        <v>Punj Lloyd Ltd.</v>
      </c>
      <c r="AA252" s="8" t="str">
        <v>Box 3263</v>
      </c>
      <c r="AB252" s="8" t="str">
        <v>South Windsor</v>
      </c>
      <c r="AC252" s="8" t="str">
        <v>CT</v>
      </c>
      <c r="AD252" s="8" t="str">
        <v>06074</v>
      </c>
    </row>
    <row r="253" spans="1:30">
      <c r="A253" s="8" t="s">
        <v>374</v>
      </c>
      <c r="B253" s="19">
        <v>41539</v>
      </c>
      <c r="C253" s="8" t="s">
        <v>46</v>
      </c>
      <c r="D253" s="8">
        <v>10012</v>
      </c>
      <c r="E253" s="8" t="str">
        <f>VLOOKUP($D253,'Customer Details'!$A$1:$F$17,4,FALSE)</f>
        <v>Santa Barbara</v>
      </c>
      <c r="F253" s="8" t="s">
        <v>375</v>
      </c>
      <c r="G253" s="8">
        <v>24</v>
      </c>
      <c r="H253" s="2" t="str">
        <f>VLOOKUP($D253,'Customer Details'!$A$1:$F$17,MATCH('Order SUmmary'!H$2,'Customer Details'!$A$1:$F$1,0),0)</f>
        <v>Dynamatic Technologies Ltd.</v>
      </c>
      <c r="I253" s="2" t="str">
        <f>VLOOKUP($D253,'Customer Details'!$A$1:$F$17,4,0)</f>
        <v>Santa Barbara</v>
      </c>
      <c r="J253" s="2" t="str">
        <f>VLOOKUP($D253,'Customer Details'!$A$1:$F$17,6,0)</f>
        <v>93110</v>
      </c>
      <c r="K253" s="8" t="str">
        <f>VLOOKUP(VLOOKUP(D253,'Customer Details'!$A$1:$F$17,5,0),'Region INfo'!$A$1:$C$52,3,0)</f>
        <v xml:space="preserve">Pacific   </v>
      </c>
      <c r="L253" s="8" t="str">
        <f>INDEX(Product_List,MATCH($F253,'Product List'!$B$1:$B$299,0),MATCH('Order SUmmary'!L$2,'Product List'!$A$1:$E$1,0))</f>
        <v>AT&amp;T CL2909</v>
      </c>
      <c r="M253" s="8">
        <f>INDEX(Product_List,MATCH($F253,'Product List'!$B$1:$B$299,0),MATCH('Order SUmmary'!M$2,'Product List'!$A$1:$E$1,0))</f>
        <v>3644</v>
      </c>
      <c r="N253" s="8">
        <f>INDEX(Product_List,MATCH($F253,'Product List'!$B$1:$B$299,0),MATCH('Order SUmmary'!N$2,'Product List'!$A$1:$E$1,0))</f>
        <v>1954</v>
      </c>
      <c r="O253" s="8" t="str">
        <f>INDEX(Product_List,MATCH($F253,'Product List'!$B$1:$B$299,0),MATCH('Order SUmmary'!O$2,'Product List'!$A$1:$E$1,0))</f>
        <v>Phones</v>
      </c>
      <c r="P253" s="12">
        <f>HLOOKUP(C253,'Commission Criteria'!$A$2:$I$4,3,FALSE)</f>
        <v>8</v>
      </c>
      <c r="Q253" s="8">
        <f t="shared" si="10"/>
        <v>46896</v>
      </c>
      <c r="R253" s="8">
        <f t="shared" si="11"/>
        <v>87456</v>
      </c>
      <c r="S253" s="36">
        <f>VLOOKUP(R253,'Commission Criteria'!$L$3:$M$11,2,TRUE)</f>
        <v>7.0000000000000007E-2</v>
      </c>
      <c r="T253" s="36">
        <f>IF(P253&lt;5,VLOOKUP(R253,'Commission Criteria'!$L$3:$M$11,2,1),VLOOKUP('Order SUmmary'!R253,'Commission Criteria'!$P$3:$Q$11,2,1))</f>
        <v>0.08</v>
      </c>
      <c r="U253" s="36">
        <f>VLOOKUP(R253,IF(P253&lt;5,'Commission Criteria'!$L$3:$M$11,'Commission Criteria'!$P$3:$Q$11),2,1)</f>
        <v>0.08</v>
      </c>
      <c r="V253" s="8" t="s">
        <v>32</v>
      </c>
      <c r="W253" s="36">
        <f t="shared" ca="1" si="12"/>
        <v>0.01</v>
      </c>
      <c r="X253" s="8" t="str">
        <f>_xlfn.XLOOKUP(F253,'Product List'!$B$1:$B$299,'Product List'!$A$1:$A$299)</f>
        <v>AT&amp;T CL2909</v>
      </c>
      <c r="Y253" s="8"/>
      <c r="Z253" s="8" t="str" cm="1">
        <f t="array" ref="Z253:AD253">_xlfn.XLOOKUP(D253,'Customer Details'!$A$1:$A$17,'Customer Details'!$B$1:$F$17,"No such customer",0,1)</f>
        <v>Dynamatic Technologies Ltd.</v>
      </c>
      <c r="AA253" s="8" t="str">
        <v>402 Pinkster Lane</v>
      </c>
      <c r="AB253" s="8" t="str">
        <v>Santa Barbara</v>
      </c>
      <c r="AC253" s="8" t="str">
        <v>CA</v>
      </c>
      <c r="AD253" s="8" t="str">
        <v>93110</v>
      </c>
    </row>
    <row r="254" spans="1:30">
      <c r="A254" s="8" t="s">
        <v>376</v>
      </c>
      <c r="B254" s="19">
        <v>41541</v>
      </c>
      <c r="C254" s="8" t="s">
        <v>46</v>
      </c>
      <c r="D254" s="8">
        <v>10001</v>
      </c>
      <c r="E254" s="8" t="str">
        <f>VLOOKUP($D254,'Customer Details'!$A$1:$F$17,4,FALSE)</f>
        <v>New York</v>
      </c>
      <c r="F254" s="8" t="s">
        <v>232</v>
      </c>
      <c r="G254" s="8">
        <v>1</v>
      </c>
      <c r="H254" s="2" t="str">
        <f>VLOOKUP($D254,'Customer Details'!$A$1:$F$17,MATCH('Order SUmmary'!H$2,'Customer Details'!$A$1:$F$1,0),0)</f>
        <v>Chambal Fertilisers and Chemicals Ltd.</v>
      </c>
      <c r="I254" s="2" t="str">
        <f>VLOOKUP($D254,'Customer Details'!$A$1:$F$17,4,0)</f>
        <v>New York</v>
      </c>
      <c r="J254" s="2" t="str">
        <f>VLOOKUP($D254,'Customer Details'!$A$1:$F$17,6,0)</f>
        <v>10025</v>
      </c>
      <c r="K254" s="8" t="str">
        <f>VLOOKUP(VLOOKUP(D254,'Customer Details'!$A$1:$F$17,5,0),'Region INfo'!$A$1:$C$52,3,0)</f>
        <v xml:space="preserve">Northern </v>
      </c>
      <c r="L254" s="8" t="str">
        <f>INDEX(Product_List,MATCH($F254,'Product List'!$B$1:$B$299,0),MATCH('Order SUmmary'!L$2,'Product List'!$A$1:$E$1,0))</f>
        <v>Xerox 1914</v>
      </c>
      <c r="M254" s="8">
        <f>INDEX(Product_List,MATCH($F254,'Product List'!$B$1:$B$299,0),MATCH('Order SUmmary'!M$2,'Product List'!$A$1:$E$1,0))</f>
        <v>3508</v>
      </c>
      <c r="N254" s="8">
        <f>INDEX(Product_List,MATCH($F254,'Product List'!$B$1:$B$299,0),MATCH('Order SUmmary'!N$2,'Product List'!$A$1:$E$1,0))</f>
        <v>1212</v>
      </c>
      <c r="O254" s="8" t="str">
        <f>INDEX(Product_List,MATCH($F254,'Product List'!$B$1:$B$299,0),MATCH('Order SUmmary'!O$2,'Product List'!$A$1:$E$1,0))</f>
        <v>Paper</v>
      </c>
      <c r="P254" s="12">
        <f>HLOOKUP(C254,'Commission Criteria'!$A$2:$I$4,3,FALSE)</f>
        <v>8</v>
      </c>
      <c r="Q254" s="8">
        <f t="shared" si="10"/>
        <v>1212</v>
      </c>
      <c r="R254" s="8">
        <f t="shared" si="11"/>
        <v>3508</v>
      </c>
      <c r="S254" s="36">
        <f>VLOOKUP(R254,'Commission Criteria'!$L$3:$M$11,2,TRUE)</f>
        <v>0.01</v>
      </c>
      <c r="T254" s="36">
        <f>IF(P254&lt;5,VLOOKUP(R254,'Commission Criteria'!$L$3:$M$11,2,1),VLOOKUP('Order SUmmary'!R254,'Commission Criteria'!$P$3:$Q$11,2,1))</f>
        <v>0.02</v>
      </c>
      <c r="U254" s="36">
        <f>VLOOKUP(R254,IF(P254&lt;5,'Commission Criteria'!$L$3:$M$11,'Commission Criteria'!$P$3:$Q$11),2,1)</f>
        <v>0.02</v>
      </c>
      <c r="V254" s="8" t="s">
        <v>32</v>
      </c>
      <c r="W254" s="36">
        <f t="shared" ca="1" si="12"/>
        <v>0</v>
      </c>
      <c r="X254" s="8" t="str">
        <f>_xlfn.XLOOKUP(F254,'Product List'!$B$1:$B$299,'Product List'!$A$1:$A$299)</f>
        <v>Xerox 1914</v>
      </c>
      <c r="Y254" s="8"/>
      <c r="Z254" s="8" t="str" cm="1">
        <f t="array" ref="Z254:AD254">_xlfn.XLOOKUP(D254,'Customer Details'!$A$1:$A$17,'Customer Details'!$B$1:$F$17,"No such customer",0,1)</f>
        <v>Chambal Fertilisers and Chemicals Ltd.</v>
      </c>
      <c r="AA254" s="8" t="str">
        <v>4951 Indiana Ave.</v>
      </c>
      <c r="AB254" s="8" t="str">
        <v>New York</v>
      </c>
      <c r="AC254" s="8" t="str">
        <v>NY</v>
      </c>
      <c r="AD254" s="8" t="str">
        <v>10025</v>
      </c>
    </row>
    <row r="255" spans="1:30">
      <c r="A255" s="8" t="s">
        <v>376</v>
      </c>
      <c r="B255" s="19">
        <v>41541</v>
      </c>
      <c r="C255" s="8" t="s">
        <v>27</v>
      </c>
      <c r="D255" s="8">
        <v>10014</v>
      </c>
      <c r="E255" s="8" t="str">
        <f>VLOOKUP($D255,'Customer Details'!$A$1:$F$17,4,FALSE)</f>
        <v>Honolulu</v>
      </c>
      <c r="F255" s="8" t="s">
        <v>377</v>
      </c>
      <c r="G255" s="8">
        <v>1</v>
      </c>
      <c r="H255" s="2" t="str">
        <f>VLOOKUP($D255,'Customer Details'!$A$1:$F$17,MATCH('Order SUmmary'!H$2,'Customer Details'!$A$1:$F$1,0),0)</f>
        <v>Hindusthan National Glass &amp; Industries Ltd.</v>
      </c>
      <c r="I255" s="2" t="str">
        <f>VLOOKUP($D255,'Customer Details'!$A$1:$F$17,4,0)</f>
        <v>Honolulu</v>
      </c>
      <c r="J255" s="2" t="str">
        <f>VLOOKUP($D255,'Customer Details'!$A$1:$F$17,6,0)</f>
        <v>96825</v>
      </c>
      <c r="K255" s="8" t="str">
        <f>VLOOKUP(VLOOKUP(D255,'Customer Details'!$A$1:$F$17,5,0),'Region INfo'!$A$1:$C$52,3,0)</f>
        <v xml:space="preserve">Pacific   </v>
      </c>
      <c r="L255" s="8" t="str">
        <f>INDEX(Product_List,MATCH($F255,'Product List'!$B$1:$B$299,0),MATCH('Order SUmmary'!L$2,'Product List'!$A$1:$E$1,0))</f>
        <v>Xerox 230</v>
      </c>
      <c r="M255" s="8">
        <f>INDEX(Product_List,MATCH($F255,'Product List'!$B$1:$B$299,0),MATCH('Order SUmmary'!M$2,'Product List'!$A$1:$E$1,0))</f>
        <v>4220</v>
      </c>
      <c r="N255" s="8">
        <f>INDEX(Product_List,MATCH($F255,'Product List'!$B$1:$B$299,0),MATCH('Order SUmmary'!N$2,'Product List'!$A$1:$E$1,0))</f>
        <v>1493</v>
      </c>
      <c r="O255" s="8" t="str">
        <f>INDEX(Product_List,MATCH($F255,'Product List'!$B$1:$B$299,0),MATCH('Order SUmmary'!O$2,'Product List'!$A$1:$E$1,0))</f>
        <v>Paper</v>
      </c>
      <c r="P255" s="12">
        <f>HLOOKUP(C255,'Commission Criteria'!$A$2:$I$4,3,FALSE)</f>
        <v>4</v>
      </c>
      <c r="Q255" s="8">
        <f t="shared" si="10"/>
        <v>1493</v>
      </c>
      <c r="R255" s="8">
        <f t="shared" si="11"/>
        <v>4220</v>
      </c>
      <c r="S255" s="36">
        <f>VLOOKUP(R255,'Commission Criteria'!$L$3:$M$11,2,TRUE)</f>
        <v>0.01</v>
      </c>
      <c r="T255" s="36">
        <f>IF(P255&lt;5,VLOOKUP(R255,'Commission Criteria'!$L$3:$M$11,2,1),VLOOKUP('Order SUmmary'!R255,'Commission Criteria'!$P$3:$Q$11,2,1))</f>
        <v>0.01</v>
      </c>
      <c r="U255" s="36">
        <f>VLOOKUP(R255,IF(P255&lt;5,'Commission Criteria'!$L$3:$M$11,'Commission Criteria'!$P$3:$Q$11),2,1)</f>
        <v>0.01</v>
      </c>
      <c r="V255" s="8" t="s">
        <v>35</v>
      </c>
      <c r="W255" s="36">
        <f t="shared" ca="1" si="12"/>
        <v>0</v>
      </c>
      <c r="X255" s="8" t="str">
        <f>_xlfn.XLOOKUP(F255,'Product List'!$B$1:$B$299,'Product List'!$A$1:$A$299)</f>
        <v>Xerox 230</v>
      </c>
      <c r="Y255" s="8"/>
      <c r="Z255" s="8" t="str" cm="1">
        <f t="array" ref="Z255:AD255">_xlfn.XLOOKUP(D255,'Customer Details'!$A$1:$A$17,'Customer Details'!$B$1:$F$17,"No such customer",0,1)</f>
        <v>Hindusthan National Glass &amp; Industries Ltd.</v>
      </c>
      <c r="AA255" s="8" t="str">
        <v>11 Cathy St.</v>
      </c>
      <c r="AB255" s="8" t="str">
        <v>Honolulu</v>
      </c>
      <c r="AC255" s="8" t="str">
        <v>HI</v>
      </c>
      <c r="AD255" s="8" t="str">
        <v>96825</v>
      </c>
    </row>
    <row r="256" spans="1:30">
      <c r="A256" s="8" t="s">
        <v>378</v>
      </c>
      <c r="B256" s="19">
        <v>41545</v>
      </c>
      <c r="C256" s="8" t="s">
        <v>33</v>
      </c>
      <c r="D256" s="8">
        <v>10013</v>
      </c>
      <c r="E256" s="8" t="str">
        <f>VLOOKUP($D256,'Customer Details'!$A$1:$F$17,4,FALSE)</f>
        <v>Naugatuck</v>
      </c>
      <c r="F256" s="8" t="s">
        <v>379</v>
      </c>
      <c r="G256" s="8">
        <v>1</v>
      </c>
      <c r="H256" s="2" t="str">
        <f>VLOOKUP($D256,'Customer Details'!$A$1:$F$17,MATCH('Order SUmmary'!H$2,'Customer Details'!$A$1:$F$1,0),0)</f>
        <v>GMR Infrastructure Ltd.</v>
      </c>
      <c r="I256" s="2" t="str">
        <f>VLOOKUP($D256,'Customer Details'!$A$1:$F$17,4,0)</f>
        <v>Naugatuck</v>
      </c>
      <c r="J256" s="2" t="str">
        <f>VLOOKUP($D256,'Customer Details'!$A$1:$F$17,6,0)</f>
        <v>06770</v>
      </c>
      <c r="K256" s="8" t="str">
        <f>VLOOKUP(VLOOKUP(D256,'Customer Details'!$A$1:$F$17,5,0),'Region INfo'!$A$1:$C$52,3,0)</f>
        <v xml:space="preserve">Northern </v>
      </c>
      <c r="L256" s="8" t="str">
        <f>INDEX(Product_List,MATCH($F256,'Product List'!$B$1:$B$299,0),MATCH('Order SUmmary'!L$2,'Product List'!$A$1:$E$1,0))</f>
        <v>Xerox 1937</v>
      </c>
      <c r="M256" s="8">
        <f>INDEX(Product_List,MATCH($F256,'Product List'!$B$1:$B$299,0),MATCH('Order SUmmary'!M$2,'Product List'!$A$1:$E$1,0))</f>
        <v>4050</v>
      </c>
      <c r="N256" s="8">
        <f>INDEX(Product_List,MATCH($F256,'Product List'!$B$1:$B$299,0),MATCH('Order SUmmary'!N$2,'Product List'!$A$1:$E$1,0))</f>
        <v>1241</v>
      </c>
      <c r="O256" s="8" t="str">
        <f>INDEX(Product_List,MATCH($F256,'Product List'!$B$1:$B$299,0),MATCH('Order SUmmary'!O$2,'Product List'!$A$1:$E$1,0))</f>
        <v>Paper</v>
      </c>
      <c r="P256" s="12">
        <f>HLOOKUP(C256,'Commission Criteria'!$A$2:$I$4,3,FALSE)</f>
        <v>1</v>
      </c>
      <c r="Q256" s="8">
        <f t="shared" si="10"/>
        <v>1241</v>
      </c>
      <c r="R256" s="8">
        <f t="shared" si="11"/>
        <v>4050</v>
      </c>
      <c r="S256" s="36">
        <f>VLOOKUP(R256,'Commission Criteria'!$L$3:$M$11,2,TRUE)</f>
        <v>0.01</v>
      </c>
      <c r="T256" s="36">
        <f>IF(P256&lt;5,VLOOKUP(R256,'Commission Criteria'!$L$3:$M$11,2,1),VLOOKUP('Order SUmmary'!R256,'Commission Criteria'!$P$3:$Q$11,2,1))</f>
        <v>0.01</v>
      </c>
      <c r="U256" s="36">
        <f>VLOOKUP(R256,IF(P256&lt;5,'Commission Criteria'!$L$3:$M$11,'Commission Criteria'!$P$3:$Q$11),2,1)</f>
        <v>0.01</v>
      </c>
      <c r="V256" s="8" t="s">
        <v>43</v>
      </c>
      <c r="W256" s="36">
        <f t="shared" ca="1" si="12"/>
        <v>0</v>
      </c>
      <c r="X256" s="8" t="str">
        <f>_xlfn.XLOOKUP(F256,'Product List'!$B$1:$B$299,'Product List'!$A$1:$A$299)</f>
        <v>Xerox 1937</v>
      </c>
      <c r="Y256" s="8"/>
      <c r="Z256" s="8" t="str" cm="1">
        <f t="array" ref="Z256:AD256">_xlfn.XLOOKUP(D256,'Customer Details'!$A$1:$A$17,'Customer Details'!$B$1:$F$17,"No such customer",0,1)</f>
        <v>GMR Infrastructure Ltd.</v>
      </c>
      <c r="AA256" s="8" t="str">
        <v>P.O. Box 4421</v>
      </c>
      <c r="AB256" s="8" t="str">
        <v>Naugatuck</v>
      </c>
      <c r="AC256" s="8" t="str">
        <v>CT</v>
      </c>
      <c r="AD256" s="8" t="str">
        <v>06770</v>
      </c>
    </row>
    <row r="257" spans="1:30">
      <c r="A257" s="8" t="s">
        <v>380</v>
      </c>
      <c r="B257" s="19">
        <v>41546</v>
      </c>
      <c r="C257" s="8" t="s">
        <v>46</v>
      </c>
      <c r="D257" s="8">
        <v>10015</v>
      </c>
      <c r="E257" s="8" t="str">
        <f>VLOOKUP($D257,'Customer Details'!$A$1:$F$17,4,FALSE)</f>
        <v>South Windsor</v>
      </c>
      <c r="F257" s="8" t="s">
        <v>381</v>
      </c>
      <c r="G257" s="8">
        <v>1</v>
      </c>
      <c r="H257" s="2" t="str">
        <f>VLOOKUP($D257,'Customer Details'!$A$1:$F$17,MATCH('Order SUmmary'!H$2,'Customer Details'!$A$1:$F$1,0),0)</f>
        <v>Punj Lloyd Ltd.</v>
      </c>
      <c r="I257" s="2" t="str">
        <f>VLOOKUP($D257,'Customer Details'!$A$1:$F$17,4,0)</f>
        <v>South Windsor</v>
      </c>
      <c r="J257" s="2" t="str">
        <f>VLOOKUP($D257,'Customer Details'!$A$1:$F$17,6,0)</f>
        <v>06074</v>
      </c>
      <c r="K257" s="8" t="str">
        <f>VLOOKUP(VLOOKUP(D257,'Customer Details'!$A$1:$F$17,5,0),'Region INfo'!$A$1:$C$52,3,0)</f>
        <v xml:space="preserve">Northern </v>
      </c>
      <c r="L257" s="8" t="str">
        <f>INDEX(Product_List,MATCH($F257,'Product List'!$B$1:$B$299,0),MATCH('Order SUmmary'!L$2,'Product List'!$A$1:$E$1,0))</f>
        <v>Xerox 1911</v>
      </c>
      <c r="M257" s="8">
        <f>INDEX(Product_List,MATCH($F257,'Product List'!$B$1:$B$299,0),MATCH('Order SUmmary'!M$2,'Product List'!$A$1:$E$1,0))</f>
        <v>4724</v>
      </c>
      <c r="N257" s="8">
        <f>INDEX(Product_List,MATCH($F257,'Product List'!$B$1:$B$299,0),MATCH('Order SUmmary'!N$2,'Product List'!$A$1:$E$1,0))</f>
        <v>2467</v>
      </c>
      <c r="O257" s="8" t="str">
        <f>INDEX(Product_List,MATCH($F257,'Product List'!$B$1:$B$299,0),MATCH('Order SUmmary'!O$2,'Product List'!$A$1:$E$1,0))</f>
        <v>Paper</v>
      </c>
      <c r="P257" s="12">
        <f>HLOOKUP(C257,'Commission Criteria'!$A$2:$I$4,3,FALSE)</f>
        <v>8</v>
      </c>
      <c r="Q257" s="8">
        <f t="shared" si="10"/>
        <v>2467</v>
      </c>
      <c r="R257" s="8">
        <f t="shared" si="11"/>
        <v>4724</v>
      </c>
      <c r="S257" s="36">
        <f>VLOOKUP(R257,'Commission Criteria'!$L$3:$M$11,2,TRUE)</f>
        <v>0.01</v>
      </c>
      <c r="T257" s="36">
        <f>IF(P257&lt;5,VLOOKUP(R257,'Commission Criteria'!$L$3:$M$11,2,1),VLOOKUP('Order SUmmary'!R257,'Commission Criteria'!$P$3:$Q$11,2,1))</f>
        <v>0.02</v>
      </c>
      <c r="U257" s="36">
        <f>VLOOKUP(R257,IF(P257&lt;5,'Commission Criteria'!$L$3:$M$11,'Commission Criteria'!$P$3:$Q$11),2,1)</f>
        <v>0.02</v>
      </c>
      <c r="V257" s="8" t="s">
        <v>32</v>
      </c>
      <c r="W257" s="36">
        <f t="shared" ca="1" si="12"/>
        <v>0</v>
      </c>
      <c r="X257" s="8" t="str">
        <f>_xlfn.XLOOKUP(F257,'Product List'!$B$1:$B$299,'Product List'!$A$1:$A$299)</f>
        <v>Xerox 1911</v>
      </c>
      <c r="Y257" s="8"/>
      <c r="Z257" s="8" t="str" cm="1">
        <f t="array" ref="Z257:AD257">_xlfn.XLOOKUP(D257,'Customer Details'!$A$1:$A$17,'Customer Details'!$B$1:$F$17,"No such customer",0,1)</f>
        <v>Punj Lloyd Ltd.</v>
      </c>
      <c r="AA257" s="8" t="str">
        <v>Box 3263</v>
      </c>
      <c r="AB257" s="8" t="str">
        <v>South Windsor</v>
      </c>
      <c r="AC257" s="8" t="str">
        <v>CT</v>
      </c>
      <c r="AD257" s="8" t="str">
        <v>06074</v>
      </c>
    </row>
    <row r="258" spans="1:30">
      <c r="A258" s="8" t="s">
        <v>382</v>
      </c>
      <c r="B258" s="19">
        <v>41547</v>
      </c>
      <c r="C258" s="8" t="s">
        <v>36</v>
      </c>
      <c r="D258" s="8">
        <v>10001</v>
      </c>
      <c r="E258" s="8" t="str">
        <f>VLOOKUP($D258,'Customer Details'!$A$1:$F$17,4,FALSE)</f>
        <v>New York</v>
      </c>
      <c r="F258" s="8" t="s">
        <v>120</v>
      </c>
      <c r="G258" s="8">
        <v>2</v>
      </c>
      <c r="H258" s="2" t="str">
        <f>VLOOKUP($D258,'Customer Details'!$A$1:$F$17,MATCH('Order SUmmary'!H$2,'Customer Details'!$A$1:$F$1,0),0)</f>
        <v>Chambal Fertilisers and Chemicals Ltd.</v>
      </c>
      <c r="I258" s="2" t="str">
        <f>VLOOKUP($D258,'Customer Details'!$A$1:$F$17,4,0)</f>
        <v>New York</v>
      </c>
      <c r="J258" s="2" t="str">
        <f>VLOOKUP($D258,'Customer Details'!$A$1:$F$17,6,0)</f>
        <v>10025</v>
      </c>
      <c r="K258" s="8" t="str">
        <f>VLOOKUP(VLOOKUP(D258,'Customer Details'!$A$1:$F$17,5,0),'Region INfo'!$A$1:$C$52,3,0)</f>
        <v xml:space="preserve">Northern </v>
      </c>
      <c r="L258" s="8" t="str">
        <f>INDEX(Product_List,MATCH($F258,'Product List'!$B$1:$B$299,0),MATCH('Order SUmmary'!L$2,'Product List'!$A$1:$E$1,0))</f>
        <v>Xerox 1902</v>
      </c>
      <c r="M258" s="8">
        <f>INDEX(Product_List,MATCH($F258,'Product List'!$B$1:$B$299,0),MATCH('Order SUmmary'!M$2,'Product List'!$A$1:$E$1,0))</f>
        <v>4172</v>
      </c>
      <c r="N258" s="8">
        <f>INDEX(Product_List,MATCH($F258,'Product List'!$B$1:$B$299,0),MATCH('Order SUmmary'!N$2,'Product List'!$A$1:$E$1,0))</f>
        <v>1415</v>
      </c>
      <c r="O258" s="8" t="str">
        <f>INDEX(Product_List,MATCH($F258,'Product List'!$B$1:$B$299,0),MATCH('Order SUmmary'!O$2,'Product List'!$A$1:$E$1,0))</f>
        <v>Paper</v>
      </c>
      <c r="P258" s="12">
        <f>HLOOKUP(C258,'Commission Criteria'!$A$2:$I$4,3,FALSE)</f>
        <v>6</v>
      </c>
      <c r="Q258" s="8">
        <f t="shared" si="10"/>
        <v>2830</v>
      </c>
      <c r="R258" s="8">
        <f t="shared" si="11"/>
        <v>8344</v>
      </c>
      <c r="S258" s="36">
        <f>VLOOKUP(R258,'Commission Criteria'!$L$3:$M$11,2,TRUE)</f>
        <v>0.03</v>
      </c>
      <c r="T258" s="36">
        <f>IF(P258&lt;5,VLOOKUP(R258,'Commission Criteria'!$L$3:$M$11,2,1),VLOOKUP('Order SUmmary'!R258,'Commission Criteria'!$P$3:$Q$11,2,1))</f>
        <v>0.02</v>
      </c>
      <c r="U258" s="36">
        <f>VLOOKUP(R258,IF(P258&lt;5,'Commission Criteria'!$L$3:$M$11,'Commission Criteria'!$P$3:$Q$11),2,1)</f>
        <v>0.02</v>
      </c>
      <c r="V258" s="8" t="s">
        <v>40</v>
      </c>
      <c r="W258" s="36">
        <f t="shared" ca="1" si="12"/>
        <v>0.05</v>
      </c>
      <c r="X258" s="8" t="str">
        <f>_xlfn.XLOOKUP(F258,'Product List'!$B$1:$B$299,'Product List'!$A$1:$A$299)</f>
        <v>Xerox 1902</v>
      </c>
      <c r="Y258" s="8"/>
      <c r="Z258" s="8" t="str" cm="1">
        <f t="array" ref="Z258:AD258">_xlfn.XLOOKUP(D258,'Customer Details'!$A$1:$A$17,'Customer Details'!$B$1:$F$17,"No such customer",0,1)</f>
        <v>Chambal Fertilisers and Chemicals Ltd.</v>
      </c>
      <c r="AA258" s="8" t="str">
        <v>4951 Indiana Ave.</v>
      </c>
      <c r="AB258" s="8" t="str">
        <v>New York</v>
      </c>
      <c r="AC258" s="8" t="str">
        <v>NY</v>
      </c>
      <c r="AD258" s="8" t="str">
        <v>10025</v>
      </c>
    </row>
    <row r="259" spans="1:30">
      <c r="A259" s="8" t="s">
        <v>383</v>
      </c>
      <c r="B259" s="19">
        <v>41550</v>
      </c>
      <c r="C259" s="8" t="s">
        <v>36</v>
      </c>
      <c r="D259" s="8">
        <v>10008</v>
      </c>
      <c r="E259" s="8" t="str">
        <f>VLOOKUP($D259,'Customer Details'!$A$1:$F$17,4,FALSE)</f>
        <v>Chestnut Ridge</v>
      </c>
      <c r="F259" s="8" t="s">
        <v>93</v>
      </c>
      <c r="G259" s="8">
        <v>2</v>
      </c>
      <c r="H259" s="2" t="str">
        <f>VLOOKUP($D259,'Customer Details'!$A$1:$F$17,MATCH('Order SUmmary'!H$2,'Customer Details'!$A$1:$F$1,0),0)</f>
        <v>Reliance Industries Limited</v>
      </c>
      <c r="I259" s="2" t="str">
        <f>VLOOKUP($D259,'Customer Details'!$A$1:$F$17,4,0)</f>
        <v>Chestnut Ridge</v>
      </c>
      <c r="J259" s="2" t="str">
        <f>VLOOKUP($D259,'Customer Details'!$A$1:$F$17,6,0)</f>
        <v>10977</v>
      </c>
      <c r="K259" s="8" t="str">
        <f>VLOOKUP(VLOOKUP(D259,'Customer Details'!$A$1:$F$17,5,0),'Region INfo'!$A$1:$C$52,3,0)</f>
        <v xml:space="preserve">Northern </v>
      </c>
      <c r="L259" s="8" t="str">
        <f>INDEX(Product_List,MATCH($F259,'Product List'!$B$1:$B$299,0),MATCH('Order SUmmary'!L$2,'Product List'!$A$1:$E$1,0))</f>
        <v>Xerox 1943</v>
      </c>
      <c r="M259" s="8">
        <f>INDEX(Product_List,MATCH($F259,'Product List'!$B$1:$B$299,0),MATCH('Order SUmmary'!M$2,'Product List'!$A$1:$E$1,0))</f>
        <v>2529</v>
      </c>
      <c r="N259" s="8">
        <f>INDEX(Product_List,MATCH($F259,'Product List'!$B$1:$B$299,0),MATCH('Order SUmmary'!N$2,'Product List'!$A$1:$E$1,0))</f>
        <v>1630</v>
      </c>
      <c r="O259" s="8" t="str">
        <f>INDEX(Product_List,MATCH($F259,'Product List'!$B$1:$B$299,0),MATCH('Order SUmmary'!O$2,'Product List'!$A$1:$E$1,0))</f>
        <v>Paper</v>
      </c>
      <c r="P259" s="12">
        <f>HLOOKUP(C259,'Commission Criteria'!$A$2:$I$4,3,FALSE)</f>
        <v>6</v>
      </c>
      <c r="Q259" s="8">
        <f t="shared" si="10"/>
        <v>3260</v>
      </c>
      <c r="R259" s="8">
        <f t="shared" si="11"/>
        <v>5058</v>
      </c>
      <c r="S259" s="36">
        <f>VLOOKUP(R259,'Commission Criteria'!$L$3:$M$11,2,TRUE)</f>
        <v>0.03</v>
      </c>
      <c r="T259" s="36">
        <f>IF(P259&lt;5,VLOOKUP(R259,'Commission Criteria'!$L$3:$M$11,2,1),VLOOKUP('Order SUmmary'!R259,'Commission Criteria'!$P$3:$Q$11,2,1))</f>
        <v>0.02</v>
      </c>
      <c r="U259" s="36">
        <f>VLOOKUP(R259,IF(P259&lt;5,'Commission Criteria'!$L$3:$M$11,'Commission Criteria'!$P$3:$Q$11),2,1)</f>
        <v>0.02</v>
      </c>
      <c r="V259" s="8" t="s">
        <v>29</v>
      </c>
      <c r="W259" s="36">
        <f t="shared" ca="1" si="12"/>
        <v>0.02</v>
      </c>
      <c r="X259" s="8" t="str">
        <f>_xlfn.XLOOKUP(F259,'Product List'!$B$1:$B$299,'Product List'!$A$1:$A$299)</f>
        <v>Xerox 1943</v>
      </c>
      <c r="Y259" s="8"/>
      <c r="Z259" s="8" t="str" cm="1">
        <f t="array" ref="Z259:AD259">_xlfn.XLOOKUP(D259,'Customer Details'!$A$1:$A$17,'Customer Details'!$B$1:$F$17,"No such customer",0,1)</f>
        <v>Reliance Industries Limited</v>
      </c>
      <c r="AA259" s="8" t="str">
        <v>12020 Shamrock Rd., Suite 333</v>
      </c>
      <c r="AB259" s="8" t="str">
        <v>Chestnut Ridge</v>
      </c>
      <c r="AC259" s="8" t="str">
        <v>NY</v>
      </c>
      <c r="AD259" s="8" t="str">
        <v>10977</v>
      </c>
    </row>
    <row r="260" spans="1:30">
      <c r="A260" s="8" t="s">
        <v>384</v>
      </c>
      <c r="B260" s="19">
        <v>41552</v>
      </c>
      <c r="C260" s="8" t="s">
        <v>44</v>
      </c>
      <c r="D260" s="8">
        <v>10006</v>
      </c>
      <c r="E260" s="8" t="str">
        <f>VLOOKUP($D260,'Customer Details'!$A$1:$F$17,4,FALSE)</f>
        <v>Midland</v>
      </c>
      <c r="F260" s="8" t="s">
        <v>307</v>
      </c>
      <c r="G260" s="8">
        <v>1</v>
      </c>
      <c r="H260" s="2" t="str">
        <f>VLOOKUP($D260,'Customer Details'!$A$1:$F$17,MATCH('Order SUmmary'!H$2,'Customer Details'!$A$1:$F$1,0),0)</f>
        <v>Supreme Ind</v>
      </c>
      <c r="I260" s="2" t="str">
        <f>VLOOKUP($D260,'Customer Details'!$A$1:$F$17,4,0)</f>
        <v>Midland</v>
      </c>
      <c r="J260" s="2" t="str">
        <f>VLOOKUP($D260,'Customer Details'!$A$1:$F$17,6,0)</f>
        <v>79706</v>
      </c>
      <c r="K260" s="8" t="str">
        <f>VLOOKUP(VLOOKUP(D260,'Customer Details'!$A$1:$F$17,5,0),'Region INfo'!$A$1:$C$52,3,0)</f>
        <v>Western</v>
      </c>
      <c r="L260" s="8" t="str">
        <f>INDEX(Product_List,MATCH($F260,'Product List'!$B$1:$B$299,0),MATCH('Order SUmmary'!L$2,'Product List'!$A$1:$E$1,0))</f>
        <v>Avery 519</v>
      </c>
      <c r="M260" s="8">
        <f>INDEX(Product_List,MATCH($F260,'Product List'!$B$1:$B$299,0),MATCH('Order SUmmary'!M$2,'Product List'!$A$1:$E$1,0))</f>
        <v>3491</v>
      </c>
      <c r="N260" s="8">
        <f>INDEX(Product_List,MATCH($F260,'Product List'!$B$1:$B$299,0),MATCH('Order SUmmary'!N$2,'Product List'!$A$1:$E$1,0))</f>
        <v>1257</v>
      </c>
      <c r="O260" s="8" t="str">
        <f>INDEX(Product_List,MATCH($F260,'Product List'!$B$1:$B$299,0),MATCH('Order SUmmary'!O$2,'Product List'!$A$1:$E$1,0))</f>
        <v>Labels</v>
      </c>
      <c r="P260" s="12">
        <f>HLOOKUP(C260,'Commission Criteria'!$A$2:$I$4,3,FALSE)</f>
        <v>4</v>
      </c>
      <c r="Q260" s="8">
        <f t="shared" ref="Q260:Q323" si="13">N260*G260</f>
        <v>1257</v>
      </c>
      <c r="R260" s="8">
        <f t="shared" ref="R260:R323" si="14">M260*G260</f>
        <v>3491</v>
      </c>
      <c r="S260" s="36">
        <f>VLOOKUP(R260,'Commission Criteria'!$L$3:$M$11,2,TRUE)</f>
        <v>0.01</v>
      </c>
      <c r="T260" s="36">
        <f>IF(P260&lt;5,VLOOKUP(R260,'Commission Criteria'!$L$3:$M$11,2,1),VLOOKUP('Order SUmmary'!R260,'Commission Criteria'!$P$3:$Q$11,2,1))</f>
        <v>0.01</v>
      </c>
      <c r="U260" s="36">
        <f>VLOOKUP(R260,IF(P260&lt;5,'Commission Criteria'!$L$3:$M$11,'Commission Criteria'!$P$3:$Q$11),2,1)</f>
        <v>0.01</v>
      </c>
      <c r="V260" s="8" t="s">
        <v>43</v>
      </c>
      <c r="W260" s="36">
        <f t="shared" ref="W260:W323" ca="1" si="15">VLOOKUP(F260,INDIRECT(V260&amp;"!$A$1:$B$296"),2,0)</f>
        <v>0.05</v>
      </c>
      <c r="X260" s="8" t="str">
        <f>_xlfn.XLOOKUP(F260,'Product List'!$B$1:$B$299,'Product List'!$A$1:$A$299)</f>
        <v>Avery 519</v>
      </c>
      <c r="Y260" s="8"/>
      <c r="Z260" s="8" t="str" cm="1">
        <f t="array" ref="Z260:AD260">_xlfn.XLOOKUP(D260,'Customer Details'!$A$1:$A$17,'Customer Details'!$B$1:$F$17,"No such customer",0,1)</f>
        <v>Supreme Ind</v>
      </c>
      <c r="AA260" s="8" t="str">
        <v>P.O. Box 1367</v>
      </c>
      <c r="AB260" s="8" t="str">
        <v>Midland</v>
      </c>
      <c r="AC260" s="8" t="str">
        <v>TX</v>
      </c>
      <c r="AD260" s="8" t="str">
        <v>79706</v>
      </c>
    </row>
    <row r="261" spans="1:30">
      <c r="A261" s="8" t="s">
        <v>384</v>
      </c>
      <c r="B261" s="19">
        <v>41552</v>
      </c>
      <c r="C261" s="8" t="s">
        <v>66</v>
      </c>
      <c r="D261" s="8">
        <v>10009</v>
      </c>
      <c r="E261" s="8" t="str">
        <f>VLOOKUP($D261,'Customer Details'!$A$1:$F$17,4,FALSE)</f>
        <v>Salt Lake City</v>
      </c>
      <c r="F261" s="8" t="s">
        <v>309</v>
      </c>
      <c r="G261" s="8">
        <v>2</v>
      </c>
      <c r="H261" s="2" t="str">
        <f>VLOOKUP($D261,'Customer Details'!$A$1:$F$17,MATCH('Order SUmmary'!H$2,'Customer Details'!$A$1:$F$1,0),0)</f>
        <v>Godfrey Philips India Ltd.</v>
      </c>
      <c r="I261" s="2" t="str">
        <f>VLOOKUP($D261,'Customer Details'!$A$1:$F$17,4,0)</f>
        <v>Salt Lake City</v>
      </c>
      <c r="J261" s="2" t="str">
        <f>VLOOKUP($D261,'Customer Details'!$A$1:$F$17,6,0)</f>
        <v>84118</v>
      </c>
      <c r="K261" s="8" t="str">
        <f>VLOOKUP(VLOOKUP(D261,'Customer Details'!$A$1:$F$17,5,0),'Region INfo'!$A$1:$C$52,3,0)</f>
        <v xml:space="preserve">Pacific   </v>
      </c>
      <c r="L261" s="8" t="str">
        <f>INDEX(Product_List,MATCH($F261,'Product List'!$B$1:$B$299,0),MATCH('Order SUmmary'!L$2,'Product List'!$A$1:$E$1,0))</f>
        <v>Xerox 1996</v>
      </c>
      <c r="M261" s="8">
        <f>INDEX(Product_List,MATCH($F261,'Product List'!$B$1:$B$299,0),MATCH('Order SUmmary'!M$2,'Product List'!$A$1:$E$1,0))</f>
        <v>4220</v>
      </c>
      <c r="N261" s="8">
        <f>INDEX(Product_List,MATCH($F261,'Product List'!$B$1:$B$299,0),MATCH('Order SUmmary'!N$2,'Product List'!$A$1:$E$1,0))</f>
        <v>1635</v>
      </c>
      <c r="O261" s="8" t="str">
        <f>INDEX(Product_List,MATCH($F261,'Product List'!$B$1:$B$299,0),MATCH('Order SUmmary'!O$2,'Product List'!$A$1:$E$1,0))</f>
        <v>Paper</v>
      </c>
      <c r="P261" s="12">
        <f>HLOOKUP(C261,'Commission Criteria'!$A$2:$I$4,3,FALSE)</f>
        <v>5</v>
      </c>
      <c r="Q261" s="8">
        <f t="shared" si="13"/>
        <v>3270</v>
      </c>
      <c r="R261" s="8">
        <f t="shared" si="14"/>
        <v>8440</v>
      </c>
      <c r="S261" s="36">
        <f>VLOOKUP(R261,'Commission Criteria'!$L$3:$M$11,2,TRUE)</f>
        <v>0.03</v>
      </c>
      <c r="T261" s="36">
        <f>IF(P261&lt;5,VLOOKUP(R261,'Commission Criteria'!$L$3:$M$11,2,1),VLOOKUP('Order SUmmary'!R261,'Commission Criteria'!$P$3:$Q$11,2,1))</f>
        <v>0.02</v>
      </c>
      <c r="U261" s="36">
        <f>VLOOKUP(R261,IF(P261&lt;5,'Commission Criteria'!$L$3:$M$11,'Commission Criteria'!$P$3:$Q$11),2,1)</f>
        <v>0.02</v>
      </c>
      <c r="V261" s="8" t="s">
        <v>32</v>
      </c>
      <c r="W261" s="36">
        <f t="shared" ca="1" si="15"/>
        <v>0.03</v>
      </c>
      <c r="X261" s="8" t="str">
        <f>_xlfn.XLOOKUP(F261,'Product List'!$B$1:$B$299,'Product List'!$A$1:$A$299)</f>
        <v>Xerox 1996</v>
      </c>
      <c r="Y261" s="8"/>
      <c r="Z261" s="8" t="str" cm="1">
        <f t="array" ref="Z261:AD261">_xlfn.XLOOKUP(D261,'Customer Details'!$A$1:$A$17,'Customer Details'!$B$1:$F$17,"No such customer",0,1)</f>
        <v>Godfrey Philips India Ltd.</v>
      </c>
      <c r="AA261" s="8" t="str">
        <v>20501 Ania Ave #2</v>
      </c>
      <c r="AB261" s="8" t="str">
        <v>Salt Lake City</v>
      </c>
      <c r="AC261" s="8" t="str">
        <v>UT</v>
      </c>
      <c r="AD261" s="8" t="str">
        <v>84118</v>
      </c>
    </row>
    <row r="262" spans="1:30">
      <c r="A262" s="8" t="s">
        <v>385</v>
      </c>
      <c r="B262" s="19">
        <v>41552</v>
      </c>
      <c r="C262" s="8" t="s">
        <v>44</v>
      </c>
      <c r="D262" s="8">
        <v>10009</v>
      </c>
      <c r="E262" s="8" t="str">
        <f>VLOOKUP($D262,'Customer Details'!$A$1:$F$17,4,FALSE)</f>
        <v>Salt Lake City</v>
      </c>
      <c r="F262" s="8" t="s">
        <v>218</v>
      </c>
      <c r="G262" s="8">
        <v>3</v>
      </c>
      <c r="H262" s="2" t="str">
        <f>VLOOKUP($D262,'Customer Details'!$A$1:$F$17,MATCH('Order SUmmary'!H$2,'Customer Details'!$A$1:$F$1,0),0)</f>
        <v>Godfrey Philips India Ltd.</v>
      </c>
      <c r="I262" s="2" t="str">
        <f>VLOOKUP($D262,'Customer Details'!$A$1:$F$17,4,0)</f>
        <v>Salt Lake City</v>
      </c>
      <c r="J262" s="2" t="str">
        <f>VLOOKUP($D262,'Customer Details'!$A$1:$F$17,6,0)</f>
        <v>84118</v>
      </c>
      <c r="K262" s="8" t="str">
        <f>VLOOKUP(VLOOKUP(D262,'Customer Details'!$A$1:$F$17,5,0),'Region INfo'!$A$1:$C$52,3,0)</f>
        <v xml:space="preserve">Pacific   </v>
      </c>
      <c r="L262" s="8" t="str">
        <f>INDEX(Product_List,MATCH($F262,'Product List'!$B$1:$B$299,0),MATCH('Order SUmmary'!L$2,'Product List'!$A$1:$E$1,0))</f>
        <v>Avery 509</v>
      </c>
      <c r="M262" s="8">
        <f>INDEX(Product_List,MATCH($F262,'Product List'!$B$1:$B$299,0),MATCH('Order SUmmary'!M$2,'Product List'!$A$1:$E$1,0))</f>
        <v>3377</v>
      </c>
      <c r="N262" s="8">
        <f>INDEX(Product_List,MATCH($F262,'Product List'!$B$1:$B$299,0),MATCH('Order SUmmary'!N$2,'Product List'!$A$1:$E$1,0))</f>
        <v>2112</v>
      </c>
      <c r="O262" s="8" t="str">
        <f>INDEX(Product_List,MATCH($F262,'Product List'!$B$1:$B$299,0),MATCH('Order SUmmary'!O$2,'Product List'!$A$1:$E$1,0))</f>
        <v>Labels</v>
      </c>
      <c r="P262" s="12">
        <f>HLOOKUP(C262,'Commission Criteria'!$A$2:$I$4,3,FALSE)</f>
        <v>4</v>
      </c>
      <c r="Q262" s="8">
        <f t="shared" si="13"/>
        <v>6336</v>
      </c>
      <c r="R262" s="8">
        <f t="shared" si="14"/>
        <v>10131</v>
      </c>
      <c r="S262" s="36">
        <f>VLOOKUP(R262,'Commission Criteria'!$L$3:$M$11,2,TRUE)</f>
        <v>0.03</v>
      </c>
      <c r="T262" s="36">
        <f>IF(P262&lt;5,VLOOKUP(R262,'Commission Criteria'!$L$3:$M$11,2,1),VLOOKUP('Order SUmmary'!R262,'Commission Criteria'!$P$3:$Q$11,2,1))</f>
        <v>0.03</v>
      </c>
      <c r="U262" s="36">
        <f>VLOOKUP(R262,IF(P262&lt;5,'Commission Criteria'!$L$3:$M$11,'Commission Criteria'!$P$3:$Q$11),2,1)</f>
        <v>0.03</v>
      </c>
      <c r="V262" s="8" t="s">
        <v>35</v>
      </c>
      <c r="W262" s="36">
        <f t="shared" ca="1" si="15"/>
        <v>0.05</v>
      </c>
      <c r="X262" s="8" t="str">
        <f>_xlfn.XLOOKUP(F262,'Product List'!$B$1:$B$299,'Product List'!$A$1:$A$299)</f>
        <v>Avery 509</v>
      </c>
      <c r="Y262" s="8"/>
      <c r="Z262" s="8" t="str" cm="1">
        <f t="array" ref="Z262:AD262">_xlfn.XLOOKUP(D262,'Customer Details'!$A$1:$A$17,'Customer Details'!$B$1:$F$17,"No such customer",0,1)</f>
        <v>Godfrey Philips India Ltd.</v>
      </c>
      <c r="AA262" s="8" t="str">
        <v>20501 Ania Ave #2</v>
      </c>
      <c r="AB262" s="8" t="str">
        <v>Salt Lake City</v>
      </c>
      <c r="AC262" s="8" t="str">
        <v>UT</v>
      </c>
      <c r="AD262" s="8" t="str">
        <v>84118</v>
      </c>
    </row>
    <row r="263" spans="1:30">
      <c r="A263" s="8" t="s">
        <v>386</v>
      </c>
      <c r="B263" s="19">
        <v>41554</v>
      </c>
      <c r="C263" s="8" t="s">
        <v>27</v>
      </c>
      <c r="D263" s="8">
        <v>10006</v>
      </c>
      <c r="E263" s="8" t="str">
        <f>VLOOKUP($D263,'Customer Details'!$A$1:$F$17,4,FALSE)</f>
        <v>Midland</v>
      </c>
      <c r="F263" s="8" t="s">
        <v>322</v>
      </c>
      <c r="G263" s="8">
        <v>1</v>
      </c>
      <c r="H263" s="2" t="str">
        <f>VLOOKUP($D263,'Customer Details'!$A$1:$F$17,MATCH('Order SUmmary'!H$2,'Customer Details'!$A$1:$F$1,0),0)</f>
        <v>Supreme Ind</v>
      </c>
      <c r="I263" s="2" t="str">
        <f>VLOOKUP($D263,'Customer Details'!$A$1:$F$17,4,0)</f>
        <v>Midland</v>
      </c>
      <c r="J263" s="2" t="str">
        <f>VLOOKUP($D263,'Customer Details'!$A$1:$F$17,6,0)</f>
        <v>79706</v>
      </c>
      <c r="K263" s="8" t="str">
        <f>VLOOKUP(VLOOKUP(D263,'Customer Details'!$A$1:$F$17,5,0),'Region INfo'!$A$1:$C$52,3,0)</f>
        <v>Western</v>
      </c>
      <c r="L263" s="8" t="str">
        <f>INDEX(Product_List,MATCH($F263,'Product List'!$B$1:$B$299,0),MATCH('Order SUmmary'!L$2,'Product List'!$A$1:$E$1,0))</f>
        <v>Xerox 1966</v>
      </c>
      <c r="M263" s="8">
        <f>INDEX(Product_List,MATCH($F263,'Product List'!$B$1:$B$299,0),MATCH('Order SUmmary'!M$2,'Product List'!$A$1:$E$1,0))</f>
        <v>4476</v>
      </c>
      <c r="N263" s="8">
        <f>INDEX(Product_List,MATCH($F263,'Product List'!$B$1:$B$299,0),MATCH('Order SUmmary'!N$2,'Product List'!$A$1:$E$1,0))</f>
        <v>2494</v>
      </c>
      <c r="O263" s="8" t="str">
        <f>INDEX(Product_List,MATCH($F263,'Product List'!$B$1:$B$299,0),MATCH('Order SUmmary'!O$2,'Product List'!$A$1:$E$1,0))</f>
        <v>Paper</v>
      </c>
      <c r="P263" s="12">
        <f>HLOOKUP(C263,'Commission Criteria'!$A$2:$I$4,3,FALSE)</f>
        <v>4</v>
      </c>
      <c r="Q263" s="8">
        <f t="shared" si="13"/>
        <v>2494</v>
      </c>
      <c r="R263" s="8">
        <f t="shared" si="14"/>
        <v>4476</v>
      </c>
      <c r="S263" s="36">
        <f>VLOOKUP(R263,'Commission Criteria'!$L$3:$M$11,2,TRUE)</f>
        <v>0.01</v>
      </c>
      <c r="T263" s="36">
        <f>IF(P263&lt;5,VLOOKUP(R263,'Commission Criteria'!$L$3:$M$11,2,1),VLOOKUP('Order SUmmary'!R263,'Commission Criteria'!$P$3:$Q$11,2,1))</f>
        <v>0.01</v>
      </c>
      <c r="U263" s="36">
        <f>VLOOKUP(R263,IF(P263&lt;5,'Commission Criteria'!$L$3:$M$11,'Commission Criteria'!$P$3:$Q$11),2,1)</f>
        <v>0.01</v>
      </c>
      <c r="V263" s="8" t="s">
        <v>32</v>
      </c>
      <c r="W263" s="36">
        <f t="shared" ca="1" si="15"/>
        <v>0</v>
      </c>
      <c r="X263" s="8" t="str">
        <f>_xlfn.XLOOKUP(F263,'Product List'!$B$1:$B$299,'Product List'!$A$1:$A$299)</f>
        <v>Xerox 1966</v>
      </c>
      <c r="Y263" s="8"/>
      <c r="Z263" s="8" t="str" cm="1">
        <f t="array" ref="Z263:AD263">_xlfn.XLOOKUP(D263,'Customer Details'!$A$1:$A$17,'Customer Details'!$B$1:$F$17,"No such customer",0,1)</f>
        <v>Supreme Ind</v>
      </c>
      <c r="AA263" s="8" t="str">
        <v>P.O. Box 1367</v>
      </c>
      <c r="AB263" s="8" t="str">
        <v>Midland</v>
      </c>
      <c r="AC263" s="8" t="str">
        <v>TX</v>
      </c>
      <c r="AD263" s="8" t="str">
        <v>79706</v>
      </c>
    </row>
    <row r="264" spans="1:30">
      <c r="A264" s="8" t="s">
        <v>387</v>
      </c>
      <c r="B264" s="19">
        <v>41561</v>
      </c>
      <c r="C264" s="8" t="s">
        <v>36</v>
      </c>
      <c r="D264" s="8">
        <v>10003</v>
      </c>
      <c r="E264" s="8" t="str">
        <f>VLOOKUP($D264,'Customer Details'!$A$1:$F$17,4,FALSE)</f>
        <v>Miami</v>
      </c>
      <c r="F264" s="8" t="s">
        <v>388</v>
      </c>
      <c r="G264" s="8">
        <v>1</v>
      </c>
      <c r="H264" s="2" t="str">
        <f>VLOOKUP($D264,'Customer Details'!$A$1:$F$17,MATCH('Order SUmmary'!H$2,'Customer Details'!$A$1:$F$1,0),0)</f>
        <v>Honeywell Automation</v>
      </c>
      <c r="I264" s="2" t="str">
        <f>VLOOKUP($D264,'Customer Details'!$A$1:$F$17,4,0)</f>
        <v>Miami</v>
      </c>
      <c r="J264" s="2" t="str">
        <f>VLOOKUP($D264,'Customer Details'!$A$1:$F$17,6,0)</f>
        <v>33732</v>
      </c>
      <c r="K264" s="8" t="str">
        <f>VLOOKUP(VLOOKUP(D264,'Customer Details'!$A$1:$F$17,5,0),'Region INfo'!$A$1:$C$52,3,0)</f>
        <v>Southern</v>
      </c>
      <c r="L264" s="8" t="str">
        <f>INDEX(Product_List,MATCH($F264,'Product List'!$B$1:$B$299,0),MATCH('Order SUmmary'!L$2,'Product List'!$A$1:$E$1,0))</f>
        <v>Xerox 193</v>
      </c>
      <c r="M264" s="8">
        <f>INDEX(Product_List,MATCH($F264,'Product List'!$B$1:$B$299,0),MATCH('Order SUmmary'!M$2,'Product List'!$A$1:$E$1,0))</f>
        <v>3056</v>
      </c>
      <c r="N264" s="8">
        <f>INDEX(Product_List,MATCH($F264,'Product List'!$B$1:$B$299,0),MATCH('Order SUmmary'!N$2,'Product List'!$A$1:$E$1,0))</f>
        <v>1830</v>
      </c>
      <c r="O264" s="8" t="str">
        <f>INDEX(Product_List,MATCH($F264,'Product List'!$B$1:$B$299,0),MATCH('Order SUmmary'!O$2,'Product List'!$A$1:$E$1,0))</f>
        <v>Paper</v>
      </c>
      <c r="P264" s="12">
        <f>HLOOKUP(C264,'Commission Criteria'!$A$2:$I$4,3,FALSE)</f>
        <v>6</v>
      </c>
      <c r="Q264" s="8">
        <f t="shared" si="13"/>
        <v>1830</v>
      </c>
      <c r="R264" s="8">
        <f t="shared" si="14"/>
        <v>3056</v>
      </c>
      <c r="S264" s="36">
        <f>VLOOKUP(R264,'Commission Criteria'!$L$3:$M$11,2,TRUE)</f>
        <v>0.01</v>
      </c>
      <c r="T264" s="36">
        <f>IF(P264&lt;5,VLOOKUP(R264,'Commission Criteria'!$L$3:$M$11,2,1),VLOOKUP('Order SUmmary'!R264,'Commission Criteria'!$P$3:$Q$11,2,1))</f>
        <v>0.02</v>
      </c>
      <c r="U264" s="36">
        <f>VLOOKUP(R264,IF(P264&lt;5,'Commission Criteria'!$L$3:$M$11,'Commission Criteria'!$P$3:$Q$11),2,1)</f>
        <v>0.02</v>
      </c>
      <c r="V264" s="8" t="s">
        <v>43</v>
      </c>
      <c r="W264" s="36">
        <f t="shared" ca="1" si="15"/>
        <v>0.01</v>
      </c>
      <c r="X264" s="8" t="str">
        <f>_xlfn.XLOOKUP(F264,'Product List'!$B$1:$B$299,'Product List'!$A$1:$A$299)</f>
        <v>Xerox 193</v>
      </c>
      <c r="Y264" s="8"/>
      <c r="Z264" s="8" t="str" cm="1">
        <f t="array" ref="Z264:AD264">_xlfn.XLOOKUP(D264,'Customer Details'!$A$1:$A$17,'Customer Details'!$B$1:$F$17,"No such customer",0,1)</f>
        <v>Honeywell Automation</v>
      </c>
      <c r="AA264" s="8" t="str">
        <v>1272 Harbor Road</v>
      </c>
      <c r="AB264" s="8" t="str">
        <v>Miami</v>
      </c>
      <c r="AC264" s="8" t="str">
        <v>FL</v>
      </c>
      <c r="AD264" s="8" t="str">
        <v>33732</v>
      </c>
    </row>
    <row r="265" spans="1:30">
      <c r="A265" s="8" t="s">
        <v>389</v>
      </c>
      <c r="B265" s="19">
        <v>41561</v>
      </c>
      <c r="C265" s="8" t="s">
        <v>54</v>
      </c>
      <c r="D265" s="8">
        <v>10012</v>
      </c>
      <c r="E265" s="8" t="str">
        <f>VLOOKUP($D265,'Customer Details'!$A$1:$F$17,4,FALSE)</f>
        <v>Santa Barbara</v>
      </c>
      <c r="F265" s="8" t="s">
        <v>390</v>
      </c>
      <c r="G265" s="8">
        <v>2</v>
      </c>
      <c r="H265" s="2" t="str">
        <f>VLOOKUP($D265,'Customer Details'!$A$1:$F$17,MATCH('Order SUmmary'!H$2,'Customer Details'!$A$1:$F$1,0),0)</f>
        <v>Dynamatic Technologies Ltd.</v>
      </c>
      <c r="I265" s="2" t="str">
        <f>VLOOKUP($D265,'Customer Details'!$A$1:$F$17,4,0)</f>
        <v>Santa Barbara</v>
      </c>
      <c r="J265" s="2" t="str">
        <f>VLOOKUP($D265,'Customer Details'!$A$1:$F$17,6,0)</f>
        <v>93110</v>
      </c>
      <c r="K265" s="8" t="str">
        <f>VLOOKUP(VLOOKUP(D265,'Customer Details'!$A$1:$F$17,5,0),'Region INfo'!$A$1:$C$52,3,0)</f>
        <v xml:space="preserve">Pacific   </v>
      </c>
      <c r="L265" s="8" t="str">
        <f>INDEX(Product_List,MATCH($F265,'Product List'!$B$1:$B$299,0),MATCH('Order SUmmary'!L$2,'Product List'!$A$1:$E$1,0))</f>
        <v>Avery 502</v>
      </c>
      <c r="M265" s="8">
        <f>INDEX(Product_List,MATCH($F265,'Product List'!$B$1:$B$299,0),MATCH('Order SUmmary'!M$2,'Product List'!$A$1:$E$1,0))</f>
        <v>2645</v>
      </c>
      <c r="N265" s="8">
        <f>INDEX(Product_List,MATCH($F265,'Product List'!$B$1:$B$299,0),MATCH('Order SUmmary'!N$2,'Product List'!$A$1:$E$1,0))</f>
        <v>1547</v>
      </c>
      <c r="O265" s="8" t="str">
        <f>INDEX(Product_List,MATCH($F265,'Product List'!$B$1:$B$299,0),MATCH('Order SUmmary'!O$2,'Product List'!$A$1:$E$1,0))</f>
        <v>Labels</v>
      </c>
      <c r="P265" s="12">
        <f>HLOOKUP(C265,'Commission Criteria'!$A$2:$I$4,3,FALSE)</f>
        <v>3</v>
      </c>
      <c r="Q265" s="8">
        <f t="shared" si="13"/>
        <v>3094</v>
      </c>
      <c r="R265" s="8">
        <f t="shared" si="14"/>
        <v>5290</v>
      </c>
      <c r="S265" s="36">
        <f>VLOOKUP(R265,'Commission Criteria'!$L$3:$M$11,2,TRUE)</f>
        <v>0.03</v>
      </c>
      <c r="T265" s="36">
        <f>IF(P265&lt;5,VLOOKUP(R265,'Commission Criteria'!$L$3:$M$11,2,1),VLOOKUP('Order SUmmary'!R265,'Commission Criteria'!$P$3:$Q$11,2,1))</f>
        <v>0.03</v>
      </c>
      <c r="U265" s="36">
        <f>VLOOKUP(R265,IF(P265&lt;5,'Commission Criteria'!$L$3:$M$11,'Commission Criteria'!$P$3:$Q$11),2,1)</f>
        <v>0.03</v>
      </c>
      <c r="V265" s="8" t="s">
        <v>40</v>
      </c>
      <c r="W265" s="36">
        <f t="shared" ca="1" si="15"/>
        <v>0.04</v>
      </c>
      <c r="X265" s="8" t="str">
        <f>_xlfn.XLOOKUP(F265,'Product List'!$B$1:$B$299,'Product List'!$A$1:$A$299)</f>
        <v>Avery 502</v>
      </c>
      <c r="Y265" s="8"/>
      <c r="Z265" s="8" t="str" cm="1">
        <f t="array" ref="Z265:AD265">_xlfn.XLOOKUP(D265,'Customer Details'!$A$1:$A$17,'Customer Details'!$B$1:$F$17,"No such customer",0,1)</f>
        <v>Dynamatic Technologies Ltd.</v>
      </c>
      <c r="AA265" s="8" t="str">
        <v>402 Pinkster Lane</v>
      </c>
      <c r="AB265" s="8" t="str">
        <v>Santa Barbara</v>
      </c>
      <c r="AC265" s="8" t="str">
        <v>CA</v>
      </c>
      <c r="AD265" s="8" t="str">
        <v>93110</v>
      </c>
    </row>
    <row r="266" spans="1:30">
      <c r="A266" s="8" t="s">
        <v>387</v>
      </c>
      <c r="B266" s="19">
        <v>41561</v>
      </c>
      <c r="C266" s="8" t="s">
        <v>36</v>
      </c>
      <c r="D266" s="8">
        <v>10015</v>
      </c>
      <c r="E266" s="8" t="str">
        <f>VLOOKUP($D266,'Customer Details'!$A$1:$F$17,4,FALSE)</f>
        <v>South Windsor</v>
      </c>
      <c r="F266" s="8" t="s">
        <v>178</v>
      </c>
      <c r="G266" s="8">
        <v>2</v>
      </c>
      <c r="H266" s="2" t="str">
        <f>VLOOKUP($D266,'Customer Details'!$A$1:$F$17,MATCH('Order SUmmary'!H$2,'Customer Details'!$A$1:$F$1,0),0)</f>
        <v>Punj Lloyd Ltd.</v>
      </c>
      <c r="I266" s="2" t="str">
        <f>VLOOKUP($D266,'Customer Details'!$A$1:$F$17,4,0)</f>
        <v>South Windsor</v>
      </c>
      <c r="J266" s="2" t="str">
        <f>VLOOKUP($D266,'Customer Details'!$A$1:$F$17,6,0)</f>
        <v>06074</v>
      </c>
      <c r="K266" s="8" t="str">
        <f>VLOOKUP(VLOOKUP(D266,'Customer Details'!$A$1:$F$17,5,0),'Region INfo'!$A$1:$C$52,3,0)</f>
        <v xml:space="preserve">Northern </v>
      </c>
      <c r="L266" s="8" t="str">
        <f>INDEX(Product_List,MATCH($F266,'Product List'!$B$1:$B$299,0),MATCH('Order SUmmary'!L$2,'Product List'!$A$1:$E$1,0))</f>
        <v>Xerox 1912</v>
      </c>
      <c r="M266" s="8">
        <f>INDEX(Product_List,MATCH($F266,'Product List'!$B$1:$B$299,0),MATCH('Order SUmmary'!M$2,'Product List'!$A$1:$E$1,0))</f>
        <v>2803</v>
      </c>
      <c r="N266" s="8">
        <f>INDEX(Product_List,MATCH($F266,'Product List'!$B$1:$B$299,0),MATCH('Order SUmmary'!N$2,'Product List'!$A$1:$E$1,0))</f>
        <v>1344</v>
      </c>
      <c r="O266" s="8" t="str">
        <f>INDEX(Product_List,MATCH($F266,'Product List'!$B$1:$B$299,0),MATCH('Order SUmmary'!O$2,'Product List'!$A$1:$E$1,0))</f>
        <v>Paper</v>
      </c>
      <c r="P266" s="12">
        <f>HLOOKUP(C266,'Commission Criteria'!$A$2:$I$4,3,FALSE)</f>
        <v>6</v>
      </c>
      <c r="Q266" s="8">
        <f t="shared" si="13"/>
        <v>2688</v>
      </c>
      <c r="R266" s="8">
        <f t="shared" si="14"/>
        <v>5606</v>
      </c>
      <c r="S266" s="36">
        <f>VLOOKUP(R266,'Commission Criteria'!$L$3:$M$11,2,TRUE)</f>
        <v>0.03</v>
      </c>
      <c r="T266" s="36">
        <f>IF(P266&lt;5,VLOOKUP(R266,'Commission Criteria'!$L$3:$M$11,2,1),VLOOKUP('Order SUmmary'!R266,'Commission Criteria'!$P$3:$Q$11,2,1))</f>
        <v>0.02</v>
      </c>
      <c r="U266" s="36">
        <f>VLOOKUP(R266,IF(P266&lt;5,'Commission Criteria'!$L$3:$M$11,'Commission Criteria'!$P$3:$Q$11),2,1)</f>
        <v>0.02</v>
      </c>
      <c r="V266" s="8" t="s">
        <v>40</v>
      </c>
      <c r="W266" s="36">
        <f t="shared" ca="1" si="15"/>
        <v>0.05</v>
      </c>
      <c r="X266" s="8" t="str">
        <f>_xlfn.XLOOKUP(F266,'Product List'!$B$1:$B$299,'Product List'!$A$1:$A$299)</f>
        <v>Xerox 1912</v>
      </c>
      <c r="Y266" s="8"/>
      <c r="Z266" s="8" t="str" cm="1">
        <f t="array" ref="Z266:AD266">_xlfn.XLOOKUP(D266,'Customer Details'!$A$1:$A$17,'Customer Details'!$B$1:$F$17,"No such customer",0,1)</f>
        <v>Punj Lloyd Ltd.</v>
      </c>
      <c r="AA266" s="8" t="str">
        <v>Box 3263</v>
      </c>
      <c r="AB266" s="8" t="str">
        <v>South Windsor</v>
      </c>
      <c r="AC266" s="8" t="str">
        <v>CT</v>
      </c>
      <c r="AD266" s="8" t="str">
        <v>06074</v>
      </c>
    </row>
    <row r="267" spans="1:30">
      <c r="A267" s="8" t="s">
        <v>389</v>
      </c>
      <c r="B267" s="19">
        <v>41561</v>
      </c>
      <c r="C267" s="8" t="s">
        <v>66</v>
      </c>
      <c r="D267" s="8">
        <v>10009</v>
      </c>
      <c r="E267" s="8" t="str">
        <f>VLOOKUP($D267,'Customer Details'!$A$1:$F$17,4,FALSE)</f>
        <v>Salt Lake City</v>
      </c>
      <c r="F267" s="8" t="s">
        <v>307</v>
      </c>
      <c r="G267" s="8">
        <v>2</v>
      </c>
      <c r="H267" s="2" t="str">
        <f>VLOOKUP($D267,'Customer Details'!$A$1:$F$17,MATCH('Order SUmmary'!H$2,'Customer Details'!$A$1:$F$1,0),0)</f>
        <v>Godfrey Philips India Ltd.</v>
      </c>
      <c r="I267" s="2" t="str">
        <f>VLOOKUP($D267,'Customer Details'!$A$1:$F$17,4,0)</f>
        <v>Salt Lake City</v>
      </c>
      <c r="J267" s="2" t="str">
        <f>VLOOKUP($D267,'Customer Details'!$A$1:$F$17,6,0)</f>
        <v>84118</v>
      </c>
      <c r="K267" s="8" t="str">
        <f>VLOOKUP(VLOOKUP(D267,'Customer Details'!$A$1:$F$17,5,0),'Region INfo'!$A$1:$C$52,3,0)</f>
        <v xml:space="preserve">Pacific   </v>
      </c>
      <c r="L267" s="8" t="str">
        <f>INDEX(Product_List,MATCH($F267,'Product List'!$B$1:$B$299,0),MATCH('Order SUmmary'!L$2,'Product List'!$A$1:$E$1,0))</f>
        <v>Avery 519</v>
      </c>
      <c r="M267" s="8">
        <f>INDEX(Product_List,MATCH($F267,'Product List'!$B$1:$B$299,0),MATCH('Order SUmmary'!M$2,'Product List'!$A$1:$E$1,0))</f>
        <v>3491</v>
      </c>
      <c r="N267" s="8">
        <f>INDEX(Product_List,MATCH($F267,'Product List'!$B$1:$B$299,0),MATCH('Order SUmmary'!N$2,'Product List'!$A$1:$E$1,0))</f>
        <v>1257</v>
      </c>
      <c r="O267" s="8" t="str">
        <f>INDEX(Product_List,MATCH($F267,'Product List'!$B$1:$B$299,0),MATCH('Order SUmmary'!O$2,'Product List'!$A$1:$E$1,0))</f>
        <v>Labels</v>
      </c>
      <c r="P267" s="12">
        <f>HLOOKUP(C267,'Commission Criteria'!$A$2:$I$4,3,FALSE)</f>
        <v>5</v>
      </c>
      <c r="Q267" s="8">
        <f t="shared" si="13"/>
        <v>2514</v>
      </c>
      <c r="R267" s="8">
        <f t="shared" si="14"/>
        <v>6982</v>
      </c>
      <c r="S267" s="36">
        <f>VLOOKUP(R267,'Commission Criteria'!$L$3:$M$11,2,TRUE)</f>
        <v>0.03</v>
      </c>
      <c r="T267" s="36">
        <f>IF(P267&lt;5,VLOOKUP(R267,'Commission Criteria'!$L$3:$M$11,2,1),VLOOKUP('Order SUmmary'!R267,'Commission Criteria'!$P$3:$Q$11,2,1))</f>
        <v>0.02</v>
      </c>
      <c r="U267" s="36">
        <f>VLOOKUP(R267,IF(P267&lt;5,'Commission Criteria'!$L$3:$M$11,'Commission Criteria'!$P$3:$Q$11),2,1)</f>
        <v>0.02</v>
      </c>
      <c r="V267" s="8" t="s">
        <v>29</v>
      </c>
      <c r="W267" s="36">
        <f t="shared" ca="1" si="15"/>
        <v>0.01</v>
      </c>
      <c r="X267" s="8" t="str">
        <f>_xlfn.XLOOKUP(F267,'Product List'!$B$1:$B$299,'Product List'!$A$1:$A$299)</f>
        <v>Avery 519</v>
      </c>
      <c r="Y267" s="8"/>
      <c r="Z267" s="8" t="str" cm="1">
        <f t="array" ref="Z267:AD267">_xlfn.XLOOKUP(D267,'Customer Details'!$A$1:$A$17,'Customer Details'!$B$1:$F$17,"No such customer",0,1)</f>
        <v>Godfrey Philips India Ltd.</v>
      </c>
      <c r="AA267" s="8" t="str">
        <v>20501 Ania Ave #2</v>
      </c>
      <c r="AB267" s="8" t="str">
        <v>Salt Lake City</v>
      </c>
      <c r="AC267" s="8" t="str">
        <v>UT</v>
      </c>
      <c r="AD267" s="8" t="str">
        <v>84118</v>
      </c>
    </row>
    <row r="268" spans="1:30">
      <c r="A268" s="8" t="s">
        <v>389</v>
      </c>
      <c r="B268" s="19">
        <v>41561</v>
      </c>
      <c r="C268" s="8" t="s">
        <v>66</v>
      </c>
      <c r="D268" s="8">
        <v>10008</v>
      </c>
      <c r="E268" s="8" t="str">
        <f>VLOOKUP($D268,'Customer Details'!$A$1:$F$17,4,FALSE)</f>
        <v>Chestnut Ridge</v>
      </c>
      <c r="F268" s="8" t="s">
        <v>391</v>
      </c>
      <c r="G268" s="8">
        <v>2</v>
      </c>
      <c r="H268" s="2" t="str">
        <f>VLOOKUP($D268,'Customer Details'!$A$1:$F$17,MATCH('Order SUmmary'!H$2,'Customer Details'!$A$1:$F$1,0),0)</f>
        <v>Reliance Industries Limited</v>
      </c>
      <c r="I268" s="2" t="str">
        <f>VLOOKUP($D268,'Customer Details'!$A$1:$F$17,4,0)</f>
        <v>Chestnut Ridge</v>
      </c>
      <c r="J268" s="2" t="str">
        <f>VLOOKUP($D268,'Customer Details'!$A$1:$F$17,6,0)</f>
        <v>10977</v>
      </c>
      <c r="K268" s="8" t="str">
        <f>VLOOKUP(VLOOKUP(D268,'Customer Details'!$A$1:$F$17,5,0),'Region INfo'!$A$1:$C$52,3,0)</f>
        <v xml:space="preserve">Northern </v>
      </c>
      <c r="L268" s="8" t="str">
        <f>INDEX(Product_List,MATCH($F268,'Product List'!$B$1:$B$299,0),MATCH('Order SUmmary'!L$2,'Product List'!$A$1:$E$1,0))</f>
        <v>Xerox 1958</v>
      </c>
      <c r="M268" s="8">
        <f>INDEX(Product_List,MATCH($F268,'Product List'!$B$1:$B$299,0),MATCH('Order SUmmary'!M$2,'Product List'!$A$1:$E$1,0))</f>
        <v>4481</v>
      </c>
      <c r="N268" s="8">
        <f>INDEX(Product_List,MATCH($F268,'Product List'!$B$1:$B$299,0),MATCH('Order SUmmary'!N$2,'Product List'!$A$1:$E$1,0))</f>
        <v>2114</v>
      </c>
      <c r="O268" s="8" t="str">
        <f>INDEX(Product_List,MATCH($F268,'Product List'!$B$1:$B$299,0),MATCH('Order SUmmary'!O$2,'Product List'!$A$1:$E$1,0))</f>
        <v>Paper</v>
      </c>
      <c r="P268" s="12">
        <f>HLOOKUP(C268,'Commission Criteria'!$A$2:$I$4,3,FALSE)</f>
        <v>5</v>
      </c>
      <c r="Q268" s="8">
        <f t="shared" si="13"/>
        <v>4228</v>
      </c>
      <c r="R268" s="8">
        <f t="shared" si="14"/>
        <v>8962</v>
      </c>
      <c r="S268" s="36">
        <f>VLOOKUP(R268,'Commission Criteria'!$L$3:$M$11,2,TRUE)</f>
        <v>0.03</v>
      </c>
      <c r="T268" s="36">
        <f>IF(P268&lt;5,VLOOKUP(R268,'Commission Criteria'!$L$3:$M$11,2,1),VLOOKUP('Order SUmmary'!R268,'Commission Criteria'!$P$3:$Q$11,2,1))</f>
        <v>0.02</v>
      </c>
      <c r="U268" s="36">
        <f>VLOOKUP(R268,IF(P268&lt;5,'Commission Criteria'!$L$3:$M$11,'Commission Criteria'!$P$3:$Q$11),2,1)</f>
        <v>0.02</v>
      </c>
      <c r="V268" s="8" t="s">
        <v>43</v>
      </c>
      <c r="W268" s="36">
        <f t="shared" ca="1" si="15"/>
        <v>0</v>
      </c>
      <c r="X268" s="8" t="str">
        <f>_xlfn.XLOOKUP(F268,'Product List'!$B$1:$B$299,'Product List'!$A$1:$A$299)</f>
        <v>Xerox 1958</v>
      </c>
      <c r="Y268" s="8"/>
      <c r="Z268" s="8" t="str" cm="1">
        <f t="array" ref="Z268:AD268">_xlfn.XLOOKUP(D268,'Customer Details'!$A$1:$A$17,'Customer Details'!$B$1:$F$17,"No such customer",0,1)</f>
        <v>Reliance Industries Limited</v>
      </c>
      <c r="AA268" s="8" t="str">
        <v>12020 Shamrock Rd., Suite 333</v>
      </c>
      <c r="AB268" s="8" t="str">
        <v>Chestnut Ridge</v>
      </c>
      <c r="AC268" s="8" t="str">
        <v>NY</v>
      </c>
      <c r="AD268" s="8" t="str">
        <v>10977</v>
      </c>
    </row>
    <row r="269" spans="1:30">
      <c r="A269" s="8" t="s">
        <v>392</v>
      </c>
      <c r="B269" s="19">
        <v>41562</v>
      </c>
      <c r="C269" s="8" t="s">
        <v>51</v>
      </c>
      <c r="D269" s="8">
        <v>10011</v>
      </c>
      <c r="E269" s="8" t="str">
        <f>VLOOKUP($D269,'Customer Details'!$A$1:$F$17,4,FALSE)</f>
        <v>Olympia</v>
      </c>
      <c r="F269" s="8" t="s">
        <v>39</v>
      </c>
      <c r="G269" s="8">
        <v>1</v>
      </c>
      <c r="H269" s="2" t="str">
        <f>VLOOKUP($D269,'Customer Details'!$A$1:$F$17,MATCH('Order SUmmary'!H$2,'Customer Details'!$A$1:$F$1,0),0)</f>
        <v>Sonata Software</v>
      </c>
      <c r="I269" s="2" t="str">
        <f>VLOOKUP($D269,'Customer Details'!$A$1:$F$17,4,0)</f>
        <v>Olympia</v>
      </c>
      <c r="J269" s="2" t="str">
        <f>VLOOKUP($D269,'Customer Details'!$A$1:$F$17,6,0)</f>
        <v>98502</v>
      </c>
      <c r="K269" s="8" t="str">
        <f>VLOOKUP(VLOOKUP(D269,'Customer Details'!$A$1:$F$17,5,0),'Region INfo'!$A$1:$C$52,3,0)</f>
        <v xml:space="preserve">Pacific   </v>
      </c>
      <c r="L269" s="8" t="str">
        <f>INDEX(Product_List,MATCH($F269,'Product List'!$B$1:$B$299,0),MATCH('Order SUmmary'!L$2,'Product List'!$A$1:$E$1,0))</f>
        <v>Xerox 1890</v>
      </c>
      <c r="M269" s="8">
        <f>INDEX(Product_List,MATCH($F269,'Product List'!$B$1:$B$299,0),MATCH('Order SUmmary'!M$2,'Product List'!$A$1:$E$1,0))</f>
        <v>3878</v>
      </c>
      <c r="N269" s="8">
        <f>INDEX(Product_List,MATCH($F269,'Product List'!$B$1:$B$299,0),MATCH('Order SUmmary'!N$2,'Product List'!$A$1:$E$1,0))</f>
        <v>2236</v>
      </c>
      <c r="O269" s="8" t="str">
        <f>INDEX(Product_List,MATCH($F269,'Product List'!$B$1:$B$299,0),MATCH('Order SUmmary'!O$2,'Product List'!$A$1:$E$1,0))</f>
        <v>Paper</v>
      </c>
      <c r="P269" s="12">
        <f>HLOOKUP(C269,'Commission Criteria'!$A$2:$I$4,3,FALSE)</f>
        <v>10</v>
      </c>
      <c r="Q269" s="8">
        <f t="shared" si="13"/>
        <v>2236</v>
      </c>
      <c r="R269" s="8">
        <f t="shared" si="14"/>
        <v>3878</v>
      </c>
      <c r="S269" s="36">
        <f>VLOOKUP(R269,'Commission Criteria'!$L$3:$M$11,2,TRUE)</f>
        <v>0.01</v>
      </c>
      <c r="T269" s="36">
        <f>IF(P269&lt;5,VLOOKUP(R269,'Commission Criteria'!$L$3:$M$11,2,1),VLOOKUP('Order SUmmary'!R269,'Commission Criteria'!$P$3:$Q$11,2,1))</f>
        <v>0.02</v>
      </c>
      <c r="U269" s="36">
        <f>VLOOKUP(R269,IF(P269&lt;5,'Commission Criteria'!$L$3:$M$11,'Commission Criteria'!$P$3:$Q$11),2,1)</f>
        <v>0.02</v>
      </c>
      <c r="V269" s="8" t="s">
        <v>43</v>
      </c>
      <c r="W269" s="36">
        <f t="shared" ca="1" si="15"/>
        <v>0.05</v>
      </c>
      <c r="X269" s="8" t="str">
        <f>_xlfn.XLOOKUP(F269,'Product List'!$B$1:$B$299,'Product List'!$A$1:$A$299)</f>
        <v>Xerox 1890</v>
      </c>
      <c r="Y269" s="8"/>
      <c r="Z269" s="8" t="str" cm="1">
        <f t="array" ref="Z269:AD269">_xlfn.XLOOKUP(D269,'Customer Details'!$A$1:$A$17,'Customer Details'!$B$1:$F$17,"No such customer",0,1)</f>
        <v>Sonata Software</v>
      </c>
      <c r="AA269" s="8" t="str">
        <v>1331 Kimberly Dr.</v>
      </c>
      <c r="AB269" s="8" t="str">
        <v>Olympia</v>
      </c>
      <c r="AC269" s="8" t="str">
        <v>WA</v>
      </c>
      <c r="AD269" s="8" t="str">
        <v>98502</v>
      </c>
    </row>
    <row r="270" spans="1:30">
      <c r="A270" s="8" t="s">
        <v>393</v>
      </c>
      <c r="B270" s="19">
        <v>41562</v>
      </c>
      <c r="C270" s="8" t="s">
        <v>44</v>
      </c>
      <c r="D270" s="8">
        <v>10010</v>
      </c>
      <c r="E270" s="8" t="str">
        <f>VLOOKUP($D270,'Customer Details'!$A$1:$F$17,4,FALSE)</f>
        <v>Tracy</v>
      </c>
      <c r="F270" s="8" t="s">
        <v>394</v>
      </c>
      <c r="G270" s="8">
        <v>2</v>
      </c>
      <c r="H270" s="2" t="str">
        <f>VLOOKUP($D270,'Customer Details'!$A$1:$F$17,MATCH('Order SUmmary'!H$2,'Customer Details'!$A$1:$F$1,0),0)</f>
        <v>Suzlon Energy Ltd.</v>
      </c>
      <c r="I270" s="2" t="str">
        <f>VLOOKUP($D270,'Customer Details'!$A$1:$F$17,4,0)</f>
        <v>Tracy</v>
      </c>
      <c r="J270" s="2" t="str">
        <f>VLOOKUP($D270,'Customer Details'!$A$1:$F$17,6,0)</f>
        <v>95376</v>
      </c>
      <c r="K270" s="8" t="str">
        <f>VLOOKUP(VLOOKUP(D270,'Customer Details'!$A$1:$F$17,5,0),'Region INfo'!$A$1:$C$52,3,0)</f>
        <v xml:space="preserve">Pacific   </v>
      </c>
      <c r="L270" s="8" t="str">
        <f>INDEX(Product_List,MATCH($F270,'Product List'!$B$1:$B$299,0),MATCH('Order SUmmary'!L$2,'Product List'!$A$1:$E$1,0))</f>
        <v>GE 30524EE4</v>
      </c>
      <c r="M270" s="8">
        <f>INDEX(Product_List,MATCH($F270,'Product List'!$B$1:$B$299,0),MATCH('Order SUmmary'!M$2,'Product List'!$A$1:$E$1,0))</f>
        <v>2553</v>
      </c>
      <c r="N270" s="8">
        <f>INDEX(Product_List,MATCH($F270,'Product List'!$B$1:$B$299,0),MATCH('Order SUmmary'!N$2,'Product List'!$A$1:$E$1,0))</f>
        <v>1638</v>
      </c>
      <c r="O270" s="8" t="str">
        <f>INDEX(Product_List,MATCH($F270,'Product List'!$B$1:$B$299,0),MATCH('Order SUmmary'!O$2,'Product List'!$A$1:$E$1,0))</f>
        <v>Phones</v>
      </c>
      <c r="P270" s="12">
        <f>HLOOKUP(C270,'Commission Criteria'!$A$2:$I$4,3,FALSE)</f>
        <v>4</v>
      </c>
      <c r="Q270" s="8">
        <f t="shared" si="13"/>
        <v>3276</v>
      </c>
      <c r="R270" s="8">
        <f t="shared" si="14"/>
        <v>5106</v>
      </c>
      <c r="S270" s="36">
        <f>VLOOKUP(R270,'Commission Criteria'!$L$3:$M$11,2,TRUE)</f>
        <v>0.03</v>
      </c>
      <c r="T270" s="36">
        <f>IF(P270&lt;5,VLOOKUP(R270,'Commission Criteria'!$L$3:$M$11,2,1),VLOOKUP('Order SUmmary'!R270,'Commission Criteria'!$P$3:$Q$11,2,1))</f>
        <v>0.03</v>
      </c>
      <c r="U270" s="36">
        <f>VLOOKUP(R270,IF(P270&lt;5,'Commission Criteria'!$L$3:$M$11,'Commission Criteria'!$P$3:$Q$11),2,1)</f>
        <v>0.03</v>
      </c>
      <c r="V270" s="8" t="s">
        <v>29</v>
      </c>
      <c r="W270" s="36">
        <f t="shared" ca="1" si="15"/>
        <v>0.04</v>
      </c>
      <c r="X270" s="8" t="str">
        <f>_xlfn.XLOOKUP(F270,'Product List'!$B$1:$B$299,'Product List'!$A$1:$A$299)</f>
        <v>GE 30524EE4</v>
      </c>
      <c r="Y270" s="8"/>
      <c r="Z270" s="8" t="str" cm="1">
        <f t="array" ref="Z270:AD270">_xlfn.XLOOKUP(D270,'Customer Details'!$A$1:$A$17,'Customer Details'!$B$1:$F$17,"No such customer",0,1)</f>
        <v>Suzlon Energy Ltd.</v>
      </c>
      <c r="AA270" s="8" t="str">
        <v>501 Marsh Trail Circle</v>
      </c>
      <c r="AB270" s="8" t="str">
        <v>Tracy</v>
      </c>
      <c r="AC270" s="8" t="str">
        <v>CA</v>
      </c>
      <c r="AD270" s="8" t="str">
        <v>95376</v>
      </c>
    </row>
    <row r="271" spans="1:30">
      <c r="A271" s="8" t="s">
        <v>392</v>
      </c>
      <c r="B271" s="19">
        <v>41562</v>
      </c>
      <c r="C271" s="8" t="s">
        <v>27</v>
      </c>
      <c r="D271" s="8">
        <v>10010</v>
      </c>
      <c r="E271" s="8" t="str">
        <f>VLOOKUP($D271,'Customer Details'!$A$1:$F$17,4,FALSE)</f>
        <v>Tracy</v>
      </c>
      <c r="F271" s="8" t="s">
        <v>395</v>
      </c>
      <c r="G271" s="8">
        <v>2</v>
      </c>
      <c r="H271" s="2" t="str">
        <f>VLOOKUP($D271,'Customer Details'!$A$1:$F$17,MATCH('Order SUmmary'!H$2,'Customer Details'!$A$1:$F$1,0),0)</f>
        <v>Suzlon Energy Ltd.</v>
      </c>
      <c r="I271" s="2" t="str">
        <f>VLOOKUP($D271,'Customer Details'!$A$1:$F$17,4,0)</f>
        <v>Tracy</v>
      </c>
      <c r="J271" s="2" t="str">
        <f>VLOOKUP($D271,'Customer Details'!$A$1:$F$17,6,0)</f>
        <v>95376</v>
      </c>
      <c r="K271" s="8" t="str">
        <f>VLOOKUP(VLOOKUP(D271,'Customer Details'!$A$1:$F$17,5,0),'Region INfo'!$A$1:$C$52,3,0)</f>
        <v xml:space="preserve">Pacific   </v>
      </c>
      <c r="L271" s="8" t="str">
        <f>INDEX(Product_List,MATCH($F271,'Product List'!$B$1:$B$299,0),MATCH('Order SUmmary'!L$2,'Product List'!$A$1:$E$1,0))</f>
        <v>Xerox 1883</v>
      </c>
      <c r="M271" s="8">
        <f>INDEX(Product_List,MATCH($F271,'Product List'!$B$1:$B$299,0),MATCH('Order SUmmary'!M$2,'Product List'!$A$1:$E$1,0))</f>
        <v>3112</v>
      </c>
      <c r="N271" s="8">
        <f>INDEX(Product_List,MATCH($F271,'Product List'!$B$1:$B$299,0),MATCH('Order SUmmary'!N$2,'Product List'!$A$1:$E$1,0))</f>
        <v>1766</v>
      </c>
      <c r="O271" s="8" t="str">
        <f>INDEX(Product_List,MATCH($F271,'Product List'!$B$1:$B$299,0),MATCH('Order SUmmary'!O$2,'Product List'!$A$1:$E$1,0))</f>
        <v>Paper</v>
      </c>
      <c r="P271" s="12">
        <f>HLOOKUP(C271,'Commission Criteria'!$A$2:$I$4,3,FALSE)</f>
        <v>4</v>
      </c>
      <c r="Q271" s="8">
        <f t="shared" si="13"/>
        <v>3532</v>
      </c>
      <c r="R271" s="8">
        <f t="shared" si="14"/>
        <v>6224</v>
      </c>
      <c r="S271" s="36">
        <f>VLOOKUP(R271,'Commission Criteria'!$L$3:$M$11,2,TRUE)</f>
        <v>0.03</v>
      </c>
      <c r="T271" s="36">
        <f>IF(P271&lt;5,VLOOKUP(R271,'Commission Criteria'!$L$3:$M$11,2,1),VLOOKUP('Order SUmmary'!R271,'Commission Criteria'!$P$3:$Q$11,2,1))</f>
        <v>0.03</v>
      </c>
      <c r="U271" s="36">
        <f>VLOOKUP(R271,IF(P271&lt;5,'Commission Criteria'!$L$3:$M$11,'Commission Criteria'!$P$3:$Q$11),2,1)</f>
        <v>0.03</v>
      </c>
      <c r="V271" s="8" t="s">
        <v>50</v>
      </c>
      <c r="W271" s="36">
        <f t="shared" ca="1" si="15"/>
        <v>0.05</v>
      </c>
      <c r="X271" s="8" t="str">
        <f>_xlfn.XLOOKUP(F271,'Product List'!$B$1:$B$299,'Product List'!$A$1:$A$299)</f>
        <v>Xerox 1883</v>
      </c>
      <c r="Y271" s="8"/>
      <c r="Z271" s="8" t="str" cm="1">
        <f t="array" ref="Z271:AD271">_xlfn.XLOOKUP(D271,'Customer Details'!$A$1:$A$17,'Customer Details'!$B$1:$F$17,"No such customer",0,1)</f>
        <v>Suzlon Energy Ltd.</v>
      </c>
      <c r="AA271" s="8" t="str">
        <v>501 Marsh Trail Circle</v>
      </c>
      <c r="AB271" s="8" t="str">
        <v>Tracy</v>
      </c>
      <c r="AC271" s="8" t="str">
        <v>CA</v>
      </c>
      <c r="AD271" s="8" t="str">
        <v>95376</v>
      </c>
    </row>
    <row r="272" spans="1:30">
      <c r="A272" s="8" t="s">
        <v>392</v>
      </c>
      <c r="B272" s="19">
        <v>41562</v>
      </c>
      <c r="C272" s="8" t="s">
        <v>27</v>
      </c>
      <c r="D272" s="8">
        <v>10014</v>
      </c>
      <c r="E272" s="8" t="str">
        <f>VLOOKUP($D272,'Customer Details'!$A$1:$F$17,4,FALSE)</f>
        <v>Honolulu</v>
      </c>
      <c r="F272" s="8" t="s">
        <v>186</v>
      </c>
      <c r="G272" s="8">
        <v>2</v>
      </c>
      <c r="H272" s="2" t="str">
        <f>VLOOKUP($D272,'Customer Details'!$A$1:$F$17,MATCH('Order SUmmary'!H$2,'Customer Details'!$A$1:$F$1,0),0)</f>
        <v>Hindusthan National Glass &amp; Industries Ltd.</v>
      </c>
      <c r="I272" s="2" t="str">
        <f>VLOOKUP($D272,'Customer Details'!$A$1:$F$17,4,0)</f>
        <v>Honolulu</v>
      </c>
      <c r="J272" s="2" t="str">
        <f>VLOOKUP($D272,'Customer Details'!$A$1:$F$17,6,0)</f>
        <v>96825</v>
      </c>
      <c r="K272" s="8" t="str">
        <f>VLOOKUP(VLOOKUP(D272,'Customer Details'!$A$1:$F$17,5,0),'Region INfo'!$A$1:$C$52,3,0)</f>
        <v xml:space="preserve">Pacific   </v>
      </c>
      <c r="L272" s="8" t="str">
        <f>INDEX(Product_List,MATCH($F272,'Product List'!$B$1:$B$299,0),MATCH('Order SUmmary'!L$2,'Product List'!$A$1:$E$1,0))</f>
        <v>Avery 478</v>
      </c>
      <c r="M272" s="8">
        <f>INDEX(Product_List,MATCH($F272,'Product List'!$B$1:$B$299,0),MATCH('Order SUmmary'!M$2,'Product List'!$A$1:$E$1,0))</f>
        <v>4224</v>
      </c>
      <c r="N272" s="8">
        <f>INDEX(Product_List,MATCH($F272,'Product List'!$B$1:$B$299,0),MATCH('Order SUmmary'!N$2,'Product List'!$A$1:$E$1,0))</f>
        <v>2048</v>
      </c>
      <c r="O272" s="8" t="str">
        <f>INDEX(Product_List,MATCH($F272,'Product List'!$B$1:$B$299,0),MATCH('Order SUmmary'!O$2,'Product List'!$A$1:$E$1,0))</f>
        <v>Labels</v>
      </c>
      <c r="P272" s="12">
        <f>HLOOKUP(C272,'Commission Criteria'!$A$2:$I$4,3,FALSE)</f>
        <v>4</v>
      </c>
      <c r="Q272" s="8">
        <f t="shared" si="13"/>
        <v>4096</v>
      </c>
      <c r="R272" s="8">
        <f t="shared" si="14"/>
        <v>8448</v>
      </c>
      <c r="S272" s="36">
        <f>VLOOKUP(R272,'Commission Criteria'!$L$3:$M$11,2,TRUE)</f>
        <v>0.03</v>
      </c>
      <c r="T272" s="36">
        <f>IF(P272&lt;5,VLOOKUP(R272,'Commission Criteria'!$L$3:$M$11,2,1),VLOOKUP('Order SUmmary'!R272,'Commission Criteria'!$P$3:$Q$11,2,1))</f>
        <v>0.03</v>
      </c>
      <c r="U272" s="36">
        <f>VLOOKUP(R272,IF(P272&lt;5,'Commission Criteria'!$L$3:$M$11,'Commission Criteria'!$P$3:$Q$11),2,1)</f>
        <v>0.03</v>
      </c>
      <c r="V272" s="8" t="s">
        <v>43</v>
      </c>
      <c r="W272" s="36">
        <f t="shared" ca="1" si="15"/>
        <v>0.01</v>
      </c>
      <c r="X272" s="8" t="str">
        <f>_xlfn.XLOOKUP(F272,'Product List'!$B$1:$B$299,'Product List'!$A$1:$A$299)</f>
        <v>Avery 478</v>
      </c>
      <c r="Y272" s="8"/>
      <c r="Z272" s="8" t="str" cm="1">
        <f t="array" ref="Z272:AD272">_xlfn.XLOOKUP(D272,'Customer Details'!$A$1:$A$17,'Customer Details'!$B$1:$F$17,"No such customer",0,1)</f>
        <v>Hindusthan National Glass &amp; Industries Ltd.</v>
      </c>
      <c r="AA272" s="8" t="str">
        <v>11 Cathy St.</v>
      </c>
      <c r="AB272" s="8" t="str">
        <v>Honolulu</v>
      </c>
      <c r="AC272" s="8" t="str">
        <v>HI</v>
      </c>
      <c r="AD272" s="8" t="str">
        <v>96825</v>
      </c>
    </row>
    <row r="273" spans="1:30">
      <c r="A273" s="8" t="s">
        <v>396</v>
      </c>
      <c r="B273" s="19">
        <v>41563</v>
      </c>
      <c r="C273" s="8" t="s">
        <v>44</v>
      </c>
      <c r="D273" s="8">
        <v>10015</v>
      </c>
      <c r="E273" s="8" t="str">
        <f>VLOOKUP($D273,'Customer Details'!$A$1:$F$17,4,FALSE)</f>
        <v>South Windsor</v>
      </c>
      <c r="F273" s="8" t="s">
        <v>330</v>
      </c>
      <c r="G273" s="8">
        <v>1</v>
      </c>
      <c r="H273" s="2" t="str">
        <f>VLOOKUP($D273,'Customer Details'!$A$1:$F$17,MATCH('Order SUmmary'!H$2,'Customer Details'!$A$1:$F$1,0),0)</f>
        <v>Punj Lloyd Ltd.</v>
      </c>
      <c r="I273" s="2" t="str">
        <f>VLOOKUP($D273,'Customer Details'!$A$1:$F$17,4,0)</f>
        <v>South Windsor</v>
      </c>
      <c r="J273" s="2" t="str">
        <f>VLOOKUP($D273,'Customer Details'!$A$1:$F$17,6,0)</f>
        <v>06074</v>
      </c>
      <c r="K273" s="8" t="str">
        <f>VLOOKUP(VLOOKUP(D273,'Customer Details'!$A$1:$F$17,5,0),'Region INfo'!$A$1:$C$52,3,0)</f>
        <v xml:space="preserve">Northern </v>
      </c>
      <c r="L273" s="8" t="str">
        <f>INDEX(Product_List,MATCH($F273,'Product List'!$B$1:$B$299,0),MATCH('Order SUmmary'!L$2,'Product List'!$A$1:$E$1,0))</f>
        <v>Xerox 1909</v>
      </c>
      <c r="M273" s="8">
        <f>INDEX(Product_List,MATCH($F273,'Product List'!$B$1:$B$299,0),MATCH('Order SUmmary'!M$2,'Product List'!$A$1:$E$1,0))</f>
        <v>2628</v>
      </c>
      <c r="N273" s="8">
        <f>INDEX(Product_List,MATCH($F273,'Product List'!$B$1:$B$299,0),MATCH('Order SUmmary'!N$2,'Product List'!$A$1:$E$1,0))</f>
        <v>1803</v>
      </c>
      <c r="O273" s="8" t="str">
        <f>INDEX(Product_List,MATCH($F273,'Product List'!$B$1:$B$299,0),MATCH('Order SUmmary'!O$2,'Product List'!$A$1:$E$1,0))</f>
        <v>Paper</v>
      </c>
      <c r="P273" s="12">
        <f>HLOOKUP(C273,'Commission Criteria'!$A$2:$I$4,3,FALSE)</f>
        <v>4</v>
      </c>
      <c r="Q273" s="8">
        <f t="shared" si="13"/>
        <v>1803</v>
      </c>
      <c r="R273" s="8">
        <f t="shared" si="14"/>
        <v>2628</v>
      </c>
      <c r="S273" s="36">
        <f>VLOOKUP(R273,'Commission Criteria'!$L$3:$M$11,2,TRUE)</f>
        <v>0.01</v>
      </c>
      <c r="T273" s="36">
        <f>IF(P273&lt;5,VLOOKUP(R273,'Commission Criteria'!$L$3:$M$11,2,1),VLOOKUP('Order SUmmary'!R273,'Commission Criteria'!$P$3:$Q$11,2,1))</f>
        <v>0.01</v>
      </c>
      <c r="U273" s="36">
        <f>VLOOKUP(R273,IF(P273&lt;5,'Commission Criteria'!$L$3:$M$11,'Commission Criteria'!$P$3:$Q$11),2,1)</f>
        <v>0.01</v>
      </c>
      <c r="V273" s="8" t="s">
        <v>43</v>
      </c>
      <c r="W273" s="36">
        <f t="shared" ca="1" si="15"/>
        <v>0.01</v>
      </c>
      <c r="X273" s="8" t="str">
        <f>_xlfn.XLOOKUP(F273,'Product List'!$B$1:$B$299,'Product List'!$A$1:$A$299)</f>
        <v>Xerox 1909</v>
      </c>
      <c r="Y273" s="8"/>
      <c r="Z273" s="8" t="str" cm="1">
        <f t="array" ref="Z273:AD273">_xlfn.XLOOKUP(D273,'Customer Details'!$A$1:$A$17,'Customer Details'!$B$1:$F$17,"No such customer",0,1)</f>
        <v>Punj Lloyd Ltd.</v>
      </c>
      <c r="AA273" s="8" t="str">
        <v>Box 3263</v>
      </c>
      <c r="AB273" s="8" t="str">
        <v>South Windsor</v>
      </c>
      <c r="AC273" s="8" t="str">
        <v>CT</v>
      </c>
      <c r="AD273" s="8" t="str">
        <v>06074</v>
      </c>
    </row>
    <row r="274" spans="1:30">
      <c r="A274" s="8" t="s">
        <v>397</v>
      </c>
      <c r="B274" s="19">
        <v>41563</v>
      </c>
      <c r="C274" s="8" t="s">
        <v>36</v>
      </c>
      <c r="D274" s="8">
        <v>10011</v>
      </c>
      <c r="E274" s="8" t="str">
        <f>VLOOKUP($D274,'Customer Details'!$A$1:$F$17,4,FALSE)</f>
        <v>Olympia</v>
      </c>
      <c r="F274" s="8" t="s">
        <v>151</v>
      </c>
      <c r="G274" s="8">
        <v>1</v>
      </c>
      <c r="H274" s="2" t="str">
        <f>VLOOKUP($D274,'Customer Details'!$A$1:$F$17,MATCH('Order SUmmary'!H$2,'Customer Details'!$A$1:$F$1,0),0)</f>
        <v>Sonata Software</v>
      </c>
      <c r="I274" s="2" t="str">
        <f>VLOOKUP($D274,'Customer Details'!$A$1:$F$17,4,0)</f>
        <v>Olympia</v>
      </c>
      <c r="J274" s="2" t="str">
        <f>VLOOKUP($D274,'Customer Details'!$A$1:$F$17,6,0)</f>
        <v>98502</v>
      </c>
      <c r="K274" s="8" t="str">
        <f>VLOOKUP(VLOOKUP(D274,'Customer Details'!$A$1:$F$17,5,0),'Region INfo'!$A$1:$C$52,3,0)</f>
        <v xml:space="preserve">Pacific   </v>
      </c>
      <c r="L274" s="8" t="str">
        <f>INDEX(Product_List,MATCH($F274,'Product List'!$B$1:$B$299,0),MATCH('Order SUmmary'!L$2,'Product List'!$A$1:$E$1,0))</f>
        <v>Newell 346</v>
      </c>
      <c r="M274" s="8">
        <f>INDEX(Product_List,MATCH($F274,'Product List'!$B$1:$B$299,0),MATCH('Order SUmmary'!M$2,'Product List'!$A$1:$E$1,0))</f>
        <v>3039</v>
      </c>
      <c r="N274" s="8">
        <f>INDEX(Product_List,MATCH($F274,'Product List'!$B$1:$B$299,0),MATCH('Order SUmmary'!N$2,'Product List'!$A$1:$E$1,0))</f>
        <v>2426</v>
      </c>
      <c r="O274" s="8" t="str">
        <f>INDEX(Product_List,MATCH($F274,'Product List'!$B$1:$B$299,0),MATCH('Order SUmmary'!O$2,'Product List'!$A$1:$E$1,0))</f>
        <v>Art</v>
      </c>
      <c r="P274" s="12">
        <f>HLOOKUP(C274,'Commission Criteria'!$A$2:$I$4,3,FALSE)</f>
        <v>6</v>
      </c>
      <c r="Q274" s="8">
        <f t="shared" si="13"/>
        <v>2426</v>
      </c>
      <c r="R274" s="8">
        <f t="shared" si="14"/>
        <v>3039</v>
      </c>
      <c r="S274" s="36">
        <f>VLOOKUP(R274,'Commission Criteria'!$L$3:$M$11,2,TRUE)</f>
        <v>0.01</v>
      </c>
      <c r="T274" s="36">
        <f>IF(P274&lt;5,VLOOKUP(R274,'Commission Criteria'!$L$3:$M$11,2,1),VLOOKUP('Order SUmmary'!R274,'Commission Criteria'!$P$3:$Q$11,2,1))</f>
        <v>0.02</v>
      </c>
      <c r="U274" s="36">
        <f>VLOOKUP(R274,IF(P274&lt;5,'Commission Criteria'!$L$3:$M$11,'Commission Criteria'!$P$3:$Q$11),2,1)</f>
        <v>0.02</v>
      </c>
      <c r="V274" s="8" t="s">
        <v>29</v>
      </c>
      <c r="W274" s="36">
        <f t="shared" ca="1" si="15"/>
        <v>0.05</v>
      </c>
      <c r="X274" s="8" t="str">
        <f>_xlfn.XLOOKUP(F274,'Product List'!$B$1:$B$299,'Product List'!$A$1:$A$299)</f>
        <v>Newell 346</v>
      </c>
      <c r="Y274" s="8"/>
      <c r="Z274" s="8" t="str" cm="1">
        <f t="array" ref="Z274:AD274">_xlfn.XLOOKUP(D274,'Customer Details'!$A$1:$A$17,'Customer Details'!$B$1:$F$17,"No such customer",0,1)</f>
        <v>Sonata Software</v>
      </c>
      <c r="AA274" s="8" t="str">
        <v>1331 Kimberly Dr.</v>
      </c>
      <c r="AB274" s="8" t="str">
        <v>Olympia</v>
      </c>
      <c r="AC274" s="8" t="str">
        <v>WA</v>
      </c>
      <c r="AD274" s="8" t="str">
        <v>98502</v>
      </c>
    </row>
    <row r="275" spans="1:30">
      <c r="A275" s="8" t="s">
        <v>398</v>
      </c>
      <c r="B275" s="19">
        <v>41563</v>
      </c>
      <c r="C275" s="8" t="s">
        <v>44</v>
      </c>
      <c r="D275" s="8">
        <v>10010</v>
      </c>
      <c r="E275" s="8" t="str">
        <f>VLOOKUP($D275,'Customer Details'!$A$1:$F$17,4,FALSE)</f>
        <v>Tracy</v>
      </c>
      <c r="F275" s="8" t="s">
        <v>98</v>
      </c>
      <c r="G275" s="8">
        <v>1</v>
      </c>
      <c r="H275" s="2" t="str">
        <f>VLOOKUP($D275,'Customer Details'!$A$1:$F$17,MATCH('Order SUmmary'!H$2,'Customer Details'!$A$1:$F$1,0),0)</f>
        <v>Suzlon Energy Ltd.</v>
      </c>
      <c r="I275" s="2" t="str">
        <f>VLOOKUP($D275,'Customer Details'!$A$1:$F$17,4,0)</f>
        <v>Tracy</v>
      </c>
      <c r="J275" s="2" t="str">
        <f>VLOOKUP($D275,'Customer Details'!$A$1:$F$17,6,0)</f>
        <v>95376</v>
      </c>
      <c r="K275" s="8" t="str">
        <f>VLOOKUP(VLOOKUP(D275,'Customer Details'!$A$1:$F$17,5,0),'Region INfo'!$A$1:$C$52,3,0)</f>
        <v xml:space="preserve">Pacific   </v>
      </c>
      <c r="L275" s="8" t="str">
        <f>INDEX(Product_List,MATCH($F275,'Product List'!$B$1:$B$299,0),MATCH('Order SUmmary'!L$2,'Product List'!$A$1:$E$1,0))</f>
        <v>Newell 349</v>
      </c>
      <c r="M275" s="8">
        <f>INDEX(Product_List,MATCH($F275,'Product List'!$B$1:$B$299,0),MATCH('Order SUmmary'!M$2,'Product List'!$A$1:$E$1,0))</f>
        <v>4342</v>
      </c>
      <c r="N275" s="8">
        <f>INDEX(Product_List,MATCH($F275,'Product List'!$B$1:$B$299,0),MATCH('Order SUmmary'!N$2,'Product List'!$A$1:$E$1,0))</f>
        <v>1689</v>
      </c>
      <c r="O275" s="8" t="str">
        <f>INDEX(Product_List,MATCH($F275,'Product List'!$B$1:$B$299,0),MATCH('Order SUmmary'!O$2,'Product List'!$A$1:$E$1,0))</f>
        <v>Art</v>
      </c>
      <c r="P275" s="12">
        <f>HLOOKUP(C275,'Commission Criteria'!$A$2:$I$4,3,FALSE)</f>
        <v>4</v>
      </c>
      <c r="Q275" s="8">
        <f t="shared" si="13"/>
        <v>1689</v>
      </c>
      <c r="R275" s="8">
        <f t="shared" si="14"/>
        <v>4342</v>
      </c>
      <c r="S275" s="36">
        <f>VLOOKUP(R275,'Commission Criteria'!$L$3:$M$11,2,TRUE)</f>
        <v>0.01</v>
      </c>
      <c r="T275" s="36">
        <f>IF(P275&lt;5,VLOOKUP(R275,'Commission Criteria'!$L$3:$M$11,2,1),VLOOKUP('Order SUmmary'!R275,'Commission Criteria'!$P$3:$Q$11,2,1))</f>
        <v>0.01</v>
      </c>
      <c r="U275" s="36">
        <f>VLOOKUP(R275,IF(P275&lt;5,'Commission Criteria'!$L$3:$M$11,'Commission Criteria'!$P$3:$Q$11),2,1)</f>
        <v>0.01</v>
      </c>
      <c r="V275" s="8" t="s">
        <v>50</v>
      </c>
      <c r="W275" s="36">
        <f t="shared" ca="1" si="15"/>
        <v>0.02</v>
      </c>
      <c r="X275" s="8" t="str">
        <f>_xlfn.XLOOKUP(F275,'Product List'!$B$1:$B$299,'Product List'!$A$1:$A$299)</f>
        <v>Newell 349</v>
      </c>
      <c r="Y275" s="8"/>
      <c r="Z275" s="8" t="str" cm="1">
        <f t="array" ref="Z275:AD275">_xlfn.XLOOKUP(D275,'Customer Details'!$A$1:$A$17,'Customer Details'!$B$1:$F$17,"No such customer",0,1)</f>
        <v>Suzlon Energy Ltd.</v>
      </c>
      <c r="AA275" s="8" t="str">
        <v>501 Marsh Trail Circle</v>
      </c>
      <c r="AB275" s="8" t="str">
        <v>Tracy</v>
      </c>
      <c r="AC275" s="8" t="str">
        <v>CA</v>
      </c>
      <c r="AD275" s="8" t="str">
        <v>95376</v>
      </c>
    </row>
    <row r="276" spans="1:30">
      <c r="A276" s="8" t="s">
        <v>399</v>
      </c>
      <c r="B276" s="19">
        <v>41563</v>
      </c>
      <c r="C276" s="8" t="s">
        <v>66</v>
      </c>
      <c r="D276" s="8">
        <v>10008</v>
      </c>
      <c r="E276" s="8" t="str">
        <f>VLOOKUP($D276,'Customer Details'!$A$1:$F$17,4,FALSE)</f>
        <v>Chestnut Ridge</v>
      </c>
      <c r="F276" s="8" t="s">
        <v>195</v>
      </c>
      <c r="G276" s="8">
        <v>2</v>
      </c>
      <c r="H276" s="2" t="str">
        <f>VLOOKUP($D276,'Customer Details'!$A$1:$F$17,MATCH('Order SUmmary'!H$2,'Customer Details'!$A$1:$F$1,0),0)</f>
        <v>Reliance Industries Limited</v>
      </c>
      <c r="I276" s="2" t="str">
        <f>VLOOKUP($D276,'Customer Details'!$A$1:$F$17,4,0)</f>
        <v>Chestnut Ridge</v>
      </c>
      <c r="J276" s="2" t="str">
        <f>VLOOKUP($D276,'Customer Details'!$A$1:$F$17,6,0)</f>
        <v>10977</v>
      </c>
      <c r="K276" s="8" t="str">
        <f>VLOOKUP(VLOOKUP(D276,'Customer Details'!$A$1:$F$17,5,0),'Region INfo'!$A$1:$C$52,3,0)</f>
        <v xml:space="preserve">Northern </v>
      </c>
      <c r="L276" s="8" t="str">
        <f>INDEX(Product_List,MATCH($F276,'Product List'!$B$1:$B$299,0),MATCH('Order SUmmary'!L$2,'Product List'!$A$1:$E$1,0))</f>
        <v>Newell 335</v>
      </c>
      <c r="M276" s="8">
        <f>INDEX(Product_List,MATCH($F276,'Product List'!$B$1:$B$299,0),MATCH('Order SUmmary'!M$2,'Product List'!$A$1:$E$1,0))</f>
        <v>3467</v>
      </c>
      <c r="N276" s="8">
        <f>INDEX(Product_List,MATCH($F276,'Product List'!$B$1:$B$299,0),MATCH('Order SUmmary'!N$2,'Product List'!$A$1:$E$1,0))</f>
        <v>1230</v>
      </c>
      <c r="O276" s="8" t="str">
        <f>INDEX(Product_List,MATCH($F276,'Product List'!$B$1:$B$299,0),MATCH('Order SUmmary'!O$2,'Product List'!$A$1:$E$1,0))</f>
        <v>Art</v>
      </c>
      <c r="P276" s="12">
        <f>HLOOKUP(C276,'Commission Criteria'!$A$2:$I$4,3,FALSE)</f>
        <v>5</v>
      </c>
      <c r="Q276" s="8">
        <f t="shared" si="13"/>
        <v>2460</v>
      </c>
      <c r="R276" s="8">
        <f t="shared" si="14"/>
        <v>6934</v>
      </c>
      <c r="S276" s="36">
        <f>VLOOKUP(R276,'Commission Criteria'!$L$3:$M$11,2,TRUE)</f>
        <v>0.03</v>
      </c>
      <c r="T276" s="36">
        <f>IF(P276&lt;5,VLOOKUP(R276,'Commission Criteria'!$L$3:$M$11,2,1),VLOOKUP('Order SUmmary'!R276,'Commission Criteria'!$P$3:$Q$11,2,1))</f>
        <v>0.02</v>
      </c>
      <c r="U276" s="36">
        <f>VLOOKUP(R276,IF(P276&lt;5,'Commission Criteria'!$L$3:$M$11,'Commission Criteria'!$P$3:$Q$11),2,1)</f>
        <v>0.02</v>
      </c>
      <c r="V276" s="8" t="s">
        <v>43</v>
      </c>
      <c r="W276" s="36">
        <f t="shared" ca="1" si="15"/>
        <v>0.05</v>
      </c>
      <c r="X276" s="8" t="str">
        <f>_xlfn.XLOOKUP(F276,'Product List'!$B$1:$B$299,'Product List'!$A$1:$A$299)</f>
        <v>Newell 335</v>
      </c>
      <c r="Y276" s="8"/>
      <c r="Z276" s="8" t="str" cm="1">
        <f t="array" ref="Z276:AD276">_xlfn.XLOOKUP(D276,'Customer Details'!$A$1:$A$17,'Customer Details'!$B$1:$F$17,"No such customer",0,1)</f>
        <v>Reliance Industries Limited</v>
      </c>
      <c r="AA276" s="8" t="str">
        <v>12020 Shamrock Rd., Suite 333</v>
      </c>
      <c r="AB276" s="8" t="str">
        <v>Chestnut Ridge</v>
      </c>
      <c r="AC276" s="8" t="str">
        <v>NY</v>
      </c>
      <c r="AD276" s="8" t="str">
        <v>10977</v>
      </c>
    </row>
    <row r="277" spans="1:30">
      <c r="A277" s="8" t="s">
        <v>400</v>
      </c>
      <c r="B277" s="19">
        <v>41567</v>
      </c>
      <c r="C277" s="8" t="s">
        <v>33</v>
      </c>
      <c r="D277" s="8">
        <v>10006</v>
      </c>
      <c r="E277" s="8" t="str">
        <f>VLOOKUP($D277,'Customer Details'!$A$1:$F$17,4,FALSE)</f>
        <v>Midland</v>
      </c>
      <c r="F277" s="8" t="s">
        <v>321</v>
      </c>
      <c r="G277" s="8">
        <v>1</v>
      </c>
      <c r="H277" s="2" t="str">
        <f>VLOOKUP($D277,'Customer Details'!$A$1:$F$17,MATCH('Order SUmmary'!H$2,'Customer Details'!$A$1:$F$1,0),0)</f>
        <v>Supreme Ind</v>
      </c>
      <c r="I277" s="2" t="str">
        <f>VLOOKUP($D277,'Customer Details'!$A$1:$F$17,4,0)</f>
        <v>Midland</v>
      </c>
      <c r="J277" s="2" t="str">
        <f>VLOOKUP($D277,'Customer Details'!$A$1:$F$17,6,0)</f>
        <v>79706</v>
      </c>
      <c r="K277" s="8" t="str">
        <f>VLOOKUP(VLOOKUP(D277,'Customer Details'!$A$1:$F$17,5,0),'Region INfo'!$A$1:$C$52,3,0)</f>
        <v>Western</v>
      </c>
      <c r="L277" s="8" t="str">
        <f>INDEX(Product_List,MATCH($F277,'Product List'!$B$1:$B$299,0),MATCH('Order SUmmary'!L$2,'Product List'!$A$1:$E$1,0))</f>
        <v>Xerox 1938</v>
      </c>
      <c r="M277" s="8">
        <f>INDEX(Product_List,MATCH($F277,'Product List'!$B$1:$B$299,0),MATCH('Order SUmmary'!M$2,'Product List'!$A$1:$E$1,0))</f>
        <v>3626</v>
      </c>
      <c r="N277" s="8">
        <f>INDEX(Product_List,MATCH($F277,'Product List'!$B$1:$B$299,0),MATCH('Order SUmmary'!N$2,'Product List'!$A$1:$E$1,0))</f>
        <v>1590</v>
      </c>
      <c r="O277" s="8" t="str">
        <f>INDEX(Product_List,MATCH($F277,'Product List'!$B$1:$B$299,0),MATCH('Order SUmmary'!O$2,'Product List'!$A$1:$E$1,0))</f>
        <v>Paper</v>
      </c>
      <c r="P277" s="12">
        <f>HLOOKUP(C277,'Commission Criteria'!$A$2:$I$4,3,FALSE)</f>
        <v>1</v>
      </c>
      <c r="Q277" s="8">
        <f t="shared" si="13"/>
        <v>1590</v>
      </c>
      <c r="R277" s="8">
        <f t="shared" si="14"/>
        <v>3626</v>
      </c>
      <c r="S277" s="36">
        <f>VLOOKUP(R277,'Commission Criteria'!$L$3:$M$11,2,TRUE)</f>
        <v>0.01</v>
      </c>
      <c r="T277" s="36">
        <f>IF(P277&lt;5,VLOOKUP(R277,'Commission Criteria'!$L$3:$M$11,2,1),VLOOKUP('Order SUmmary'!R277,'Commission Criteria'!$P$3:$Q$11,2,1))</f>
        <v>0.01</v>
      </c>
      <c r="U277" s="36">
        <f>VLOOKUP(R277,IF(P277&lt;5,'Commission Criteria'!$L$3:$M$11,'Commission Criteria'!$P$3:$Q$11),2,1)</f>
        <v>0.01</v>
      </c>
      <c r="V277" s="8" t="s">
        <v>40</v>
      </c>
      <c r="W277" s="36">
        <f t="shared" ca="1" si="15"/>
        <v>0</v>
      </c>
      <c r="X277" s="8" t="str">
        <f>_xlfn.XLOOKUP(F277,'Product List'!$B$1:$B$299,'Product List'!$A$1:$A$299)</f>
        <v>Xerox 1938</v>
      </c>
      <c r="Y277" s="8"/>
      <c r="Z277" s="8" t="str" cm="1">
        <f t="array" ref="Z277:AD277">_xlfn.XLOOKUP(D277,'Customer Details'!$A$1:$A$17,'Customer Details'!$B$1:$F$17,"No such customer",0,1)</f>
        <v>Supreme Ind</v>
      </c>
      <c r="AA277" s="8" t="str">
        <v>P.O. Box 1367</v>
      </c>
      <c r="AB277" s="8" t="str">
        <v>Midland</v>
      </c>
      <c r="AC277" s="8" t="str">
        <v>TX</v>
      </c>
      <c r="AD277" s="8" t="str">
        <v>79706</v>
      </c>
    </row>
    <row r="278" spans="1:30">
      <c r="A278" s="8" t="s">
        <v>401</v>
      </c>
      <c r="B278" s="19">
        <v>41567</v>
      </c>
      <c r="C278" s="8" t="s">
        <v>46</v>
      </c>
      <c r="D278" s="8">
        <v>10006</v>
      </c>
      <c r="E278" s="8" t="str">
        <f>VLOOKUP($D278,'Customer Details'!$A$1:$F$17,4,FALSE)</f>
        <v>Midland</v>
      </c>
      <c r="F278" s="8" t="s">
        <v>28</v>
      </c>
      <c r="G278" s="8">
        <v>3</v>
      </c>
      <c r="H278" s="2" t="str">
        <f>VLOOKUP($D278,'Customer Details'!$A$1:$F$17,MATCH('Order SUmmary'!H$2,'Customer Details'!$A$1:$F$1,0),0)</f>
        <v>Supreme Ind</v>
      </c>
      <c r="I278" s="2" t="str">
        <f>VLOOKUP($D278,'Customer Details'!$A$1:$F$17,4,0)</f>
        <v>Midland</v>
      </c>
      <c r="J278" s="2" t="str">
        <f>VLOOKUP($D278,'Customer Details'!$A$1:$F$17,6,0)</f>
        <v>79706</v>
      </c>
      <c r="K278" s="8" t="str">
        <f>VLOOKUP(VLOOKUP(D278,'Customer Details'!$A$1:$F$17,5,0),'Region INfo'!$A$1:$C$52,3,0)</f>
        <v>Western</v>
      </c>
      <c r="L278" s="8" t="str">
        <f>INDEX(Product_List,MATCH($F278,'Product List'!$B$1:$B$299,0),MATCH('Order SUmmary'!L$2,'Product List'!$A$1:$E$1,0))</f>
        <v>Xerox 1951</v>
      </c>
      <c r="M278" s="8">
        <f>INDEX(Product_List,MATCH($F278,'Product List'!$B$1:$B$299,0),MATCH('Order SUmmary'!M$2,'Product List'!$A$1:$E$1,0))</f>
        <v>4006</v>
      </c>
      <c r="N278" s="8">
        <f>INDEX(Product_List,MATCH($F278,'Product List'!$B$1:$B$299,0),MATCH('Order SUmmary'!N$2,'Product List'!$A$1:$E$1,0))</f>
        <v>1898</v>
      </c>
      <c r="O278" s="8" t="str">
        <f>INDEX(Product_List,MATCH($F278,'Product List'!$B$1:$B$299,0),MATCH('Order SUmmary'!O$2,'Product List'!$A$1:$E$1,0))</f>
        <v>Paper</v>
      </c>
      <c r="P278" s="12">
        <f>HLOOKUP(C278,'Commission Criteria'!$A$2:$I$4,3,FALSE)</f>
        <v>8</v>
      </c>
      <c r="Q278" s="8">
        <f t="shared" si="13"/>
        <v>5694</v>
      </c>
      <c r="R278" s="8">
        <f t="shared" si="14"/>
        <v>12018</v>
      </c>
      <c r="S278" s="36">
        <f>VLOOKUP(R278,'Commission Criteria'!$L$3:$M$11,2,TRUE)</f>
        <v>0.03</v>
      </c>
      <c r="T278" s="36">
        <f>IF(P278&lt;5,VLOOKUP(R278,'Commission Criteria'!$L$3:$M$11,2,1),VLOOKUP('Order SUmmary'!R278,'Commission Criteria'!$P$3:$Q$11,2,1))</f>
        <v>0.02</v>
      </c>
      <c r="U278" s="36">
        <f>VLOOKUP(R278,IF(P278&lt;5,'Commission Criteria'!$L$3:$M$11,'Commission Criteria'!$P$3:$Q$11),2,1)</f>
        <v>0.02</v>
      </c>
      <c r="V278" s="8" t="s">
        <v>32</v>
      </c>
      <c r="W278" s="36">
        <f t="shared" ca="1" si="15"/>
        <v>0.02</v>
      </c>
      <c r="X278" s="8" t="str">
        <f>_xlfn.XLOOKUP(F278,'Product List'!$B$1:$B$299,'Product List'!$A$1:$A$299)</f>
        <v>Xerox 1951</v>
      </c>
      <c r="Y278" s="8"/>
      <c r="Z278" s="8" t="str" cm="1">
        <f t="array" ref="Z278:AD278">_xlfn.XLOOKUP(D278,'Customer Details'!$A$1:$A$17,'Customer Details'!$B$1:$F$17,"No such customer",0,1)</f>
        <v>Supreme Ind</v>
      </c>
      <c r="AA278" s="8" t="str">
        <v>P.O. Box 1367</v>
      </c>
      <c r="AB278" s="8" t="str">
        <v>Midland</v>
      </c>
      <c r="AC278" s="8" t="str">
        <v>TX</v>
      </c>
      <c r="AD278" s="8" t="str">
        <v>79706</v>
      </c>
    </row>
    <row r="279" spans="1:30">
      <c r="A279" s="8" t="s">
        <v>402</v>
      </c>
      <c r="B279" s="19">
        <v>41571</v>
      </c>
      <c r="C279" s="8" t="s">
        <v>51</v>
      </c>
      <c r="D279" s="8">
        <v>10001</v>
      </c>
      <c r="E279" s="8" t="str">
        <f>VLOOKUP($D279,'Customer Details'!$A$1:$F$17,4,FALSE)</f>
        <v>New York</v>
      </c>
      <c r="F279" s="8" t="s">
        <v>403</v>
      </c>
      <c r="G279" s="8">
        <v>2</v>
      </c>
      <c r="H279" s="2" t="str">
        <f>VLOOKUP($D279,'Customer Details'!$A$1:$F$17,MATCH('Order SUmmary'!H$2,'Customer Details'!$A$1:$F$1,0),0)</f>
        <v>Chambal Fertilisers and Chemicals Ltd.</v>
      </c>
      <c r="I279" s="2" t="str">
        <f>VLOOKUP($D279,'Customer Details'!$A$1:$F$17,4,0)</f>
        <v>New York</v>
      </c>
      <c r="J279" s="2" t="str">
        <f>VLOOKUP($D279,'Customer Details'!$A$1:$F$17,6,0)</f>
        <v>10025</v>
      </c>
      <c r="K279" s="8" t="str">
        <f>VLOOKUP(VLOOKUP(D279,'Customer Details'!$A$1:$F$17,5,0),'Region INfo'!$A$1:$C$52,3,0)</f>
        <v xml:space="preserve">Northern </v>
      </c>
      <c r="L279" s="8" t="str">
        <f>INDEX(Product_List,MATCH($F279,'Product List'!$B$1:$B$299,0),MATCH('Order SUmmary'!L$2,'Product List'!$A$1:$E$1,0))</f>
        <v>Xerox 188</v>
      </c>
      <c r="M279" s="8">
        <f>INDEX(Product_List,MATCH($F279,'Product List'!$B$1:$B$299,0),MATCH('Order SUmmary'!M$2,'Product List'!$A$1:$E$1,0))</f>
        <v>2775</v>
      </c>
      <c r="N279" s="8">
        <f>INDEX(Product_List,MATCH($F279,'Product List'!$B$1:$B$299,0),MATCH('Order SUmmary'!N$2,'Product List'!$A$1:$E$1,0))</f>
        <v>1847</v>
      </c>
      <c r="O279" s="8" t="str">
        <f>INDEX(Product_List,MATCH($F279,'Product List'!$B$1:$B$299,0),MATCH('Order SUmmary'!O$2,'Product List'!$A$1:$E$1,0))</f>
        <v>Paper</v>
      </c>
      <c r="P279" s="12">
        <f>HLOOKUP(C279,'Commission Criteria'!$A$2:$I$4,3,FALSE)</f>
        <v>10</v>
      </c>
      <c r="Q279" s="8">
        <f t="shared" si="13"/>
        <v>3694</v>
      </c>
      <c r="R279" s="8">
        <f t="shared" si="14"/>
        <v>5550</v>
      </c>
      <c r="S279" s="36">
        <f>VLOOKUP(R279,'Commission Criteria'!$L$3:$M$11,2,TRUE)</f>
        <v>0.03</v>
      </c>
      <c r="T279" s="36">
        <f>IF(P279&lt;5,VLOOKUP(R279,'Commission Criteria'!$L$3:$M$11,2,1),VLOOKUP('Order SUmmary'!R279,'Commission Criteria'!$P$3:$Q$11,2,1))</f>
        <v>0.02</v>
      </c>
      <c r="U279" s="36">
        <f>VLOOKUP(R279,IF(P279&lt;5,'Commission Criteria'!$L$3:$M$11,'Commission Criteria'!$P$3:$Q$11),2,1)</f>
        <v>0.02</v>
      </c>
      <c r="V279" s="8" t="s">
        <v>43</v>
      </c>
      <c r="W279" s="36">
        <f t="shared" ca="1" si="15"/>
        <v>0</v>
      </c>
      <c r="X279" s="8" t="str">
        <f>_xlfn.XLOOKUP(F279,'Product List'!$B$1:$B$299,'Product List'!$A$1:$A$299)</f>
        <v>Xerox 188</v>
      </c>
      <c r="Y279" s="8"/>
      <c r="Z279" s="8" t="str" cm="1">
        <f t="array" ref="Z279:AD279">_xlfn.XLOOKUP(D279,'Customer Details'!$A$1:$A$17,'Customer Details'!$B$1:$F$17,"No such customer",0,1)</f>
        <v>Chambal Fertilisers and Chemicals Ltd.</v>
      </c>
      <c r="AA279" s="8" t="str">
        <v>4951 Indiana Ave.</v>
      </c>
      <c r="AB279" s="8" t="str">
        <v>New York</v>
      </c>
      <c r="AC279" s="8" t="str">
        <v>NY</v>
      </c>
      <c r="AD279" s="8" t="str">
        <v>10025</v>
      </c>
    </row>
    <row r="280" spans="1:30">
      <c r="A280" s="8" t="s">
        <v>404</v>
      </c>
      <c r="B280" s="19">
        <v>41574</v>
      </c>
      <c r="C280" s="8" t="s">
        <v>33</v>
      </c>
      <c r="D280" s="8">
        <v>10007</v>
      </c>
      <c r="E280" s="8" t="str">
        <f>VLOOKUP($D280,'Customer Details'!$A$1:$F$17,4,FALSE)</f>
        <v>Richmond</v>
      </c>
      <c r="F280" s="8" t="s">
        <v>213</v>
      </c>
      <c r="G280" s="8">
        <v>2</v>
      </c>
      <c r="H280" s="2" t="str">
        <f>VLOOKUP($D280,'Customer Details'!$A$1:$F$17,MATCH('Order SUmmary'!H$2,'Customer Details'!$A$1:$F$1,0),0)</f>
        <v>GHCL Ltd.</v>
      </c>
      <c r="I280" s="2" t="str">
        <f>VLOOKUP($D280,'Customer Details'!$A$1:$F$17,4,0)</f>
        <v>Richmond</v>
      </c>
      <c r="J280" s="2" t="str">
        <f>VLOOKUP($D280,'Customer Details'!$A$1:$F$17,6,0)</f>
        <v>94805</v>
      </c>
      <c r="K280" s="8" t="str">
        <f>VLOOKUP(VLOOKUP(D280,'Customer Details'!$A$1:$F$17,5,0),'Region INfo'!$A$1:$C$52,3,0)</f>
        <v xml:space="preserve">Pacific   </v>
      </c>
      <c r="L280" s="8" t="str">
        <f>INDEX(Product_List,MATCH($F280,'Product List'!$B$1:$B$299,0),MATCH('Order SUmmary'!L$2,'Product List'!$A$1:$E$1,0))</f>
        <v>Cisco SPA301</v>
      </c>
      <c r="M280" s="8">
        <f>INDEX(Product_List,MATCH($F280,'Product List'!$B$1:$B$299,0),MATCH('Order SUmmary'!M$2,'Product List'!$A$1:$E$1,0))</f>
        <v>2921</v>
      </c>
      <c r="N280" s="8">
        <f>INDEX(Product_List,MATCH($F280,'Product List'!$B$1:$B$299,0),MATCH('Order SUmmary'!N$2,'Product List'!$A$1:$E$1,0))</f>
        <v>1786</v>
      </c>
      <c r="O280" s="8" t="str">
        <f>INDEX(Product_List,MATCH($F280,'Product List'!$B$1:$B$299,0),MATCH('Order SUmmary'!O$2,'Product List'!$A$1:$E$1,0))</f>
        <v>Phones</v>
      </c>
      <c r="P280" s="12">
        <f>HLOOKUP(C280,'Commission Criteria'!$A$2:$I$4,3,FALSE)</f>
        <v>1</v>
      </c>
      <c r="Q280" s="8">
        <f t="shared" si="13"/>
        <v>3572</v>
      </c>
      <c r="R280" s="8">
        <f t="shared" si="14"/>
        <v>5842</v>
      </c>
      <c r="S280" s="36">
        <f>VLOOKUP(R280,'Commission Criteria'!$L$3:$M$11,2,TRUE)</f>
        <v>0.03</v>
      </c>
      <c r="T280" s="36">
        <f>IF(P280&lt;5,VLOOKUP(R280,'Commission Criteria'!$L$3:$M$11,2,1),VLOOKUP('Order SUmmary'!R280,'Commission Criteria'!$P$3:$Q$11,2,1))</f>
        <v>0.03</v>
      </c>
      <c r="U280" s="36">
        <f>VLOOKUP(R280,IF(P280&lt;5,'Commission Criteria'!$L$3:$M$11,'Commission Criteria'!$P$3:$Q$11),2,1)</f>
        <v>0.03</v>
      </c>
      <c r="V280" s="8" t="s">
        <v>40</v>
      </c>
      <c r="W280" s="36">
        <f t="shared" ca="1" si="15"/>
        <v>0.01</v>
      </c>
      <c r="X280" s="8" t="str">
        <f>_xlfn.XLOOKUP(F280,'Product List'!$B$1:$B$299,'Product List'!$A$1:$A$299)</f>
        <v>Cisco SPA301</v>
      </c>
      <c r="Y280" s="8"/>
      <c r="Z280" s="8" t="str" cm="1">
        <f t="array" ref="Z280:AD280">_xlfn.XLOOKUP(D280,'Customer Details'!$A$1:$A$17,'Customer Details'!$B$1:$F$17,"No such customer",0,1)</f>
        <v>GHCL Ltd.</v>
      </c>
      <c r="AA280" s="8" t="str">
        <v>58 Clarence St</v>
      </c>
      <c r="AB280" s="8" t="str">
        <v>Richmond</v>
      </c>
      <c r="AC280" s="8" t="str">
        <v>CA</v>
      </c>
      <c r="AD280" s="8" t="str">
        <v>94805</v>
      </c>
    </row>
    <row r="281" spans="1:30">
      <c r="A281" s="8" t="s">
        <v>404</v>
      </c>
      <c r="B281" s="19">
        <v>41574</v>
      </c>
      <c r="C281" s="8" t="s">
        <v>46</v>
      </c>
      <c r="D281" s="8">
        <v>10012</v>
      </c>
      <c r="E281" s="8" t="str">
        <f>VLOOKUP($D281,'Customer Details'!$A$1:$F$17,4,FALSE)</f>
        <v>Santa Barbara</v>
      </c>
      <c r="F281" s="8" t="s">
        <v>135</v>
      </c>
      <c r="G281" s="8">
        <v>3</v>
      </c>
      <c r="H281" s="2" t="str">
        <f>VLOOKUP($D281,'Customer Details'!$A$1:$F$17,MATCH('Order SUmmary'!H$2,'Customer Details'!$A$1:$F$1,0),0)</f>
        <v>Dynamatic Technologies Ltd.</v>
      </c>
      <c r="I281" s="2" t="str">
        <f>VLOOKUP($D281,'Customer Details'!$A$1:$F$17,4,0)</f>
        <v>Santa Barbara</v>
      </c>
      <c r="J281" s="2" t="str">
        <f>VLOOKUP($D281,'Customer Details'!$A$1:$F$17,6,0)</f>
        <v>93110</v>
      </c>
      <c r="K281" s="8" t="str">
        <f>VLOOKUP(VLOOKUP(D281,'Customer Details'!$A$1:$F$17,5,0),'Region INfo'!$A$1:$C$52,3,0)</f>
        <v xml:space="preserve">Pacific   </v>
      </c>
      <c r="L281" s="8" t="str">
        <f>INDEX(Product_List,MATCH($F281,'Product List'!$B$1:$B$299,0),MATCH('Order SUmmary'!L$2,'Product List'!$A$1:$E$1,0))</f>
        <v>Xerox 1939</v>
      </c>
      <c r="M281" s="8">
        <f>INDEX(Product_List,MATCH($F281,'Product List'!$B$1:$B$299,0),MATCH('Order SUmmary'!M$2,'Product List'!$A$1:$E$1,0))</f>
        <v>3408</v>
      </c>
      <c r="N281" s="8">
        <f>INDEX(Product_List,MATCH($F281,'Product List'!$B$1:$B$299,0),MATCH('Order SUmmary'!N$2,'Product List'!$A$1:$E$1,0))</f>
        <v>2467</v>
      </c>
      <c r="O281" s="8" t="str">
        <f>INDEX(Product_List,MATCH($F281,'Product List'!$B$1:$B$299,0),MATCH('Order SUmmary'!O$2,'Product List'!$A$1:$E$1,0))</f>
        <v>Paper</v>
      </c>
      <c r="P281" s="12">
        <f>HLOOKUP(C281,'Commission Criteria'!$A$2:$I$4,3,FALSE)</f>
        <v>8</v>
      </c>
      <c r="Q281" s="8">
        <f t="shared" si="13"/>
        <v>7401</v>
      </c>
      <c r="R281" s="8">
        <f t="shared" si="14"/>
        <v>10224</v>
      </c>
      <c r="S281" s="36">
        <f>VLOOKUP(R281,'Commission Criteria'!$L$3:$M$11,2,TRUE)</f>
        <v>0.03</v>
      </c>
      <c r="T281" s="36">
        <f>IF(P281&lt;5,VLOOKUP(R281,'Commission Criteria'!$L$3:$M$11,2,1),VLOOKUP('Order SUmmary'!R281,'Commission Criteria'!$P$3:$Q$11,2,1))</f>
        <v>0.02</v>
      </c>
      <c r="U281" s="36">
        <f>VLOOKUP(R281,IF(P281&lt;5,'Commission Criteria'!$L$3:$M$11,'Commission Criteria'!$P$3:$Q$11),2,1)</f>
        <v>0.02</v>
      </c>
      <c r="V281" s="8" t="s">
        <v>35</v>
      </c>
      <c r="W281" s="36">
        <f t="shared" ca="1" si="15"/>
        <v>0.04</v>
      </c>
      <c r="X281" s="8" t="str">
        <f>_xlfn.XLOOKUP(F281,'Product List'!$B$1:$B$299,'Product List'!$A$1:$A$299)</f>
        <v>Xerox 1939</v>
      </c>
      <c r="Y281" s="8"/>
      <c r="Z281" s="8" t="str" cm="1">
        <f t="array" ref="Z281:AD281">_xlfn.XLOOKUP(D281,'Customer Details'!$A$1:$A$17,'Customer Details'!$B$1:$F$17,"No such customer",0,1)</f>
        <v>Dynamatic Technologies Ltd.</v>
      </c>
      <c r="AA281" s="8" t="str">
        <v>402 Pinkster Lane</v>
      </c>
      <c r="AB281" s="8" t="str">
        <v>Santa Barbara</v>
      </c>
      <c r="AC281" s="8" t="str">
        <v>CA</v>
      </c>
      <c r="AD281" s="8" t="str">
        <v>93110</v>
      </c>
    </row>
    <row r="282" spans="1:30">
      <c r="A282" s="8" t="s">
        <v>405</v>
      </c>
      <c r="B282" s="19">
        <v>41575</v>
      </c>
      <c r="C282" s="8" t="s">
        <v>46</v>
      </c>
      <c r="D282" s="8">
        <v>10003</v>
      </c>
      <c r="E282" s="8" t="str">
        <f>VLOOKUP($D282,'Customer Details'!$A$1:$F$17,4,FALSE)</f>
        <v>Miami</v>
      </c>
      <c r="F282" s="8" t="s">
        <v>406</v>
      </c>
      <c r="G282" s="8">
        <v>1</v>
      </c>
      <c r="H282" s="2" t="str">
        <f>VLOOKUP($D282,'Customer Details'!$A$1:$F$17,MATCH('Order SUmmary'!H$2,'Customer Details'!$A$1:$F$1,0),0)</f>
        <v>Honeywell Automation</v>
      </c>
      <c r="I282" s="2" t="str">
        <f>VLOOKUP($D282,'Customer Details'!$A$1:$F$17,4,0)</f>
        <v>Miami</v>
      </c>
      <c r="J282" s="2" t="str">
        <f>VLOOKUP($D282,'Customer Details'!$A$1:$F$17,6,0)</f>
        <v>33732</v>
      </c>
      <c r="K282" s="8" t="str">
        <f>VLOOKUP(VLOOKUP(D282,'Customer Details'!$A$1:$F$17,5,0),'Region INfo'!$A$1:$C$52,3,0)</f>
        <v>Southern</v>
      </c>
      <c r="L282" s="8" t="str">
        <f>INDEX(Product_List,MATCH($F282,'Product List'!$B$1:$B$299,0),MATCH('Order SUmmary'!L$2,'Product List'!$A$1:$E$1,0))</f>
        <v>Xerox 198</v>
      </c>
      <c r="M282" s="8">
        <f>INDEX(Product_List,MATCH($F282,'Product List'!$B$1:$B$299,0),MATCH('Order SUmmary'!M$2,'Product List'!$A$1:$E$1,0))</f>
        <v>4120</v>
      </c>
      <c r="N282" s="8">
        <f>INDEX(Product_List,MATCH($F282,'Product List'!$B$1:$B$299,0),MATCH('Order SUmmary'!N$2,'Product List'!$A$1:$E$1,0))</f>
        <v>1841</v>
      </c>
      <c r="O282" s="8" t="str">
        <f>INDEX(Product_List,MATCH($F282,'Product List'!$B$1:$B$299,0),MATCH('Order SUmmary'!O$2,'Product List'!$A$1:$E$1,0))</f>
        <v>Paper</v>
      </c>
      <c r="P282" s="12">
        <f>HLOOKUP(C282,'Commission Criteria'!$A$2:$I$4,3,FALSE)</f>
        <v>8</v>
      </c>
      <c r="Q282" s="8">
        <f t="shared" si="13"/>
        <v>1841</v>
      </c>
      <c r="R282" s="8">
        <f t="shared" si="14"/>
        <v>4120</v>
      </c>
      <c r="S282" s="36">
        <f>VLOOKUP(R282,'Commission Criteria'!$L$3:$M$11,2,TRUE)</f>
        <v>0.01</v>
      </c>
      <c r="T282" s="36">
        <f>IF(P282&lt;5,VLOOKUP(R282,'Commission Criteria'!$L$3:$M$11,2,1),VLOOKUP('Order SUmmary'!R282,'Commission Criteria'!$P$3:$Q$11,2,1))</f>
        <v>0.02</v>
      </c>
      <c r="U282" s="36">
        <f>VLOOKUP(R282,IF(P282&lt;5,'Commission Criteria'!$L$3:$M$11,'Commission Criteria'!$P$3:$Q$11),2,1)</f>
        <v>0.02</v>
      </c>
      <c r="V282" s="8" t="s">
        <v>50</v>
      </c>
      <c r="W282" s="36">
        <f t="shared" ca="1" si="15"/>
        <v>0.04</v>
      </c>
      <c r="X282" s="8" t="str">
        <f>_xlfn.XLOOKUP(F282,'Product List'!$B$1:$B$299,'Product List'!$A$1:$A$299)</f>
        <v>Xerox 198</v>
      </c>
      <c r="Y282" s="8"/>
      <c r="Z282" s="8" t="str" cm="1">
        <f t="array" ref="Z282:AD282">_xlfn.XLOOKUP(D282,'Customer Details'!$A$1:$A$17,'Customer Details'!$B$1:$F$17,"No such customer",0,1)</f>
        <v>Honeywell Automation</v>
      </c>
      <c r="AA282" s="8" t="str">
        <v>1272 Harbor Road</v>
      </c>
      <c r="AB282" s="8" t="str">
        <v>Miami</v>
      </c>
      <c r="AC282" s="8" t="str">
        <v>FL</v>
      </c>
      <c r="AD282" s="8" t="str">
        <v>33732</v>
      </c>
    </row>
    <row r="283" spans="1:30">
      <c r="A283" s="8" t="s">
        <v>407</v>
      </c>
      <c r="B283" s="19">
        <v>41576</v>
      </c>
      <c r="C283" s="8" t="s">
        <v>66</v>
      </c>
      <c r="D283" s="8">
        <v>10013</v>
      </c>
      <c r="E283" s="8" t="str">
        <f>VLOOKUP($D283,'Customer Details'!$A$1:$F$17,4,FALSE)</f>
        <v>Naugatuck</v>
      </c>
      <c r="F283" s="8" t="s">
        <v>408</v>
      </c>
      <c r="G283" s="8">
        <v>1</v>
      </c>
      <c r="H283" s="2" t="str">
        <f>VLOOKUP($D283,'Customer Details'!$A$1:$F$17,MATCH('Order SUmmary'!H$2,'Customer Details'!$A$1:$F$1,0),0)</f>
        <v>GMR Infrastructure Ltd.</v>
      </c>
      <c r="I283" s="2" t="str">
        <f>VLOOKUP($D283,'Customer Details'!$A$1:$F$17,4,0)</f>
        <v>Naugatuck</v>
      </c>
      <c r="J283" s="2" t="str">
        <f>VLOOKUP($D283,'Customer Details'!$A$1:$F$17,6,0)</f>
        <v>06770</v>
      </c>
      <c r="K283" s="8" t="str">
        <f>VLOOKUP(VLOOKUP(D283,'Customer Details'!$A$1:$F$17,5,0),'Region INfo'!$A$1:$C$52,3,0)</f>
        <v xml:space="preserve">Northern </v>
      </c>
      <c r="L283" s="8" t="str">
        <f>INDEX(Product_List,MATCH($F283,'Product List'!$B$1:$B$299,0),MATCH('Order SUmmary'!L$2,'Product List'!$A$1:$E$1,0))</f>
        <v>Xerox 1955</v>
      </c>
      <c r="M283" s="8">
        <f>INDEX(Product_List,MATCH($F283,'Product List'!$B$1:$B$299,0),MATCH('Order SUmmary'!M$2,'Product List'!$A$1:$E$1,0))</f>
        <v>2580</v>
      </c>
      <c r="N283" s="8">
        <f>INDEX(Product_List,MATCH($F283,'Product List'!$B$1:$B$299,0),MATCH('Order SUmmary'!N$2,'Product List'!$A$1:$E$1,0))</f>
        <v>1518</v>
      </c>
      <c r="O283" s="8" t="str">
        <f>INDEX(Product_List,MATCH($F283,'Product List'!$B$1:$B$299,0),MATCH('Order SUmmary'!O$2,'Product List'!$A$1:$E$1,0))</f>
        <v>Paper</v>
      </c>
      <c r="P283" s="12">
        <f>HLOOKUP(C283,'Commission Criteria'!$A$2:$I$4,3,FALSE)</f>
        <v>5</v>
      </c>
      <c r="Q283" s="8">
        <f t="shared" si="13"/>
        <v>1518</v>
      </c>
      <c r="R283" s="8">
        <f t="shared" si="14"/>
        <v>2580</v>
      </c>
      <c r="S283" s="36">
        <f>VLOOKUP(R283,'Commission Criteria'!$L$3:$M$11,2,TRUE)</f>
        <v>0.01</v>
      </c>
      <c r="T283" s="36">
        <f>IF(P283&lt;5,VLOOKUP(R283,'Commission Criteria'!$L$3:$M$11,2,1),VLOOKUP('Order SUmmary'!R283,'Commission Criteria'!$P$3:$Q$11,2,1))</f>
        <v>0.02</v>
      </c>
      <c r="U283" s="36">
        <f>VLOOKUP(R283,IF(P283&lt;5,'Commission Criteria'!$L$3:$M$11,'Commission Criteria'!$P$3:$Q$11),2,1)</f>
        <v>0.02</v>
      </c>
      <c r="V283" s="8" t="s">
        <v>40</v>
      </c>
      <c r="W283" s="36">
        <f t="shared" ca="1" si="15"/>
        <v>0.01</v>
      </c>
      <c r="X283" s="8" t="str">
        <f>_xlfn.XLOOKUP(F283,'Product List'!$B$1:$B$299,'Product List'!$A$1:$A$299)</f>
        <v>Xerox 1955</v>
      </c>
      <c r="Y283" s="8"/>
      <c r="Z283" s="8" t="str" cm="1">
        <f t="array" ref="Z283:AD283">_xlfn.XLOOKUP(D283,'Customer Details'!$A$1:$A$17,'Customer Details'!$B$1:$F$17,"No such customer",0,1)</f>
        <v>GMR Infrastructure Ltd.</v>
      </c>
      <c r="AA283" s="8" t="str">
        <v>P.O. Box 4421</v>
      </c>
      <c r="AB283" s="8" t="str">
        <v>Naugatuck</v>
      </c>
      <c r="AC283" s="8" t="str">
        <v>CT</v>
      </c>
      <c r="AD283" s="8" t="str">
        <v>06770</v>
      </c>
    </row>
    <row r="284" spans="1:30">
      <c r="A284" s="8" t="s">
        <v>409</v>
      </c>
      <c r="B284" s="19">
        <v>41577</v>
      </c>
      <c r="C284" s="8" t="s">
        <v>44</v>
      </c>
      <c r="D284" s="8">
        <v>10006</v>
      </c>
      <c r="E284" s="8" t="str">
        <f>VLOOKUP($D284,'Customer Details'!$A$1:$F$17,4,FALSE)</f>
        <v>Midland</v>
      </c>
      <c r="F284" s="8" t="s">
        <v>321</v>
      </c>
      <c r="G284" s="8">
        <v>1</v>
      </c>
      <c r="H284" s="2" t="str">
        <f>VLOOKUP($D284,'Customer Details'!$A$1:$F$17,MATCH('Order SUmmary'!H$2,'Customer Details'!$A$1:$F$1,0),0)</f>
        <v>Supreme Ind</v>
      </c>
      <c r="I284" s="2" t="str">
        <f>VLOOKUP($D284,'Customer Details'!$A$1:$F$17,4,0)</f>
        <v>Midland</v>
      </c>
      <c r="J284" s="2" t="str">
        <f>VLOOKUP($D284,'Customer Details'!$A$1:$F$17,6,0)</f>
        <v>79706</v>
      </c>
      <c r="K284" s="8" t="str">
        <f>VLOOKUP(VLOOKUP(D284,'Customer Details'!$A$1:$F$17,5,0),'Region INfo'!$A$1:$C$52,3,0)</f>
        <v>Western</v>
      </c>
      <c r="L284" s="8" t="str">
        <f>INDEX(Product_List,MATCH($F284,'Product List'!$B$1:$B$299,0),MATCH('Order SUmmary'!L$2,'Product List'!$A$1:$E$1,0))</f>
        <v>Xerox 1938</v>
      </c>
      <c r="M284" s="8">
        <f>INDEX(Product_List,MATCH($F284,'Product List'!$B$1:$B$299,0),MATCH('Order SUmmary'!M$2,'Product List'!$A$1:$E$1,0))</f>
        <v>3626</v>
      </c>
      <c r="N284" s="8">
        <f>INDEX(Product_List,MATCH($F284,'Product List'!$B$1:$B$299,0),MATCH('Order SUmmary'!N$2,'Product List'!$A$1:$E$1,0))</f>
        <v>1590</v>
      </c>
      <c r="O284" s="8" t="str">
        <f>INDEX(Product_List,MATCH($F284,'Product List'!$B$1:$B$299,0),MATCH('Order SUmmary'!O$2,'Product List'!$A$1:$E$1,0))</f>
        <v>Paper</v>
      </c>
      <c r="P284" s="12">
        <f>HLOOKUP(C284,'Commission Criteria'!$A$2:$I$4,3,FALSE)</f>
        <v>4</v>
      </c>
      <c r="Q284" s="8">
        <f t="shared" si="13"/>
        <v>1590</v>
      </c>
      <c r="R284" s="8">
        <f t="shared" si="14"/>
        <v>3626</v>
      </c>
      <c r="S284" s="36">
        <f>VLOOKUP(R284,'Commission Criteria'!$L$3:$M$11,2,TRUE)</f>
        <v>0.01</v>
      </c>
      <c r="T284" s="36">
        <f>IF(P284&lt;5,VLOOKUP(R284,'Commission Criteria'!$L$3:$M$11,2,1),VLOOKUP('Order SUmmary'!R284,'Commission Criteria'!$P$3:$Q$11,2,1))</f>
        <v>0.01</v>
      </c>
      <c r="U284" s="36">
        <f>VLOOKUP(R284,IF(P284&lt;5,'Commission Criteria'!$L$3:$M$11,'Commission Criteria'!$P$3:$Q$11),2,1)</f>
        <v>0.01</v>
      </c>
      <c r="V284" s="8" t="s">
        <v>35</v>
      </c>
      <c r="W284" s="36">
        <f t="shared" ca="1" si="15"/>
        <v>0</v>
      </c>
      <c r="X284" s="8" t="str">
        <f>_xlfn.XLOOKUP(F284,'Product List'!$B$1:$B$299,'Product List'!$A$1:$A$299)</f>
        <v>Xerox 1938</v>
      </c>
      <c r="Y284" s="8"/>
      <c r="Z284" s="8" t="str" cm="1">
        <f t="array" ref="Z284:AD284">_xlfn.XLOOKUP(D284,'Customer Details'!$A$1:$A$17,'Customer Details'!$B$1:$F$17,"No such customer",0,1)</f>
        <v>Supreme Ind</v>
      </c>
      <c r="AA284" s="8" t="str">
        <v>P.O. Box 1367</v>
      </c>
      <c r="AB284" s="8" t="str">
        <v>Midland</v>
      </c>
      <c r="AC284" s="8" t="str">
        <v>TX</v>
      </c>
      <c r="AD284" s="8" t="str">
        <v>79706</v>
      </c>
    </row>
    <row r="285" spans="1:30">
      <c r="A285" s="8" t="s">
        <v>409</v>
      </c>
      <c r="B285" s="19">
        <v>41577</v>
      </c>
      <c r="C285" s="8" t="s">
        <v>36</v>
      </c>
      <c r="D285" s="8">
        <v>10009</v>
      </c>
      <c r="E285" s="8" t="str">
        <f>VLOOKUP($D285,'Customer Details'!$A$1:$F$17,4,FALSE)</f>
        <v>Salt Lake City</v>
      </c>
      <c r="F285" s="8" t="s">
        <v>168</v>
      </c>
      <c r="G285" s="8">
        <v>3</v>
      </c>
      <c r="H285" s="2" t="str">
        <f>VLOOKUP($D285,'Customer Details'!$A$1:$F$17,MATCH('Order SUmmary'!H$2,'Customer Details'!$A$1:$F$1,0),0)</f>
        <v>Godfrey Philips India Ltd.</v>
      </c>
      <c r="I285" s="2" t="str">
        <f>VLOOKUP($D285,'Customer Details'!$A$1:$F$17,4,0)</f>
        <v>Salt Lake City</v>
      </c>
      <c r="J285" s="2" t="str">
        <f>VLOOKUP($D285,'Customer Details'!$A$1:$F$17,6,0)</f>
        <v>84118</v>
      </c>
      <c r="K285" s="8" t="str">
        <f>VLOOKUP(VLOOKUP(D285,'Customer Details'!$A$1:$F$17,5,0),'Region INfo'!$A$1:$C$52,3,0)</f>
        <v xml:space="preserve">Pacific   </v>
      </c>
      <c r="L285" s="8" t="str">
        <f>INDEX(Product_List,MATCH($F285,'Product List'!$B$1:$B$299,0),MATCH('Order SUmmary'!L$2,'Product List'!$A$1:$E$1,0))</f>
        <v>Newell 334</v>
      </c>
      <c r="M285" s="8">
        <f>INDEX(Product_List,MATCH($F285,'Product List'!$B$1:$B$299,0),MATCH('Order SUmmary'!M$2,'Product List'!$A$1:$E$1,0))</f>
        <v>4589</v>
      </c>
      <c r="N285" s="8">
        <f>INDEX(Product_List,MATCH($F285,'Product List'!$B$1:$B$299,0),MATCH('Order SUmmary'!N$2,'Product List'!$A$1:$E$1,0))</f>
        <v>1478</v>
      </c>
      <c r="O285" s="8" t="str">
        <f>INDEX(Product_List,MATCH($F285,'Product List'!$B$1:$B$299,0),MATCH('Order SUmmary'!O$2,'Product List'!$A$1:$E$1,0))</f>
        <v>Art</v>
      </c>
      <c r="P285" s="12">
        <f>HLOOKUP(C285,'Commission Criteria'!$A$2:$I$4,3,FALSE)</f>
        <v>6</v>
      </c>
      <c r="Q285" s="8">
        <f t="shared" si="13"/>
        <v>4434</v>
      </c>
      <c r="R285" s="8">
        <f t="shared" si="14"/>
        <v>13767</v>
      </c>
      <c r="S285" s="36">
        <f>VLOOKUP(R285,'Commission Criteria'!$L$3:$M$11,2,TRUE)</f>
        <v>0.03</v>
      </c>
      <c r="T285" s="36">
        <f>IF(P285&lt;5,VLOOKUP(R285,'Commission Criteria'!$L$3:$M$11,2,1),VLOOKUP('Order SUmmary'!R285,'Commission Criteria'!$P$3:$Q$11,2,1))</f>
        <v>0.02</v>
      </c>
      <c r="U285" s="36">
        <f>VLOOKUP(R285,IF(P285&lt;5,'Commission Criteria'!$L$3:$M$11,'Commission Criteria'!$P$3:$Q$11),2,1)</f>
        <v>0.02</v>
      </c>
      <c r="V285" s="8" t="s">
        <v>50</v>
      </c>
      <c r="W285" s="36">
        <f t="shared" ca="1" si="15"/>
        <v>0.04</v>
      </c>
      <c r="X285" s="8" t="str">
        <f>_xlfn.XLOOKUP(F285,'Product List'!$B$1:$B$299,'Product List'!$A$1:$A$299)</f>
        <v>Newell 334</v>
      </c>
      <c r="Y285" s="8"/>
      <c r="Z285" s="8" t="str" cm="1">
        <f t="array" ref="Z285:AD285">_xlfn.XLOOKUP(D285,'Customer Details'!$A$1:$A$17,'Customer Details'!$B$1:$F$17,"No such customer",0,1)</f>
        <v>Godfrey Philips India Ltd.</v>
      </c>
      <c r="AA285" s="8" t="str">
        <v>20501 Ania Ave #2</v>
      </c>
      <c r="AB285" s="8" t="str">
        <v>Salt Lake City</v>
      </c>
      <c r="AC285" s="8" t="str">
        <v>UT</v>
      </c>
      <c r="AD285" s="8" t="str">
        <v>84118</v>
      </c>
    </row>
    <row r="286" spans="1:30">
      <c r="A286" s="8" t="s">
        <v>410</v>
      </c>
      <c r="B286" s="19">
        <v>41578</v>
      </c>
      <c r="C286" s="8" t="s">
        <v>66</v>
      </c>
      <c r="D286" s="8">
        <v>10003</v>
      </c>
      <c r="E286" s="8" t="str">
        <f>VLOOKUP($D286,'Customer Details'!$A$1:$F$17,4,FALSE)</f>
        <v>Miami</v>
      </c>
      <c r="F286" s="8" t="s">
        <v>105</v>
      </c>
      <c r="G286" s="8">
        <v>1</v>
      </c>
      <c r="H286" s="2" t="str">
        <f>VLOOKUP($D286,'Customer Details'!$A$1:$F$17,MATCH('Order SUmmary'!H$2,'Customer Details'!$A$1:$F$1,0),0)</f>
        <v>Honeywell Automation</v>
      </c>
      <c r="I286" s="2" t="str">
        <f>VLOOKUP($D286,'Customer Details'!$A$1:$F$17,4,0)</f>
        <v>Miami</v>
      </c>
      <c r="J286" s="2" t="str">
        <f>VLOOKUP($D286,'Customer Details'!$A$1:$F$17,6,0)</f>
        <v>33732</v>
      </c>
      <c r="K286" s="8" t="str">
        <f>VLOOKUP(VLOOKUP(D286,'Customer Details'!$A$1:$F$17,5,0),'Region INfo'!$A$1:$C$52,3,0)</f>
        <v>Southern</v>
      </c>
      <c r="L286" s="8" t="str">
        <f>INDEX(Product_List,MATCH($F286,'Product List'!$B$1:$B$299,0),MATCH('Order SUmmary'!L$2,'Product List'!$A$1:$E$1,0))</f>
        <v>Xerox 201</v>
      </c>
      <c r="M286" s="8">
        <f>INDEX(Product_List,MATCH($F286,'Product List'!$B$1:$B$299,0),MATCH('Order SUmmary'!M$2,'Product List'!$A$1:$E$1,0))</f>
        <v>2509</v>
      </c>
      <c r="N286" s="8">
        <f>INDEX(Product_List,MATCH($F286,'Product List'!$B$1:$B$299,0),MATCH('Order SUmmary'!N$2,'Product List'!$A$1:$E$1,0))</f>
        <v>1452</v>
      </c>
      <c r="O286" s="8" t="str">
        <f>INDEX(Product_List,MATCH($F286,'Product List'!$B$1:$B$299,0),MATCH('Order SUmmary'!O$2,'Product List'!$A$1:$E$1,0))</f>
        <v>Paper</v>
      </c>
      <c r="P286" s="12">
        <f>HLOOKUP(C286,'Commission Criteria'!$A$2:$I$4,3,FALSE)</f>
        <v>5</v>
      </c>
      <c r="Q286" s="8">
        <f t="shared" si="13"/>
        <v>1452</v>
      </c>
      <c r="R286" s="8">
        <f t="shared" si="14"/>
        <v>2509</v>
      </c>
      <c r="S286" s="36">
        <f>VLOOKUP(R286,'Commission Criteria'!$L$3:$M$11,2,TRUE)</f>
        <v>0.01</v>
      </c>
      <c r="T286" s="36">
        <f>IF(P286&lt;5,VLOOKUP(R286,'Commission Criteria'!$L$3:$M$11,2,1),VLOOKUP('Order SUmmary'!R286,'Commission Criteria'!$P$3:$Q$11,2,1))</f>
        <v>0.02</v>
      </c>
      <c r="U286" s="36">
        <f>VLOOKUP(R286,IF(P286&lt;5,'Commission Criteria'!$L$3:$M$11,'Commission Criteria'!$P$3:$Q$11),2,1)</f>
        <v>0.02</v>
      </c>
      <c r="V286" s="8" t="s">
        <v>40</v>
      </c>
      <c r="W286" s="36">
        <f t="shared" ca="1" si="15"/>
        <v>0.04</v>
      </c>
      <c r="X286" s="8" t="str">
        <f>_xlfn.XLOOKUP(F286,'Product List'!$B$1:$B$299,'Product List'!$A$1:$A$299)</f>
        <v>Xerox 201</v>
      </c>
      <c r="Y286" s="8"/>
      <c r="Z286" s="8" t="str" cm="1">
        <f t="array" ref="Z286:AD286">_xlfn.XLOOKUP(D286,'Customer Details'!$A$1:$A$17,'Customer Details'!$B$1:$F$17,"No such customer",0,1)</f>
        <v>Honeywell Automation</v>
      </c>
      <c r="AA286" s="8" t="str">
        <v>1272 Harbor Road</v>
      </c>
      <c r="AB286" s="8" t="str">
        <v>Miami</v>
      </c>
      <c r="AC286" s="8" t="str">
        <v>FL</v>
      </c>
      <c r="AD286" s="8" t="str">
        <v>33732</v>
      </c>
    </row>
    <row r="287" spans="1:30">
      <c r="A287" s="8" t="s">
        <v>411</v>
      </c>
      <c r="B287" s="19">
        <v>41578</v>
      </c>
      <c r="C287" s="8" t="s">
        <v>51</v>
      </c>
      <c r="D287" s="8">
        <v>10007</v>
      </c>
      <c r="E287" s="8" t="str">
        <f>VLOOKUP($D287,'Customer Details'!$A$1:$F$17,4,FALSE)</f>
        <v>Richmond</v>
      </c>
      <c r="F287" s="8" t="s">
        <v>412</v>
      </c>
      <c r="G287" s="8">
        <v>1</v>
      </c>
      <c r="H287" s="2" t="str">
        <f>VLOOKUP($D287,'Customer Details'!$A$1:$F$17,MATCH('Order SUmmary'!H$2,'Customer Details'!$A$1:$F$1,0),0)</f>
        <v>GHCL Ltd.</v>
      </c>
      <c r="I287" s="2" t="str">
        <f>VLOOKUP($D287,'Customer Details'!$A$1:$F$17,4,0)</f>
        <v>Richmond</v>
      </c>
      <c r="J287" s="2" t="str">
        <f>VLOOKUP($D287,'Customer Details'!$A$1:$F$17,6,0)</f>
        <v>94805</v>
      </c>
      <c r="K287" s="8" t="str">
        <f>VLOOKUP(VLOOKUP(D287,'Customer Details'!$A$1:$F$17,5,0),'Region INfo'!$A$1:$C$52,3,0)</f>
        <v xml:space="preserve">Pacific   </v>
      </c>
      <c r="L287" s="8" t="str">
        <f>INDEX(Product_List,MATCH($F287,'Product List'!$B$1:$B$299,0),MATCH('Order SUmmary'!L$2,'Product List'!$A$1:$E$1,0))</f>
        <v>Avery 482</v>
      </c>
      <c r="M287" s="8">
        <f>INDEX(Product_List,MATCH($F287,'Product List'!$B$1:$B$299,0),MATCH('Order SUmmary'!M$2,'Product List'!$A$1:$E$1,0))</f>
        <v>2868</v>
      </c>
      <c r="N287" s="8">
        <f>INDEX(Product_List,MATCH($F287,'Product List'!$B$1:$B$299,0),MATCH('Order SUmmary'!N$2,'Product List'!$A$1:$E$1,0))</f>
        <v>2479</v>
      </c>
      <c r="O287" s="8" t="str">
        <f>INDEX(Product_List,MATCH($F287,'Product List'!$B$1:$B$299,0),MATCH('Order SUmmary'!O$2,'Product List'!$A$1:$E$1,0))</f>
        <v>Labels</v>
      </c>
      <c r="P287" s="12">
        <f>HLOOKUP(C287,'Commission Criteria'!$A$2:$I$4,3,FALSE)</f>
        <v>10</v>
      </c>
      <c r="Q287" s="8">
        <f t="shared" si="13"/>
        <v>2479</v>
      </c>
      <c r="R287" s="8">
        <f t="shared" si="14"/>
        <v>2868</v>
      </c>
      <c r="S287" s="36">
        <f>VLOOKUP(R287,'Commission Criteria'!$L$3:$M$11,2,TRUE)</f>
        <v>0.01</v>
      </c>
      <c r="T287" s="36">
        <f>IF(P287&lt;5,VLOOKUP(R287,'Commission Criteria'!$L$3:$M$11,2,1),VLOOKUP('Order SUmmary'!R287,'Commission Criteria'!$P$3:$Q$11,2,1))</f>
        <v>0.02</v>
      </c>
      <c r="U287" s="36">
        <f>VLOOKUP(R287,IF(P287&lt;5,'Commission Criteria'!$L$3:$M$11,'Commission Criteria'!$P$3:$Q$11),2,1)</f>
        <v>0.02</v>
      </c>
      <c r="V287" s="8" t="s">
        <v>43</v>
      </c>
      <c r="W287" s="36">
        <f t="shared" ca="1" si="15"/>
        <v>0.02</v>
      </c>
      <c r="X287" s="8" t="str">
        <f>_xlfn.XLOOKUP(F287,'Product List'!$B$1:$B$299,'Product List'!$A$1:$A$299)</f>
        <v>Avery 482</v>
      </c>
      <c r="Y287" s="8"/>
      <c r="Z287" s="8" t="str" cm="1">
        <f t="array" ref="Z287:AD287">_xlfn.XLOOKUP(D287,'Customer Details'!$A$1:$A$17,'Customer Details'!$B$1:$F$17,"No such customer",0,1)</f>
        <v>GHCL Ltd.</v>
      </c>
      <c r="AA287" s="8" t="str">
        <v>58 Clarence St</v>
      </c>
      <c r="AB287" s="8" t="str">
        <v>Richmond</v>
      </c>
      <c r="AC287" s="8" t="str">
        <v>CA</v>
      </c>
      <c r="AD287" s="8" t="str">
        <v>94805</v>
      </c>
    </row>
    <row r="288" spans="1:30">
      <c r="A288" s="8" t="s">
        <v>413</v>
      </c>
      <c r="B288" s="19">
        <v>41578</v>
      </c>
      <c r="C288" s="8" t="s">
        <v>27</v>
      </c>
      <c r="D288" s="8">
        <v>10003</v>
      </c>
      <c r="E288" s="8" t="str">
        <f>VLOOKUP($D288,'Customer Details'!$A$1:$F$17,4,FALSE)</f>
        <v>Miami</v>
      </c>
      <c r="F288" s="8" t="s">
        <v>414</v>
      </c>
      <c r="G288" s="8">
        <v>1</v>
      </c>
      <c r="H288" s="2" t="str">
        <f>VLOOKUP($D288,'Customer Details'!$A$1:$F$17,MATCH('Order SUmmary'!H$2,'Customer Details'!$A$1:$F$1,0),0)</f>
        <v>Honeywell Automation</v>
      </c>
      <c r="I288" s="2" t="str">
        <f>VLOOKUP($D288,'Customer Details'!$A$1:$F$17,4,0)</f>
        <v>Miami</v>
      </c>
      <c r="J288" s="2" t="str">
        <f>VLOOKUP($D288,'Customer Details'!$A$1:$F$17,6,0)</f>
        <v>33732</v>
      </c>
      <c r="K288" s="8" t="str">
        <f>VLOOKUP(VLOOKUP(D288,'Customer Details'!$A$1:$F$17,5,0),'Region INfo'!$A$1:$C$52,3,0)</f>
        <v>Southern</v>
      </c>
      <c r="L288" s="8" t="str">
        <f>INDEX(Product_List,MATCH($F288,'Product List'!$B$1:$B$299,0),MATCH('Order SUmmary'!L$2,'Product List'!$A$1:$E$1,0))</f>
        <v>Xerox 1985</v>
      </c>
      <c r="M288" s="8">
        <f>INDEX(Product_List,MATCH($F288,'Product List'!$B$1:$B$299,0),MATCH('Order SUmmary'!M$2,'Product List'!$A$1:$E$1,0))</f>
        <v>3139</v>
      </c>
      <c r="N288" s="8">
        <f>INDEX(Product_List,MATCH($F288,'Product List'!$B$1:$B$299,0),MATCH('Order SUmmary'!N$2,'Product List'!$A$1:$E$1,0))</f>
        <v>2147</v>
      </c>
      <c r="O288" s="8" t="str">
        <f>INDEX(Product_List,MATCH($F288,'Product List'!$B$1:$B$299,0),MATCH('Order SUmmary'!O$2,'Product List'!$A$1:$E$1,0))</f>
        <v>Paper</v>
      </c>
      <c r="P288" s="12">
        <f>HLOOKUP(C288,'Commission Criteria'!$A$2:$I$4,3,FALSE)</f>
        <v>4</v>
      </c>
      <c r="Q288" s="8">
        <f t="shared" si="13"/>
        <v>2147</v>
      </c>
      <c r="R288" s="8">
        <f t="shared" si="14"/>
        <v>3139</v>
      </c>
      <c r="S288" s="36">
        <f>VLOOKUP(R288,'Commission Criteria'!$L$3:$M$11,2,TRUE)</f>
        <v>0.01</v>
      </c>
      <c r="T288" s="36">
        <f>IF(P288&lt;5,VLOOKUP(R288,'Commission Criteria'!$L$3:$M$11,2,1),VLOOKUP('Order SUmmary'!R288,'Commission Criteria'!$P$3:$Q$11,2,1))</f>
        <v>0.01</v>
      </c>
      <c r="U288" s="36">
        <f>VLOOKUP(R288,IF(P288&lt;5,'Commission Criteria'!$L$3:$M$11,'Commission Criteria'!$P$3:$Q$11),2,1)</f>
        <v>0.01</v>
      </c>
      <c r="V288" s="8" t="s">
        <v>50</v>
      </c>
      <c r="W288" s="36">
        <f t="shared" ca="1" si="15"/>
        <v>0.02</v>
      </c>
      <c r="X288" s="8" t="str">
        <f>_xlfn.XLOOKUP(F288,'Product List'!$B$1:$B$299,'Product List'!$A$1:$A$299)</f>
        <v>Xerox 1985</v>
      </c>
      <c r="Y288" s="8"/>
      <c r="Z288" s="8" t="str" cm="1">
        <f t="array" ref="Z288:AD288">_xlfn.XLOOKUP(D288,'Customer Details'!$A$1:$A$17,'Customer Details'!$B$1:$F$17,"No such customer",0,1)</f>
        <v>Honeywell Automation</v>
      </c>
      <c r="AA288" s="8" t="str">
        <v>1272 Harbor Road</v>
      </c>
      <c r="AB288" s="8" t="str">
        <v>Miami</v>
      </c>
      <c r="AC288" s="8" t="str">
        <v>FL</v>
      </c>
      <c r="AD288" s="8" t="str">
        <v>33732</v>
      </c>
    </row>
    <row r="289" spans="1:30">
      <c r="A289" s="8" t="s">
        <v>415</v>
      </c>
      <c r="B289" s="19">
        <v>41578</v>
      </c>
      <c r="C289" s="8" t="s">
        <v>44</v>
      </c>
      <c r="D289" s="8">
        <v>10004</v>
      </c>
      <c r="E289" s="8" t="str">
        <f>VLOOKUP($D289,'Customer Details'!$A$1:$F$17,4,FALSE)</f>
        <v>New York</v>
      </c>
      <c r="F289" s="8" t="s">
        <v>416</v>
      </c>
      <c r="G289" s="8">
        <v>3</v>
      </c>
      <c r="H289" s="2" t="str">
        <f>VLOOKUP($D289,'Customer Details'!$A$1:$F$17,MATCH('Order SUmmary'!H$2,'Customer Details'!$A$1:$F$1,0),0)</f>
        <v>Lupin Ltd.</v>
      </c>
      <c r="I289" s="2" t="str">
        <f>VLOOKUP($D289,'Customer Details'!$A$1:$F$17,4,0)</f>
        <v>New York</v>
      </c>
      <c r="J289" s="2" t="str">
        <f>VLOOKUP($D289,'Customer Details'!$A$1:$F$17,6,0)</f>
        <v>10019</v>
      </c>
      <c r="K289" s="8" t="str">
        <f>VLOOKUP(VLOOKUP(D289,'Customer Details'!$A$1:$F$17,5,0),'Region INfo'!$A$1:$C$52,3,0)</f>
        <v xml:space="preserve">Northern </v>
      </c>
      <c r="L289" s="8" t="str">
        <f>INDEX(Product_List,MATCH($F289,'Product List'!$B$1:$B$299,0),MATCH('Order SUmmary'!L$2,'Product List'!$A$1:$E$1,0))</f>
        <v>Newell 314</v>
      </c>
      <c r="M289" s="8">
        <f>INDEX(Product_List,MATCH($F289,'Product List'!$B$1:$B$299,0),MATCH('Order SUmmary'!M$2,'Product List'!$A$1:$E$1,0))</f>
        <v>3458</v>
      </c>
      <c r="N289" s="8">
        <f>INDEX(Product_List,MATCH($F289,'Product List'!$B$1:$B$299,0),MATCH('Order SUmmary'!N$2,'Product List'!$A$1:$E$1,0))</f>
        <v>1684</v>
      </c>
      <c r="O289" s="8" t="str">
        <f>INDEX(Product_List,MATCH($F289,'Product List'!$B$1:$B$299,0),MATCH('Order SUmmary'!O$2,'Product List'!$A$1:$E$1,0))</f>
        <v>Art</v>
      </c>
      <c r="P289" s="12">
        <f>HLOOKUP(C289,'Commission Criteria'!$A$2:$I$4,3,FALSE)</f>
        <v>4</v>
      </c>
      <c r="Q289" s="8">
        <f t="shared" si="13"/>
        <v>5052</v>
      </c>
      <c r="R289" s="8">
        <f t="shared" si="14"/>
        <v>10374</v>
      </c>
      <c r="S289" s="36">
        <f>VLOOKUP(R289,'Commission Criteria'!$L$3:$M$11,2,TRUE)</f>
        <v>0.03</v>
      </c>
      <c r="T289" s="36">
        <f>IF(P289&lt;5,VLOOKUP(R289,'Commission Criteria'!$L$3:$M$11,2,1),VLOOKUP('Order SUmmary'!R289,'Commission Criteria'!$P$3:$Q$11,2,1))</f>
        <v>0.03</v>
      </c>
      <c r="U289" s="36">
        <f>VLOOKUP(R289,IF(P289&lt;5,'Commission Criteria'!$L$3:$M$11,'Commission Criteria'!$P$3:$Q$11),2,1)</f>
        <v>0.03</v>
      </c>
      <c r="V289" s="8" t="s">
        <v>50</v>
      </c>
      <c r="W289" s="36">
        <f t="shared" ca="1" si="15"/>
        <v>0.03</v>
      </c>
      <c r="X289" s="8" t="str">
        <f>_xlfn.XLOOKUP(F289,'Product List'!$B$1:$B$299,'Product List'!$A$1:$A$299)</f>
        <v>Newell 314</v>
      </c>
      <c r="Y289" s="8"/>
      <c r="Z289" s="8" t="str" cm="1">
        <f t="array" ref="Z289:AD289">_xlfn.XLOOKUP(D289,'Customer Details'!$A$1:$A$17,'Customer Details'!$B$1:$F$17,"No such customer",0,1)</f>
        <v>Lupin Ltd.</v>
      </c>
      <c r="AA289" s="8" t="str">
        <v>Abbey Wood</v>
      </c>
      <c r="AB289" s="8" t="str">
        <v>New York</v>
      </c>
      <c r="AC289" s="8" t="str">
        <v>NY</v>
      </c>
      <c r="AD289" s="8" t="str">
        <v>10019</v>
      </c>
    </row>
    <row r="290" spans="1:30">
      <c r="A290" s="8" t="s">
        <v>417</v>
      </c>
      <c r="B290" s="19">
        <v>41581</v>
      </c>
      <c r="C290" s="8" t="s">
        <v>44</v>
      </c>
      <c r="D290" s="8">
        <v>10002</v>
      </c>
      <c r="E290" s="8" t="str">
        <f>VLOOKUP($D290,'Customer Details'!$A$1:$F$17,4,FALSE)</f>
        <v>Omaha</v>
      </c>
      <c r="F290" s="8" t="s">
        <v>285</v>
      </c>
      <c r="G290" s="8">
        <v>2</v>
      </c>
      <c r="H290" s="2" t="str">
        <f>VLOOKUP($D290,'Customer Details'!$A$1:$F$17,MATCH('Order SUmmary'!H$2,'Customer Details'!$A$1:$F$1,0),0)</f>
        <v>Elder Pharmaceuticals</v>
      </c>
      <c r="I290" s="2" t="str">
        <f>VLOOKUP($D290,'Customer Details'!$A$1:$F$17,4,0)</f>
        <v>Omaha</v>
      </c>
      <c r="J290" s="2" t="str">
        <f>VLOOKUP($D290,'Customer Details'!$A$1:$F$17,6,0)</f>
        <v>68127</v>
      </c>
      <c r="K290" s="8" t="str">
        <f>VLOOKUP(VLOOKUP(D290,'Customer Details'!$A$1:$F$17,5,0),'Region INfo'!$A$1:$C$52,3,0)</f>
        <v>Western</v>
      </c>
      <c r="L290" s="8" t="str">
        <f>INDEX(Product_List,MATCH($F290,'Product List'!$B$1:$B$299,0),MATCH('Order SUmmary'!L$2,'Product List'!$A$1:$E$1,0))</f>
        <v>Newell 344</v>
      </c>
      <c r="M290" s="8">
        <f>INDEX(Product_List,MATCH($F290,'Product List'!$B$1:$B$299,0),MATCH('Order SUmmary'!M$2,'Product List'!$A$1:$E$1,0))</f>
        <v>3282</v>
      </c>
      <c r="N290" s="8">
        <f>INDEX(Product_List,MATCH($F290,'Product List'!$B$1:$B$299,0),MATCH('Order SUmmary'!N$2,'Product List'!$A$1:$E$1,0))</f>
        <v>1654</v>
      </c>
      <c r="O290" s="8" t="str">
        <f>INDEX(Product_List,MATCH($F290,'Product List'!$B$1:$B$299,0),MATCH('Order SUmmary'!O$2,'Product List'!$A$1:$E$1,0))</f>
        <v>Art</v>
      </c>
      <c r="P290" s="12">
        <f>HLOOKUP(C290,'Commission Criteria'!$A$2:$I$4,3,FALSE)</f>
        <v>4</v>
      </c>
      <c r="Q290" s="8">
        <f t="shared" si="13"/>
        <v>3308</v>
      </c>
      <c r="R290" s="8">
        <f t="shared" si="14"/>
        <v>6564</v>
      </c>
      <c r="S290" s="36">
        <f>VLOOKUP(R290,'Commission Criteria'!$L$3:$M$11,2,TRUE)</f>
        <v>0.03</v>
      </c>
      <c r="T290" s="36">
        <f>IF(P290&lt;5,VLOOKUP(R290,'Commission Criteria'!$L$3:$M$11,2,1),VLOOKUP('Order SUmmary'!R290,'Commission Criteria'!$P$3:$Q$11,2,1))</f>
        <v>0.03</v>
      </c>
      <c r="U290" s="36">
        <f>VLOOKUP(R290,IF(P290&lt;5,'Commission Criteria'!$L$3:$M$11,'Commission Criteria'!$P$3:$Q$11),2,1)</f>
        <v>0.03</v>
      </c>
      <c r="V290" s="8" t="s">
        <v>32</v>
      </c>
      <c r="W290" s="36">
        <f t="shared" ca="1" si="15"/>
        <v>0.03</v>
      </c>
      <c r="X290" s="8" t="str">
        <f>_xlfn.XLOOKUP(F290,'Product List'!$B$1:$B$299,'Product List'!$A$1:$A$299)</f>
        <v>Newell 344</v>
      </c>
      <c r="Y290" s="8"/>
      <c r="Z290" s="8" t="str" cm="1">
        <f t="array" ref="Z290:AD290">_xlfn.XLOOKUP(D290,'Customer Details'!$A$1:$A$17,'Customer Details'!$B$1:$F$17,"No such customer",0,1)</f>
        <v>Elder Pharmaceuticals</v>
      </c>
      <c r="AA290" s="8" t="str">
        <v>57 Neriba Cres</v>
      </c>
      <c r="AB290" s="8" t="str">
        <v>Omaha</v>
      </c>
      <c r="AC290" s="8" t="str">
        <v>NE</v>
      </c>
      <c r="AD290" s="8" t="str">
        <v>68127</v>
      </c>
    </row>
    <row r="291" spans="1:30">
      <c r="A291" s="8" t="s">
        <v>418</v>
      </c>
      <c r="B291" s="19">
        <v>41582</v>
      </c>
      <c r="C291" s="8" t="s">
        <v>46</v>
      </c>
      <c r="D291" s="8">
        <v>10007</v>
      </c>
      <c r="E291" s="8" t="str">
        <f>VLOOKUP($D291,'Customer Details'!$A$1:$F$17,4,FALSE)</f>
        <v>Richmond</v>
      </c>
      <c r="F291" s="8" t="s">
        <v>71</v>
      </c>
      <c r="G291" s="8">
        <v>1</v>
      </c>
      <c r="H291" s="2" t="str">
        <f>VLOOKUP($D291,'Customer Details'!$A$1:$F$17,MATCH('Order SUmmary'!H$2,'Customer Details'!$A$1:$F$1,0),0)</f>
        <v>GHCL Ltd.</v>
      </c>
      <c r="I291" s="2" t="str">
        <f>VLOOKUP($D291,'Customer Details'!$A$1:$F$17,4,0)</f>
        <v>Richmond</v>
      </c>
      <c r="J291" s="2" t="str">
        <f>VLOOKUP($D291,'Customer Details'!$A$1:$F$17,6,0)</f>
        <v>94805</v>
      </c>
      <c r="K291" s="8" t="str">
        <f>VLOOKUP(VLOOKUP(D291,'Customer Details'!$A$1:$F$17,5,0),'Region INfo'!$A$1:$C$52,3,0)</f>
        <v xml:space="preserve">Pacific   </v>
      </c>
      <c r="L291" s="8" t="str">
        <f>INDEX(Product_List,MATCH($F291,'Product List'!$B$1:$B$299,0),MATCH('Order SUmmary'!L$2,'Product List'!$A$1:$E$1,0))</f>
        <v>GE 30522EE2</v>
      </c>
      <c r="M291" s="8">
        <f>INDEX(Product_List,MATCH($F291,'Product List'!$B$1:$B$299,0),MATCH('Order SUmmary'!M$2,'Product List'!$A$1:$E$1,0))</f>
        <v>3055</v>
      </c>
      <c r="N291" s="8">
        <f>INDEX(Product_List,MATCH($F291,'Product List'!$B$1:$B$299,0),MATCH('Order SUmmary'!N$2,'Product List'!$A$1:$E$1,0))</f>
        <v>2269</v>
      </c>
      <c r="O291" s="8" t="str">
        <f>INDEX(Product_List,MATCH($F291,'Product List'!$B$1:$B$299,0),MATCH('Order SUmmary'!O$2,'Product List'!$A$1:$E$1,0))</f>
        <v>Phones</v>
      </c>
      <c r="P291" s="12">
        <f>HLOOKUP(C291,'Commission Criteria'!$A$2:$I$4,3,FALSE)</f>
        <v>8</v>
      </c>
      <c r="Q291" s="8">
        <f t="shared" si="13"/>
        <v>2269</v>
      </c>
      <c r="R291" s="8">
        <f t="shared" si="14"/>
        <v>3055</v>
      </c>
      <c r="S291" s="36">
        <f>VLOOKUP(R291,'Commission Criteria'!$L$3:$M$11,2,TRUE)</f>
        <v>0.01</v>
      </c>
      <c r="T291" s="36">
        <f>IF(P291&lt;5,VLOOKUP(R291,'Commission Criteria'!$L$3:$M$11,2,1),VLOOKUP('Order SUmmary'!R291,'Commission Criteria'!$P$3:$Q$11,2,1))</f>
        <v>0.02</v>
      </c>
      <c r="U291" s="36">
        <f>VLOOKUP(R291,IF(P291&lt;5,'Commission Criteria'!$L$3:$M$11,'Commission Criteria'!$P$3:$Q$11),2,1)</f>
        <v>0.02</v>
      </c>
      <c r="V291" s="8" t="s">
        <v>40</v>
      </c>
      <c r="W291" s="36">
        <f t="shared" ca="1" si="15"/>
        <v>0.05</v>
      </c>
      <c r="X291" s="8" t="str">
        <f>_xlfn.XLOOKUP(F291,'Product List'!$B$1:$B$299,'Product List'!$A$1:$A$299)</f>
        <v>GE 30522EE2</v>
      </c>
      <c r="Y291" s="8"/>
      <c r="Z291" s="8" t="str" cm="1">
        <f t="array" ref="Z291:AD291">_xlfn.XLOOKUP(D291,'Customer Details'!$A$1:$A$17,'Customer Details'!$B$1:$F$17,"No such customer",0,1)</f>
        <v>GHCL Ltd.</v>
      </c>
      <c r="AA291" s="8" t="str">
        <v>58 Clarence St</v>
      </c>
      <c r="AB291" s="8" t="str">
        <v>Richmond</v>
      </c>
      <c r="AC291" s="8" t="str">
        <v>CA</v>
      </c>
      <c r="AD291" s="8" t="str">
        <v>94805</v>
      </c>
    </row>
    <row r="292" spans="1:30">
      <c r="A292" s="8" t="s">
        <v>419</v>
      </c>
      <c r="B292" s="19">
        <v>41582</v>
      </c>
      <c r="C292" s="8" t="s">
        <v>27</v>
      </c>
      <c r="D292" s="8">
        <v>10007</v>
      </c>
      <c r="E292" s="8" t="str">
        <f>VLOOKUP($D292,'Customer Details'!$A$1:$F$17,4,FALSE)</f>
        <v>Richmond</v>
      </c>
      <c r="F292" s="8" t="s">
        <v>420</v>
      </c>
      <c r="G292" s="8">
        <v>1</v>
      </c>
      <c r="H292" s="2" t="str">
        <f>VLOOKUP($D292,'Customer Details'!$A$1:$F$17,MATCH('Order SUmmary'!H$2,'Customer Details'!$A$1:$F$1,0),0)</f>
        <v>GHCL Ltd.</v>
      </c>
      <c r="I292" s="2" t="str">
        <f>VLOOKUP($D292,'Customer Details'!$A$1:$F$17,4,0)</f>
        <v>Richmond</v>
      </c>
      <c r="J292" s="2" t="str">
        <f>VLOOKUP($D292,'Customer Details'!$A$1:$F$17,6,0)</f>
        <v>94805</v>
      </c>
      <c r="K292" s="8" t="str">
        <f>VLOOKUP(VLOOKUP(D292,'Customer Details'!$A$1:$F$17,5,0),'Region INfo'!$A$1:$C$52,3,0)</f>
        <v xml:space="preserve">Pacific   </v>
      </c>
      <c r="L292" s="8" t="str">
        <f>INDEX(Product_List,MATCH($F292,'Product List'!$B$1:$B$299,0),MATCH('Order SUmmary'!L$2,'Product List'!$A$1:$E$1,0))</f>
        <v>Xerox 1972</v>
      </c>
      <c r="M292" s="8">
        <f>INDEX(Product_List,MATCH($F292,'Product List'!$B$1:$B$299,0),MATCH('Order SUmmary'!M$2,'Product List'!$A$1:$E$1,0))</f>
        <v>3566</v>
      </c>
      <c r="N292" s="8">
        <f>INDEX(Product_List,MATCH($F292,'Product List'!$B$1:$B$299,0),MATCH('Order SUmmary'!N$2,'Product List'!$A$1:$E$1,0))</f>
        <v>2276</v>
      </c>
      <c r="O292" s="8" t="str">
        <f>INDEX(Product_List,MATCH($F292,'Product List'!$B$1:$B$299,0),MATCH('Order SUmmary'!O$2,'Product List'!$A$1:$E$1,0))</f>
        <v>Paper</v>
      </c>
      <c r="P292" s="12">
        <f>HLOOKUP(C292,'Commission Criteria'!$A$2:$I$4,3,FALSE)</f>
        <v>4</v>
      </c>
      <c r="Q292" s="8">
        <f t="shared" si="13"/>
        <v>2276</v>
      </c>
      <c r="R292" s="8">
        <f t="shared" si="14"/>
        <v>3566</v>
      </c>
      <c r="S292" s="36">
        <f>VLOOKUP(R292,'Commission Criteria'!$L$3:$M$11,2,TRUE)</f>
        <v>0.01</v>
      </c>
      <c r="T292" s="36">
        <f>IF(P292&lt;5,VLOOKUP(R292,'Commission Criteria'!$L$3:$M$11,2,1),VLOOKUP('Order SUmmary'!R292,'Commission Criteria'!$P$3:$Q$11,2,1))</f>
        <v>0.01</v>
      </c>
      <c r="U292" s="36">
        <f>VLOOKUP(R292,IF(P292&lt;5,'Commission Criteria'!$L$3:$M$11,'Commission Criteria'!$P$3:$Q$11),2,1)</f>
        <v>0.01</v>
      </c>
      <c r="V292" s="8" t="s">
        <v>50</v>
      </c>
      <c r="W292" s="36">
        <f t="shared" ca="1" si="15"/>
        <v>0.01</v>
      </c>
      <c r="X292" s="8" t="str">
        <f>_xlfn.XLOOKUP(F292,'Product List'!$B$1:$B$299,'Product List'!$A$1:$A$299)</f>
        <v>Xerox 1972</v>
      </c>
      <c r="Y292" s="8"/>
      <c r="Z292" s="8" t="str" cm="1">
        <f t="array" ref="Z292:AD292">_xlfn.XLOOKUP(D292,'Customer Details'!$A$1:$A$17,'Customer Details'!$B$1:$F$17,"No such customer",0,1)</f>
        <v>GHCL Ltd.</v>
      </c>
      <c r="AA292" s="8" t="str">
        <v>58 Clarence St</v>
      </c>
      <c r="AB292" s="8" t="str">
        <v>Richmond</v>
      </c>
      <c r="AC292" s="8" t="str">
        <v>CA</v>
      </c>
      <c r="AD292" s="8" t="str">
        <v>94805</v>
      </c>
    </row>
    <row r="293" spans="1:30">
      <c r="A293" s="8" t="s">
        <v>421</v>
      </c>
      <c r="B293" s="19">
        <v>41582</v>
      </c>
      <c r="C293" s="8" t="s">
        <v>66</v>
      </c>
      <c r="D293" s="8">
        <v>10002</v>
      </c>
      <c r="E293" s="8" t="str">
        <f>VLOOKUP($D293,'Customer Details'!$A$1:$F$17,4,FALSE)</f>
        <v>Omaha</v>
      </c>
      <c r="F293" s="8" t="s">
        <v>320</v>
      </c>
      <c r="G293" s="8">
        <v>1</v>
      </c>
      <c r="H293" s="2" t="str">
        <f>VLOOKUP($D293,'Customer Details'!$A$1:$F$17,MATCH('Order SUmmary'!H$2,'Customer Details'!$A$1:$F$1,0),0)</f>
        <v>Elder Pharmaceuticals</v>
      </c>
      <c r="I293" s="2" t="str">
        <f>VLOOKUP($D293,'Customer Details'!$A$1:$F$17,4,0)</f>
        <v>Omaha</v>
      </c>
      <c r="J293" s="2" t="str">
        <f>VLOOKUP($D293,'Customer Details'!$A$1:$F$17,6,0)</f>
        <v>68127</v>
      </c>
      <c r="K293" s="8" t="str">
        <f>VLOOKUP(VLOOKUP(D293,'Customer Details'!$A$1:$F$17,5,0),'Region INfo'!$A$1:$C$52,3,0)</f>
        <v>Western</v>
      </c>
      <c r="L293" s="8" t="str">
        <f>INDEX(Product_List,MATCH($F293,'Product List'!$B$1:$B$299,0),MATCH('Order SUmmary'!L$2,'Product List'!$A$1:$E$1,0))</f>
        <v>LG Exalt</v>
      </c>
      <c r="M293" s="8">
        <f>INDEX(Product_List,MATCH($F293,'Product List'!$B$1:$B$299,0),MATCH('Order SUmmary'!M$2,'Product List'!$A$1:$E$1,0))</f>
        <v>4599</v>
      </c>
      <c r="N293" s="8">
        <f>INDEX(Product_List,MATCH($F293,'Product List'!$B$1:$B$299,0),MATCH('Order SUmmary'!N$2,'Product List'!$A$1:$E$1,0))</f>
        <v>1332</v>
      </c>
      <c r="O293" s="8" t="str">
        <f>INDEX(Product_List,MATCH($F293,'Product List'!$B$1:$B$299,0),MATCH('Order SUmmary'!O$2,'Product List'!$A$1:$E$1,0))</f>
        <v>Phones</v>
      </c>
      <c r="P293" s="12">
        <f>HLOOKUP(C293,'Commission Criteria'!$A$2:$I$4,3,FALSE)</f>
        <v>5</v>
      </c>
      <c r="Q293" s="8">
        <f t="shared" si="13"/>
        <v>1332</v>
      </c>
      <c r="R293" s="8">
        <f t="shared" si="14"/>
        <v>4599</v>
      </c>
      <c r="S293" s="36">
        <f>VLOOKUP(R293,'Commission Criteria'!$L$3:$M$11,2,TRUE)</f>
        <v>0.01</v>
      </c>
      <c r="T293" s="36">
        <f>IF(P293&lt;5,VLOOKUP(R293,'Commission Criteria'!$L$3:$M$11,2,1),VLOOKUP('Order SUmmary'!R293,'Commission Criteria'!$P$3:$Q$11,2,1))</f>
        <v>0.02</v>
      </c>
      <c r="U293" s="36">
        <f>VLOOKUP(R293,IF(P293&lt;5,'Commission Criteria'!$L$3:$M$11,'Commission Criteria'!$P$3:$Q$11),2,1)</f>
        <v>0.02</v>
      </c>
      <c r="V293" s="8" t="s">
        <v>35</v>
      </c>
      <c r="W293" s="36">
        <f t="shared" ca="1" si="15"/>
        <v>0.01</v>
      </c>
      <c r="X293" s="8" t="str">
        <f>_xlfn.XLOOKUP(F293,'Product List'!$B$1:$B$299,'Product List'!$A$1:$A$299)</f>
        <v>LG Exalt</v>
      </c>
      <c r="Y293" s="8"/>
      <c r="Z293" s="8" t="str" cm="1">
        <f t="array" ref="Z293:AD293">_xlfn.XLOOKUP(D293,'Customer Details'!$A$1:$A$17,'Customer Details'!$B$1:$F$17,"No such customer",0,1)</f>
        <v>Elder Pharmaceuticals</v>
      </c>
      <c r="AA293" s="8" t="str">
        <v>57 Neriba Cres</v>
      </c>
      <c r="AB293" s="8" t="str">
        <v>Omaha</v>
      </c>
      <c r="AC293" s="8" t="str">
        <v>NE</v>
      </c>
      <c r="AD293" s="8" t="str">
        <v>68127</v>
      </c>
    </row>
    <row r="294" spans="1:30">
      <c r="A294" s="8" t="s">
        <v>422</v>
      </c>
      <c r="B294" s="19">
        <v>41584</v>
      </c>
      <c r="C294" s="8" t="s">
        <v>54</v>
      </c>
      <c r="D294" s="8">
        <v>10001</v>
      </c>
      <c r="E294" s="8" t="str">
        <f>VLOOKUP($D294,'Customer Details'!$A$1:$F$17,4,FALSE)</f>
        <v>New York</v>
      </c>
      <c r="F294" s="8" t="s">
        <v>423</v>
      </c>
      <c r="G294" s="8">
        <v>3</v>
      </c>
      <c r="H294" s="2" t="str">
        <f>VLOOKUP($D294,'Customer Details'!$A$1:$F$17,MATCH('Order SUmmary'!H$2,'Customer Details'!$A$1:$F$1,0),0)</f>
        <v>Chambal Fertilisers and Chemicals Ltd.</v>
      </c>
      <c r="I294" s="2" t="str">
        <f>VLOOKUP($D294,'Customer Details'!$A$1:$F$17,4,0)</f>
        <v>New York</v>
      </c>
      <c r="J294" s="2" t="str">
        <f>VLOOKUP($D294,'Customer Details'!$A$1:$F$17,6,0)</f>
        <v>10025</v>
      </c>
      <c r="K294" s="8" t="str">
        <f>VLOOKUP(VLOOKUP(D294,'Customer Details'!$A$1:$F$17,5,0),'Region INfo'!$A$1:$C$52,3,0)</f>
        <v xml:space="preserve">Northern </v>
      </c>
      <c r="L294" s="8" t="str">
        <f>INDEX(Product_List,MATCH($F294,'Product List'!$B$1:$B$299,0),MATCH('Order SUmmary'!L$2,'Product List'!$A$1:$E$1,0))</f>
        <v>Newell 339</v>
      </c>
      <c r="M294" s="8">
        <f>INDEX(Product_List,MATCH($F294,'Product List'!$B$1:$B$299,0),MATCH('Order SUmmary'!M$2,'Product List'!$A$1:$E$1,0))</f>
        <v>3590</v>
      </c>
      <c r="N294" s="8">
        <f>INDEX(Product_List,MATCH($F294,'Product List'!$B$1:$B$299,0),MATCH('Order SUmmary'!N$2,'Product List'!$A$1:$E$1,0))</f>
        <v>1866</v>
      </c>
      <c r="O294" s="8" t="str">
        <f>INDEX(Product_List,MATCH($F294,'Product List'!$B$1:$B$299,0),MATCH('Order SUmmary'!O$2,'Product List'!$A$1:$E$1,0))</f>
        <v>Art</v>
      </c>
      <c r="P294" s="12">
        <f>HLOOKUP(C294,'Commission Criteria'!$A$2:$I$4,3,FALSE)</f>
        <v>3</v>
      </c>
      <c r="Q294" s="8">
        <f t="shared" si="13"/>
        <v>5598</v>
      </c>
      <c r="R294" s="8">
        <f t="shared" si="14"/>
        <v>10770</v>
      </c>
      <c r="S294" s="36">
        <f>VLOOKUP(R294,'Commission Criteria'!$L$3:$M$11,2,TRUE)</f>
        <v>0.03</v>
      </c>
      <c r="T294" s="36">
        <f>IF(P294&lt;5,VLOOKUP(R294,'Commission Criteria'!$L$3:$M$11,2,1),VLOOKUP('Order SUmmary'!R294,'Commission Criteria'!$P$3:$Q$11,2,1))</f>
        <v>0.03</v>
      </c>
      <c r="U294" s="36">
        <f>VLOOKUP(R294,IF(P294&lt;5,'Commission Criteria'!$L$3:$M$11,'Commission Criteria'!$P$3:$Q$11),2,1)</f>
        <v>0.03</v>
      </c>
      <c r="V294" s="8" t="s">
        <v>35</v>
      </c>
      <c r="W294" s="36">
        <f t="shared" ca="1" si="15"/>
        <v>0.04</v>
      </c>
      <c r="X294" s="8" t="str">
        <f>_xlfn.XLOOKUP(F294,'Product List'!$B$1:$B$299,'Product List'!$A$1:$A$299)</f>
        <v>Newell 339</v>
      </c>
      <c r="Y294" s="8"/>
      <c r="Z294" s="8" t="str" cm="1">
        <f t="array" ref="Z294:AD294">_xlfn.XLOOKUP(D294,'Customer Details'!$A$1:$A$17,'Customer Details'!$B$1:$F$17,"No such customer",0,1)</f>
        <v>Chambal Fertilisers and Chemicals Ltd.</v>
      </c>
      <c r="AA294" s="8" t="str">
        <v>4951 Indiana Ave.</v>
      </c>
      <c r="AB294" s="8" t="str">
        <v>New York</v>
      </c>
      <c r="AC294" s="8" t="str">
        <v>NY</v>
      </c>
      <c r="AD294" s="8" t="str">
        <v>10025</v>
      </c>
    </row>
    <row r="295" spans="1:30">
      <c r="A295" s="8" t="s">
        <v>424</v>
      </c>
      <c r="B295" s="19">
        <v>41586</v>
      </c>
      <c r="C295" s="8" t="s">
        <v>51</v>
      </c>
      <c r="D295" s="8">
        <v>10005</v>
      </c>
      <c r="E295" s="8" t="str">
        <f>VLOOKUP($D295,'Customer Details'!$A$1:$F$17,4,FALSE)</f>
        <v>Goleta</v>
      </c>
      <c r="F295" s="8" t="s">
        <v>425</v>
      </c>
      <c r="G295" s="8">
        <v>2</v>
      </c>
      <c r="H295" s="2" t="str">
        <f>VLOOKUP($D295,'Customer Details'!$A$1:$F$17,MATCH('Order SUmmary'!H$2,'Customer Details'!$A$1:$F$1,0),0)</f>
        <v>Fortis Healthcare Ltd.</v>
      </c>
      <c r="I295" s="2" t="str">
        <f>VLOOKUP($D295,'Customer Details'!$A$1:$F$17,4,0)</f>
        <v>Goleta</v>
      </c>
      <c r="J295" s="2" t="str">
        <f>VLOOKUP($D295,'Customer Details'!$A$1:$F$17,6,0)</f>
        <v>93117</v>
      </c>
      <c r="K295" s="8" t="str">
        <f>VLOOKUP(VLOOKUP(D295,'Customer Details'!$A$1:$F$17,5,0),'Region INfo'!$A$1:$C$52,3,0)</f>
        <v xml:space="preserve">Pacific   </v>
      </c>
      <c r="L295" s="8" t="str">
        <f>INDEX(Product_List,MATCH($F295,'Product List'!$B$1:$B$299,0),MATCH('Order SUmmary'!L$2,'Product List'!$A$1:$E$1,0))</f>
        <v>Newell 327</v>
      </c>
      <c r="M295" s="8">
        <f>INDEX(Product_List,MATCH($F295,'Product List'!$B$1:$B$299,0),MATCH('Order SUmmary'!M$2,'Product List'!$A$1:$E$1,0))</f>
        <v>4834</v>
      </c>
      <c r="N295" s="8">
        <f>INDEX(Product_List,MATCH($F295,'Product List'!$B$1:$B$299,0),MATCH('Order SUmmary'!N$2,'Product List'!$A$1:$E$1,0))</f>
        <v>1501</v>
      </c>
      <c r="O295" s="8" t="str">
        <f>INDEX(Product_List,MATCH($F295,'Product List'!$B$1:$B$299,0),MATCH('Order SUmmary'!O$2,'Product List'!$A$1:$E$1,0))</f>
        <v>Art</v>
      </c>
      <c r="P295" s="12">
        <f>HLOOKUP(C295,'Commission Criteria'!$A$2:$I$4,3,FALSE)</f>
        <v>10</v>
      </c>
      <c r="Q295" s="8">
        <f t="shared" si="13"/>
        <v>3002</v>
      </c>
      <c r="R295" s="8">
        <f t="shared" si="14"/>
        <v>9668</v>
      </c>
      <c r="S295" s="36">
        <f>VLOOKUP(R295,'Commission Criteria'!$L$3:$M$11,2,TRUE)</f>
        <v>0.03</v>
      </c>
      <c r="T295" s="36">
        <f>IF(P295&lt;5,VLOOKUP(R295,'Commission Criteria'!$L$3:$M$11,2,1),VLOOKUP('Order SUmmary'!R295,'Commission Criteria'!$P$3:$Q$11,2,1))</f>
        <v>0.02</v>
      </c>
      <c r="U295" s="36">
        <f>VLOOKUP(R295,IF(P295&lt;5,'Commission Criteria'!$L$3:$M$11,'Commission Criteria'!$P$3:$Q$11),2,1)</f>
        <v>0.02</v>
      </c>
      <c r="V295" s="8" t="s">
        <v>40</v>
      </c>
      <c r="W295" s="36">
        <f t="shared" ca="1" si="15"/>
        <v>0</v>
      </c>
      <c r="X295" s="8" t="str">
        <f>_xlfn.XLOOKUP(F295,'Product List'!$B$1:$B$299,'Product List'!$A$1:$A$299)</f>
        <v>Newell 327</v>
      </c>
      <c r="Y295" s="8"/>
      <c r="Z295" s="8" t="str" cm="1">
        <f t="array" ref="Z295:AD295">_xlfn.XLOOKUP(D295,'Customer Details'!$A$1:$A$17,'Customer Details'!$B$1:$F$17,"No such customer",0,1)</f>
        <v>Fortis Healthcare Ltd.</v>
      </c>
      <c r="AA295" s="8" t="str">
        <v>14 Elsworthy Terrace</v>
      </c>
      <c r="AB295" s="8" t="str">
        <v>Goleta</v>
      </c>
      <c r="AC295" s="8" t="str">
        <v>CA</v>
      </c>
      <c r="AD295" s="8" t="str">
        <v>93117</v>
      </c>
    </row>
    <row r="296" spans="1:30">
      <c r="A296" s="8" t="s">
        <v>426</v>
      </c>
      <c r="B296" s="19">
        <v>41588</v>
      </c>
      <c r="C296" s="8" t="s">
        <v>54</v>
      </c>
      <c r="D296" s="8">
        <v>10002</v>
      </c>
      <c r="E296" s="8" t="str">
        <f>VLOOKUP($D296,'Customer Details'!$A$1:$F$17,4,FALSE)</f>
        <v>Omaha</v>
      </c>
      <c r="F296" s="8" t="s">
        <v>408</v>
      </c>
      <c r="G296" s="8">
        <v>1</v>
      </c>
      <c r="H296" s="2" t="str">
        <f>VLOOKUP($D296,'Customer Details'!$A$1:$F$17,MATCH('Order SUmmary'!H$2,'Customer Details'!$A$1:$F$1,0),0)</f>
        <v>Elder Pharmaceuticals</v>
      </c>
      <c r="I296" s="2" t="str">
        <f>VLOOKUP($D296,'Customer Details'!$A$1:$F$17,4,0)</f>
        <v>Omaha</v>
      </c>
      <c r="J296" s="2" t="str">
        <f>VLOOKUP($D296,'Customer Details'!$A$1:$F$17,6,0)</f>
        <v>68127</v>
      </c>
      <c r="K296" s="8" t="str">
        <f>VLOOKUP(VLOOKUP(D296,'Customer Details'!$A$1:$F$17,5,0),'Region INfo'!$A$1:$C$52,3,0)</f>
        <v>Western</v>
      </c>
      <c r="L296" s="8" t="str">
        <f>INDEX(Product_List,MATCH($F296,'Product List'!$B$1:$B$299,0),MATCH('Order SUmmary'!L$2,'Product List'!$A$1:$E$1,0))</f>
        <v>Xerox 1955</v>
      </c>
      <c r="M296" s="8">
        <f>INDEX(Product_List,MATCH($F296,'Product List'!$B$1:$B$299,0),MATCH('Order SUmmary'!M$2,'Product List'!$A$1:$E$1,0))</f>
        <v>2580</v>
      </c>
      <c r="N296" s="8">
        <f>INDEX(Product_List,MATCH($F296,'Product List'!$B$1:$B$299,0),MATCH('Order SUmmary'!N$2,'Product List'!$A$1:$E$1,0))</f>
        <v>1518</v>
      </c>
      <c r="O296" s="8" t="str">
        <f>INDEX(Product_List,MATCH($F296,'Product List'!$B$1:$B$299,0),MATCH('Order SUmmary'!O$2,'Product List'!$A$1:$E$1,0))</f>
        <v>Paper</v>
      </c>
      <c r="P296" s="12">
        <f>HLOOKUP(C296,'Commission Criteria'!$A$2:$I$4,3,FALSE)</f>
        <v>3</v>
      </c>
      <c r="Q296" s="8">
        <f t="shared" si="13"/>
        <v>1518</v>
      </c>
      <c r="R296" s="8">
        <f t="shared" si="14"/>
        <v>2580</v>
      </c>
      <c r="S296" s="36">
        <f>VLOOKUP(R296,'Commission Criteria'!$L$3:$M$11,2,TRUE)</f>
        <v>0.01</v>
      </c>
      <c r="T296" s="36">
        <f>IF(P296&lt;5,VLOOKUP(R296,'Commission Criteria'!$L$3:$M$11,2,1),VLOOKUP('Order SUmmary'!R296,'Commission Criteria'!$P$3:$Q$11,2,1))</f>
        <v>0.01</v>
      </c>
      <c r="U296" s="36">
        <f>VLOOKUP(R296,IF(P296&lt;5,'Commission Criteria'!$L$3:$M$11,'Commission Criteria'!$P$3:$Q$11),2,1)</f>
        <v>0.01</v>
      </c>
      <c r="V296" s="8" t="s">
        <v>43</v>
      </c>
      <c r="W296" s="36">
        <f t="shared" ca="1" si="15"/>
        <v>0.05</v>
      </c>
      <c r="X296" s="8" t="str">
        <f>_xlfn.XLOOKUP(F296,'Product List'!$B$1:$B$299,'Product List'!$A$1:$A$299)</f>
        <v>Xerox 1955</v>
      </c>
      <c r="Y296" s="8"/>
      <c r="Z296" s="8" t="str" cm="1">
        <f t="array" ref="Z296:AD296">_xlfn.XLOOKUP(D296,'Customer Details'!$A$1:$A$17,'Customer Details'!$B$1:$F$17,"No such customer",0,1)</f>
        <v>Elder Pharmaceuticals</v>
      </c>
      <c r="AA296" s="8" t="str">
        <v>57 Neriba Cres</v>
      </c>
      <c r="AB296" s="8" t="str">
        <v>Omaha</v>
      </c>
      <c r="AC296" s="8" t="str">
        <v>NE</v>
      </c>
      <c r="AD296" s="8" t="str">
        <v>68127</v>
      </c>
    </row>
    <row r="297" spans="1:30">
      <c r="A297" s="8" t="s">
        <v>427</v>
      </c>
      <c r="B297" s="19">
        <v>41588</v>
      </c>
      <c r="C297" s="8" t="s">
        <v>51</v>
      </c>
      <c r="D297" s="8">
        <v>10008</v>
      </c>
      <c r="E297" s="8" t="str">
        <f>VLOOKUP($D297,'Customer Details'!$A$1:$F$17,4,FALSE)</f>
        <v>Chestnut Ridge</v>
      </c>
      <c r="F297" s="8" t="s">
        <v>428</v>
      </c>
      <c r="G297" s="8">
        <v>2</v>
      </c>
      <c r="H297" s="2" t="str">
        <f>VLOOKUP($D297,'Customer Details'!$A$1:$F$17,MATCH('Order SUmmary'!H$2,'Customer Details'!$A$1:$F$1,0),0)</f>
        <v>Reliance Industries Limited</v>
      </c>
      <c r="I297" s="2" t="str">
        <f>VLOOKUP($D297,'Customer Details'!$A$1:$F$17,4,0)</f>
        <v>Chestnut Ridge</v>
      </c>
      <c r="J297" s="2" t="str">
        <f>VLOOKUP($D297,'Customer Details'!$A$1:$F$17,6,0)</f>
        <v>10977</v>
      </c>
      <c r="K297" s="8" t="str">
        <f>VLOOKUP(VLOOKUP(D297,'Customer Details'!$A$1:$F$17,5,0),'Region INfo'!$A$1:$C$52,3,0)</f>
        <v xml:space="preserve">Northern </v>
      </c>
      <c r="L297" s="8" t="str">
        <f>INDEX(Product_List,MATCH($F297,'Product List'!$B$1:$B$299,0),MATCH('Order SUmmary'!L$2,'Product List'!$A$1:$E$1,0))</f>
        <v>Avery 516</v>
      </c>
      <c r="M297" s="8">
        <f>INDEX(Product_List,MATCH($F297,'Product List'!$B$1:$B$299,0),MATCH('Order SUmmary'!M$2,'Product List'!$A$1:$E$1,0))</f>
        <v>3253</v>
      </c>
      <c r="N297" s="8">
        <f>INDEX(Product_List,MATCH($F297,'Product List'!$B$1:$B$299,0),MATCH('Order SUmmary'!N$2,'Product List'!$A$1:$E$1,0))</f>
        <v>2137</v>
      </c>
      <c r="O297" s="8" t="str">
        <f>INDEX(Product_List,MATCH($F297,'Product List'!$B$1:$B$299,0),MATCH('Order SUmmary'!O$2,'Product List'!$A$1:$E$1,0))</f>
        <v>Labels</v>
      </c>
      <c r="P297" s="12">
        <f>HLOOKUP(C297,'Commission Criteria'!$A$2:$I$4,3,FALSE)</f>
        <v>10</v>
      </c>
      <c r="Q297" s="8">
        <f t="shared" si="13"/>
        <v>4274</v>
      </c>
      <c r="R297" s="8">
        <f t="shared" si="14"/>
        <v>6506</v>
      </c>
      <c r="S297" s="36">
        <f>VLOOKUP(R297,'Commission Criteria'!$L$3:$M$11,2,TRUE)</f>
        <v>0.03</v>
      </c>
      <c r="T297" s="36">
        <f>IF(P297&lt;5,VLOOKUP(R297,'Commission Criteria'!$L$3:$M$11,2,1),VLOOKUP('Order SUmmary'!R297,'Commission Criteria'!$P$3:$Q$11,2,1))</f>
        <v>0.02</v>
      </c>
      <c r="U297" s="36">
        <f>VLOOKUP(R297,IF(P297&lt;5,'Commission Criteria'!$L$3:$M$11,'Commission Criteria'!$P$3:$Q$11),2,1)</f>
        <v>0.02</v>
      </c>
      <c r="V297" s="8" t="s">
        <v>50</v>
      </c>
      <c r="W297" s="36">
        <f t="shared" ca="1" si="15"/>
        <v>0.02</v>
      </c>
      <c r="X297" s="8" t="str">
        <f>_xlfn.XLOOKUP(F297,'Product List'!$B$1:$B$299,'Product List'!$A$1:$A$299)</f>
        <v>Avery 516</v>
      </c>
      <c r="Y297" s="8"/>
      <c r="Z297" s="8" t="str" cm="1">
        <f t="array" ref="Z297:AD297">_xlfn.XLOOKUP(D297,'Customer Details'!$A$1:$A$17,'Customer Details'!$B$1:$F$17,"No such customer",0,1)</f>
        <v>Reliance Industries Limited</v>
      </c>
      <c r="AA297" s="8" t="str">
        <v>12020 Shamrock Rd., Suite 333</v>
      </c>
      <c r="AB297" s="8" t="str">
        <v>Chestnut Ridge</v>
      </c>
      <c r="AC297" s="8" t="str">
        <v>NY</v>
      </c>
      <c r="AD297" s="8" t="str">
        <v>10977</v>
      </c>
    </row>
    <row r="298" spans="1:30">
      <c r="A298" s="8" t="s">
        <v>426</v>
      </c>
      <c r="B298" s="19">
        <v>41588</v>
      </c>
      <c r="C298" s="8" t="s">
        <v>36</v>
      </c>
      <c r="D298" s="8">
        <v>10009</v>
      </c>
      <c r="E298" s="8" t="str">
        <f>VLOOKUP($D298,'Customer Details'!$A$1:$F$17,4,FALSE)</f>
        <v>Salt Lake City</v>
      </c>
      <c r="F298" s="8" t="s">
        <v>429</v>
      </c>
      <c r="G298" s="8">
        <v>2</v>
      </c>
      <c r="H298" s="2" t="str">
        <f>VLOOKUP($D298,'Customer Details'!$A$1:$F$17,MATCH('Order SUmmary'!H$2,'Customer Details'!$A$1:$F$1,0),0)</f>
        <v>Godfrey Philips India Ltd.</v>
      </c>
      <c r="I298" s="2" t="str">
        <f>VLOOKUP($D298,'Customer Details'!$A$1:$F$17,4,0)</f>
        <v>Salt Lake City</v>
      </c>
      <c r="J298" s="2" t="str">
        <f>VLOOKUP($D298,'Customer Details'!$A$1:$F$17,6,0)</f>
        <v>84118</v>
      </c>
      <c r="K298" s="8" t="str">
        <f>VLOOKUP(VLOOKUP(D298,'Customer Details'!$A$1:$F$17,5,0),'Region INfo'!$A$1:$C$52,3,0)</f>
        <v xml:space="preserve">Pacific   </v>
      </c>
      <c r="L298" s="8" t="str">
        <f>INDEX(Product_List,MATCH($F298,'Product List'!$B$1:$B$299,0),MATCH('Order SUmmary'!L$2,'Product List'!$A$1:$E$1,0))</f>
        <v>Xerox 214</v>
      </c>
      <c r="M298" s="8">
        <f>INDEX(Product_List,MATCH($F298,'Product List'!$B$1:$B$299,0),MATCH('Order SUmmary'!M$2,'Product List'!$A$1:$E$1,0))</f>
        <v>3504</v>
      </c>
      <c r="N298" s="8">
        <f>INDEX(Product_List,MATCH($F298,'Product List'!$B$1:$B$299,0),MATCH('Order SUmmary'!N$2,'Product List'!$A$1:$E$1,0))</f>
        <v>2309</v>
      </c>
      <c r="O298" s="8" t="str">
        <f>INDEX(Product_List,MATCH($F298,'Product List'!$B$1:$B$299,0),MATCH('Order SUmmary'!O$2,'Product List'!$A$1:$E$1,0))</f>
        <v>Paper</v>
      </c>
      <c r="P298" s="12">
        <f>HLOOKUP(C298,'Commission Criteria'!$A$2:$I$4,3,FALSE)</f>
        <v>6</v>
      </c>
      <c r="Q298" s="8">
        <f t="shared" si="13"/>
        <v>4618</v>
      </c>
      <c r="R298" s="8">
        <f t="shared" si="14"/>
        <v>7008</v>
      </c>
      <c r="S298" s="36">
        <f>VLOOKUP(R298,'Commission Criteria'!$L$3:$M$11,2,TRUE)</f>
        <v>0.03</v>
      </c>
      <c r="T298" s="36">
        <f>IF(P298&lt;5,VLOOKUP(R298,'Commission Criteria'!$L$3:$M$11,2,1),VLOOKUP('Order SUmmary'!R298,'Commission Criteria'!$P$3:$Q$11,2,1))</f>
        <v>0.02</v>
      </c>
      <c r="U298" s="36">
        <f>VLOOKUP(R298,IF(P298&lt;5,'Commission Criteria'!$L$3:$M$11,'Commission Criteria'!$P$3:$Q$11),2,1)</f>
        <v>0.02</v>
      </c>
      <c r="V298" s="8" t="s">
        <v>40</v>
      </c>
      <c r="W298" s="36">
        <f t="shared" ca="1" si="15"/>
        <v>0.03</v>
      </c>
      <c r="X298" s="8" t="str">
        <f>_xlfn.XLOOKUP(F298,'Product List'!$B$1:$B$299,'Product List'!$A$1:$A$299)</f>
        <v>Xerox 214</v>
      </c>
      <c r="Y298" s="8"/>
      <c r="Z298" s="8" t="str" cm="1">
        <f t="array" ref="Z298:AD298">_xlfn.XLOOKUP(D298,'Customer Details'!$A$1:$A$17,'Customer Details'!$B$1:$F$17,"No such customer",0,1)</f>
        <v>Godfrey Philips India Ltd.</v>
      </c>
      <c r="AA298" s="8" t="str">
        <v>20501 Ania Ave #2</v>
      </c>
      <c r="AB298" s="8" t="str">
        <v>Salt Lake City</v>
      </c>
      <c r="AC298" s="8" t="str">
        <v>UT</v>
      </c>
      <c r="AD298" s="8" t="str">
        <v>84118</v>
      </c>
    </row>
    <row r="299" spans="1:30">
      <c r="A299" s="8" t="s">
        <v>430</v>
      </c>
      <c r="B299" s="19">
        <v>41589</v>
      </c>
      <c r="C299" s="8" t="s">
        <v>51</v>
      </c>
      <c r="D299" s="8">
        <v>10014</v>
      </c>
      <c r="E299" s="8" t="str">
        <f>VLOOKUP($D299,'Customer Details'!$A$1:$F$17,4,FALSE)</f>
        <v>Honolulu</v>
      </c>
      <c r="F299" s="8" t="s">
        <v>97</v>
      </c>
      <c r="G299" s="8">
        <v>1</v>
      </c>
      <c r="H299" s="2" t="str">
        <f>VLOOKUP($D299,'Customer Details'!$A$1:$F$17,MATCH('Order SUmmary'!H$2,'Customer Details'!$A$1:$F$1,0),0)</f>
        <v>Hindusthan National Glass &amp; Industries Ltd.</v>
      </c>
      <c r="I299" s="2" t="str">
        <f>VLOOKUP($D299,'Customer Details'!$A$1:$F$17,4,0)</f>
        <v>Honolulu</v>
      </c>
      <c r="J299" s="2" t="str">
        <f>VLOOKUP($D299,'Customer Details'!$A$1:$F$17,6,0)</f>
        <v>96825</v>
      </c>
      <c r="K299" s="8" t="str">
        <f>VLOOKUP(VLOOKUP(D299,'Customer Details'!$A$1:$F$17,5,0),'Region INfo'!$A$1:$C$52,3,0)</f>
        <v xml:space="preserve">Pacific   </v>
      </c>
      <c r="L299" s="8" t="str">
        <f>INDEX(Product_List,MATCH($F299,'Product List'!$B$1:$B$299,0),MATCH('Order SUmmary'!L$2,'Product List'!$A$1:$E$1,0))</f>
        <v>Xerox 204</v>
      </c>
      <c r="M299" s="8">
        <f>INDEX(Product_List,MATCH($F299,'Product List'!$B$1:$B$299,0),MATCH('Order SUmmary'!M$2,'Product List'!$A$1:$E$1,0))</f>
        <v>3245</v>
      </c>
      <c r="N299" s="8">
        <f>INDEX(Product_List,MATCH($F299,'Product List'!$B$1:$B$299,0),MATCH('Order SUmmary'!N$2,'Product List'!$A$1:$E$1,0))</f>
        <v>1964</v>
      </c>
      <c r="O299" s="8" t="str">
        <f>INDEX(Product_List,MATCH($F299,'Product List'!$B$1:$B$299,0),MATCH('Order SUmmary'!O$2,'Product List'!$A$1:$E$1,0))</f>
        <v>Paper</v>
      </c>
      <c r="P299" s="12">
        <f>HLOOKUP(C299,'Commission Criteria'!$A$2:$I$4,3,FALSE)</f>
        <v>10</v>
      </c>
      <c r="Q299" s="8">
        <f t="shared" si="13"/>
        <v>1964</v>
      </c>
      <c r="R299" s="8">
        <f t="shared" si="14"/>
        <v>3245</v>
      </c>
      <c r="S299" s="36">
        <f>VLOOKUP(R299,'Commission Criteria'!$L$3:$M$11,2,TRUE)</f>
        <v>0.01</v>
      </c>
      <c r="T299" s="36">
        <f>IF(P299&lt;5,VLOOKUP(R299,'Commission Criteria'!$L$3:$M$11,2,1),VLOOKUP('Order SUmmary'!R299,'Commission Criteria'!$P$3:$Q$11,2,1))</f>
        <v>0.02</v>
      </c>
      <c r="U299" s="36">
        <f>VLOOKUP(R299,IF(P299&lt;5,'Commission Criteria'!$L$3:$M$11,'Commission Criteria'!$P$3:$Q$11),2,1)</f>
        <v>0.02</v>
      </c>
      <c r="V299" s="8" t="s">
        <v>43</v>
      </c>
      <c r="W299" s="36">
        <f t="shared" ca="1" si="15"/>
        <v>0.01</v>
      </c>
      <c r="X299" s="8" t="str">
        <f>_xlfn.XLOOKUP(F299,'Product List'!$B$1:$B$299,'Product List'!$A$1:$A$299)</f>
        <v>Xerox 204</v>
      </c>
      <c r="Y299" s="8"/>
      <c r="Z299" s="8" t="str" cm="1">
        <f t="array" ref="Z299:AD299">_xlfn.XLOOKUP(D299,'Customer Details'!$A$1:$A$17,'Customer Details'!$B$1:$F$17,"No such customer",0,1)</f>
        <v>Hindusthan National Glass &amp; Industries Ltd.</v>
      </c>
      <c r="AA299" s="8" t="str">
        <v>11 Cathy St.</v>
      </c>
      <c r="AB299" s="8" t="str">
        <v>Honolulu</v>
      </c>
      <c r="AC299" s="8" t="str">
        <v>HI</v>
      </c>
      <c r="AD299" s="8" t="str">
        <v>96825</v>
      </c>
    </row>
    <row r="300" spans="1:30">
      <c r="A300" s="8" t="s">
        <v>431</v>
      </c>
      <c r="B300" s="19">
        <v>41589</v>
      </c>
      <c r="C300" s="8" t="s">
        <v>27</v>
      </c>
      <c r="D300" s="8">
        <v>10015</v>
      </c>
      <c r="E300" s="8" t="str">
        <f>VLOOKUP($D300,'Customer Details'!$A$1:$F$17,4,FALSE)</f>
        <v>South Windsor</v>
      </c>
      <c r="F300" s="8" t="s">
        <v>432</v>
      </c>
      <c r="G300" s="8">
        <v>3</v>
      </c>
      <c r="H300" s="2" t="str">
        <f>VLOOKUP($D300,'Customer Details'!$A$1:$F$17,MATCH('Order SUmmary'!H$2,'Customer Details'!$A$1:$F$1,0),0)</f>
        <v>Punj Lloyd Ltd.</v>
      </c>
      <c r="I300" s="2" t="str">
        <f>VLOOKUP($D300,'Customer Details'!$A$1:$F$17,4,0)</f>
        <v>South Windsor</v>
      </c>
      <c r="J300" s="2" t="str">
        <f>VLOOKUP($D300,'Customer Details'!$A$1:$F$17,6,0)</f>
        <v>06074</v>
      </c>
      <c r="K300" s="8" t="str">
        <f>VLOOKUP(VLOOKUP(D300,'Customer Details'!$A$1:$F$17,5,0),'Region INfo'!$A$1:$C$52,3,0)</f>
        <v xml:space="preserve">Northern </v>
      </c>
      <c r="L300" s="8" t="str">
        <f>INDEX(Product_List,MATCH($F300,'Product List'!$B$1:$B$299,0),MATCH('Order SUmmary'!L$2,'Product List'!$A$1:$E$1,0))</f>
        <v>Avery 476</v>
      </c>
      <c r="M300" s="8">
        <f>INDEX(Product_List,MATCH($F300,'Product List'!$B$1:$B$299,0),MATCH('Order SUmmary'!M$2,'Product List'!$A$1:$E$1,0))</f>
        <v>3569</v>
      </c>
      <c r="N300" s="8">
        <f>INDEX(Product_List,MATCH($F300,'Product List'!$B$1:$B$299,0),MATCH('Order SUmmary'!N$2,'Product List'!$A$1:$E$1,0))</f>
        <v>2320</v>
      </c>
      <c r="O300" s="8" t="str">
        <f>INDEX(Product_List,MATCH($F300,'Product List'!$B$1:$B$299,0),MATCH('Order SUmmary'!O$2,'Product List'!$A$1:$E$1,0))</f>
        <v>Labels</v>
      </c>
      <c r="P300" s="12">
        <f>HLOOKUP(C300,'Commission Criteria'!$A$2:$I$4,3,FALSE)</f>
        <v>4</v>
      </c>
      <c r="Q300" s="8">
        <f t="shared" si="13"/>
        <v>6960</v>
      </c>
      <c r="R300" s="8">
        <f t="shared" si="14"/>
        <v>10707</v>
      </c>
      <c r="S300" s="36">
        <f>VLOOKUP(R300,'Commission Criteria'!$L$3:$M$11,2,TRUE)</f>
        <v>0.03</v>
      </c>
      <c r="T300" s="36">
        <f>IF(P300&lt;5,VLOOKUP(R300,'Commission Criteria'!$L$3:$M$11,2,1),VLOOKUP('Order SUmmary'!R300,'Commission Criteria'!$P$3:$Q$11,2,1))</f>
        <v>0.03</v>
      </c>
      <c r="U300" s="36">
        <f>VLOOKUP(R300,IF(P300&lt;5,'Commission Criteria'!$L$3:$M$11,'Commission Criteria'!$P$3:$Q$11),2,1)</f>
        <v>0.03</v>
      </c>
      <c r="V300" s="8" t="s">
        <v>32</v>
      </c>
      <c r="W300" s="36">
        <f t="shared" ca="1" si="15"/>
        <v>0.02</v>
      </c>
      <c r="X300" s="8" t="str">
        <f>_xlfn.XLOOKUP(F300,'Product List'!$B$1:$B$299,'Product List'!$A$1:$A$299)</f>
        <v>Avery 476</v>
      </c>
      <c r="Y300" s="8"/>
      <c r="Z300" s="8" t="str" cm="1">
        <f t="array" ref="Z300:AD300">_xlfn.XLOOKUP(D300,'Customer Details'!$A$1:$A$17,'Customer Details'!$B$1:$F$17,"No such customer",0,1)</f>
        <v>Punj Lloyd Ltd.</v>
      </c>
      <c r="AA300" s="8" t="str">
        <v>Box 3263</v>
      </c>
      <c r="AB300" s="8" t="str">
        <v>South Windsor</v>
      </c>
      <c r="AC300" s="8" t="str">
        <v>CT</v>
      </c>
      <c r="AD300" s="8" t="str">
        <v>06074</v>
      </c>
    </row>
    <row r="301" spans="1:30">
      <c r="A301" s="8" t="s">
        <v>433</v>
      </c>
      <c r="B301" s="19">
        <v>41590</v>
      </c>
      <c r="C301" s="8" t="s">
        <v>36</v>
      </c>
      <c r="D301" s="8">
        <v>10014</v>
      </c>
      <c r="E301" s="8" t="str">
        <f>VLOOKUP($D301,'Customer Details'!$A$1:$F$17,4,FALSE)</f>
        <v>Honolulu</v>
      </c>
      <c r="F301" s="8" t="s">
        <v>434</v>
      </c>
      <c r="G301" s="8">
        <v>1</v>
      </c>
      <c r="H301" s="2" t="str">
        <f>VLOOKUP($D301,'Customer Details'!$A$1:$F$17,MATCH('Order SUmmary'!H$2,'Customer Details'!$A$1:$F$1,0),0)</f>
        <v>Hindusthan National Glass &amp; Industries Ltd.</v>
      </c>
      <c r="I301" s="2" t="str">
        <f>VLOOKUP($D301,'Customer Details'!$A$1:$F$17,4,0)</f>
        <v>Honolulu</v>
      </c>
      <c r="J301" s="2" t="str">
        <f>VLOOKUP($D301,'Customer Details'!$A$1:$F$17,6,0)</f>
        <v>96825</v>
      </c>
      <c r="K301" s="8" t="str">
        <f>VLOOKUP(VLOOKUP(D301,'Customer Details'!$A$1:$F$17,5,0),'Region INfo'!$A$1:$C$52,3,0)</f>
        <v xml:space="preserve">Pacific   </v>
      </c>
      <c r="L301" s="8" t="str">
        <f>INDEX(Product_List,MATCH($F301,'Product List'!$B$1:$B$299,0),MATCH('Order SUmmary'!L$2,'Product List'!$A$1:$E$1,0))</f>
        <v>Xerox 1952</v>
      </c>
      <c r="M301" s="8">
        <f>INDEX(Product_List,MATCH($F301,'Product List'!$B$1:$B$299,0),MATCH('Order SUmmary'!M$2,'Product List'!$A$1:$E$1,0))</f>
        <v>2996</v>
      </c>
      <c r="N301" s="8">
        <f>INDEX(Product_List,MATCH($F301,'Product List'!$B$1:$B$299,0),MATCH('Order SUmmary'!N$2,'Product List'!$A$1:$E$1,0))</f>
        <v>1641</v>
      </c>
      <c r="O301" s="8" t="str">
        <f>INDEX(Product_List,MATCH($F301,'Product List'!$B$1:$B$299,0),MATCH('Order SUmmary'!O$2,'Product List'!$A$1:$E$1,0))</f>
        <v>Paper</v>
      </c>
      <c r="P301" s="12">
        <f>HLOOKUP(C301,'Commission Criteria'!$A$2:$I$4,3,FALSE)</f>
        <v>6</v>
      </c>
      <c r="Q301" s="8">
        <f t="shared" si="13"/>
        <v>1641</v>
      </c>
      <c r="R301" s="8">
        <f t="shared" si="14"/>
        <v>2996</v>
      </c>
      <c r="S301" s="36">
        <f>VLOOKUP(R301,'Commission Criteria'!$L$3:$M$11,2,TRUE)</f>
        <v>0.01</v>
      </c>
      <c r="T301" s="36">
        <f>IF(P301&lt;5,VLOOKUP(R301,'Commission Criteria'!$L$3:$M$11,2,1),VLOOKUP('Order SUmmary'!R301,'Commission Criteria'!$P$3:$Q$11,2,1))</f>
        <v>0.02</v>
      </c>
      <c r="U301" s="36">
        <f>VLOOKUP(R301,IF(P301&lt;5,'Commission Criteria'!$L$3:$M$11,'Commission Criteria'!$P$3:$Q$11),2,1)</f>
        <v>0.02</v>
      </c>
      <c r="V301" s="8" t="s">
        <v>50</v>
      </c>
      <c r="W301" s="36">
        <f t="shared" ca="1" si="15"/>
        <v>0.02</v>
      </c>
      <c r="X301" s="8" t="str">
        <f>_xlfn.XLOOKUP(F301,'Product List'!$B$1:$B$299,'Product List'!$A$1:$A$299)</f>
        <v>Xerox 1952</v>
      </c>
      <c r="Y301" s="8"/>
      <c r="Z301" s="8" t="str" cm="1">
        <f t="array" ref="Z301:AD301">_xlfn.XLOOKUP(D301,'Customer Details'!$A$1:$A$17,'Customer Details'!$B$1:$F$17,"No such customer",0,1)</f>
        <v>Hindusthan National Glass &amp; Industries Ltd.</v>
      </c>
      <c r="AA301" s="8" t="str">
        <v>11 Cathy St.</v>
      </c>
      <c r="AB301" s="8" t="str">
        <v>Honolulu</v>
      </c>
      <c r="AC301" s="8" t="str">
        <v>HI</v>
      </c>
      <c r="AD301" s="8" t="str">
        <v>96825</v>
      </c>
    </row>
    <row r="302" spans="1:30">
      <c r="A302" s="8" t="s">
        <v>433</v>
      </c>
      <c r="B302" s="19">
        <v>41590</v>
      </c>
      <c r="C302" s="8" t="s">
        <v>44</v>
      </c>
      <c r="D302" s="8">
        <v>10012</v>
      </c>
      <c r="E302" s="8" t="str">
        <f>VLOOKUP($D302,'Customer Details'!$A$1:$F$17,4,FALSE)</f>
        <v>Santa Barbara</v>
      </c>
      <c r="F302" s="8" t="s">
        <v>318</v>
      </c>
      <c r="G302" s="8">
        <v>1</v>
      </c>
      <c r="H302" s="2" t="str">
        <f>VLOOKUP($D302,'Customer Details'!$A$1:$F$17,MATCH('Order SUmmary'!H$2,'Customer Details'!$A$1:$F$1,0),0)</f>
        <v>Dynamatic Technologies Ltd.</v>
      </c>
      <c r="I302" s="2" t="str">
        <f>VLOOKUP($D302,'Customer Details'!$A$1:$F$17,4,0)</f>
        <v>Santa Barbara</v>
      </c>
      <c r="J302" s="2" t="str">
        <f>VLOOKUP($D302,'Customer Details'!$A$1:$F$17,6,0)</f>
        <v>93110</v>
      </c>
      <c r="K302" s="8" t="str">
        <f>VLOOKUP(VLOOKUP(D302,'Customer Details'!$A$1:$F$17,5,0),'Region INfo'!$A$1:$C$52,3,0)</f>
        <v xml:space="preserve">Pacific   </v>
      </c>
      <c r="L302" s="8" t="str">
        <f>INDEX(Product_List,MATCH($F302,'Product List'!$B$1:$B$299,0),MATCH('Order SUmmary'!L$2,'Product List'!$A$1:$E$1,0))</f>
        <v>Newell 331</v>
      </c>
      <c r="M302" s="8">
        <f>INDEX(Product_List,MATCH($F302,'Product List'!$B$1:$B$299,0),MATCH('Order SUmmary'!M$2,'Product List'!$A$1:$E$1,0))</f>
        <v>3048</v>
      </c>
      <c r="N302" s="8">
        <f>INDEX(Product_List,MATCH($F302,'Product List'!$B$1:$B$299,0),MATCH('Order SUmmary'!N$2,'Product List'!$A$1:$E$1,0))</f>
        <v>1616</v>
      </c>
      <c r="O302" s="8" t="str">
        <f>INDEX(Product_List,MATCH($F302,'Product List'!$B$1:$B$299,0),MATCH('Order SUmmary'!O$2,'Product List'!$A$1:$E$1,0))</f>
        <v>Art</v>
      </c>
      <c r="P302" s="12">
        <f>HLOOKUP(C302,'Commission Criteria'!$A$2:$I$4,3,FALSE)</f>
        <v>4</v>
      </c>
      <c r="Q302" s="8">
        <f t="shared" si="13"/>
        <v>1616</v>
      </c>
      <c r="R302" s="8">
        <f t="shared" si="14"/>
        <v>3048</v>
      </c>
      <c r="S302" s="36">
        <f>VLOOKUP(R302,'Commission Criteria'!$L$3:$M$11,2,TRUE)</f>
        <v>0.01</v>
      </c>
      <c r="T302" s="36">
        <f>IF(P302&lt;5,VLOOKUP(R302,'Commission Criteria'!$L$3:$M$11,2,1),VLOOKUP('Order SUmmary'!R302,'Commission Criteria'!$P$3:$Q$11,2,1))</f>
        <v>0.01</v>
      </c>
      <c r="U302" s="36">
        <f>VLOOKUP(R302,IF(P302&lt;5,'Commission Criteria'!$L$3:$M$11,'Commission Criteria'!$P$3:$Q$11),2,1)</f>
        <v>0.01</v>
      </c>
      <c r="V302" s="8" t="s">
        <v>32</v>
      </c>
      <c r="W302" s="36">
        <f t="shared" ca="1" si="15"/>
        <v>0.05</v>
      </c>
      <c r="X302" s="8" t="str">
        <f>_xlfn.XLOOKUP(F302,'Product List'!$B$1:$B$299,'Product List'!$A$1:$A$299)</f>
        <v>Newell 331</v>
      </c>
      <c r="Y302" s="8"/>
      <c r="Z302" s="8" t="str" cm="1">
        <f t="array" ref="Z302:AD302">_xlfn.XLOOKUP(D302,'Customer Details'!$A$1:$A$17,'Customer Details'!$B$1:$F$17,"No such customer",0,1)</f>
        <v>Dynamatic Technologies Ltd.</v>
      </c>
      <c r="AA302" s="8" t="str">
        <v>402 Pinkster Lane</v>
      </c>
      <c r="AB302" s="8" t="str">
        <v>Santa Barbara</v>
      </c>
      <c r="AC302" s="8" t="str">
        <v>CA</v>
      </c>
      <c r="AD302" s="8" t="str">
        <v>93110</v>
      </c>
    </row>
    <row r="303" spans="1:30">
      <c r="A303" s="8" t="s">
        <v>433</v>
      </c>
      <c r="B303" s="19">
        <v>41590</v>
      </c>
      <c r="C303" s="8" t="s">
        <v>66</v>
      </c>
      <c r="D303" s="8">
        <v>10005</v>
      </c>
      <c r="E303" s="8" t="str">
        <f>VLOOKUP($D303,'Customer Details'!$A$1:$F$17,4,FALSE)</f>
        <v>Goleta</v>
      </c>
      <c r="F303" s="8" t="s">
        <v>141</v>
      </c>
      <c r="G303" s="8">
        <v>1</v>
      </c>
      <c r="H303" s="2" t="str">
        <f>VLOOKUP($D303,'Customer Details'!$A$1:$F$17,MATCH('Order SUmmary'!H$2,'Customer Details'!$A$1:$F$1,0),0)</f>
        <v>Fortis Healthcare Ltd.</v>
      </c>
      <c r="I303" s="2" t="str">
        <f>VLOOKUP($D303,'Customer Details'!$A$1:$F$17,4,0)</f>
        <v>Goleta</v>
      </c>
      <c r="J303" s="2" t="str">
        <f>VLOOKUP($D303,'Customer Details'!$A$1:$F$17,6,0)</f>
        <v>93117</v>
      </c>
      <c r="K303" s="8" t="str">
        <f>VLOOKUP(VLOOKUP(D303,'Customer Details'!$A$1:$F$17,5,0),'Region INfo'!$A$1:$C$52,3,0)</f>
        <v xml:space="preserve">Pacific   </v>
      </c>
      <c r="L303" s="8" t="str">
        <f>INDEX(Product_List,MATCH($F303,'Product List'!$B$1:$B$299,0),MATCH('Order SUmmary'!L$2,'Product List'!$A$1:$E$1,0))</f>
        <v>Xerox 1994</v>
      </c>
      <c r="M303" s="8">
        <f>INDEX(Product_List,MATCH($F303,'Product List'!$B$1:$B$299,0),MATCH('Order SUmmary'!M$2,'Product List'!$A$1:$E$1,0))</f>
        <v>4901</v>
      </c>
      <c r="N303" s="8">
        <f>INDEX(Product_List,MATCH($F303,'Product List'!$B$1:$B$299,0),MATCH('Order SUmmary'!N$2,'Product List'!$A$1:$E$1,0))</f>
        <v>1789</v>
      </c>
      <c r="O303" s="8" t="str">
        <f>INDEX(Product_List,MATCH($F303,'Product List'!$B$1:$B$299,0),MATCH('Order SUmmary'!O$2,'Product List'!$A$1:$E$1,0))</f>
        <v>Paper</v>
      </c>
      <c r="P303" s="12">
        <f>HLOOKUP(C303,'Commission Criteria'!$A$2:$I$4,3,FALSE)</f>
        <v>5</v>
      </c>
      <c r="Q303" s="8">
        <f t="shared" si="13"/>
        <v>1789</v>
      </c>
      <c r="R303" s="8">
        <f t="shared" si="14"/>
        <v>4901</v>
      </c>
      <c r="S303" s="36">
        <f>VLOOKUP(R303,'Commission Criteria'!$L$3:$M$11,2,TRUE)</f>
        <v>0.01</v>
      </c>
      <c r="T303" s="36">
        <f>IF(P303&lt;5,VLOOKUP(R303,'Commission Criteria'!$L$3:$M$11,2,1),VLOOKUP('Order SUmmary'!R303,'Commission Criteria'!$P$3:$Q$11,2,1))</f>
        <v>0.02</v>
      </c>
      <c r="U303" s="36">
        <f>VLOOKUP(R303,IF(P303&lt;5,'Commission Criteria'!$L$3:$M$11,'Commission Criteria'!$P$3:$Q$11),2,1)</f>
        <v>0.02</v>
      </c>
      <c r="V303" s="8" t="s">
        <v>32</v>
      </c>
      <c r="W303" s="36">
        <f t="shared" ca="1" si="15"/>
        <v>0.05</v>
      </c>
      <c r="X303" s="8" t="str">
        <f>_xlfn.XLOOKUP(F303,'Product List'!$B$1:$B$299,'Product List'!$A$1:$A$299)</f>
        <v>Xerox 1994</v>
      </c>
      <c r="Y303" s="8"/>
      <c r="Z303" s="8" t="str" cm="1">
        <f t="array" ref="Z303:AD303">_xlfn.XLOOKUP(D303,'Customer Details'!$A$1:$A$17,'Customer Details'!$B$1:$F$17,"No such customer",0,1)</f>
        <v>Fortis Healthcare Ltd.</v>
      </c>
      <c r="AA303" s="8" t="str">
        <v>14 Elsworthy Terrace</v>
      </c>
      <c r="AB303" s="8" t="str">
        <v>Goleta</v>
      </c>
      <c r="AC303" s="8" t="str">
        <v>CA</v>
      </c>
      <c r="AD303" s="8" t="str">
        <v>93117</v>
      </c>
    </row>
    <row r="304" spans="1:30">
      <c r="A304" s="8" t="s">
        <v>435</v>
      </c>
      <c r="B304" s="19">
        <v>41591</v>
      </c>
      <c r="C304" s="8" t="s">
        <v>54</v>
      </c>
      <c r="D304" s="8">
        <v>10014</v>
      </c>
      <c r="E304" s="8" t="str">
        <f>VLOOKUP($D304,'Customer Details'!$A$1:$F$17,4,FALSE)</f>
        <v>Honolulu</v>
      </c>
      <c r="F304" s="8" t="s">
        <v>31</v>
      </c>
      <c r="G304" s="8">
        <v>1</v>
      </c>
      <c r="H304" s="2" t="str">
        <f>VLOOKUP($D304,'Customer Details'!$A$1:$F$17,MATCH('Order SUmmary'!H$2,'Customer Details'!$A$1:$F$1,0),0)</f>
        <v>Hindusthan National Glass &amp; Industries Ltd.</v>
      </c>
      <c r="I304" s="2" t="str">
        <f>VLOOKUP($D304,'Customer Details'!$A$1:$F$17,4,0)</f>
        <v>Honolulu</v>
      </c>
      <c r="J304" s="2" t="str">
        <f>VLOOKUP($D304,'Customer Details'!$A$1:$F$17,6,0)</f>
        <v>96825</v>
      </c>
      <c r="K304" s="8" t="str">
        <f>VLOOKUP(VLOOKUP(D304,'Customer Details'!$A$1:$F$17,5,0),'Region INfo'!$A$1:$C$52,3,0)</f>
        <v xml:space="preserve">Pacific   </v>
      </c>
      <c r="L304" s="8" t="str">
        <f>INDEX(Product_List,MATCH($F304,'Product List'!$B$1:$B$299,0),MATCH('Order SUmmary'!L$2,'Product List'!$A$1:$E$1,0))</f>
        <v>Avery 494</v>
      </c>
      <c r="M304" s="8">
        <f>INDEX(Product_List,MATCH($F304,'Product List'!$B$1:$B$299,0),MATCH('Order SUmmary'!M$2,'Product List'!$A$1:$E$1,0))</f>
        <v>2923</v>
      </c>
      <c r="N304" s="8">
        <f>INDEX(Product_List,MATCH($F304,'Product List'!$B$1:$B$299,0),MATCH('Order SUmmary'!N$2,'Product List'!$A$1:$E$1,0))</f>
        <v>2480</v>
      </c>
      <c r="O304" s="8" t="str">
        <f>INDEX(Product_List,MATCH($F304,'Product List'!$B$1:$B$299,0),MATCH('Order SUmmary'!O$2,'Product List'!$A$1:$E$1,0))</f>
        <v>Labels</v>
      </c>
      <c r="P304" s="12">
        <f>HLOOKUP(C304,'Commission Criteria'!$A$2:$I$4,3,FALSE)</f>
        <v>3</v>
      </c>
      <c r="Q304" s="8">
        <f t="shared" si="13"/>
        <v>2480</v>
      </c>
      <c r="R304" s="8">
        <f t="shared" si="14"/>
        <v>2923</v>
      </c>
      <c r="S304" s="36">
        <f>VLOOKUP(R304,'Commission Criteria'!$L$3:$M$11,2,TRUE)</f>
        <v>0.01</v>
      </c>
      <c r="T304" s="36">
        <f>IF(P304&lt;5,VLOOKUP(R304,'Commission Criteria'!$L$3:$M$11,2,1),VLOOKUP('Order SUmmary'!R304,'Commission Criteria'!$P$3:$Q$11,2,1))</f>
        <v>0.01</v>
      </c>
      <c r="U304" s="36">
        <f>VLOOKUP(R304,IF(P304&lt;5,'Commission Criteria'!$L$3:$M$11,'Commission Criteria'!$P$3:$Q$11),2,1)</f>
        <v>0.01</v>
      </c>
      <c r="V304" s="8" t="s">
        <v>32</v>
      </c>
      <c r="W304" s="36">
        <f t="shared" ca="1" si="15"/>
        <v>0.05</v>
      </c>
      <c r="X304" s="8" t="str">
        <f>_xlfn.XLOOKUP(F304,'Product List'!$B$1:$B$299,'Product List'!$A$1:$A$299)</f>
        <v>Avery 494</v>
      </c>
      <c r="Y304" s="8"/>
      <c r="Z304" s="8" t="str" cm="1">
        <f t="array" ref="Z304:AD304">_xlfn.XLOOKUP(D304,'Customer Details'!$A$1:$A$17,'Customer Details'!$B$1:$F$17,"No such customer",0,1)</f>
        <v>Hindusthan National Glass &amp; Industries Ltd.</v>
      </c>
      <c r="AA304" s="8" t="str">
        <v>11 Cathy St.</v>
      </c>
      <c r="AB304" s="8" t="str">
        <v>Honolulu</v>
      </c>
      <c r="AC304" s="8" t="str">
        <v>HI</v>
      </c>
      <c r="AD304" s="8" t="str">
        <v>96825</v>
      </c>
    </row>
    <row r="305" spans="1:30">
      <c r="A305" s="8" t="s">
        <v>435</v>
      </c>
      <c r="B305" s="19">
        <v>41591</v>
      </c>
      <c r="C305" s="8" t="s">
        <v>36</v>
      </c>
      <c r="D305" s="8">
        <v>10010</v>
      </c>
      <c r="E305" s="8" t="str">
        <f>VLOOKUP($D305,'Customer Details'!$A$1:$F$17,4,FALSE)</f>
        <v>Tracy</v>
      </c>
      <c r="F305" s="8" t="s">
        <v>436</v>
      </c>
      <c r="G305" s="8">
        <v>1</v>
      </c>
      <c r="H305" s="2" t="str">
        <f>VLOOKUP($D305,'Customer Details'!$A$1:$F$17,MATCH('Order SUmmary'!H$2,'Customer Details'!$A$1:$F$1,0),0)</f>
        <v>Suzlon Energy Ltd.</v>
      </c>
      <c r="I305" s="2" t="str">
        <f>VLOOKUP($D305,'Customer Details'!$A$1:$F$17,4,0)</f>
        <v>Tracy</v>
      </c>
      <c r="J305" s="2" t="str">
        <f>VLOOKUP($D305,'Customer Details'!$A$1:$F$17,6,0)</f>
        <v>95376</v>
      </c>
      <c r="K305" s="8" t="str">
        <f>VLOOKUP(VLOOKUP(D305,'Customer Details'!$A$1:$F$17,5,0),'Region INfo'!$A$1:$C$52,3,0)</f>
        <v xml:space="preserve">Pacific   </v>
      </c>
      <c r="L305" s="8" t="str">
        <f>INDEX(Product_List,MATCH($F305,'Product List'!$B$1:$B$299,0),MATCH('Order SUmmary'!L$2,'Product List'!$A$1:$E$1,0))</f>
        <v>Newell 338</v>
      </c>
      <c r="M305" s="8">
        <f>INDEX(Product_List,MATCH($F305,'Product List'!$B$1:$B$299,0),MATCH('Order SUmmary'!M$2,'Product List'!$A$1:$E$1,0))</f>
        <v>3686</v>
      </c>
      <c r="N305" s="8">
        <f>INDEX(Product_List,MATCH($F305,'Product List'!$B$1:$B$299,0),MATCH('Order SUmmary'!N$2,'Product List'!$A$1:$E$1,0))</f>
        <v>2401</v>
      </c>
      <c r="O305" s="8" t="str">
        <f>INDEX(Product_List,MATCH($F305,'Product List'!$B$1:$B$299,0),MATCH('Order SUmmary'!O$2,'Product List'!$A$1:$E$1,0))</f>
        <v>Art</v>
      </c>
      <c r="P305" s="12">
        <f>HLOOKUP(C305,'Commission Criteria'!$A$2:$I$4,3,FALSE)</f>
        <v>6</v>
      </c>
      <c r="Q305" s="8">
        <f t="shared" si="13"/>
        <v>2401</v>
      </c>
      <c r="R305" s="8">
        <f t="shared" si="14"/>
        <v>3686</v>
      </c>
      <c r="S305" s="36">
        <f>VLOOKUP(R305,'Commission Criteria'!$L$3:$M$11,2,TRUE)</f>
        <v>0.01</v>
      </c>
      <c r="T305" s="36">
        <f>IF(P305&lt;5,VLOOKUP(R305,'Commission Criteria'!$L$3:$M$11,2,1),VLOOKUP('Order SUmmary'!R305,'Commission Criteria'!$P$3:$Q$11,2,1))</f>
        <v>0.02</v>
      </c>
      <c r="U305" s="36">
        <f>VLOOKUP(R305,IF(P305&lt;5,'Commission Criteria'!$L$3:$M$11,'Commission Criteria'!$P$3:$Q$11),2,1)</f>
        <v>0.02</v>
      </c>
      <c r="V305" s="8" t="s">
        <v>29</v>
      </c>
      <c r="W305" s="36">
        <f t="shared" ca="1" si="15"/>
        <v>0.02</v>
      </c>
      <c r="X305" s="8" t="str">
        <f>_xlfn.XLOOKUP(F305,'Product List'!$B$1:$B$299,'Product List'!$A$1:$A$299)</f>
        <v>Newell 338</v>
      </c>
      <c r="Y305" s="8"/>
      <c r="Z305" s="8" t="str" cm="1">
        <f t="array" ref="Z305:AD305">_xlfn.XLOOKUP(D305,'Customer Details'!$A$1:$A$17,'Customer Details'!$B$1:$F$17,"No such customer",0,1)</f>
        <v>Suzlon Energy Ltd.</v>
      </c>
      <c r="AA305" s="8" t="str">
        <v>501 Marsh Trail Circle</v>
      </c>
      <c r="AB305" s="8" t="str">
        <v>Tracy</v>
      </c>
      <c r="AC305" s="8" t="str">
        <v>CA</v>
      </c>
      <c r="AD305" s="8" t="str">
        <v>95376</v>
      </c>
    </row>
    <row r="306" spans="1:30">
      <c r="A306" s="8" t="s">
        <v>437</v>
      </c>
      <c r="B306" s="19">
        <v>41591</v>
      </c>
      <c r="C306" s="8" t="s">
        <v>44</v>
      </c>
      <c r="D306" s="8">
        <v>10005</v>
      </c>
      <c r="E306" s="8" t="str">
        <f>VLOOKUP($D306,'Customer Details'!$A$1:$F$17,4,FALSE)</f>
        <v>Goleta</v>
      </c>
      <c r="F306" s="8" t="s">
        <v>249</v>
      </c>
      <c r="G306" s="8">
        <v>2</v>
      </c>
      <c r="H306" s="2" t="str">
        <f>VLOOKUP($D306,'Customer Details'!$A$1:$F$17,MATCH('Order SUmmary'!H$2,'Customer Details'!$A$1:$F$1,0),0)</f>
        <v>Fortis Healthcare Ltd.</v>
      </c>
      <c r="I306" s="2" t="str">
        <f>VLOOKUP($D306,'Customer Details'!$A$1:$F$17,4,0)</f>
        <v>Goleta</v>
      </c>
      <c r="J306" s="2" t="str">
        <f>VLOOKUP($D306,'Customer Details'!$A$1:$F$17,6,0)</f>
        <v>93117</v>
      </c>
      <c r="K306" s="8" t="str">
        <f>VLOOKUP(VLOOKUP(D306,'Customer Details'!$A$1:$F$17,5,0),'Region INfo'!$A$1:$C$52,3,0)</f>
        <v xml:space="preserve">Pacific   </v>
      </c>
      <c r="L306" s="8" t="str">
        <f>INDEX(Product_List,MATCH($F306,'Product List'!$B$1:$B$299,0),MATCH('Order SUmmary'!L$2,'Product List'!$A$1:$E$1,0))</f>
        <v>Newell 315</v>
      </c>
      <c r="M306" s="8">
        <f>INDEX(Product_List,MATCH($F306,'Product List'!$B$1:$B$299,0),MATCH('Order SUmmary'!M$2,'Product List'!$A$1:$E$1,0))</f>
        <v>3646</v>
      </c>
      <c r="N306" s="8">
        <f>INDEX(Product_List,MATCH($F306,'Product List'!$B$1:$B$299,0),MATCH('Order SUmmary'!N$2,'Product List'!$A$1:$E$1,0))</f>
        <v>1603</v>
      </c>
      <c r="O306" s="8" t="str">
        <f>INDEX(Product_List,MATCH($F306,'Product List'!$B$1:$B$299,0),MATCH('Order SUmmary'!O$2,'Product List'!$A$1:$E$1,0))</f>
        <v>Art</v>
      </c>
      <c r="P306" s="12">
        <f>HLOOKUP(C306,'Commission Criteria'!$A$2:$I$4,3,FALSE)</f>
        <v>4</v>
      </c>
      <c r="Q306" s="8">
        <f t="shared" si="13"/>
        <v>3206</v>
      </c>
      <c r="R306" s="8">
        <f t="shared" si="14"/>
        <v>7292</v>
      </c>
      <c r="S306" s="36">
        <f>VLOOKUP(R306,'Commission Criteria'!$L$3:$M$11,2,TRUE)</f>
        <v>0.03</v>
      </c>
      <c r="T306" s="36">
        <f>IF(P306&lt;5,VLOOKUP(R306,'Commission Criteria'!$L$3:$M$11,2,1),VLOOKUP('Order SUmmary'!R306,'Commission Criteria'!$P$3:$Q$11,2,1))</f>
        <v>0.03</v>
      </c>
      <c r="U306" s="36">
        <f>VLOOKUP(R306,IF(P306&lt;5,'Commission Criteria'!$L$3:$M$11,'Commission Criteria'!$P$3:$Q$11),2,1)</f>
        <v>0.03</v>
      </c>
      <c r="V306" s="8" t="s">
        <v>40</v>
      </c>
      <c r="W306" s="36">
        <f t="shared" ca="1" si="15"/>
        <v>0.05</v>
      </c>
      <c r="X306" s="8" t="str">
        <f>_xlfn.XLOOKUP(F306,'Product List'!$B$1:$B$299,'Product List'!$A$1:$A$299)</f>
        <v>Newell 315</v>
      </c>
      <c r="Y306" s="8"/>
      <c r="Z306" s="8" t="str" cm="1">
        <f t="array" ref="Z306:AD306">_xlfn.XLOOKUP(D306,'Customer Details'!$A$1:$A$17,'Customer Details'!$B$1:$F$17,"No such customer",0,1)</f>
        <v>Fortis Healthcare Ltd.</v>
      </c>
      <c r="AA306" s="8" t="str">
        <v>14 Elsworthy Terrace</v>
      </c>
      <c r="AB306" s="8" t="str">
        <v>Goleta</v>
      </c>
      <c r="AC306" s="8" t="str">
        <v>CA</v>
      </c>
      <c r="AD306" s="8" t="str">
        <v>93117</v>
      </c>
    </row>
    <row r="307" spans="1:30">
      <c r="A307" s="8" t="s">
        <v>437</v>
      </c>
      <c r="B307" s="19">
        <v>41591</v>
      </c>
      <c r="C307" s="8" t="s">
        <v>51</v>
      </c>
      <c r="D307" s="8">
        <v>10006</v>
      </c>
      <c r="E307" s="8" t="str">
        <f>VLOOKUP($D307,'Customer Details'!$A$1:$F$17,4,FALSE)</f>
        <v>Midland</v>
      </c>
      <c r="F307" s="8" t="s">
        <v>112</v>
      </c>
      <c r="G307" s="8">
        <v>3</v>
      </c>
      <c r="H307" s="2" t="str">
        <f>VLOOKUP($D307,'Customer Details'!$A$1:$F$17,MATCH('Order SUmmary'!H$2,'Customer Details'!$A$1:$F$1,0),0)</f>
        <v>Supreme Ind</v>
      </c>
      <c r="I307" s="2" t="str">
        <f>VLOOKUP($D307,'Customer Details'!$A$1:$F$17,4,0)</f>
        <v>Midland</v>
      </c>
      <c r="J307" s="2" t="str">
        <f>VLOOKUP($D307,'Customer Details'!$A$1:$F$17,6,0)</f>
        <v>79706</v>
      </c>
      <c r="K307" s="8" t="str">
        <f>VLOOKUP(VLOOKUP(D307,'Customer Details'!$A$1:$F$17,5,0),'Region INfo'!$A$1:$C$52,3,0)</f>
        <v>Western</v>
      </c>
      <c r="L307" s="8" t="str">
        <f>INDEX(Product_List,MATCH($F307,'Product List'!$B$1:$B$299,0),MATCH('Order SUmmary'!L$2,'Product List'!$A$1:$E$1,0))</f>
        <v>Newell 317</v>
      </c>
      <c r="M307" s="8">
        <f>INDEX(Product_List,MATCH($F307,'Product List'!$B$1:$B$299,0),MATCH('Order SUmmary'!M$2,'Product List'!$A$1:$E$1,0))</f>
        <v>4891</v>
      </c>
      <c r="N307" s="8">
        <f>INDEX(Product_List,MATCH($F307,'Product List'!$B$1:$B$299,0),MATCH('Order SUmmary'!N$2,'Product List'!$A$1:$E$1,0))</f>
        <v>1745</v>
      </c>
      <c r="O307" s="8" t="str">
        <f>INDEX(Product_List,MATCH($F307,'Product List'!$B$1:$B$299,0),MATCH('Order SUmmary'!O$2,'Product List'!$A$1:$E$1,0))</f>
        <v>Art</v>
      </c>
      <c r="P307" s="12">
        <f>HLOOKUP(C307,'Commission Criteria'!$A$2:$I$4,3,FALSE)</f>
        <v>10</v>
      </c>
      <c r="Q307" s="8">
        <f t="shared" si="13"/>
        <v>5235</v>
      </c>
      <c r="R307" s="8">
        <f t="shared" si="14"/>
        <v>14673</v>
      </c>
      <c r="S307" s="36">
        <f>VLOOKUP(R307,'Commission Criteria'!$L$3:$M$11,2,TRUE)</f>
        <v>0.03</v>
      </c>
      <c r="T307" s="36">
        <f>IF(P307&lt;5,VLOOKUP(R307,'Commission Criteria'!$L$3:$M$11,2,1),VLOOKUP('Order SUmmary'!R307,'Commission Criteria'!$P$3:$Q$11,2,1))</f>
        <v>0.02</v>
      </c>
      <c r="U307" s="36">
        <f>VLOOKUP(R307,IF(P307&lt;5,'Commission Criteria'!$L$3:$M$11,'Commission Criteria'!$P$3:$Q$11),2,1)</f>
        <v>0.02</v>
      </c>
      <c r="V307" s="8" t="s">
        <v>29</v>
      </c>
      <c r="W307" s="36">
        <f t="shared" ca="1" si="15"/>
        <v>0</v>
      </c>
      <c r="X307" s="8" t="str">
        <f>_xlfn.XLOOKUP(F307,'Product List'!$B$1:$B$299,'Product List'!$A$1:$A$299)</f>
        <v>Newell 317</v>
      </c>
      <c r="Y307" s="8"/>
      <c r="Z307" s="8" t="str" cm="1">
        <f t="array" ref="Z307:AD307">_xlfn.XLOOKUP(D307,'Customer Details'!$A$1:$A$17,'Customer Details'!$B$1:$F$17,"No such customer",0,1)</f>
        <v>Supreme Ind</v>
      </c>
      <c r="AA307" s="8" t="str">
        <v>P.O. Box 1367</v>
      </c>
      <c r="AB307" s="8" t="str">
        <v>Midland</v>
      </c>
      <c r="AC307" s="8" t="str">
        <v>TX</v>
      </c>
      <c r="AD307" s="8" t="str">
        <v>79706</v>
      </c>
    </row>
    <row r="308" spans="1:30">
      <c r="A308" s="8" t="s">
        <v>438</v>
      </c>
      <c r="B308" s="19">
        <v>41595</v>
      </c>
      <c r="C308" s="8" t="s">
        <v>66</v>
      </c>
      <c r="D308" s="8">
        <v>10013</v>
      </c>
      <c r="E308" s="8" t="str">
        <f>VLOOKUP($D308,'Customer Details'!$A$1:$F$17,4,FALSE)</f>
        <v>Naugatuck</v>
      </c>
      <c r="F308" s="8" t="s">
        <v>439</v>
      </c>
      <c r="G308" s="8">
        <v>1</v>
      </c>
      <c r="H308" s="2" t="str">
        <f>VLOOKUP($D308,'Customer Details'!$A$1:$F$17,MATCH('Order SUmmary'!H$2,'Customer Details'!$A$1:$F$1,0),0)</f>
        <v>GMR Infrastructure Ltd.</v>
      </c>
      <c r="I308" s="2" t="str">
        <f>VLOOKUP($D308,'Customer Details'!$A$1:$F$17,4,0)</f>
        <v>Naugatuck</v>
      </c>
      <c r="J308" s="2" t="str">
        <f>VLOOKUP($D308,'Customer Details'!$A$1:$F$17,6,0)</f>
        <v>06770</v>
      </c>
      <c r="K308" s="8" t="str">
        <f>VLOOKUP(VLOOKUP(D308,'Customer Details'!$A$1:$F$17,5,0),'Region INfo'!$A$1:$C$52,3,0)</f>
        <v xml:space="preserve">Northern </v>
      </c>
      <c r="L308" s="8" t="str">
        <f>INDEX(Product_List,MATCH($F308,'Product List'!$B$1:$B$299,0),MATCH('Order SUmmary'!L$2,'Product List'!$A$1:$E$1,0))</f>
        <v>Xerox 1919</v>
      </c>
      <c r="M308" s="8">
        <f>INDEX(Product_List,MATCH($F308,'Product List'!$B$1:$B$299,0),MATCH('Order SUmmary'!M$2,'Product List'!$A$1:$E$1,0))</f>
        <v>2535</v>
      </c>
      <c r="N308" s="8">
        <f>INDEX(Product_List,MATCH($F308,'Product List'!$B$1:$B$299,0),MATCH('Order SUmmary'!N$2,'Product List'!$A$1:$E$1,0))</f>
        <v>1841</v>
      </c>
      <c r="O308" s="8" t="str">
        <f>INDEX(Product_List,MATCH($F308,'Product List'!$B$1:$B$299,0),MATCH('Order SUmmary'!O$2,'Product List'!$A$1:$E$1,0))</f>
        <v>Paper</v>
      </c>
      <c r="P308" s="12">
        <f>HLOOKUP(C308,'Commission Criteria'!$A$2:$I$4,3,FALSE)</f>
        <v>5</v>
      </c>
      <c r="Q308" s="8">
        <f t="shared" si="13"/>
        <v>1841</v>
      </c>
      <c r="R308" s="8">
        <f t="shared" si="14"/>
        <v>2535</v>
      </c>
      <c r="S308" s="36">
        <f>VLOOKUP(R308,'Commission Criteria'!$L$3:$M$11,2,TRUE)</f>
        <v>0.01</v>
      </c>
      <c r="T308" s="36">
        <f>IF(P308&lt;5,VLOOKUP(R308,'Commission Criteria'!$L$3:$M$11,2,1),VLOOKUP('Order SUmmary'!R308,'Commission Criteria'!$P$3:$Q$11,2,1))</f>
        <v>0.02</v>
      </c>
      <c r="U308" s="36">
        <f>VLOOKUP(R308,IF(P308&lt;5,'Commission Criteria'!$L$3:$M$11,'Commission Criteria'!$P$3:$Q$11),2,1)</f>
        <v>0.02</v>
      </c>
      <c r="V308" s="8" t="s">
        <v>32</v>
      </c>
      <c r="W308" s="36">
        <f t="shared" ca="1" si="15"/>
        <v>0</v>
      </c>
      <c r="X308" s="8" t="str">
        <f>_xlfn.XLOOKUP(F308,'Product List'!$B$1:$B$299,'Product List'!$A$1:$A$299)</f>
        <v>Xerox 1919</v>
      </c>
      <c r="Y308" s="8"/>
      <c r="Z308" s="8" t="str" cm="1">
        <f t="array" ref="Z308:AD308">_xlfn.XLOOKUP(D308,'Customer Details'!$A$1:$A$17,'Customer Details'!$B$1:$F$17,"No such customer",0,1)</f>
        <v>GMR Infrastructure Ltd.</v>
      </c>
      <c r="AA308" s="8" t="str">
        <v>P.O. Box 4421</v>
      </c>
      <c r="AB308" s="8" t="str">
        <v>Naugatuck</v>
      </c>
      <c r="AC308" s="8" t="str">
        <v>CT</v>
      </c>
      <c r="AD308" s="8" t="str">
        <v>06770</v>
      </c>
    </row>
    <row r="309" spans="1:30">
      <c r="A309" s="8" t="s">
        <v>440</v>
      </c>
      <c r="B309" s="19">
        <v>41595</v>
      </c>
      <c r="C309" s="8" t="s">
        <v>51</v>
      </c>
      <c r="D309" s="8">
        <v>10007</v>
      </c>
      <c r="E309" s="8" t="str">
        <f>VLOOKUP($D309,'Customer Details'!$A$1:$F$17,4,FALSE)</f>
        <v>Richmond</v>
      </c>
      <c r="F309" s="8" t="s">
        <v>381</v>
      </c>
      <c r="G309" s="8">
        <v>1</v>
      </c>
      <c r="H309" s="2" t="str">
        <f>VLOOKUP($D309,'Customer Details'!$A$1:$F$17,MATCH('Order SUmmary'!H$2,'Customer Details'!$A$1:$F$1,0),0)</f>
        <v>GHCL Ltd.</v>
      </c>
      <c r="I309" s="2" t="str">
        <f>VLOOKUP($D309,'Customer Details'!$A$1:$F$17,4,0)</f>
        <v>Richmond</v>
      </c>
      <c r="J309" s="2" t="str">
        <f>VLOOKUP($D309,'Customer Details'!$A$1:$F$17,6,0)</f>
        <v>94805</v>
      </c>
      <c r="K309" s="8" t="str">
        <f>VLOOKUP(VLOOKUP(D309,'Customer Details'!$A$1:$F$17,5,0),'Region INfo'!$A$1:$C$52,3,0)</f>
        <v xml:space="preserve">Pacific   </v>
      </c>
      <c r="L309" s="8" t="str">
        <f>INDEX(Product_List,MATCH($F309,'Product List'!$B$1:$B$299,0),MATCH('Order SUmmary'!L$2,'Product List'!$A$1:$E$1,0))</f>
        <v>Xerox 1911</v>
      </c>
      <c r="M309" s="8">
        <f>INDEX(Product_List,MATCH($F309,'Product List'!$B$1:$B$299,0),MATCH('Order SUmmary'!M$2,'Product List'!$A$1:$E$1,0))</f>
        <v>4724</v>
      </c>
      <c r="N309" s="8">
        <f>INDEX(Product_List,MATCH($F309,'Product List'!$B$1:$B$299,0),MATCH('Order SUmmary'!N$2,'Product List'!$A$1:$E$1,0))</f>
        <v>2467</v>
      </c>
      <c r="O309" s="8" t="str">
        <f>INDEX(Product_List,MATCH($F309,'Product List'!$B$1:$B$299,0),MATCH('Order SUmmary'!O$2,'Product List'!$A$1:$E$1,0))</f>
        <v>Paper</v>
      </c>
      <c r="P309" s="12">
        <f>HLOOKUP(C309,'Commission Criteria'!$A$2:$I$4,3,FALSE)</f>
        <v>10</v>
      </c>
      <c r="Q309" s="8">
        <f t="shared" si="13"/>
        <v>2467</v>
      </c>
      <c r="R309" s="8">
        <f t="shared" si="14"/>
        <v>4724</v>
      </c>
      <c r="S309" s="36">
        <f>VLOOKUP(R309,'Commission Criteria'!$L$3:$M$11,2,TRUE)</f>
        <v>0.01</v>
      </c>
      <c r="T309" s="36">
        <f>IF(P309&lt;5,VLOOKUP(R309,'Commission Criteria'!$L$3:$M$11,2,1),VLOOKUP('Order SUmmary'!R309,'Commission Criteria'!$P$3:$Q$11,2,1))</f>
        <v>0.02</v>
      </c>
      <c r="U309" s="36">
        <f>VLOOKUP(R309,IF(P309&lt;5,'Commission Criteria'!$L$3:$M$11,'Commission Criteria'!$P$3:$Q$11),2,1)</f>
        <v>0.02</v>
      </c>
      <c r="V309" s="8" t="s">
        <v>35</v>
      </c>
      <c r="W309" s="36">
        <f t="shared" ca="1" si="15"/>
        <v>0.04</v>
      </c>
      <c r="X309" s="8" t="str">
        <f>_xlfn.XLOOKUP(F309,'Product List'!$B$1:$B$299,'Product List'!$A$1:$A$299)</f>
        <v>Xerox 1911</v>
      </c>
      <c r="Y309" s="8"/>
      <c r="Z309" s="8" t="str" cm="1">
        <f t="array" ref="Z309:AD309">_xlfn.XLOOKUP(D309,'Customer Details'!$A$1:$A$17,'Customer Details'!$B$1:$F$17,"No such customer",0,1)</f>
        <v>GHCL Ltd.</v>
      </c>
      <c r="AA309" s="8" t="str">
        <v>58 Clarence St</v>
      </c>
      <c r="AB309" s="8" t="str">
        <v>Richmond</v>
      </c>
      <c r="AC309" s="8" t="str">
        <v>CA</v>
      </c>
      <c r="AD309" s="8" t="str">
        <v>94805</v>
      </c>
    </row>
    <row r="310" spans="1:30">
      <c r="A310" s="8" t="s">
        <v>438</v>
      </c>
      <c r="B310" s="19">
        <v>41595</v>
      </c>
      <c r="C310" s="8" t="s">
        <v>46</v>
      </c>
      <c r="D310" s="8">
        <v>10001</v>
      </c>
      <c r="E310" s="8" t="str">
        <f>VLOOKUP($D310,'Customer Details'!$A$1:$F$17,4,FALSE)</f>
        <v>New York</v>
      </c>
      <c r="F310" s="8" t="s">
        <v>141</v>
      </c>
      <c r="G310" s="8">
        <v>1</v>
      </c>
      <c r="H310" s="2" t="str">
        <f>VLOOKUP($D310,'Customer Details'!$A$1:$F$17,MATCH('Order SUmmary'!H$2,'Customer Details'!$A$1:$F$1,0),0)</f>
        <v>Chambal Fertilisers and Chemicals Ltd.</v>
      </c>
      <c r="I310" s="2" t="str">
        <f>VLOOKUP($D310,'Customer Details'!$A$1:$F$17,4,0)</f>
        <v>New York</v>
      </c>
      <c r="J310" s="2" t="str">
        <f>VLOOKUP($D310,'Customer Details'!$A$1:$F$17,6,0)</f>
        <v>10025</v>
      </c>
      <c r="K310" s="8" t="str">
        <f>VLOOKUP(VLOOKUP(D310,'Customer Details'!$A$1:$F$17,5,0),'Region INfo'!$A$1:$C$52,3,0)</f>
        <v xml:space="preserve">Northern </v>
      </c>
      <c r="L310" s="8" t="str">
        <f>INDEX(Product_List,MATCH($F310,'Product List'!$B$1:$B$299,0),MATCH('Order SUmmary'!L$2,'Product List'!$A$1:$E$1,0))</f>
        <v>Xerox 1994</v>
      </c>
      <c r="M310" s="8">
        <f>INDEX(Product_List,MATCH($F310,'Product List'!$B$1:$B$299,0),MATCH('Order SUmmary'!M$2,'Product List'!$A$1:$E$1,0))</f>
        <v>4901</v>
      </c>
      <c r="N310" s="8">
        <f>INDEX(Product_List,MATCH($F310,'Product List'!$B$1:$B$299,0),MATCH('Order SUmmary'!N$2,'Product List'!$A$1:$E$1,0))</f>
        <v>1789</v>
      </c>
      <c r="O310" s="8" t="str">
        <f>INDEX(Product_List,MATCH($F310,'Product List'!$B$1:$B$299,0),MATCH('Order SUmmary'!O$2,'Product List'!$A$1:$E$1,0))</f>
        <v>Paper</v>
      </c>
      <c r="P310" s="12">
        <f>HLOOKUP(C310,'Commission Criteria'!$A$2:$I$4,3,FALSE)</f>
        <v>8</v>
      </c>
      <c r="Q310" s="8">
        <f t="shared" si="13"/>
        <v>1789</v>
      </c>
      <c r="R310" s="8">
        <f t="shared" si="14"/>
        <v>4901</v>
      </c>
      <c r="S310" s="36">
        <f>VLOOKUP(R310,'Commission Criteria'!$L$3:$M$11,2,TRUE)</f>
        <v>0.01</v>
      </c>
      <c r="T310" s="36">
        <f>IF(P310&lt;5,VLOOKUP(R310,'Commission Criteria'!$L$3:$M$11,2,1),VLOOKUP('Order SUmmary'!R310,'Commission Criteria'!$P$3:$Q$11,2,1))</f>
        <v>0.02</v>
      </c>
      <c r="U310" s="36">
        <f>VLOOKUP(R310,IF(P310&lt;5,'Commission Criteria'!$L$3:$M$11,'Commission Criteria'!$P$3:$Q$11),2,1)</f>
        <v>0.02</v>
      </c>
      <c r="V310" s="8" t="s">
        <v>43</v>
      </c>
      <c r="W310" s="36">
        <f t="shared" ca="1" si="15"/>
        <v>0.04</v>
      </c>
      <c r="X310" s="8" t="str">
        <f>_xlfn.XLOOKUP(F310,'Product List'!$B$1:$B$299,'Product List'!$A$1:$A$299)</f>
        <v>Xerox 1994</v>
      </c>
      <c r="Y310" s="8"/>
      <c r="Z310" s="8" t="str" cm="1">
        <f t="array" ref="Z310:AD310">_xlfn.XLOOKUP(D310,'Customer Details'!$A$1:$A$17,'Customer Details'!$B$1:$F$17,"No such customer",0,1)</f>
        <v>Chambal Fertilisers and Chemicals Ltd.</v>
      </c>
      <c r="AA310" s="8" t="str">
        <v>4951 Indiana Ave.</v>
      </c>
      <c r="AB310" s="8" t="str">
        <v>New York</v>
      </c>
      <c r="AC310" s="8" t="str">
        <v>NY</v>
      </c>
      <c r="AD310" s="8" t="str">
        <v>10025</v>
      </c>
    </row>
    <row r="311" spans="1:30">
      <c r="A311" s="8" t="s">
        <v>438</v>
      </c>
      <c r="B311" s="19">
        <v>41595</v>
      </c>
      <c r="C311" s="8" t="s">
        <v>44</v>
      </c>
      <c r="D311" s="8">
        <v>10005</v>
      </c>
      <c r="E311" s="8" t="str">
        <f>VLOOKUP($D311,'Customer Details'!$A$1:$F$17,4,FALSE)</f>
        <v>Goleta</v>
      </c>
      <c r="F311" s="8" t="s">
        <v>86</v>
      </c>
      <c r="G311" s="8">
        <v>2</v>
      </c>
      <c r="H311" s="2" t="str">
        <f>VLOOKUP($D311,'Customer Details'!$A$1:$F$17,MATCH('Order SUmmary'!H$2,'Customer Details'!$A$1:$F$1,0),0)</f>
        <v>Fortis Healthcare Ltd.</v>
      </c>
      <c r="I311" s="2" t="str">
        <f>VLOOKUP($D311,'Customer Details'!$A$1:$F$17,4,0)</f>
        <v>Goleta</v>
      </c>
      <c r="J311" s="2" t="str">
        <f>VLOOKUP($D311,'Customer Details'!$A$1:$F$17,6,0)</f>
        <v>93117</v>
      </c>
      <c r="K311" s="8" t="str">
        <f>VLOOKUP(VLOOKUP(D311,'Customer Details'!$A$1:$F$17,5,0),'Region INfo'!$A$1:$C$52,3,0)</f>
        <v xml:space="preserve">Pacific   </v>
      </c>
      <c r="L311" s="8" t="str">
        <f>INDEX(Product_List,MATCH($F311,'Product List'!$B$1:$B$299,0),MATCH('Order SUmmary'!L$2,'Product List'!$A$1:$E$1,0))</f>
        <v>Newell 316</v>
      </c>
      <c r="M311" s="8">
        <f>INDEX(Product_List,MATCH($F311,'Product List'!$B$1:$B$299,0),MATCH('Order SUmmary'!M$2,'Product List'!$A$1:$E$1,0))</f>
        <v>2958</v>
      </c>
      <c r="N311" s="8">
        <f>INDEX(Product_List,MATCH($F311,'Product List'!$B$1:$B$299,0),MATCH('Order SUmmary'!N$2,'Product List'!$A$1:$E$1,0))</f>
        <v>1678</v>
      </c>
      <c r="O311" s="8" t="str">
        <f>INDEX(Product_List,MATCH($F311,'Product List'!$B$1:$B$299,0),MATCH('Order SUmmary'!O$2,'Product List'!$A$1:$E$1,0))</f>
        <v>Art</v>
      </c>
      <c r="P311" s="12">
        <f>HLOOKUP(C311,'Commission Criteria'!$A$2:$I$4,3,FALSE)</f>
        <v>4</v>
      </c>
      <c r="Q311" s="8">
        <f t="shared" si="13"/>
        <v>3356</v>
      </c>
      <c r="R311" s="8">
        <f t="shared" si="14"/>
        <v>5916</v>
      </c>
      <c r="S311" s="36">
        <f>VLOOKUP(R311,'Commission Criteria'!$L$3:$M$11,2,TRUE)</f>
        <v>0.03</v>
      </c>
      <c r="T311" s="36">
        <f>IF(P311&lt;5,VLOOKUP(R311,'Commission Criteria'!$L$3:$M$11,2,1),VLOOKUP('Order SUmmary'!R311,'Commission Criteria'!$P$3:$Q$11,2,1))</f>
        <v>0.03</v>
      </c>
      <c r="U311" s="36">
        <f>VLOOKUP(R311,IF(P311&lt;5,'Commission Criteria'!$L$3:$M$11,'Commission Criteria'!$P$3:$Q$11),2,1)</f>
        <v>0.03</v>
      </c>
      <c r="V311" s="8" t="s">
        <v>40</v>
      </c>
      <c r="W311" s="36">
        <f t="shared" ca="1" si="15"/>
        <v>0.01</v>
      </c>
      <c r="X311" s="8" t="str">
        <f>_xlfn.XLOOKUP(F311,'Product List'!$B$1:$B$299,'Product List'!$A$1:$A$299)</f>
        <v>Newell 316</v>
      </c>
      <c r="Y311" s="8"/>
      <c r="Z311" s="8" t="str" cm="1">
        <f t="array" ref="Z311:AD311">_xlfn.XLOOKUP(D311,'Customer Details'!$A$1:$A$17,'Customer Details'!$B$1:$F$17,"No such customer",0,1)</f>
        <v>Fortis Healthcare Ltd.</v>
      </c>
      <c r="AA311" s="8" t="str">
        <v>14 Elsworthy Terrace</v>
      </c>
      <c r="AB311" s="8" t="str">
        <v>Goleta</v>
      </c>
      <c r="AC311" s="8" t="str">
        <v>CA</v>
      </c>
      <c r="AD311" s="8" t="str">
        <v>93117</v>
      </c>
    </row>
    <row r="312" spans="1:30">
      <c r="A312" s="8" t="s">
        <v>441</v>
      </c>
      <c r="B312" s="19">
        <v>41596</v>
      </c>
      <c r="C312" s="8" t="s">
        <v>46</v>
      </c>
      <c r="D312" s="8">
        <v>10015</v>
      </c>
      <c r="E312" s="8" t="str">
        <f>VLOOKUP($D312,'Customer Details'!$A$1:$F$17,4,FALSE)</f>
        <v>South Windsor</v>
      </c>
      <c r="F312" s="8" t="s">
        <v>184</v>
      </c>
      <c r="G312" s="8">
        <v>2</v>
      </c>
      <c r="H312" s="2" t="str">
        <f>VLOOKUP($D312,'Customer Details'!$A$1:$F$17,MATCH('Order SUmmary'!H$2,'Customer Details'!$A$1:$F$1,0),0)</f>
        <v>Punj Lloyd Ltd.</v>
      </c>
      <c r="I312" s="2" t="str">
        <f>VLOOKUP($D312,'Customer Details'!$A$1:$F$17,4,0)</f>
        <v>South Windsor</v>
      </c>
      <c r="J312" s="2" t="str">
        <f>VLOOKUP($D312,'Customer Details'!$A$1:$F$17,6,0)</f>
        <v>06074</v>
      </c>
      <c r="K312" s="8" t="str">
        <f>VLOOKUP(VLOOKUP(D312,'Customer Details'!$A$1:$F$17,5,0),'Region INfo'!$A$1:$C$52,3,0)</f>
        <v xml:space="preserve">Northern </v>
      </c>
      <c r="L312" s="8" t="str">
        <f>INDEX(Product_List,MATCH($F312,'Product List'!$B$1:$B$299,0),MATCH('Order SUmmary'!L$2,'Product List'!$A$1:$E$1,0))</f>
        <v>Xerox 1983</v>
      </c>
      <c r="M312" s="8">
        <f>INDEX(Product_List,MATCH($F312,'Product List'!$B$1:$B$299,0),MATCH('Order SUmmary'!M$2,'Product List'!$A$1:$E$1,0))</f>
        <v>3514</v>
      </c>
      <c r="N312" s="8">
        <f>INDEX(Product_List,MATCH($F312,'Product List'!$B$1:$B$299,0),MATCH('Order SUmmary'!N$2,'Product List'!$A$1:$E$1,0))</f>
        <v>1257</v>
      </c>
      <c r="O312" s="8" t="str">
        <f>INDEX(Product_List,MATCH($F312,'Product List'!$B$1:$B$299,0),MATCH('Order SUmmary'!O$2,'Product List'!$A$1:$E$1,0))</f>
        <v>Paper</v>
      </c>
      <c r="P312" s="12">
        <f>HLOOKUP(C312,'Commission Criteria'!$A$2:$I$4,3,FALSE)</f>
        <v>8</v>
      </c>
      <c r="Q312" s="8">
        <f t="shared" si="13"/>
        <v>2514</v>
      </c>
      <c r="R312" s="8">
        <f t="shared" si="14"/>
        <v>7028</v>
      </c>
      <c r="S312" s="36">
        <f>VLOOKUP(R312,'Commission Criteria'!$L$3:$M$11,2,TRUE)</f>
        <v>0.03</v>
      </c>
      <c r="T312" s="36">
        <f>IF(P312&lt;5,VLOOKUP(R312,'Commission Criteria'!$L$3:$M$11,2,1),VLOOKUP('Order SUmmary'!R312,'Commission Criteria'!$P$3:$Q$11,2,1))</f>
        <v>0.02</v>
      </c>
      <c r="U312" s="36">
        <f>VLOOKUP(R312,IF(P312&lt;5,'Commission Criteria'!$L$3:$M$11,'Commission Criteria'!$P$3:$Q$11),2,1)</f>
        <v>0.02</v>
      </c>
      <c r="V312" s="8" t="s">
        <v>32</v>
      </c>
      <c r="W312" s="36">
        <f t="shared" ca="1" si="15"/>
        <v>0</v>
      </c>
      <c r="X312" s="8" t="str">
        <f>_xlfn.XLOOKUP(F312,'Product List'!$B$1:$B$299,'Product List'!$A$1:$A$299)</f>
        <v>Xerox 1983</v>
      </c>
      <c r="Y312" s="8"/>
      <c r="Z312" s="8" t="str" cm="1">
        <f t="array" ref="Z312:AD312">_xlfn.XLOOKUP(D312,'Customer Details'!$A$1:$A$17,'Customer Details'!$B$1:$F$17,"No such customer",0,1)</f>
        <v>Punj Lloyd Ltd.</v>
      </c>
      <c r="AA312" s="8" t="str">
        <v>Box 3263</v>
      </c>
      <c r="AB312" s="8" t="str">
        <v>South Windsor</v>
      </c>
      <c r="AC312" s="8" t="str">
        <v>CT</v>
      </c>
      <c r="AD312" s="8" t="str">
        <v>06074</v>
      </c>
    </row>
    <row r="313" spans="1:30">
      <c r="A313" s="8" t="s">
        <v>442</v>
      </c>
      <c r="B313" s="19">
        <v>41597</v>
      </c>
      <c r="C313" s="8" t="s">
        <v>33</v>
      </c>
      <c r="D313" s="8">
        <v>10014</v>
      </c>
      <c r="E313" s="8" t="str">
        <f>VLOOKUP($D313,'Customer Details'!$A$1:$F$17,4,FALSE)</f>
        <v>Honolulu</v>
      </c>
      <c r="F313" s="8" t="s">
        <v>443</v>
      </c>
      <c r="G313" s="8">
        <v>2</v>
      </c>
      <c r="H313" s="2" t="str">
        <f>VLOOKUP($D313,'Customer Details'!$A$1:$F$17,MATCH('Order SUmmary'!H$2,'Customer Details'!$A$1:$F$1,0),0)</f>
        <v>Hindusthan National Glass &amp; Industries Ltd.</v>
      </c>
      <c r="I313" s="2" t="str">
        <f>VLOOKUP($D313,'Customer Details'!$A$1:$F$17,4,0)</f>
        <v>Honolulu</v>
      </c>
      <c r="J313" s="2" t="str">
        <f>VLOOKUP($D313,'Customer Details'!$A$1:$F$17,6,0)</f>
        <v>96825</v>
      </c>
      <c r="K313" s="8" t="str">
        <f>VLOOKUP(VLOOKUP(D313,'Customer Details'!$A$1:$F$17,5,0),'Region INfo'!$A$1:$C$52,3,0)</f>
        <v xml:space="preserve">Pacific   </v>
      </c>
      <c r="L313" s="8" t="str">
        <f>INDEX(Product_List,MATCH($F313,'Product List'!$B$1:$B$299,0),MATCH('Order SUmmary'!L$2,'Product List'!$A$1:$E$1,0))</f>
        <v>Avery 485</v>
      </c>
      <c r="M313" s="8">
        <f>INDEX(Product_List,MATCH($F313,'Product List'!$B$1:$B$299,0),MATCH('Order SUmmary'!M$2,'Product List'!$A$1:$E$1,0))</f>
        <v>3060</v>
      </c>
      <c r="N313" s="8">
        <f>INDEX(Product_List,MATCH($F313,'Product List'!$B$1:$B$299,0),MATCH('Order SUmmary'!N$2,'Product List'!$A$1:$E$1,0))</f>
        <v>1258</v>
      </c>
      <c r="O313" s="8" t="str">
        <f>INDEX(Product_List,MATCH($F313,'Product List'!$B$1:$B$299,0),MATCH('Order SUmmary'!O$2,'Product List'!$A$1:$E$1,0))</f>
        <v>Labels</v>
      </c>
      <c r="P313" s="12">
        <f>HLOOKUP(C313,'Commission Criteria'!$A$2:$I$4,3,FALSE)</f>
        <v>1</v>
      </c>
      <c r="Q313" s="8">
        <f t="shared" si="13"/>
        <v>2516</v>
      </c>
      <c r="R313" s="8">
        <f t="shared" si="14"/>
        <v>6120</v>
      </c>
      <c r="S313" s="36">
        <f>VLOOKUP(R313,'Commission Criteria'!$L$3:$M$11,2,TRUE)</f>
        <v>0.03</v>
      </c>
      <c r="T313" s="36">
        <f>IF(P313&lt;5,VLOOKUP(R313,'Commission Criteria'!$L$3:$M$11,2,1),VLOOKUP('Order SUmmary'!R313,'Commission Criteria'!$P$3:$Q$11,2,1))</f>
        <v>0.03</v>
      </c>
      <c r="U313" s="36">
        <f>VLOOKUP(R313,IF(P313&lt;5,'Commission Criteria'!$L$3:$M$11,'Commission Criteria'!$P$3:$Q$11),2,1)</f>
        <v>0.03</v>
      </c>
      <c r="V313" s="8" t="s">
        <v>43</v>
      </c>
      <c r="W313" s="36">
        <f t="shared" ca="1" si="15"/>
        <v>0</v>
      </c>
      <c r="X313" s="8" t="str">
        <f>_xlfn.XLOOKUP(F313,'Product List'!$B$1:$B$299,'Product List'!$A$1:$A$299)</f>
        <v>Avery 485</v>
      </c>
      <c r="Y313" s="8"/>
      <c r="Z313" s="8" t="str" cm="1">
        <f t="array" ref="Z313:AD313">_xlfn.XLOOKUP(D313,'Customer Details'!$A$1:$A$17,'Customer Details'!$B$1:$F$17,"No such customer",0,1)</f>
        <v>Hindusthan National Glass &amp; Industries Ltd.</v>
      </c>
      <c r="AA313" s="8" t="str">
        <v>11 Cathy St.</v>
      </c>
      <c r="AB313" s="8" t="str">
        <v>Honolulu</v>
      </c>
      <c r="AC313" s="8" t="str">
        <v>HI</v>
      </c>
      <c r="AD313" s="8" t="str">
        <v>96825</v>
      </c>
    </row>
    <row r="314" spans="1:30">
      <c r="A314" s="8" t="s">
        <v>444</v>
      </c>
      <c r="B314" s="19">
        <v>41600</v>
      </c>
      <c r="C314" s="8" t="s">
        <v>51</v>
      </c>
      <c r="D314" s="8">
        <v>10008</v>
      </c>
      <c r="E314" s="8" t="str">
        <f>VLOOKUP($D314,'Customer Details'!$A$1:$F$17,4,FALSE)</f>
        <v>Chestnut Ridge</v>
      </c>
      <c r="F314" s="8" t="s">
        <v>445</v>
      </c>
      <c r="G314" s="8">
        <v>1</v>
      </c>
      <c r="H314" s="2" t="str">
        <f>VLOOKUP($D314,'Customer Details'!$A$1:$F$17,MATCH('Order SUmmary'!H$2,'Customer Details'!$A$1:$F$1,0),0)</f>
        <v>Reliance Industries Limited</v>
      </c>
      <c r="I314" s="2" t="str">
        <f>VLOOKUP($D314,'Customer Details'!$A$1:$F$17,4,0)</f>
        <v>Chestnut Ridge</v>
      </c>
      <c r="J314" s="2" t="str">
        <f>VLOOKUP($D314,'Customer Details'!$A$1:$F$17,6,0)</f>
        <v>10977</v>
      </c>
      <c r="K314" s="8" t="str">
        <f>VLOOKUP(VLOOKUP(D314,'Customer Details'!$A$1:$F$17,5,0),'Region INfo'!$A$1:$C$52,3,0)</f>
        <v xml:space="preserve">Northern </v>
      </c>
      <c r="L314" s="8" t="str">
        <f>INDEX(Product_List,MATCH($F314,'Product List'!$B$1:$B$299,0),MATCH('Order SUmmary'!L$2,'Product List'!$A$1:$E$1,0))</f>
        <v>Xerox 1882</v>
      </c>
      <c r="M314" s="8">
        <f>INDEX(Product_List,MATCH($F314,'Product List'!$B$1:$B$299,0),MATCH('Order SUmmary'!M$2,'Product List'!$A$1:$E$1,0))</f>
        <v>4206</v>
      </c>
      <c r="N314" s="8">
        <f>INDEX(Product_List,MATCH($F314,'Product List'!$B$1:$B$299,0),MATCH('Order SUmmary'!N$2,'Product List'!$A$1:$E$1,0))</f>
        <v>1201</v>
      </c>
      <c r="O314" s="8" t="str">
        <f>INDEX(Product_List,MATCH($F314,'Product List'!$B$1:$B$299,0),MATCH('Order SUmmary'!O$2,'Product List'!$A$1:$E$1,0))</f>
        <v>Paper</v>
      </c>
      <c r="P314" s="12">
        <f>HLOOKUP(C314,'Commission Criteria'!$A$2:$I$4,3,FALSE)</f>
        <v>10</v>
      </c>
      <c r="Q314" s="8">
        <f t="shared" si="13"/>
        <v>1201</v>
      </c>
      <c r="R314" s="8">
        <f t="shared" si="14"/>
        <v>4206</v>
      </c>
      <c r="S314" s="36">
        <f>VLOOKUP(R314,'Commission Criteria'!$L$3:$M$11,2,TRUE)</f>
        <v>0.01</v>
      </c>
      <c r="T314" s="36">
        <f>IF(P314&lt;5,VLOOKUP(R314,'Commission Criteria'!$L$3:$M$11,2,1),VLOOKUP('Order SUmmary'!R314,'Commission Criteria'!$P$3:$Q$11,2,1))</f>
        <v>0.02</v>
      </c>
      <c r="U314" s="36">
        <f>VLOOKUP(R314,IF(P314&lt;5,'Commission Criteria'!$L$3:$M$11,'Commission Criteria'!$P$3:$Q$11),2,1)</f>
        <v>0.02</v>
      </c>
      <c r="V314" s="8" t="s">
        <v>40</v>
      </c>
      <c r="W314" s="36">
        <f t="shared" ca="1" si="15"/>
        <v>0</v>
      </c>
      <c r="X314" s="8" t="str">
        <f>_xlfn.XLOOKUP(F314,'Product List'!$B$1:$B$299,'Product List'!$A$1:$A$299)</f>
        <v>Xerox 1882</v>
      </c>
      <c r="Y314" s="8"/>
      <c r="Z314" s="8" t="str" cm="1">
        <f t="array" ref="Z314:AD314">_xlfn.XLOOKUP(D314,'Customer Details'!$A$1:$A$17,'Customer Details'!$B$1:$F$17,"No such customer",0,1)</f>
        <v>Reliance Industries Limited</v>
      </c>
      <c r="AA314" s="8" t="str">
        <v>12020 Shamrock Rd., Suite 333</v>
      </c>
      <c r="AB314" s="8" t="str">
        <v>Chestnut Ridge</v>
      </c>
      <c r="AC314" s="8" t="str">
        <v>NY</v>
      </c>
      <c r="AD314" s="8" t="str">
        <v>10977</v>
      </c>
    </row>
    <row r="315" spans="1:30">
      <c r="A315" s="8" t="s">
        <v>444</v>
      </c>
      <c r="B315" s="19">
        <v>41600</v>
      </c>
      <c r="C315" s="8" t="s">
        <v>66</v>
      </c>
      <c r="D315" s="8">
        <v>10013</v>
      </c>
      <c r="E315" s="8" t="str">
        <f>VLOOKUP($D315,'Customer Details'!$A$1:$F$17,4,FALSE)</f>
        <v>Naugatuck</v>
      </c>
      <c r="F315" s="8" t="s">
        <v>322</v>
      </c>
      <c r="G315" s="8">
        <v>1</v>
      </c>
      <c r="H315" s="2" t="str">
        <f>VLOOKUP($D315,'Customer Details'!$A$1:$F$17,MATCH('Order SUmmary'!H$2,'Customer Details'!$A$1:$F$1,0),0)</f>
        <v>GMR Infrastructure Ltd.</v>
      </c>
      <c r="I315" s="2" t="str">
        <f>VLOOKUP($D315,'Customer Details'!$A$1:$F$17,4,0)</f>
        <v>Naugatuck</v>
      </c>
      <c r="J315" s="2" t="str">
        <f>VLOOKUP($D315,'Customer Details'!$A$1:$F$17,6,0)</f>
        <v>06770</v>
      </c>
      <c r="K315" s="8" t="str">
        <f>VLOOKUP(VLOOKUP(D315,'Customer Details'!$A$1:$F$17,5,0),'Region INfo'!$A$1:$C$52,3,0)</f>
        <v xml:space="preserve">Northern </v>
      </c>
      <c r="L315" s="8" t="str">
        <f>INDEX(Product_List,MATCH($F315,'Product List'!$B$1:$B$299,0),MATCH('Order SUmmary'!L$2,'Product List'!$A$1:$E$1,0))</f>
        <v>Xerox 1966</v>
      </c>
      <c r="M315" s="8">
        <f>INDEX(Product_List,MATCH($F315,'Product List'!$B$1:$B$299,0),MATCH('Order SUmmary'!M$2,'Product List'!$A$1:$E$1,0))</f>
        <v>4476</v>
      </c>
      <c r="N315" s="8">
        <f>INDEX(Product_List,MATCH($F315,'Product List'!$B$1:$B$299,0),MATCH('Order SUmmary'!N$2,'Product List'!$A$1:$E$1,0))</f>
        <v>2494</v>
      </c>
      <c r="O315" s="8" t="str">
        <f>INDEX(Product_List,MATCH($F315,'Product List'!$B$1:$B$299,0),MATCH('Order SUmmary'!O$2,'Product List'!$A$1:$E$1,0))</f>
        <v>Paper</v>
      </c>
      <c r="P315" s="12">
        <f>HLOOKUP(C315,'Commission Criteria'!$A$2:$I$4,3,FALSE)</f>
        <v>5</v>
      </c>
      <c r="Q315" s="8">
        <f t="shared" si="13"/>
        <v>2494</v>
      </c>
      <c r="R315" s="8">
        <f t="shared" si="14"/>
        <v>4476</v>
      </c>
      <c r="S315" s="36">
        <f>VLOOKUP(R315,'Commission Criteria'!$L$3:$M$11,2,TRUE)</f>
        <v>0.01</v>
      </c>
      <c r="T315" s="36">
        <f>IF(P315&lt;5,VLOOKUP(R315,'Commission Criteria'!$L$3:$M$11,2,1),VLOOKUP('Order SUmmary'!R315,'Commission Criteria'!$P$3:$Q$11,2,1))</f>
        <v>0.02</v>
      </c>
      <c r="U315" s="36">
        <f>VLOOKUP(R315,IF(P315&lt;5,'Commission Criteria'!$L$3:$M$11,'Commission Criteria'!$P$3:$Q$11),2,1)</f>
        <v>0.02</v>
      </c>
      <c r="V315" s="8" t="s">
        <v>29</v>
      </c>
      <c r="W315" s="36">
        <f t="shared" ca="1" si="15"/>
        <v>0.01</v>
      </c>
      <c r="X315" s="8" t="str">
        <f>_xlfn.XLOOKUP(F315,'Product List'!$B$1:$B$299,'Product List'!$A$1:$A$299)</f>
        <v>Xerox 1966</v>
      </c>
      <c r="Y315" s="8"/>
      <c r="Z315" s="8" t="str" cm="1">
        <f t="array" ref="Z315:AD315">_xlfn.XLOOKUP(D315,'Customer Details'!$A$1:$A$17,'Customer Details'!$B$1:$F$17,"No such customer",0,1)</f>
        <v>GMR Infrastructure Ltd.</v>
      </c>
      <c r="AA315" s="8" t="str">
        <v>P.O. Box 4421</v>
      </c>
      <c r="AB315" s="8" t="str">
        <v>Naugatuck</v>
      </c>
      <c r="AC315" s="8" t="str">
        <v>CT</v>
      </c>
      <c r="AD315" s="8" t="str">
        <v>06770</v>
      </c>
    </row>
    <row r="316" spans="1:30">
      <c r="A316" s="8" t="s">
        <v>444</v>
      </c>
      <c r="B316" s="19">
        <v>41600</v>
      </c>
      <c r="C316" s="8" t="s">
        <v>66</v>
      </c>
      <c r="D316" s="8">
        <v>10012</v>
      </c>
      <c r="E316" s="8" t="str">
        <f>VLOOKUP($D316,'Customer Details'!$A$1:$F$17,4,FALSE)</f>
        <v>Santa Barbara</v>
      </c>
      <c r="F316" s="8" t="s">
        <v>446</v>
      </c>
      <c r="G316" s="8">
        <v>3</v>
      </c>
      <c r="H316" s="2" t="str">
        <f>VLOOKUP($D316,'Customer Details'!$A$1:$F$17,MATCH('Order SUmmary'!H$2,'Customer Details'!$A$1:$F$1,0),0)</f>
        <v>Dynamatic Technologies Ltd.</v>
      </c>
      <c r="I316" s="2" t="str">
        <f>VLOOKUP($D316,'Customer Details'!$A$1:$F$17,4,0)</f>
        <v>Santa Barbara</v>
      </c>
      <c r="J316" s="2" t="str">
        <f>VLOOKUP($D316,'Customer Details'!$A$1:$F$17,6,0)</f>
        <v>93110</v>
      </c>
      <c r="K316" s="8" t="str">
        <f>VLOOKUP(VLOOKUP(D316,'Customer Details'!$A$1:$F$17,5,0),'Region INfo'!$A$1:$C$52,3,0)</f>
        <v xml:space="preserve">Pacific   </v>
      </c>
      <c r="L316" s="8" t="str">
        <f>INDEX(Product_List,MATCH($F316,'Product List'!$B$1:$B$299,0),MATCH('Order SUmmary'!L$2,'Product List'!$A$1:$E$1,0))</f>
        <v>Xerox 1956</v>
      </c>
      <c r="M316" s="8">
        <f>INDEX(Product_List,MATCH($F316,'Product List'!$B$1:$B$299,0),MATCH('Order SUmmary'!M$2,'Product List'!$A$1:$E$1,0))</f>
        <v>2659</v>
      </c>
      <c r="N316" s="8">
        <f>INDEX(Product_List,MATCH($F316,'Product List'!$B$1:$B$299,0),MATCH('Order SUmmary'!N$2,'Product List'!$A$1:$E$1,0))</f>
        <v>2415</v>
      </c>
      <c r="O316" s="8" t="str">
        <f>INDEX(Product_List,MATCH($F316,'Product List'!$B$1:$B$299,0),MATCH('Order SUmmary'!O$2,'Product List'!$A$1:$E$1,0))</f>
        <v>Paper</v>
      </c>
      <c r="P316" s="12">
        <f>HLOOKUP(C316,'Commission Criteria'!$A$2:$I$4,3,FALSE)</f>
        <v>5</v>
      </c>
      <c r="Q316" s="8">
        <f t="shared" si="13"/>
        <v>7245</v>
      </c>
      <c r="R316" s="8">
        <f t="shared" si="14"/>
        <v>7977</v>
      </c>
      <c r="S316" s="36">
        <f>VLOOKUP(R316,'Commission Criteria'!$L$3:$M$11,2,TRUE)</f>
        <v>0.03</v>
      </c>
      <c r="T316" s="36">
        <f>IF(P316&lt;5,VLOOKUP(R316,'Commission Criteria'!$L$3:$M$11,2,1),VLOOKUP('Order SUmmary'!R316,'Commission Criteria'!$P$3:$Q$11,2,1))</f>
        <v>0.02</v>
      </c>
      <c r="U316" s="36">
        <f>VLOOKUP(R316,IF(P316&lt;5,'Commission Criteria'!$L$3:$M$11,'Commission Criteria'!$P$3:$Q$11),2,1)</f>
        <v>0.02</v>
      </c>
      <c r="V316" s="8" t="s">
        <v>29</v>
      </c>
      <c r="W316" s="36">
        <f t="shared" ca="1" si="15"/>
        <v>0.05</v>
      </c>
      <c r="X316" s="8" t="str">
        <f>_xlfn.XLOOKUP(F316,'Product List'!$B$1:$B$299,'Product List'!$A$1:$A$299)</f>
        <v>Xerox 1956</v>
      </c>
      <c r="Y316" s="8"/>
      <c r="Z316" s="8" t="str" cm="1">
        <f t="array" ref="Z316:AD316">_xlfn.XLOOKUP(D316,'Customer Details'!$A$1:$A$17,'Customer Details'!$B$1:$F$17,"No such customer",0,1)</f>
        <v>Dynamatic Technologies Ltd.</v>
      </c>
      <c r="AA316" s="8" t="str">
        <v>402 Pinkster Lane</v>
      </c>
      <c r="AB316" s="8" t="str">
        <v>Santa Barbara</v>
      </c>
      <c r="AC316" s="8" t="str">
        <v>CA</v>
      </c>
      <c r="AD316" s="8" t="str">
        <v>93110</v>
      </c>
    </row>
    <row r="317" spans="1:30">
      <c r="A317" s="8" t="s">
        <v>447</v>
      </c>
      <c r="B317" s="19">
        <v>41603</v>
      </c>
      <c r="C317" s="8" t="s">
        <v>51</v>
      </c>
      <c r="D317" s="8">
        <v>10005</v>
      </c>
      <c r="E317" s="8" t="str">
        <f>VLOOKUP($D317,'Customer Details'!$A$1:$F$17,4,FALSE)</f>
        <v>Goleta</v>
      </c>
      <c r="F317" s="8" t="s">
        <v>352</v>
      </c>
      <c r="G317" s="8">
        <v>1</v>
      </c>
      <c r="H317" s="2" t="str">
        <f>VLOOKUP($D317,'Customer Details'!$A$1:$F$17,MATCH('Order SUmmary'!H$2,'Customer Details'!$A$1:$F$1,0),0)</f>
        <v>Fortis Healthcare Ltd.</v>
      </c>
      <c r="I317" s="2" t="str">
        <f>VLOOKUP($D317,'Customer Details'!$A$1:$F$17,4,0)</f>
        <v>Goleta</v>
      </c>
      <c r="J317" s="2" t="str">
        <f>VLOOKUP($D317,'Customer Details'!$A$1:$F$17,6,0)</f>
        <v>93117</v>
      </c>
      <c r="K317" s="8" t="str">
        <f>VLOOKUP(VLOOKUP(D317,'Customer Details'!$A$1:$F$17,5,0),'Region INfo'!$A$1:$C$52,3,0)</f>
        <v xml:space="preserve">Pacific   </v>
      </c>
      <c r="L317" s="8" t="str">
        <f>INDEX(Product_List,MATCH($F317,'Product List'!$B$1:$B$299,0),MATCH('Order SUmmary'!L$2,'Product List'!$A$1:$E$1,0))</f>
        <v>Avery 501</v>
      </c>
      <c r="M317" s="8">
        <f>INDEX(Product_List,MATCH($F317,'Product List'!$B$1:$B$299,0),MATCH('Order SUmmary'!M$2,'Product List'!$A$1:$E$1,0))</f>
        <v>3295</v>
      </c>
      <c r="N317" s="8">
        <f>INDEX(Product_List,MATCH($F317,'Product List'!$B$1:$B$299,0),MATCH('Order SUmmary'!N$2,'Product List'!$A$1:$E$1,0))</f>
        <v>1841</v>
      </c>
      <c r="O317" s="8" t="str">
        <f>INDEX(Product_List,MATCH($F317,'Product List'!$B$1:$B$299,0),MATCH('Order SUmmary'!O$2,'Product List'!$A$1:$E$1,0))</f>
        <v>Labels</v>
      </c>
      <c r="P317" s="12">
        <f>HLOOKUP(C317,'Commission Criteria'!$A$2:$I$4,3,FALSE)</f>
        <v>10</v>
      </c>
      <c r="Q317" s="8">
        <f t="shared" si="13"/>
        <v>1841</v>
      </c>
      <c r="R317" s="8">
        <f t="shared" si="14"/>
        <v>3295</v>
      </c>
      <c r="S317" s="36">
        <f>VLOOKUP(R317,'Commission Criteria'!$L$3:$M$11,2,TRUE)</f>
        <v>0.01</v>
      </c>
      <c r="T317" s="36">
        <f>IF(P317&lt;5,VLOOKUP(R317,'Commission Criteria'!$L$3:$M$11,2,1),VLOOKUP('Order SUmmary'!R317,'Commission Criteria'!$P$3:$Q$11,2,1))</f>
        <v>0.02</v>
      </c>
      <c r="U317" s="36">
        <f>VLOOKUP(R317,IF(P317&lt;5,'Commission Criteria'!$L$3:$M$11,'Commission Criteria'!$P$3:$Q$11),2,1)</f>
        <v>0.02</v>
      </c>
      <c r="V317" s="8" t="s">
        <v>50</v>
      </c>
      <c r="W317" s="36">
        <f t="shared" ca="1" si="15"/>
        <v>0.02</v>
      </c>
      <c r="X317" s="8" t="str">
        <f>_xlfn.XLOOKUP(F317,'Product List'!$B$1:$B$299,'Product List'!$A$1:$A$299)</f>
        <v>Avery 501</v>
      </c>
      <c r="Y317" s="8"/>
      <c r="Z317" s="8" t="str" cm="1">
        <f t="array" ref="Z317:AD317">_xlfn.XLOOKUP(D317,'Customer Details'!$A$1:$A$17,'Customer Details'!$B$1:$F$17,"No such customer",0,1)</f>
        <v>Fortis Healthcare Ltd.</v>
      </c>
      <c r="AA317" s="8" t="str">
        <v>14 Elsworthy Terrace</v>
      </c>
      <c r="AB317" s="8" t="str">
        <v>Goleta</v>
      </c>
      <c r="AC317" s="8" t="str">
        <v>CA</v>
      </c>
      <c r="AD317" s="8" t="str">
        <v>93117</v>
      </c>
    </row>
    <row r="318" spans="1:30">
      <c r="A318" s="8" t="s">
        <v>448</v>
      </c>
      <c r="B318" s="19">
        <v>41603</v>
      </c>
      <c r="C318" s="8" t="s">
        <v>54</v>
      </c>
      <c r="D318" s="8">
        <v>10012</v>
      </c>
      <c r="E318" s="8" t="str">
        <f>VLOOKUP($D318,'Customer Details'!$A$1:$F$17,4,FALSE)</f>
        <v>Santa Barbara</v>
      </c>
      <c r="F318" s="8" t="s">
        <v>449</v>
      </c>
      <c r="G318" s="8">
        <v>1</v>
      </c>
      <c r="H318" s="2" t="str">
        <f>VLOOKUP($D318,'Customer Details'!$A$1:$F$17,MATCH('Order SUmmary'!H$2,'Customer Details'!$A$1:$F$1,0),0)</f>
        <v>Dynamatic Technologies Ltd.</v>
      </c>
      <c r="I318" s="2" t="str">
        <f>VLOOKUP($D318,'Customer Details'!$A$1:$F$17,4,0)</f>
        <v>Santa Barbara</v>
      </c>
      <c r="J318" s="2" t="str">
        <f>VLOOKUP($D318,'Customer Details'!$A$1:$F$17,6,0)</f>
        <v>93110</v>
      </c>
      <c r="K318" s="8" t="str">
        <f>VLOOKUP(VLOOKUP(D318,'Customer Details'!$A$1:$F$17,5,0),'Region INfo'!$A$1:$C$52,3,0)</f>
        <v xml:space="preserve">Pacific   </v>
      </c>
      <c r="L318" s="8" t="str">
        <f>INDEX(Product_List,MATCH($F318,'Product List'!$B$1:$B$299,0),MATCH('Order SUmmary'!L$2,'Product List'!$A$1:$E$1,0))</f>
        <v>AT&amp;T CL82213</v>
      </c>
      <c r="M318" s="8">
        <f>INDEX(Product_List,MATCH($F318,'Product List'!$B$1:$B$299,0),MATCH('Order SUmmary'!M$2,'Product List'!$A$1:$E$1,0))</f>
        <v>3759</v>
      </c>
      <c r="N318" s="8">
        <f>INDEX(Product_List,MATCH($F318,'Product List'!$B$1:$B$299,0),MATCH('Order SUmmary'!N$2,'Product List'!$A$1:$E$1,0))</f>
        <v>2258</v>
      </c>
      <c r="O318" s="8" t="str">
        <f>INDEX(Product_List,MATCH($F318,'Product List'!$B$1:$B$299,0),MATCH('Order SUmmary'!O$2,'Product List'!$A$1:$E$1,0))</f>
        <v>Phones</v>
      </c>
      <c r="P318" s="12">
        <f>HLOOKUP(C318,'Commission Criteria'!$A$2:$I$4,3,FALSE)</f>
        <v>3</v>
      </c>
      <c r="Q318" s="8">
        <f t="shared" si="13"/>
        <v>2258</v>
      </c>
      <c r="R318" s="8">
        <f t="shared" si="14"/>
        <v>3759</v>
      </c>
      <c r="S318" s="36">
        <f>VLOOKUP(R318,'Commission Criteria'!$L$3:$M$11,2,TRUE)</f>
        <v>0.01</v>
      </c>
      <c r="T318" s="36">
        <f>IF(P318&lt;5,VLOOKUP(R318,'Commission Criteria'!$L$3:$M$11,2,1),VLOOKUP('Order SUmmary'!R318,'Commission Criteria'!$P$3:$Q$11,2,1))</f>
        <v>0.01</v>
      </c>
      <c r="U318" s="36">
        <f>VLOOKUP(R318,IF(P318&lt;5,'Commission Criteria'!$L$3:$M$11,'Commission Criteria'!$P$3:$Q$11),2,1)</f>
        <v>0.01</v>
      </c>
      <c r="V318" s="8" t="s">
        <v>40</v>
      </c>
      <c r="W318" s="36">
        <f t="shared" ca="1" si="15"/>
        <v>0.01</v>
      </c>
      <c r="X318" s="8" t="str">
        <f>_xlfn.XLOOKUP(F318,'Product List'!$B$1:$B$299,'Product List'!$A$1:$A$299)</f>
        <v>AT&amp;T CL82213</v>
      </c>
      <c r="Y318" s="8"/>
      <c r="Z318" s="8" t="str" cm="1">
        <f t="array" ref="Z318:AD318">_xlfn.XLOOKUP(D318,'Customer Details'!$A$1:$A$17,'Customer Details'!$B$1:$F$17,"No such customer",0,1)</f>
        <v>Dynamatic Technologies Ltd.</v>
      </c>
      <c r="AA318" s="8" t="str">
        <v>402 Pinkster Lane</v>
      </c>
      <c r="AB318" s="8" t="str">
        <v>Santa Barbara</v>
      </c>
      <c r="AC318" s="8" t="str">
        <v>CA</v>
      </c>
      <c r="AD318" s="8" t="str">
        <v>93110</v>
      </c>
    </row>
    <row r="319" spans="1:30">
      <c r="A319" s="8" t="s">
        <v>447</v>
      </c>
      <c r="B319" s="19">
        <v>41603</v>
      </c>
      <c r="C319" s="8" t="s">
        <v>33</v>
      </c>
      <c r="D319" s="8">
        <v>10006</v>
      </c>
      <c r="E319" s="8" t="str">
        <f>VLOOKUP($D319,'Customer Details'!$A$1:$F$17,4,FALSE)</f>
        <v>Midland</v>
      </c>
      <c r="F319" s="8" t="s">
        <v>296</v>
      </c>
      <c r="G319" s="8">
        <v>1</v>
      </c>
      <c r="H319" s="2" t="str">
        <f>VLOOKUP($D319,'Customer Details'!$A$1:$F$17,MATCH('Order SUmmary'!H$2,'Customer Details'!$A$1:$F$1,0),0)</f>
        <v>Supreme Ind</v>
      </c>
      <c r="I319" s="2" t="str">
        <f>VLOOKUP($D319,'Customer Details'!$A$1:$F$17,4,0)</f>
        <v>Midland</v>
      </c>
      <c r="J319" s="2" t="str">
        <f>VLOOKUP($D319,'Customer Details'!$A$1:$F$17,6,0)</f>
        <v>79706</v>
      </c>
      <c r="K319" s="8" t="str">
        <f>VLOOKUP(VLOOKUP(D319,'Customer Details'!$A$1:$F$17,5,0),'Region INfo'!$A$1:$C$52,3,0)</f>
        <v>Western</v>
      </c>
      <c r="L319" s="8" t="str">
        <f>INDEX(Product_List,MATCH($F319,'Product List'!$B$1:$B$299,0),MATCH('Order SUmmary'!L$2,'Product List'!$A$1:$E$1,0))</f>
        <v>Motorola L804</v>
      </c>
      <c r="M319" s="8">
        <f>INDEX(Product_List,MATCH($F319,'Product List'!$B$1:$B$299,0),MATCH('Order SUmmary'!M$2,'Product List'!$A$1:$E$1,0))</f>
        <v>4163</v>
      </c>
      <c r="N319" s="8">
        <f>INDEX(Product_List,MATCH($F319,'Product List'!$B$1:$B$299,0),MATCH('Order SUmmary'!N$2,'Product List'!$A$1:$E$1,0))</f>
        <v>1216</v>
      </c>
      <c r="O319" s="8" t="str">
        <f>INDEX(Product_List,MATCH($F319,'Product List'!$B$1:$B$299,0),MATCH('Order SUmmary'!O$2,'Product List'!$A$1:$E$1,0))</f>
        <v>Phones</v>
      </c>
      <c r="P319" s="12">
        <f>HLOOKUP(C319,'Commission Criteria'!$A$2:$I$4,3,FALSE)</f>
        <v>1</v>
      </c>
      <c r="Q319" s="8">
        <f t="shared" si="13"/>
        <v>1216</v>
      </c>
      <c r="R319" s="8">
        <f t="shared" si="14"/>
        <v>4163</v>
      </c>
      <c r="S319" s="36">
        <f>VLOOKUP(R319,'Commission Criteria'!$L$3:$M$11,2,TRUE)</f>
        <v>0.01</v>
      </c>
      <c r="T319" s="36">
        <f>IF(P319&lt;5,VLOOKUP(R319,'Commission Criteria'!$L$3:$M$11,2,1),VLOOKUP('Order SUmmary'!R319,'Commission Criteria'!$P$3:$Q$11,2,1))</f>
        <v>0.01</v>
      </c>
      <c r="U319" s="36">
        <f>VLOOKUP(R319,IF(P319&lt;5,'Commission Criteria'!$L$3:$M$11,'Commission Criteria'!$P$3:$Q$11),2,1)</f>
        <v>0.01</v>
      </c>
      <c r="V319" s="8" t="s">
        <v>50</v>
      </c>
      <c r="W319" s="36">
        <f t="shared" ca="1" si="15"/>
        <v>0.03</v>
      </c>
      <c r="X319" s="8" t="str">
        <f>_xlfn.XLOOKUP(F319,'Product List'!$B$1:$B$299,'Product List'!$A$1:$A$299)</f>
        <v>Motorola L804</v>
      </c>
      <c r="Y319" s="8"/>
      <c r="Z319" s="8" t="str" cm="1">
        <f t="array" ref="Z319:AD319">_xlfn.XLOOKUP(D319,'Customer Details'!$A$1:$A$17,'Customer Details'!$B$1:$F$17,"No such customer",0,1)</f>
        <v>Supreme Ind</v>
      </c>
      <c r="AA319" s="8" t="str">
        <v>P.O. Box 1367</v>
      </c>
      <c r="AB319" s="8" t="str">
        <v>Midland</v>
      </c>
      <c r="AC319" s="8" t="str">
        <v>TX</v>
      </c>
      <c r="AD319" s="8" t="str">
        <v>79706</v>
      </c>
    </row>
    <row r="320" spans="1:30">
      <c r="A320" s="8" t="s">
        <v>450</v>
      </c>
      <c r="B320" s="19">
        <v>41607</v>
      </c>
      <c r="C320" s="8" t="s">
        <v>66</v>
      </c>
      <c r="D320" s="8">
        <v>10013</v>
      </c>
      <c r="E320" s="8" t="str">
        <f>VLOOKUP($D320,'Customer Details'!$A$1:$F$17,4,FALSE)</f>
        <v>Naugatuck</v>
      </c>
      <c r="F320" s="8" t="s">
        <v>451</v>
      </c>
      <c r="G320" s="8">
        <v>1</v>
      </c>
      <c r="H320" s="2" t="str">
        <f>VLOOKUP($D320,'Customer Details'!$A$1:$F$17,MATCH('Order SUmmary'!H$2,'Customer Details'!$A$1:$F$1,0),0)</f>
        <v>GMR Infrastructure Ltd.</v>
      </c>
      <c r="I320" s="2" t="str">
        <f>VLOOKUP($D320,'Customer Details'!$A$1:$F$17,4,0)</f>
        <v>Naugatuck</v>
      </c>
      <c r="J320" s="2" t="str">
        <f>VLOOKUP($D320,'Customer Details'!$A$1:$F$17,6,0)</f>
        <v>06770</v>
      </c>
      <c r="K320" s="8" t="str">
        <f>VLOOKUP(VLOOKUP(D320,'Customer Details'!$A$1:$F$17,5,0),'Region INfo'!$A$1:$C$52,3,0)</f>
        <v xml:space="preserve">Northern </v>
      </c>
      <c r="L320" s="8" t="str">
        <f>INDEX(Product_List,MATCH($F320,'Product List'!$B$1:$B$299,0),MATCH('Order SUmmary'!L$2,'Product List'!$A$1:$E$1,0))</f>
        <v>Xerox 1903</v>
      </c>
      <c r="M320" s="8">
        <f>INDEX(Product_List,MATCH($F320,'Product List'!$B$1:$B$299,0),MATCH('Order SUmmary'!M$2,'Product List'!$A$1:$E$1,0))</f>
        <v>4758</v>
      </c>
      <c r="N320" s="8">
        <f>INDEX(Product_List,MATCH($F320,'Product List'!$B$1:$B$299,0),MATCH('Order SUmmary'!N$2,'Product List'!$A$1:$E$1,0))</f>
        <v>1946</v>
      </c>
      <c r="O320" s="8" t="str">
        <f>INDEX(Product_List,MATCH($F320,'Product List'!$B$1:$B$299,0),MATCH('Order SUmmary'!O$2,'Product List'!$A$1:$E$1,0))</f>
        <v>Paper</v>
      </c>
      <c r="P320" s="12">
        <f>HLOOKUP(C320,'Commission Criteria'!$A$2:$I$4,3,FALSE)</f>
        <v>5</v>
      </c>
      <c r="Q320" s="8">
        <f t="shared" si="13"/>
        <v>1946</v>
      </c>
      <c r="R320" s="8">
        <f t="shared" si="14"/>
        <v>4758</v>
      </c>
      <c r="S320" s="36">
        <f>VLOOKUP(R320,'Commission Criteria'!$L$3:$M$11,2,TRUE)</f>
        <v>0.01</v>
      </c>
      <c r="T320" s="36">
        <f>IF(P320&lt;5,VLOOKUP(R320,'Commission Criteria'!$L$3:$M$11,2,1),VLOOKUP('Order SUmmary'!R320,'Commission Criteria'!$P$3:$Q$11,2,1))</f>
        <v>0.02</v>
      </c>
      <c r="U320" s="36">
        <f>VLOOKUP(R320,IF(P320&lt;5,'Commission Criteria'!$L$3:$M$11,'Commission Criteria'!$P$3:$Q$11),2,1)</f>
        <v>0.02</v>
      </c>
      <c r="V320" s="8" t="s">
        <v>32</v>
      </c>
      <c r="W320" s="36">
        <f t="shared" ca="1" si="15"/>
        <v>0</v>
      </c>
      <c r="X320" s="8" t="str">
        <f>_xlfn.XLOOKUP(F320,'Product List'!$B$1:$B$299,'Product List'!$A$1:$A$299)</f>
        <v>Xerox 1903</v>
      </c>
      <c r="Y320" s="8"/>
      <c r="Z320" s="8" t="str" cm="1">
        <f t="array" ref="Z320:AD320">_xlfn.XLOOKUP(D320,'Customer Details'!$A$1:$A$17,'Customer Details'!$B$1:$F$17,"No such customer",0,1)</f>
        <v>GMR Infrastructure Ltd.</v>
      </c>
      <c r="AA320" s="8" t="str">
        <v>P.O. Box 4421</v>
      </c>
      <c r="AB320" s="8" t="str">
        <v>Naugatuck</v>
      </c>
      <c r="AC320" s="8" t="str">
        <v>CT</v>
      </c>
      <c r="AD320" s="8" t="str">
        <v>06770</v>
      </c>
    </row>
    <row r="321" spans="1:30">
      <c r="A321" s="8" t="s">
        <v>452</v>
      </c>
      <c r="B321" s="19">
        <v>41607</v>
      </c>
      <c r="C321" s="8" t="s">
        <v>51</v>
      </c>
      <c r="D321" s="8">
        <v>10005</v>
      </c>
      <c r="E321" s="8" t="str">
        <f>VLOOKUP($D321,'Customer Details'!$A$1:$F$17,4,FALSE)</f>
        <v>Goleta</v>
      </c>
      <c r="F321" s="8" t="s">
        <v>453</v>
      </c>
      <c r="G321" s="8">
        <v>2</v>
      </c>
      <c r="H321" s="2" t="str">
        <f>VLOOKUP($D321,'Customer Details'!$A$1:$F$17,MATCH('Order SUmmary'!H$2,'Customer Details'!$A$1:$F$1,0),0)</f>
        <v>Fortis Healthcare Ltd.</v>
      </c>
      <c r="I321" s="2" t="str">
        <f>VLOOKUP($D321,'Customer Details'!$A$1:$F$17,4,0)</f>
        <v>Goleta</v>
      </c>
      <c r="J321" s="2" t="str">
        <f>VLOOKUP($D321,'Customer Details'!$A$1:$F$17,6,0)</f>
        <v>93117</v>
      </c>
      <c r="K321" s="8" t="str">
        <f>VLOOKUP(VLOOKUP(D321,'Customer Details'!$A$1:$F$17,5,0),'Region INfo'!$A$1:$C$52,3,0)</f>
        <v xml:space="preserve">Pacific   </v>
      </c>
      <c r="L321" s="8" t="str">
        <f>INDEX(Product_List,MATCH($F321,'Product List'!$B$1:$B$299,0),MATCH('Order SUmmary'!L$2,'Product List'!$A$1:$E$1,0))</f>
        <v>Xerox 231</v>
      </c>
      <c r="M321" s="8">
        <f>INDEX(Product_List,MATCH($F321,'Product List'!$B$1:$B$299,0),MATCH('Order SUmmary'!M$2,'Product List'!$A$1:$E$1,0))</f>
        <v>2507</v>
      </c>
      <c r="N321" s="8">
        <f>INDEX(Product_List,MATCH($F321,'Product List'!$B$1:$B$299,0),MATCH('Order SUmmary'!N$2,'Product List'!$A$1:$E$1,0))</f>
        <v>1380</v>
      </c>
      <c r="O321" s="8" t="str">
        <f>INDEX(Product_List,MATCH($F321,'Product List'!$B$1:$B$299,0),MATCH('Order SUmmary'!O$2,'Product List'!$A$1:$E$1,0))</f>
        <v>Paper</v>
      </c>
      <c r="P321" s="12">
        <f>HLOOKUP(C321,'Commission Criteria'!$A$2:$I$4,3,FALSE)</f>
        <v>10</v>
      </c>
      <c r="Q321" s="8">
        <f t="shared" si="13"/>
        <v>2760</v>
      </c>
      <c r="R321" s="8">
        <f t="shared" si="14"/>
        <v>5014</v>
      </c>
      <c r="S321" s="36">
        <f>VLOOKUP(R321,'Commission Criteria'!$L$3:$M$11,2,TRUE)</f>
        <v>0.03</v>
      </c>
      <c r="T321" s="36">
        <f>IF(P321&lt;5,VLOOKUP(R321,'Commission Criteria'!$L$3:$M$11,2,1),VLOOKUP('Order SUmmary'!R321,'Commission Criteria'!$P$3:$Q$11,2,1))</f>
        <v>0.02</v>
      </c>
      <c r="U321" s="36">
        <f>VLOOKUP(R321,IF(P321&lt;5,'Commission Criteria'!$L$3:$M$11,'Commission Criteria'!$P$3:$Q$11),2,1)</f>
        <v>0.02</v>
      </c>
      <c r="V321" s="8" t="s">
        <v>50</v>
      </c>
      <c r="W321" s="36">
        <f t="shared" ca="1" si="15"/>
        <v>0.04</v>
      </c>
      <c r="X321" s="8" t="str">
        <f>_xlfn.XLOOKUP(F321,'Product List'!$B$1:$B$299,'Product List'!$A$1:$A$299)</f>
        <v>Xerox 231</v>
      </c>
      <c r="Y321" s="8"/>
      <c r="Z321" s="8" t="str" cm="1">
        <f t="array" ref="Z321:AD321">_xlfn.XLOOKUP(D321,'Customer Details'!$A$1:$A$17,'Customer Details'!$B$1:$F$17,"No such customer",0,1)</f>
        <v>Fortis Healthcare Ltd.</v>
      </c>
      <c r="AA321" s="8" t="str">
        <v>14 Elsworthy Terrace</v>
      </c>
      <c r="AB321" s="8" t="str">
        <v>Goleta</v>
      </c>
      <c r="AC321" s="8" t="str">
        <v>CA</v>
      </c>
      <c r="AD321" s="8" t="str">
        <v>93117</v>
      </c>
    </row>
    <row r="322" spans="1:30">
      <c r="A322" s="8" t="s">
        <v>454</v>
      </c>
      <c r="B322" s="19">
        <v>41607</v>
      </c>
      <c r="C322" s="8" t="s">
        <v>33</v>
      </c>
      <c r="D322" s="8">
        <v>10003</v>
      </c>
      <c r="E322" s="8" t="str">
        <f>VLOOKUP($D322,'Customer Details'!$A$1:$F$17,4,FALSE)</f>
        <v>Miami</v>
      </c>
      <c r="F322" s="8" t="s">
        <v>295</v>
      </c>
      <c r="G322" s="8">
        <v>2</v>
      </c>
      <c r="H322" s="2" t="str">
        <f>VLOOKUP($D322,'Customer Details'!$A$1:$F$17,MATCH('Order SUmmary'!H$2,'Customer Details'!$A$1:$F$1,0),0)</f>
        <v>Honeywell Automation</v>
      </c>
      <c r="I322" s="2" t="str">
        <f>VLOOKUP($D322,'Customer Details'!$A$1:$F$17,4,0)</f>
        <v>Miami</v>
      </c>
      <c r="J322" s="2" t="str">
        <f>VLOOKUP($D322,'Customer Details'!$A$1:$F$17,6,0)</f>
        <v>33732</v>
      </c>
      <c r="K322" s="8" t="str">
        <f>VLOOKUP(VLOOKUP(D322,'Customer Details'!$A$1:$F$17,5,0),'Region INfo'!$A$1:$C$52,3,0)</f>
        <v>Southern</v>
      </c>
      <c r="L322" s="8" t="str">
        <f>INDEX(Product_List,MATCH($F322,'Product List'!$B$1:$B$299,0),MATCH('Order SUmmary'!L$2,'Product List'!$A$1:$E$1,0))</f>
        <v>Xerox 1950</v>
      </c>
      <c r="M322" s="8">
        <f>INDEX(Product_List,MATCH($F322,'Product List'!$B$1:$B$299,0),MATCH('Order SUmmary'!M$2,'Product List'!$A$1:$E$1,0))</f>
        <v>3101</v>
      </c>
      <c r="N322" s="8">
        <f>INDEX(Product_List,MATCH($F322,'Product List'!$B$1:$B$299,0),MATCH('Order SUmmary'!N$2,'Product List'!$A$1:$E$1,0))</f>
        <v>1524</v>
      </c>
      <c r="O322" s="8" t="str">
        <f>INDEX(Product_List,MATCH($F322,'Product List'!$B$1:$B$299,0),MATCH('Order SUmmary'!O$2,'Product List'!$A$1:$E$1,0))</f>
        <v>Paper</v>
      </c>
      <c r="P322" s="12">
        <f>HLOOKUP(C322,'Commission Criteria'!$A$2:$I$4,3,FALSE)</f>
        <v>1</v>
      </c>
      <c r="Q322" s="8">
        <f t="shared" si="13"/>
        <v>3048</v>
      </c>
      <c r="R322" s="8">
        <f t="shared" si="14"/>
        <v>6202</v>
      </c>
      <c r="S322" s="36">
        <f>VLOOKUP(R322,'Commission Criteria'!$L$3:$M$11,2,TRUE)</f>
        <v>0.03</v>
      </c>
      <c r="T322" s="36">
        <f>IF(P322&lt;5,VLOOKUP(R322,'Commission Criteria'!$L$3:$M$11,2,1),VLOOKUP('Order SUmmary'!R322,'Commission Criteria'!$P$3:$Q$11,2,1))</f>
        <v>0.03</v>
      </c>
      <c r="U322" s="36">
        <f>VLOOKUP(R322,IF(P322&lt;5,'Commission Criteria'!$L$3:$M$11,'Commission Criteria'!$P$3:$Q$11),2,1)</f>
        <v>0.03</v>
      </c>
      <c r="V322" s="8" t="s">
        <v>35</v>
      </c>
      <c r="W322" s="36">
        <f t="shared" ca="1" si="15"/>
        <v>0.05</v>
      </c>
      <c r="X322" s="8" t="str">
        <f>_xlfn.XLOOKUP(F322,'Product List'!$B$1:$B$299,'Product List'!$A$1:$A$299)</f>
        <v>Xerox 1950</v>
      </c>
      <c r="Y322" s="8"/>
      <c r="Z322" s="8" t="str" cm="1">
        <f t="array" ref="Z322:AD322">_xlfn.XLOOKUP(D322,'Customer Details'!$A$1:$A$17,'Customer Details'!$B$1:$F$17,"No such customer",0,1)</f>
        <v>Honeywell Automation</v>
      </c>
      <c r="AA322" s="8" t="str">
        <v>1272 Harbor Road</v>
      </c>
      <c r="AB322" s="8" t="str">
        <v>Miami</v>
      </c>
      <c r="AC322" s="8" t="str">
        <v>FL</v>
      </c>
      <c r="AD322" s="8" t="str">
        <v>33732</v>
      </c>
    </row>
    <row r="323" spans="1:30">
      <c r="A323" s="8" t="s">
        <v>452</v>
      </c>
      <c r="B323" s="19">
        <v>41607</v>
      </c>
      <c r="C323" s="8" t="s">
        <v>33</v>
      </c>
      <c r="D323" s="8">
        <v>10010</v>
      </c>
      <c r="E323" s="8" t="str">
        <f>VLOOKUP($D323,'Customer Details'!$A$1:$F$17,4,FALSE)</f>
        <v>Tracy</v>
      </c>
      <c r="F323" s="8" t="s">
        <v>455</v>
      </c>
      <c r="G323" s="8">
        <v>3</v>
      </c>
      <c r="H323" s="2" t="str">
        <f>VLOOKUP($D323,'Customer Details'!$A$1:$F$17,MATCH('Order SUmmary'!H$2,'Customer Details'!$A$1:$F$1,0),0)</f>
        <v>Suzlon Energy Ltd.</v>
      </c>
      <c r="I323" s="2" t="str">
        <f>VLOOKUP($D323,'Customer Details'!$A$1:$F$17,4,0)</f>
        <v>Tracy</v>
      </c>
      <c r="J323" s="2" t="str">
        <f>VLOOKUP($D323,'Customer Details'!$A$1:$F$17,6,0)</f>
        <v>95376</v>
      </c>
      <c r="K323" s="8" t="str">
        <f>VLOOKUP(VLOOKUP(D323,'Customer Details'!$A$1:$F$17,5,0),'Region INfo'!$A$1:$C$52,3,0)</f>
        <v xml:space="preserve">Pacific   </v>
      </c>
      <c r="L323" s="8" t="str">
        <f>INDEX(Product_List,MATCH($F323,'Product List'!$B$1:$B$299,0),MATCH('Order SUmmary'!L$2,'Product List'!$A$1:$E$1,0))</f>
        <v>Newell 307</v>
      </c>
      <c r="M323" s="8">
        <f>INDEX(Product_List,MATCH($F323,'Product List'!$B$1:$B$299,0),MATCH('Order SUmmary'!M$2,'Product List'!$A$1:$E$1,0))</f>
        <v>4230</v>
      </c>
      <c r="N323" s="8">
        <f>INDEX(Product_List,MATCH($F323,'Product List'!$B$1:$B$299,0),MATCH('Order SUmmary'!N$2,'Product List'!$A$1:$E$1,0))</f>
        <v>1812</v>
      </c>
      <c r="O323" s="8" t="str">
        <f>INDEX(Product_List,MATCH($F323,'Product List'!$B$1:$B$299,0),MATCH('Order SUmmary'!O$2,'Product List'!$A$1:$E$1,0))</f>
        <v>Art</v>
      </c>
      <c r="P323" s="12">
        <f>HLOOKUP(C323,'Commission Criteria'!$A$2:$I$4,3,FALSE)</f>
        <v>1</v>
      </c>
      <c r="Q323" s="8">
        <f t="shared" si="13"/>
        <v>5436</v>
      </c>
      <c r="R323" s="8">
        <f t="shared" si="14"/>
        <v>12690</v>
      </c>
      <c r="S323" s="36">
        <f>VLOOKUP(R323,'Commission Criteria'!$L$3:$M$11,2,TRUE)</f>
        <v>0.03</v>
      </c>
      <c r="T323" s="36">
        <f>IF(P323&lt;5,VLOOKUP(R323,'Commission Criteria'!$L$3:$M$11,2,1),VLOOKUP('Order SUmmary'!R323,'Commission Criteria'!$P$3:$Q$11,2,1))</f>
        <v>0.03</v>
      </c>
      <c r="U323" s="36">
        <f>VLOOKUP(R323,IF(P323&lt;5,'Commission Criteria'!$L$3:$M$11,'Commission Criteria'!$P$3:$Q$11),2,1)</f>
        <v>0.03</v>
      </c>
      <c r="V323" s="8" t="s">
        <v>32</v>
      </c>
      <c r="W323" s="36">
        <f t="shared" ca="1" si="15"/>
        <v>0.05</v>
      </c>
      <c r="X323" s="8" t="str">
        <f>_xlfn.XLOOKUP(F323,'Product List'!$B$1:$B$299,'Product List'!$A$1:$A$299)</f>
        <v>Newell 307</v>
      </c>
      <c r="Y323" s="8"/>
      <c r="Z323" s="8" t="str" cm="1">
        <f t="array" ref="Z323:AD323">_xlfn.XLOOKUP(D323,'Customer Details'!$A$1:$A$17,'Customer Details'!$B$1:$F$17,"No such customer",0,1)</f>
        <v>Suzlon Energy Ltd.</v>
      </c>
      <c r="AA323" s="8" t="str">
        <v>501 Marsh Trail Circle</v>
      </c>
      <c r="AB323" s="8" t="str">
        <v>Tracy</v>
      </c>
      <c r="AC323" s="8" t="str">
        <v>CA</v>
      </c>
      <c r="AD323" s="8" t="str">
        <v>95376</v>
      </c>
    </row>
    <row r="324" spans="1:30">
      <c r="A324" s="8" t="s">
        <v>456</v>
      </c>
      <c r="B324" s="19">
        <v>41610</v>
      </c>
      <c r="C324" s="8" t="s">
        <v>36</v>
      </c>
      <c r="D324" s="8">
        <v>10001</v>
      </c>
      <c r="E324" s="8" t="str">
        <f>VLOOKUP($D324,'Customer Details'!$A$1:$F$17,4,FALSE)</f>
        <v>New York</v>
      </c>
      <c r="F324" s="8" t="s">
        <v>408</v>
      </c>
      <c r="G324" s="8">
        <v>1</v>
      </c>
      <c r="H324" s="2" t="str">
        <f>VLOOKUP($D324,'Customer Details'!$A$1:$F$17,MATCH('Order SUmmary'!H$2,'Customer Details'!$A$1:$F$1,0),0)</f>
        <v>Chambal Fertilisers and Chemicals Ltd.</v>
      </c>
      <c r="I324" s="2" t="str">
        <f>VLOOKUP($D324,'Customer Details'!$A$1:$F$17,4,0)</f>
        <v>New York</v>
      </c>
      <c r="J324" s="2" t="str">
        <f>VLOOKUP($D324,'Customer Details'!$A$1:$F$17,6,0)</f>
        <v>10025</v>
      </c>
      <c r="K324" s="8" t="str">
        <f>VLOOKUP(VLOOKUP(D324,'Customer Details'!$A$1:$F$17,5,0),'Region INfo'!$A$1:$C$52,3,0)</f>
        <v xml:space="preserve">Northern </v>
      </c>
      <c r="L324" s="8" t="str">
        <f>INDEX(Product_List,MATCH($F324,'Product List'!$B$1:$B$299,0),MATCH('Order SUmmary'!L$2,'Product List'!$A$1:$E$1,0))</f>
        <v>Xerox 1955</v>
      </c>
      <c r="M324" s="8">
        <f>INDEX(Product_List,MATCH($F324,'Product List'!$B$1:$B$299,0),MATCH('Order SUmmary'!M$2,'Product List'!$A$1:$E$1,0))</f>
        <v>2580</v>
      </c>
      <c r="N324" s="8">
        <f>INDEX(Product_List,MATCH($F324,'Product List'!$B$1:$B$299,0),MATCH('Order SUmmary'!N$2,'Product List'!$A$1:$E$1,0))</f>
        <v>1518</v>
      </c>
      <c r="O324" s="8" t="str">
        <f>INDEX(Product_List,MATCH($F324,'Product List'!$B$1:$B$299,0),MATCH('Order SUmmary'!O$2,'Product List'!$A$1:$E$1,0))</f>
        <v>Paper</v>
      </c>
      <c r="P324" s="12">
        <f>HLOOKUP(C324,'Commission Criteria'!$A$2:$I$4,3,FALSE)</f>
        <v>6</v>
      </c>
      <c r="Q324" s="8">
        <f t="shared" ref="Q324:Q387" si="16">N324*G324</f>
        <v>1518</v>
      </c>
      <c r="R324" s="8">
        <f t="shared" ref="R324:R387" si="17">M324*G324</f>
        <v>2580</v>
      </c>
      <c r="S324" s="36">
        <f>VLOOKUP(R324,'Commission Criteria'!$L$3:$M$11,2,TRUE)</f>
        <v>0.01</v>
      </c>
      <c r="T324" s="36">
        <f>IF(P324&lt;5,VLOOKUP(R324,'Commission Criteria'!$L$3:$M$11,2,1),VLOOKUP('Order SUmmary'!R324,'Commission Criteria'!$P$3:$Q$11,2,1))</f>
        <v>0.02</v>
      </c>
      <c r="U324" s="36">
        <f>VLOOKUP(R324,IF(P324&lt;5,'Commission Criteria'!$L$3:$M$11,'Commission Criteria'!$P$3:$Q$11),2,1)</f>
        <v>0.02</v>
      </c>
      <c r="V324" s="8" t="s">
        <v>29</v>
      </c>
      <c r="W324" s="36">
        <f t="shared" ref="W324:W387" ca="1" si="18">VLOOKUP(F324,INDIRECT(V324&amp;"!$A$1:$B$296"),2,0)</f>
        <v>0.05</v>
      </c>
      <c r="X324" s="8" t="str">
        <f>_xlfn.XLOOKUP(F324,'Product List'!$B$1:$B$299,'Product List'!$A$1:$A$299)</f>
        <v>Xerox 1955</v>
      </c>
      <c r="Y324" s="8"/>
      <c r="Z324" s="8" t="str" cm="1">
        <f t="array" ref="Z324:AD324">_xlfn.XLOOKUP(D324,'Customer Details'!$A$1:$A$17,'Customer Details'!$B$1:$F$17,"No such customer",0,1)</f>
        <v>Chambal Fertilisers and Chemicals Ltd.</v>
      </c>
      <c r="AA324" s="8" t="str">
        <v>4951 Indiana Ave.</v>
      </c>
      <c r="AB324" s="8" t="str">
        <v>New York</v>
      </c>
      <c r="AC324" s="8" t="str">
        <v>NY</v>
      </c>
      <c r="AD324" s="8" t="str">
        <v>10025</v>
      </c>
    </row>
    <row r="325" spans="1:30">
      <c r="A325" s="8" t="s">
        <v>457</v>
      </c>
      <c r="B325" s="19">
        <v>41610</v>
      </c>
      <c r="C325" s="8" t="s">
        <v>51</v>
      </c>
      <c r="D325" s="8">
        <v>10005</v>
      </c>
      <c r="E325" s="8" t="str">
        <f>VLOOKUP($D325,'Customer Details'!$A$1:$F$17,4,FALSE)</f>
        <v>Goleta</v>
      </c>
      <c r="F325" s="8" t="s">
        <v>445</v>
      </c>
      <c r="G325" s="8">
        <v>1</v>
      </c>
      <c r="H325" s="2" t="str">
        <f>VLOOKUP($D325,'Customer Details'!$A$1:$F$17,MATCH('Order SUmmary'!H$2,'Customer Details'!$A$1:$F$1,0),0)</f>
        <v>Fortis Healthcare Ltd.</v>
      </c>
      <c r="I325" s="2" t="str">
        <f>VLOOKUP($D325,'Customer Details'!$A$1:$F$17,4,0)</f>
        <v>Goleta</v>
      </c>
      <c r="J325" s="2" t="str">
        <f>VLOOKUP($D325,'Customer Details'!$A$1:$F$17,6,0)</f>
        <v>93117</v>
      </c>
      <c r="K325" s="8" t="str">
        <f>VLOOKUP(VLOOKUP(D325,'Customer Details'!$A$1:$F$17,5,0),'Region INfo'!$A$1:$C$52,3,0)</f>
        <v xml:space="preserve">Pacific   </v>
      </c>
      <c r="L325" s="8" t="str">
        <f>INDEX(Product_List,MATCH($F325,'Product List'!$B$1:$B$299,0),MATCH('Order SUmmary'!L$2,'Product List'!$A$1:$E$1,0))</f>
        <v>Xerox 1882</v>
      </c>
      <c r="M325" s="8">
        <f>INDEX(Product_List,MATCH($F325,'Product List'!$B$1:$B$299,0),MATCH('Order SUmmary'!M$2,'Product List'!$A$1:$E$1,0))</f>
        <v>4206</v>
      </c>
      <c r="N325" s="8">
        <f>INDEX(Product_List,MATCH($F325,'Product List'!$B$1:$B$299,0),MATCH('Order SUmmary'!N$2,'Product List'!$A$1:$E$1,0))</f>
        <v>1201</v>
      </c>
      <c r="O325" s="8" t="str">
        <f>INDEX(Product_List,MATCH($F325,'Product List'!$B$1:$B$299,0),MATCH('Order SUmmary'!O$2,'Product List'!$A$1:$E$1,0))</f>
        <v>Paper</v>
      </c>
      <c r="P325" s="12">
        <f>HLOOKUP(C325,'Commission Criteria'!$A$2:$I$4,3,FALSE)</f>
        <v>10</v>
      </c>
      <c r="Q325" s="8">
        <f t="shared" si="16"/>
        <v>1201</v>
      </c>
      <c r="R325" s="8">
        <f t="shared" si="17"/>
        <v>4206</v>
      </c>
      <c r="S325" s="36">
        <f>VLOOKUP(R325,'Commission Criteria'!$L$3:$M$11,2,TRUE)</f>
        <v>0.01</v>
      </c>
      <c r="T325" s="36">
        <f>IF(P325&lt;5,VLOOKUP(R325,'Commission Criteria'!$L$3:$M$11,2,1),VLOOKUP('Order SUmmary'!R325,'Commission Criteria'!$P$3:$Q$11,2,1))</f>
        <v>0.02</v>
      </c>
      <c r="U325" s="36">
        <f>VLOOKUP(R325,IF(P325&lt;5,'Commission Criteria'!$L$3:$M$11,'Commission Criteria'!$P$3:$Q$11),2,1)</f>
        <v>0.02</v>
      </c>
      <c r="V325" s="8" t="s">
        <v>50</v>
      </c>
      <c r="W325" s="36">
        <f t="shared" ca="1" si="18"/>
        <v>0.01</v>
      </c>
      <c r="X325" s="8" t="str">
        <f>_xlfn.XLOOKUP(F325,'Product List'!$B$1:$B$299,'Product List'!$A$1:$A$299)</f>
        <v>Xerox 1882</v>
      </c>
      <c r="Y325" s="8"/>
      <c r="Z325" s="8" t="str" cm="1">
        <f t="array" ref="Z325:AD325">_xlfn.XLOOKUP(D325,'Customer Details'!$A$1:$A$17,'Customer Details'!$B$1:$F$17,"No such customer",0,1)</f>
        <v>Fortis Healthcare Ltd.</v>
      </c>
      <c r="AA325" s="8" t="str">
        <v>14 Elsworthy Terrace</v>
      </c>
      <c r="AB325" s="8" t="str">
        <v>Goleta</v>
      </c>
      <c r="AC325" s="8" t="str">
        <v>CA</v>
      </c>
      <c r="AD325" s="8" t="str">
        <v>93117</v>
      </c>
    </row>
    <row r="326" spans="1:30">
      <c r="A326" s="8" t="s">
        <v>458</v>
      </c>
      <c r="B326" s="19">
        <v>41612</v>
      </c>
      <c r="C326" s="8" t="s">
        <v>33</v>
      </c>
      <c r="D326" s="8">
        <v>10004</v>
      </c>
      <c r="E326" s="8" t="str">
        <f>VLOOKUP($D326,'Customer Details'!$A$1:$F$17,4,FALSE)</f>
        <v>New York</v>
      </c>
      <c r="F326" s="8" t="s">
        <v>459</v>
      </c>
      <c r="G326" s="8">
        <v>1</v>
      </c>
      <c r="H326" s="2" t="str">
        <f>VLOOKUP($D326,'Customer Details'!$A$1:$F$17,MATCH('Order SUmmary'!H$2,'Customer Details'!$A$1:$F$1,0),0)</f>
        <v>Lupin Ltd.</v>
      </c>
      <c r="I326" s="2" t="str">
        <f>VLOOKUP($D326,'Customer Details'!$A$1:$F$17,4,0)</f>
        <v>New York</v>
      </c>
      <c r="J326" s="2" t="str">
        <f>VLOOKUP($D326,'Customer Details'!$A$1:$F$17,6,0)</f>
        <v>10019</v>
      </c>
      <c r="K326" s="8" t="str">
        <f>VLOOKUP(VLOOKUP(D326,'Customer Details'!$A$1:$F$17,5,0),'Region INfo'!$A$1:$C$52,3,0)</f>
        <v xml:space="preserve">Northern </v>
      </c>
      <c r="L326" s="8" t="str">
        <f>INDEX(Product_List,MATCH($F326,'Product List'!$B$1:$B$299,0),MATCH('Order SUmmary'!L$2,'Product List'!$A$1:$E$1,0))</f>
        <v>Xerox 1917</v>
      </c>
      <c r="M326" s="8">
        <f>INDEX(Product_List,MATCH($F326,'Product List'!$B$1:$B$299,0),MATCH('Order SUmmary'!M$2,'Product List'!$A$1:$E$1,0))</f>
        <v>3722</v>
      </c>
      <c r="N326" s="8">
        <f>INDEX(Product_List,MATCH($F326,'Product List'!$B$1:$B$299,0),MATCH('Order SUmmary'!N$2,'Product List'!$A$1:$E$1,0))</f>
        <v>1790</v>
      </c>
      <c r="O326" s="8" t="str">
        <f>INDEX(Product_List,MATCH($F326,'Product List'!$B$1:$B$299,0),MATCH('Order SUmmary'!O$2,'Product List'!$A$1:$E$1,0))</f>
        <v>Paper</v>
      </c>
      <c r="P326" s="12">
        <f>HLOOKUP(C326,'Commission Criteria'!$A$2:$I$4,3,FALSE)</f>
        <v>1</v>
      </c>
      <c r="Q326" s="8">
        <f t="shared" si="16"/>
        <v>1790</v>
      </c>
      <c r="R326" s="8">
        <f t="shared" si="17"/>
        <v>3722</v>
      </c>
      <c r="S326" s="36">
        <f>VLOOKUP(R326,'Commission Criteria'!$L$3:$M$11,2,TRUE)</f>
        <v>0.01</v>
      </c>
      <c r="T326" s="36">
        <f>IF(P326&lt;5,VLOOKUP(R326,'Commission Criteria'!$L$3:$M$11,2,1),VLOOKUP('Order SUmmary'!R326,'Commission Criteria'!$P$3:$Q$11,2,1))</f>
        <v>0.01</v>
      </c>
      <c r="U326" s="36">
        <f>VLOOKUP(R326,IF(P326&lt;5,'Commission Criteria'!$L$3:$M$11,'Commission Criteria'!$P$3:$Q$11),2,1)</f>
        <v>0.01</v>
      </c>
      <c r="V326" s="8" t="s">
        <v>32</v>
      </c>
      <c r="W326" s="36">
        <f t="shared" ca="1" si="18"/>
        <v>0.01</v>
      </c>
      <c r="X326" s="8" t="str">
        <f>_xlfn.XLOOKUP(F326,'Product List'!$B$1:$B$299,'Product List'!$A$1:$A$299)</f>
        <v>Xerox 1917</v>
      </c>
      <c r="Y326" s="8"/>
      <c r="Z326" s="8" t="str" cm="1">
        <f t="array" ref="Z326:AD326">_xlfn.XLOOKUP(D326,'Customer Details'!$A$1:$A$17,'Customer Details'!$B$1:$F$17,"No such customer",0,1)</f>
        <v>Lupin Ltd.</v>
      </c>
      <c r="AA326" s="8" t="str">
        <v>Abbey Wood</v>
      </c>
      <c r="AB326" s="8" t="str">
        <v>New York</v>
      </c>
      <c r="AC326" s="8" t="str">
        <v>NY</v>
      </c>
      <c r="AD326" s="8" t="str">
        <v>10019</v>
      </c>
    </row>
    <row r="327" spans="1:30">
      <c r="A327" s="8" t="s">
        <v>460</v>
      </c>
      <c r="B327" s="19">
        <v>41615</v>
      </c>
      <c r="C327" s="8" t="s">
        <v>36</v>
      </c>
      <c r="D327" s="8">
        <v>10010</v>
      </c>
      <c r="E327" s="8" t="str">
        <f>VLOOKUP($D327,'Customer Details'!$A$1:$F$17,4,FALSE)</f>
        <v>Tracy</v>
      </c>
      <c r="F327" s="8" t="s">
        <v>130</v>
      </c>
      <c r="G327" s="8">
        <v>2</v>
      </c>
      <c r="H327" s="2" t="str">
        <f>VLOOKUP($D327,'Customer Details'!$A$1:$F$17,MATCH('Order SUmmary'!H$2,'Customer Details'!$A$1:$F$1,0),0)</f>
        <v>Suzlon Energy Ltd.</v>
      </c>
      <c r="I327" s="2" t="str">
        <f>VLOOKUP($D327,'Customer Details'!$A$1:$F$17,4,0)</f>
        <v>Tracy</v>
      </c>
      <c r="J327" s="2" t="str">
        <f>VLOOKUP($D327,'Customer Details'!$A$1:$F$17,6,0)</f>
        <v>95376</v>
      </c>
      <c r="K327" s="8" t="str">
        <f>VLOOKUP(VLOOKUP(D327,'Customer Details'!$A$1:$F$17,5,0),'Region INfo'!$A$1:$C$52,3,0)</f>
        <v xml:space="preserve">Pacific   </v>
      </c>
      <c r="L327" s="8" t="str">
        <f>INDEX(Product_List,MATCH($F327,'Product List'!$B$1:$B$299,0),MATCH('Order SUmmary'!L$2,'Product List'!$A$1:$E$1,0))</f>
        <v>Xerox 212</v>
      </c>
      <c r="M327" s="8">
        <f>INDEX(Product_List,MATCH($F327,'Product List'!$B$1:$B$299,0),MATCH('Order SUmmary'!M$2,'Product List'!$A$1:$E$1,0))</f>
        <v>4564</v>
      </c>
      <c r="N327" s="8">
        <f>INDEX(Product_List,MATCH($F327,'Product List'!$B$1:$B$299,0),MATCH('Order SUmmary'!N$2,'Product List'!$A$1:$E$1,0))</f>
        <v>1823</v>
      </c>
      <c r="O327" s="8" t="str">
        <f>INDEX(Product_List,MATCH($F327,'Product List'!$B$1:$B$299,0),MATCH('Order SUmmary'!O$2,'Product List'!$A$1:$E$1,0))</f>
        <v>Paper</v>
      </c>
      <c r="P327" s="12">
        <f>HLOOKUP(C327,'Commission Criteria'!$A$2:$I$4,3,FALSE)</f>
        <v>6</v>
      </c>
      <c r="Q327" s="8">
        <f t="shared" si="16"/>
        <v>3646</v>
      </c>
      <c r="R327" s="8">
        <f t="shared" si="17"/>
        <v>9128</v>
      </c>
      <c r="S327" s="36">
        <f>VLOOKUP(R327,'Commission Criteria'!$L$3:$M$11,2,TRUE)</f>
        <v>0.03</v>
      </c>
      <c r="T327" s="36">
        <f>IF(P327&lt;5,VLOOKUP(R327,'Commission Criteria'!$L$3:$M$11,2,1),VLOOKUP('Order SUmmary'!R327,'Commission Criteria'!$P$3:$Q$11,2,1))</f>
        <v>0.02</v>
      </c>
      <c r="U327" s="36">
        <f>VLOOKUP(R327,IF(P327&lt;5,'Commission Criteria'!$L$3:$M$11,'Commission Criteria'!$P$3:$Q$11),2,1)</f>
        <v>0.02</v>
      </c>
      <c r="V327" s="8" t="s">
        <v>32</v>
      </c>
      <c r="W327" s="36">
        <f t="shared" ca="1" si="18"/>
        <v>0.01</v>
      </c>
      <c r="X327" s="8" t="str">
        <f>_xlfn.XLOOKUP(F327,'Product List'!$B$1:$B$299,'Product List'!$A$1:$A$299)</f>
        <v>Xerox 212</v>
      </c>
      <c r="Y327" s="8"/>
      <c r="Z327" s="8" t="str" cm="1">
        <f t="array" ref="Z327:AD327">_xlfn.XLOOKUP(D327,'Customer Details'!$A$1:$A$17,'Customer Details'!$B$1:$F$17,"No such customer",0,1)</f>
        <v>Suzlon Energy Ltd.</v>
      </c>
      <c r="AA327" s="8" t="str">
        <v>501 Marsh Trail Circle</v>
      </c>
      <c r="AB327" s="8" t="str">
        <v>Tracy</v>
      </c>
      <c r="AC327" s="8" t="str">
        <v>CA</v>
      </c>
      <c r="AD327" s="8" t="str">
        <v>95376</v>
      </c>
    </row>
    <row r="328" spans="1:30">
      <c r="A328" s="8" t="s">
        <v>461</v>
      </c>
      <c r="B328" s="19">
        <v>41616</v>
      </c>
      <c r="C328" s="8" t="s">
        <v>66</v>
      </c>
      <c r="D328" s="8">
        <v>10007</v>
      </c>
      <c r="E328" s="8" t="str">
        <f>VLOOKUP($D328,'Customer Details'!$A$1:$F$17,4,FALSE)</f>
        <v>Richmond</v>
      </c>
      <c r="F328" s="8" t="s">
        <v>462</v>
      </c>
      <c r="G328" s="8">
        <v>1</v>
      </c>
      <c r="H328" s="2" t="str">
        <f>VLOOKUP($D328,'Customer Details'!$A$1:$F$17,MATCH('Order SUmmary'!H$2,'Customer Details'!$A$1:$F$1,0),0)</f>
        <v>GHCL Ltd.</v>
      </c>
      <c r="I328" s="2" t="str">
        <f>VLOOKUP($D328,'Customer Details'!$A$1:$F$17,4,0)</f>
        <v>Richmond</v>
      </c>
      <c r="J328" s="2" t="str">
        <f>VLOOKUP($D328,'Customer Details'!$A$1:$F$17,6,0)</f>
        <v>94805</v>
      </c>
      <c r="K328" s="8" t="str">
        <f>VLOOKUP(VLOOKUP(D328,'Customer Details'!$A$1:$F$17,5,0),'Region INfo'!$A$1:$C$52,3,0)</f>
        <v xml:space="preserve">Pacific   </v>
      </c>
      <c r="L328" s="8" t="str">
        <f>INDEX(Product_List,MATCH($F328,'Product List'!$B$1:$B$299,0),MATCH('Order SUmmary'!L$2,'Product List'!$A$1:$E$1,0))</f>
        <v>Newell 322</v>
      </c>
      <c r="M328" s="8">
        <f>INDEX(Product_List,MATCH($F328,'Product List'!$B$1:$B$299,0),MATCH('Order SUmmary'!M$2,'Product List'!$A$1:$E$1,0))</f>
        <v>3472</v>
      </c>
      <c r="N328" s="8">
        <f>INDEX(Product_List,MATCH($F328,'Product List'!$B$1:$B$299,0),MATCH('Order SUmmary'!N$2,'Product List'!$A$1:$E$1,0))</f>
        <v>2239</v>
      </c>
      <c r="O328" s="8" t="str">
        <f>INDEX(Product_List,MATCH($F328,'Product List'!$B$1:$B$299,0),MATCH('Order SUmmary'!O$2,'Product List'!$A$1:$E$1,0))</f>
        <v>Art</v>
      </c>
      <c r="P328" s="12">
        <f>HLOOKUP(C328,'Commission Criteria'!$A$2:$I$4,3,FALSE)</f>
        <v>5</v>
      </c>
      <c r="Q328" s="8">
        <f t="shared" si="16"/>
        <v>2239</v>
      </c>
      <c r="R328" s="8">
        <f t="shared" si="17"/>
        <v>3472</v>
      </c>
      <c r="S328" s="36">
        <f>VLOOKUP(R328,'Commission Criteria'!$L$3:$M$11,2,TRUE)</f>
        <v>0.01</v>
      </c>
      <c r="T328" s="36">
        <f>IF(P328&lt;5,VLOOKUP(R328,'Commission Criteria'!$L$3:$M$11,2,1),VLOOKUP('Order SUmmary'!R328,'Commission Criteria'!$P$3:$Q$11,2,1))</f>
        <v>0.02</v>
      </c>
      <c r="U328" s="36">
        <f>VLOOKUP(R328,IF(P328&lt;5,'Commission Criteria'!$L$3:$M$11,'Commission Criteria'!$P$3:$Q$11),2,1)</f>
        <v>0.02</v>
      </c>
      <c r="V328" s="8" t="s">
        <v>50</v>
      </c>
      <c r="W328" s="36">
        <f t="shared" ca="1" si="18"/>
        <v>0.01</v>
      </c>
      <c r="X328" s="8" t="str">
        <f>_xlfn.XLOOKUP(F328,'Product List'!$B$1:$B$299,'Product List'!$A$1:$A$299)</f>
        <v>Newell 322</v>
      </c>
      <c r="Y328" s="8"/>
      <c r="Z328" s="8" t="str" cm="1">
        <f t="array" ref="Z328:AD328">_xlfn.XLOOKUP(D328,'Customer Details'!$A$1:$A$17,'Customer Details'!$B$1:$F$17,"No such customer",0,1)</f>
        <v>GHCL Ltd.</v>
      </c>
      <c r="AA328" s="8" t="str">
        <v>58 Clarence St</v>
      </c>
      <c r="AB328" s="8" t="str">
        <v>Richmond</v>
      </c>
      <c r="AC328" s="8" t="str">
        <v>CA</v>
      </c>
      <c r="AD328" s="8" t="str">
        <v>94805</v>
      </c>
    </row>
    <row r="329" spans="1:30">
      <c r="A329" s="8" t="s">
        <v>463</v>
      </c>
      <c r="B329" s="19">
        <v>41619</v>
      </c>
      <c r="C329" s="8" t="s">
        <v>66</v>
      </c>
      <c r="D329" s="8">
        <v>10015</v>
      </c>
      <c r="E329" s="8" t="str">
        <f>VLOOKUP($D329,'Customer Details'!$A$1:$F$17,4,FALSE)</f>
        <v>South Windsor</v>
      </c>
      <c r="F329" s="8" t="s">
        <v>464</v>
      </c>
      <c r="G329" s="8">
        <v>1</v>
      </c>
      <c r="H329" s="2" t="str">
        <f>VLOOKUP($D329,'Customer Details'!$A$1:$F$17,MATCH('Order SUmmary'!H$2,'Customer Details'!$A$1:$F$1,0),0)</f>
        <v>Punj Lloyd Ltd.</v>
      </c>
      <c r="I329" s="2" t="str">
        <f>VLOOKUP($D329,'Customer Details'!$A$1:$F$17,4,0)</f>
        <v>South Windsor</v>
      </c>
      <c r="J329" s="2" t="str">
        <f>VLOOKUP($D329,'Customer Details'!$A$1:$F$17,6,0)</f>
        <v>06074</v>
      </c>
      <c r="K329" s="8" t="str">
        <f>VLOOKUP(VLOOKUP(D329,'Customer Details'!$A$1:$F$17,5,0),'Region INfo'!$A$1:$C$52,3,0)</f>
        <v xml:space="preserve">Northern </v>
      </c>
      <c r="L329" s="8" t="str">
        <f>INDEX(Product_List,MATCH($F329,'Product List'!$B$1:$B$299,0),MATCH('Order SUmmary'!L$2,'Product List'!$A$1:$E$1,0))</f>
        <v>Xerox 22</v>
      </c>
      <c r="M329" s="8">
        <f>INDEX(Product_List,MATCH($F329,'Product List'!$B$1:$B$299,0),MATCH('Order SUmmary'!M$2,'Product List'!$A$1:$E$1,0))</f>
        <v>3094</v>
      </c>
      <c r="N329" s="8">
        <f>INDEX(Product_List,MATCH($F329,'Product List'!$B$1:$B$299,0),MATCH('Order SUmmary'!N$2,'Product List'!$A$1:$E$1,0))</f>
        <v>2233</v>
      </c>
      <c r="O329" s="8" t="str">
        <f>INDEX(Product_List,MATCH($F329,'Product List'!$B$1:$B$299,0),MATCH('Order SUmmary'!O$2,'Product List'!$A$1:$E$1,0))</f>
        <v>Paper</v>
      </c>
      <c r="P329" s="12">
        <f>HLOOKUP(C329,'Commission Criteria'!$A$2:$I$4,3,FALSE)</f>
        <v>5</v>
      </c>
      <c r="Q329" s="8">
        <f t="shared" si="16"/>
        <v>2233</v>
      </c>
      <c r="R329" s="8">
        <f t="shared" si="17"/>
        <v>3094</v>
      </c>
      <c r="S329" s="36">
        <f>VLOOKUP(R329,'Commission Criteria'!$L$3:$M$11,2,TRUE)</f>
        <v>0.01</v>
      </c>
      <c r="T329" s="36">
        <f>IF(P329&lt;5,VLOOKUP(R329,'Commission Criteria'!$L$3:$M$11,2,1),VLOOKUP('Order SUmmary'!R329,'Commission Criteria'!$P$3:$Q$11,2,1))</f>
        <v>0.02</v>
      </c>
      <c r="U329" s="36">
        <f>VLOOKUP(R329,IF(P329&lt;5,'Commission Criteria'!$L$3:$M$11,'Commission Criteria'!$P$3:$Q$11),2,1)</f>
        <v>0.02</v>
      </c>
      <c r="V329" s="8" t="s">
        <v>29</v>
      </c>
      <c r="W329" s="36">
        <f t="shared" ca="1" si="18"/>
        <v>0.02</v>
      </c>
      <c r="X329" s="8" t="str">
        <f>_xlfn.XLOOKUP(F329,'Product List'!$B$1:$B$299,'Product List'!$A$1:$A$299)</f>
        <v>Xerox 22</v>
      </c>
      <c r="Y329" s="8"/>
      <c r="Z329" s="8" t="str" cm="1">
        <f t="array" ref="Z329:AD329">_xlfn.XLOOKUP(D329,'Customer Details'!$A$1:$A$17,'Customer Details'!$B$1:$F$17,"No such customer",0,1)</f>
        <v>Punj Lloyd Ltd.</v>
      </c>
      <c r="AA329" s="8" t="str">
        <v>Box 3263</v>
      </c>
      <c r="AB329" s="8" t="str">
        <v>South Windsor</v>
      </c>
      <c r="AC329" s="8" t="str">
        <v>CT</v>
      </c>
      <c r="AD329" s="8" t="str">
        <v>06074</v>
      </c>
    </row>
    <row r="330" spans="1:30">
      <c r="A330" s="8" t="s">
        <v>465</v>
      </c>
      <c r="B330" s="19">
        <v>41619</v>
      </c>
      <c r="C330" s="8" t="s">
        <v>44</v>
      </c>
      <c r="D330" s="8">
        <v>10004</v>
      </c>
      <c r="E330" s="8" t="str">
        <f>VLOOKUP($D330,'Customer Details'!$A$1:$F$17,4,FALSE)</f>
        <v>New York</v>
      </c>
      <c r="F330" s="8" t="s">
        <v>462</v>
      </c>
      <c r="G330" s="8">
        <v>1</v>
      </c>
      <c r="H330" s="2" t="str">
        <f>VLOOKUP($D330,'Customer Details'!$A$1:$F$17,MATCH('Order SUmmary'!H$2,'Customer Details'!$A$1:$F$1,0),0)</f>
        <v>Lupin Ltd.</v>
      </c>
      <c r="I330" s="2" t="str">
        <f>VLOOKUP($D330,'Customer Details'!$A$1:$F$17,4,0)</f>
        <v>New York</v>
      </c>
      <c r="J330" s="2" t="str">
        <f>VLOOKUP($D330,'Customer Details'!$A$1:$F$17,6,0)</f>
        <v>10019</v>
      </c>
      <c r="K330" s="8" t="str">
        <f>VLOOKUP(VLOOKUP(D330,'Customer Details'!$A$1:$F$17,5,0),'Region INfo'!$A$1:$C$52,3,0)</f>
        <v xml:space="preserve">Northern </v>
      </c>
      <c r="L330" s="8" t="str">
        <f>INDEX(Product_List,MATCH($F330,'Product List'!$B$1:$B$299,0),MATCH('Order SUmmary'!L$2,'Product List'!$A$1:$E$1,0))</f>
        <v>Newell 322</v>
      </c>
      <c r="M330" s="8">
        <f>INDEX(Product_List,MATCH($F330,'Product List'!$B$1:$B$299,0),MATCH('Order SUmmary'!M$2,'Product List'!$A$1:$E$1,0))</f>
        <v>3472</v>
      </c>
      <c r="N330" s="8">
        <f>INDEX(Product_List,MATCH($F330,'Product List'!$B$1:$B$299,0),MATCH('Order SUmmary'!N$2,'Product List'!$A$1:$E$1,0))</f>
        <v>2239</v>
      </c>
      <c r="O330" s="8" t="str">
        <f>INDEX(Product_List,MATCH($F330,'Product List'!$B$1:$B$299,0),MATCH('Order SUmmary'!O$2,'Product List'!$A$1:$E$1,0))</f>
        <v>Art</v>
      </c>
      <c r="P330" s="12">
        <f>HLOOKUP(C330,'Commission Criteria'!$A$2:$I$4,3,FALSE)</f>
        <v>4</v>
      </c>
      <c r="Q330" s="8">
        <f t="shared" si="16"/>
        <v>2239</v>
      </c>
      <c r="R330" s="8">
        <f t="shared" si="17"/>
        <v>3472</v>
      </c>
      <c r="S330" s="36">
        <f>VLOOKUP(R330,'Commission Criteria'!$L$3:$M$11,2,TRUE)</f>
        <v>0.01</v>
      </c>
      <c r="T330" s="36">
        <f>IF(P330&lt;5,VLOOKUP(R330,'Commission Criteria'!$L$3:$M$11,2,1),VLOOKUP('Order SUmmary'!R330,'Commission Criteria'!$P$3:$Q$11,2,1))</f>
        <v>0.01</v>
      </c>
      <c r="U330" s="36">
        <f>VLOOKUP(R330,IF(P330&lt;5,'Commission Criteria'!$L$3:$M$11,'Commission Criteria'!$P$3:$Q$11),2,1)</f>
        <v>0.01</v>
      </c>
      <c r="V330" s="8" t="s">
        <v>40</v>
      </c>
      <c r="W330" s="36">
        <f t="shared" ca="1" si="18"/>
        <v>0.02</v>
      </c>
      <c r="X330" s="8" t="str">
        <f>_xlfn.XLOOKUP(F330,'Product List'!$B$1:$B$299,'Product List'!$A$1:$A$299)</f>
        <v>Newell 322</v>
      </c>
      <c r="Y330" s="8"/>
      <c r="Z330" s="8" t="str" cm="1">
        <f t="array" ref="Z330:AD330">_xlfn.XLOOKUP(D330,'Customer Details'!$A$1:$A$17,'Customer Details'!$B$1:$F$17,"No such customer",0,1)</f>
        <v>Lupin Ltd.</v>
      </c>
      <c r="AA330" s="8" t="str">
        <v>Abbey Wood</v>
      </c>
      <c r="AB330" s="8" t="str">
        <v>New York</v>
      </c>
      <c r="AC330" s="8" t="str">
        <v>NY</v>
      </c>
      <c r="AD330" s="8" t="str">
        <v>10019</v>
      </c>
    </row>
    <row r="331" spans="1:30">
      <c r="A331" s="8" t="s">
        <v>466</v>
      </c>
      <c r="B331" s="19">
        <v>41620</v>
      </c>
      <c r="C331" s="8" t="s">
        <v>51</v>
      </c>
      <c r="D331" s="8">
        <v>10008</v>
      </c>
      <c r="E331" s="8" t="str">
        <f>VLOOKUP($D331,'Customer Details'!$A$1:$F$17,4,FALSE)</f>
        <v>Chestnut Ridge</v>
      </c>
      <c r="F331" s="8" t="s">
        <v>467</v>
      </c>
      <c r="G331" s="8">
        <v>1</v>
      </c>
      <c r="H331" s="2" t="str">
        <f>VLOOKUP($D331,'Customer Details'!$A$1:$F$17,MATCH('Order SUmmary'!H$2,'Customer Details'!$A$1:$F$1,0),0)</f>
        <v>Reliance Industries Limited</v>
      </c>
      <c r="I331" s="2" t="str">
        <f>VLOOKUP($D331,'Customer Details'!$A$1:$F$17,4,0)</f>
        <v>Chestnut Ridge</v>
      </c>
      <c r="J331" s="2" t="str">
        <f>VLOOKUP($D331,'Customer Details'!$A$1:$F$17,6,0)</f>
        <v>10977</v>
      </c>
      <c r="K331" s="8" t="str">
        <f>VLOOKUP(VLOOKUP(D331,'Customer Details'!$A$1:$F$17,5,0),'Region INfo'!$A$1:$C$52,3,0)</f>
        <v xml:space="preserve">Northern </v>
      </c>
      <c r="L331" s="8" t="str">
        <f>INDEX(Product_List,MATCH($F331,'Product List'!$B$1:$B$299,0),MATCH('Order SUmmary'!L$2,'Product List'!$A$1:$E$1,0))</f>
        <v>Xerox 215</v>
      </c>
      <c r="M331" s="8">
        <f>INDEX(Product_List,MATCH($F331,'Product List'!$B$1:$B$299,0),MATCH('Order SUmmary'!M$2,'Product List'!$A$1:$E$1,0))</f>
        <v>4574</v>
      </c>
      <c r="N331" s="8">
        <f>INDEX(Product_List,MATCH($F331,'Product List'!$B$1:$B$299,0),MATCH('Order SUmmary'!N$2,'Product List'!$A$1:$E$1,0))</f>
        <v>2068</v>
      </c>
      <c r="O331" s="8" t="str">
        <f>INDEX(Product_List,MATCH($F331,'Product List'!$B$1:$B$299,0),MATCH('Order SUmmary'!O$2,'Product List'!$A$1:$E$1,0))</f>
        <v>Paper</v>
      </c>
      <c r="P331" s="12">
        <f>HLOOKUP(C331,'Commission Criteria'!$A$2:$I$4,3,FALSE)</f>
        <v>10</v>
      </c>
      <c r="Q331" s="8">
        <f t="shared" si="16"/>
        <v>2068</v>
      </c>
      <c r="R331" s="8">
        <f t="shared" si="17"/>
        <v>4574</v>
      </c>
      <c r="S331" s="36">
        <f>VLOOKUP(R331,'Commission Criteria'!$L$3:$M$11,2,TRUE)</f>
        <v>0.01</v>
      </c>
      <c r="T331" s="36">
        <f>IF(P331&lt;5,VLOOKUP(R331,'Commission Criteria'!$L$3:$M$11,2,1),VLOOKUP('Order SUmmary'!R331,'Commission Criteria'!$P$3:$Q$11,2,1))</f>
        <v>0.02</v>
      </c>
      <c r="U331" s="36">
        <f>VLOOKUP(R331,IF(P331&lt;5,'Commission Criteria'!$L$3:$M$11,'Commission Criteria'!$P$3:$Q$11),2,1)</f>
        <v>0.02</v>
      </c>
      <c r="V331" s="8" t="s">
        <v>43</v>
      </c>
      <c r="W331" s="36">
        <f t="shared" ca="1" si="18"/>
        <v>0.04</v>
      </c>
      <c r="X331" s="8" t="str">
        <f>_xlfn.XLOOKUP(F331,'Product List'!$B$1:$B$299,'Product List'!$A$1:$A$299)</f>
        <v>Xerox 215</v>
      </c>
      <c r="Y331" s="8"/>
      <c r="Z331" s="8" t="str" cm="1">
        <f t="array" ref="Z331:AD331">_xlfn.XLOOKUP(D331,'Customer Details'!$A$1:$A$17,'Customer Details'!$B$1:$F$17,"No such customer",0,1)</f>
        <v>Reliance Industries Limited</v>
      </c>
      <c r="AA331" s="8" t="str">
        <v>12020 Shamrock Rd., Suite 333</v>
      </c>
      <c r="AB331" s="8" t="str">
        <v>Chestnut Ridge</v>
      </c>
      <c r="AC331" s="8" t="str">
        <v>NY</v>
      </c>
      <c r="AD331" s="8" t="str">
        <v>10977</v>
      </c>
    </row>
    <row r="332" spans="1:30">
      <c r="A332" s="8" t="s">
        <v>466</v>
      </c>
      <c r="B332" s="19">
        <v>41620</v>
      </c>
      <c r="C332" s="8" t="s">
        <v>36</v>
      </c>
      <c r="D332" s="8">
        <v>10005</v>
      </c>
      <c r="E332" s="8" t="str">
        <f>VLOOKUP($D332,'Customer Details'!$A$1:$F$17,4,FALSE)</f>
        <v>Goleta</v>
      </c>
      <c r="F332" s="8" t="s">
        <v>337</v>
      </c>
      <c r="G332" s="8">
        <v>2</v>
      </c>
      <c r="H332" s="2" t="str">
        <f>VLOOKUP($D332,'Customer Details'!$A$1:$F$17,MATCH('Order SUmmary'!H$2,'Customer Details'!$A$1:$F$1,0),0)</f>
        <v>Fortis Healthcare Ltd.</v>
      </c>
      <c r="I332" s="2" t="str">
        <f>VLOOKUP($D332,'Customer Details'!$A$1:$F$17,4,0)</f>
        <v>Goleta</v>
      </c>
      <c r="J332" s="2" t="str">
        <f>VLOOKUP($D332,'Customer Details'!$A$1:$F$17,6,0)</f>
        <v>93117</v>
      </c>
      <c r="K332" s="8" t="str">
        <f>VLOOKUP(VLOOKUP(D332,'Customer Details'!$A$1:$F$17,5,0),'Region INfo'!$A$1:$C$52,3,0)</f>
        <v xml:space="preserve">Pacific   </v>
      </c>
      <c r="L332" s="8" t="str">
        <f>INDEX(Product_List,MATCH($F332,'Product List'!$B$1:$B$299,0),MATCH('Order SUmmary'!L$2,'Product List'!$A$1:$E$1,0))</f>
        <v>Avery 487</v>
      </c>
      <c r="M332" s="8">
        <f>INDEX(Product_List,MATCH($F332,'Product List'!$B$1:$B$299,0),MATCH('Order SUmmary'!M$2,'Product List'!$A$1:$E$1,0))</f>
        <v>2775</v>
      </c>
      <c r="N332" s="8">
        <f>INDEX(Product_List,MATCH($F332,'Product List'!$B$1:$B$299,0),MATCH('Order SUmmary'!N$2,'Product List'!$A$1:$E$1,0))</f>
        <v>1946</v>
      </c>
      <c r="O332" s="8" t="str">
        <f>INDEX(Product_List,MATCH($F332,'Product List'!$B$1:$B$299,0),MATCH('Order SUmmary'!O$2,'Product List'!$A$1:$E$1,0))</f>
        <v>Labels</v>
      </c>
      <c r="P332" s="12">
        <f>HLOOKUP(C332,'Commission Criteria'!$A$2:$I$4,3,FALSE)</f>
        <v>6</v>
      </c>
      <c r="Q332" s="8">
        <f t="shared" si="16"/>
        <v>3892</v>
      </c>
      <c r="R332" s="8">
        <f t="shared" si="17"/>
        <v>5550</v>
      </c>
      <c r="S332" s="36">
        <f>VLOOKUP(R332,'Commission Criteria'!$L$3:$M$11,2,TRUE)</f>
        <v>0.03</v>
      </c>
      <c r="T332" s="36">
        <f>IF(P332&lt;5,VLOOKUP(R332,'Commission Criteria'!$L$3:$M$11,2,1),VLOOKUP('Order SUmmary'!R332,'Commission Criteria'!$P$3:$Q$11,2,1))</f>
        <v>0.02</v>
      </c>
      <c r="U332" s="36">
        <f>VLOOKUP(R332,IF(P332&lt;5,'Commission Criteria'!$L$3:$M$11,'Commission Criteria'!$P$3:$Q$11),2,1)</f>
        <v>0.02</v>
      </c>
      <c r="V332" s="8" t="s">
        <v>32</v>
      </c>
      <c r="W332" s="36">
        <f t="shared" ca="1" si="18"/>
        <v>0</v>
      </c>
      <c r="X332" s="8" t="str">
        <f>_xlfn.XLOOKUP(F332,'Product List'!$B$1:$B$299,'Product List'!$A$1:$A$299)</f>
        <v>Avery 487</v>
      </c>
      <c r="Y332" s="8"/>
      <c r="Z332" s="8" t="str" cm="1">
        <f t="array" ref="Z332:AD332">_xlfn.XLOOKUP(D332,'Customer Details'!$A$1:$A$17,'Customer Details'!$B$1:$F$17,"No such customer",0,1)</f>
        <v>Fortis Healthcare Ltd.</v>
      </c>
      <c r="AA332" s="8" t="str">
        <v>14 Elsworthy Terrace</v>
      </c>
      <c r="AB332" s="8" t="str">
        <v>Goleta</v>
      </c>
      <c r="AC332" s="8" t="str">
        <v>CA</v>
      </c>
      <c r="AD332" s="8" t="str">
        <v>93117</v>
      </c>
    </row>
    <row r="333" spans="1:30">
      <c r="A333" s="8" t="s">
        <v>468</v>
      </c>
      <c r="B333" s="19">
        <v>41620</v>
      </c>
      <c r="C333" s="8" t="s">
        <v>44</v>
      </c>
      <c r="D333" s="8">
        <v>10012</v>
      </c>
      <c r="E333" s="8" t="str">
        <f>VLOOKUP($D333,'Customer Details'!$A$1:$F$17,4,FALSE)</f>
        <v>Santa Barbara</v>
      </c>
      <c r="F333" s="8" t="s">
        <v>122</v>
      </c>
      <c r="G333" s="8">
        <v>8</v>
      </c>
      <c r="H333" s="2" t="str">
        <f>VLOOKUP($D333,'Customer Details'!$A$1:$F$17,MATCH('Order SUmmary'!H$2,'Customer Details'!$A$1:$F$1,0),0)</f>
        <v>Dynamatic Technologies Ltd.</v>
      </c>
      <c r="I333" s="2" t="str">
        <f>VLOOKUP($D333,'Customer Details'!$A$1:$F$17,4,0)</f>
        <v>Santa Barbara</v>
      </c>
      <c r="J333" s="2" t="str">
        <f>VLOOKUP($D333,'Customer Details'!$A$1:$F$17,6,0)</f>
        <v>93110</v>
      </c>
      <c r="K333" s="8" t="str">
        <f>VLOOKUP(VLOOKUP(D333,'Customer Details'!$A$1:$F$17,5,0),'Region INfo'!$A$1:$C$52,3,0)</f>
        <v xml:space="preserve">Pacific   </v>
      </c>
      <c r="L333" s="8" t="str">
        <f>INDEX(Product_List,MATCH($F333,'Product List'!$B$1:$B$299,0),MATCH('Order SUmmary'!L$2,'Product List'!$A$1:$E$1,0))</f>
        <v>Avery 510</v>
      </c>
      <c r="M333" s="8">
        <f>INDEX(Product_List,MATCH($F333,'Product List'!$B$1:$B$299,0),MATCH('Order SUmmary'!M$2,'Product List'!$A$1:$E$1,0))</f>
        <v>4788</v>
      </c>
      <c r="N333" s="8">
        <f>INDEX(Product_List,MATCH($F333,'Product List'!$B$1:$B$299,0),MATCH('Order SUmmary'!N$2,'Product List'!$A$1:$E$1,0))</f>
        <v>2063</v>
      </c>
      <c r="O333" s="8" t="str">
        <f>INDEX(Product_List,MATCH($F333,'Product List'!$B$1:$B$299,0),MATCH('Order SUmmary'!O$2,'Product List'!$A$1:$E$1,0))</f>
        <v>Labels</v>
      </c>
      <c r="P333" s="12">
        <f>HLOOKUP(C333,'Commission Criteria'!$A$2:$I$4,3,FALSE)</f>
        <v>4</v>
      </c>
      <c r="Q333" s="8">
        <f t="shared" si="16"/>
        <v>16504</v>
      </c>
      <c r="R333" s="8">
        <f t="shared" si="17"/>
        <v>38304</v>
      </c>
      <c r="S333" s="36">
        <f>VLOOKUP(R333,'Commission Criteria'!$L$3:$M$11,2,TRUE)</f>
        <v>0.05</v>
      </c>
      <c r="T333" s="36">
        <f>IF(P333&lt;5,VLOOKUP(R333,'Commission Criteria'!$L$3:$M$11,2,1),VLOOKUP('Order SUmmary'!R333,'Commission Criteria'!$P$3:$Q$11,2,1))</f>
        <v>0.05</v>
      </c>
      <c r="U333" s="36">
        <f>VLOOKUP(R333,IF(P333&lt;5,'Commission Criteria'!$L$3:$M$11,'Commission Criteria'!$P$3:$Q$11),2,1)</f>
        <v>0.05</v>
      </c>
      <c r="V333" s="8" t="s">
        <v>43</v>
      </c>
      <c r="W333" s="36">
        <f t="shared" ca="1" si="18"/>
        <v>0.04</v>
      </c>
      <c r="X333" s="8" t="str">
        <f>_xlfn.XLOOKUP(F333,'Product List'!$B$1:$B$299,'Product List'!$A$1:$A$299)</f>
        <v>Avery 510</v>
      </c>
      <c r="Y333" s="8"/>
      <c r="Z333" s="8" t="str" cm="1">
        <f t="array" ref="Z333:AD333">_xlfn.XLOOKUP(D333,'Customer Details'!$A$1:$A$17,'Customer Details'!$B$1:$F$17,"No such customer",0,1)</f>
        <v>Dynamatic Technologies Ltd.</v>
      </c>
      <c r="AA333" s="8" t="str">
        <v>402 Pinkster Lane</v>
      </c>
      <c r="AB333" s="8" t="str">
        <v>Santa Barbara</v>
      </c>
      <c r="AC333" s="8" t="str">
        <v>CA</v>
      </c>
      <c r="AD333" s="8" t="str">
        <v>93110</v>
      </c>
    </row>
    <row r="334" spans="1:30">
      <c r="A334" s="8" t="s">
        <v>469</v>
      </c>
      <c r="B334" s="19">
        <v>41622</v>
      </c>
      <c r="C334" s="8" t="s">
        <v>33</v>
      </c>
      <c r="D334" s="8">
        <v>10010</v>
      </c>
      <c r="E334" s="8" t="str">
        <f>VLOOKUP($D334,'Customer Details'!$A$1:$F$17,4,FALSE)</f>
        <v>Tracy</v>
      </c>
      <c r="F334" s="8" t="s">
        <v>470</v>
      </c>
      <c r="G334" s="8">
        <v>2</v>
      </c>
      <c r="H334" s="2" t="str">
        <f>VLOOKUP($D334,'Customer Details'!$A$1:$F$17,MATCH('Order SUmmary'!H$2,'Customer Details'!$A$1:$F$1,0),0)</f>
        <v>Suzlon Energy Ltd.</v>
      </c>
      <c r="I334" s="2" t="str">
        <f>VLOOKUP($D334,'Customer Details'!$A$1:$F$17,4,0)</f>
        <v>Tracy</v>
      </c>
      <c r="J334" s="2" t="str">
        <f>VLOOKUP($D334,'Customer Details'!$A$1:$F$17,6,0)</f>
        <v>95376</v>
      </c>
      <c r="K334" s="8" t="str">
        <f>VLOOKUP(VLOOKUP(D334,'Customer Details'!$A$1:$F$17,5,0),'Region INfo'!$A$1:$C$52,3,0)</f>
        <v xml:space="preserve">Pacific   </v>
      </c>
      <c r="L334" s="8" t="str">
        <f>INDEX(Product_List,MATCH($F334,'Product List'!$B$1:$B$299,0),MATCH('Order SUmmary'!L$2,'Product List'!$A$1:$E$1,0))</f>
        <v>Xerox 1884</v>
      </c>
      <c r="M334" s="8">
        <f>INDEX(Product_List,MATCH($F334,'Product List'!$B$1:$B$299,0),MATCH('Order SUmmary'!M$2,'Product List'!$A$1:$E$1,0))</f>
        <v>3025</v>
      </c>
      <c r="N334" s="8">
        <f>INDEX(Product_List,MATCH($F334,'Product List'!$B$1:$B$299,0),MATCH('Order SUmmary'!N$2,'Product List'!$A$1:$E$1,0))</f>
        <v>1863</v>
      </c>
      <c r="O334" s="8" t="str">
        <f>INDEX(Product_List,MATCH($F334,'Product List'!$B$1:$B$299,0),MATCH('Order SUmmary'!O$2,'Product List'!$A$1:$E$1,0))</f>
        <v>Paper</v>
      </c>
      <c r="P334" s="12">
        <f>HLOOKUP(C334,'Commission Criteria'!$A$2:$I$4,3,FALSE)</f>
        <v>1</v>
      </c>
      <c r="Q334" s="8">
        <f t="shared" si="16"/>
        <v>3726</v>
      </c>
      <c r="R334" s="8">
        <f t="shared" si="17"/>
        <v>6050</v>
      </c>
      <c r="S334" s="36">
        <f>VLOOKUP(R334,'Commission Criteria'!$L$3:$M$11,2,TRUE)</f>
        <v>0.03</v>
      </c>
      <c r="T334" s="36">
        <f>IF(P334&lt;5,VLOOKUP(R334,'Commission Criteria'!$L$3:$M$11,2,1),VLOOKUP('Order SUmmary'!R334,'Commission Criteria'!$P$3:$Q$11,2,1))</f>
        <v>0.03</v>
      </c>
      <c r="U334" s="36">
        <f>VLOOKUP(R334,IF(P334&lt;5,'Commission Criteria'!$L$3:$M$11,'Commission Criteria'!$P$3:$Q$11),2,1)</f>
        <v>0.03</v>
      </c>
      <c r="V334" s="8" t="s">
        <v>40</v>
      </c>
      <c r="W334" s="36">
        <f t="shared" ca="1" si="18"/>
        <v>0.05</v>
      </c>
      <c r="X334" s="8" t="str">
        <f>_xlfn.XLOOKUP(F334,'Product List'!$B$1:$B$299,'Product List'!$A$1:$A$299)</f>
        <v>Xerox 1884</v>
      </c>
      <c r="Y334" s="8"/>
      <c r="Z334" s="8" t="str" cm="1">
        <f t="array" ref="Z334:AD334">_xlfn.XLOOKUP(D334,'Customer Details'!$A$1:$A$17,'Customer Details'!$B$1:$F$17,"No such customer",0,1)</f>
        <v>Suzlon Energy Ltd.</v>
      </c>
      <c r="AA334" s="8" t="str">
        <v>501 Marsh Trail Circle</v>
      </c>
      <c r="AB334" s="8" t="str">
        <v>Tracy</v>
      </c>
      <c r="AC334" s="8" t="str">
        <v>CA</v>
      </c>
      <c r="AD334" s="8" t="str">
        <v>95376</v>
      </c>
    </row>
    <row r="335" spans="1:30">
      <c r="A335" s="8" t="s">
        <v>471</v>
      </c>
      <c r="B335" s="19">
        <v>41622</v>
      </c>
      <c r="C335" s="8" t="s">
        <v>44</v>
      </c>
      <c r="D335" s="8">
        <v>10002</v>
      </c>
      <c r="E335" s="8" t="str">
        <f>VLOOKUP($D335,'Customer Details'!$A$1:$F$17,4,FALSE)</f>
        <v>Omaha</v>
      </c>
      <c r="F335" s="8" t="s">
        <v>375</v>
      </c>
      <c r="G335" s="8">
        <v>2</v>
      </c>
      <c r="H335" s="2" t="str">
        <f>VLOOKUP($D335,'Customer Details'!$A$1:$F$17,MATCH('Order SUmmary'!H$2,'Customer Details'!$A$1:$F$1,0),0)</f>
        <v>Elder Pharmaceuticals</v>
      </c>
      <c r="I335" s="2" t="str">
        <f>VLOOKUP($D335,'Customer Details'!$A$1:$F$17,4,0)</f>
        <v>Omaha</v>
      </c>
      <c r="J335" s="2" t="str">
        <f>VLOOKUP($D335,'Customer Details'!$A$1:$F$17,6,0)</f>
        <v>68127</v>
      </c>
      <c r="K335" s="8" t="str">
        <f>VLOOKUP(VLOOKUP(D335,'Customer Details'!$A$1:$F$17,5,0),'Region INfo'!$A$1:$C$52,3,0)</f>
        <v>Western</v>
      </c>
      <c r="L335" s="8" t="str">
        <f>INDEX(Product_List,MATCH($F335,'Product List'!$B$1:$B$299,0),MATCH('Order SUmmary'!L$2,'Product List'!$A$1:$E$1,0))</f>
        <v>AT&amp;T CL2909</v>
      </c>
      <c r="M335" s="8">
        <f>INDEX(Product_List,MATCH($F335,'Product List'!$B$1:$B$299,0),MATCH('Order SUmmary'!M$2,'Product List'!$A$1:$E$1,0))</f>
        <v>3644</v>
      </c>
      <c r="N335" s="8">
        <f>INDEX(Product_List,MATCH($F335,'Product List'!$B$1:$B$299,0),MATCH('Order SUmmary'!N$2,'Product List'!$A$1:$E$1,0))</f>
        <v>1954</v>
      </c>
      <c r="O335" s="8" t="str">
        <f>INDEX(Product_List,MATCH($F335,'Product List'!$B$1:$B$299,0),MATCH('Order SUmmary'!O$2,'Product List'!$A$1:$E$1,0))</f>
        <v>Phones</v>
      </c>
      <c r="P335" s="12">
        <f>HLOOKUP(C335,'Commission Criteria'!$A$2:$I$4,3,FALSE)</f>
        <v>4</v>
      </c>
      <c r="Q335" s="8">
        <f t="shared" si="16"/>
        <v>3908</v>
      </c>
      <c r="R335" s="8">
        <f t="shared" si="17"/>
        <v>7288</v>
      </c>
      <c r="S335" s="36">
        <f>VLOOKUP(R335,'Commission Criteria'!$L$3:$M$11,2,TRUE)</f>
        <v>0.03</v>
      </c>
      <c r="T335" s="36">
        <f>IF(P335&lt;5,VLOOKUP(R335,'Commission Criteria'!$L$3:$M$11,2,1),VLOOKUP('Order SUmmary'!R335,'Commission Criteria'!$P$3:$Q$11,2,1))</f>
        <v>0.03</v>
      </c>
      <c r="U335" s="36">
        <f>VLOOKUP(R335,IF(P335&lt;5,'Commission Criteria'!$L$3:$M$11,'Commission Criteria'!$P$3:$Q$11),2,1)</f>
        <v>0.03</v>
      </c>
      <c r="V335" s="8" t="s">
        <v>35</v>
      </c>
      <c r="W335" s="36">
        <f t="shared" ca="1" si="18"/>
        <v>0.02</v>
      </c>
      <c r="X335" s="8" t="str">
        <f>_xlfn.XLOOKUP(F335,'Product List'!$B$1:$B$299,'Product List'!$A$1:$A$299)</f>
        <v>AT&amp;T CL2909</v>
      </c>
      <c r="Y335" s="8"/>
      <c r="Z335" s="8" t="str" cm="1">
        <f t="array" ref="Z335:AD335">_xlfn.XLOOKUP(D335,'Customer Details'!$A$1:$A$17,'Customer Details'!$B$1:$F$17,"No such customer",0,1)</f>
        <v>Elder Pharmaceuticals</v>
      </c>
      <c r="AA335" s="8" t="str">
        <v>57 Neriba Cres</v>
      </c>
      <c r="AB335" s="8" t="str">
        <v>Omaha</v>
      </c>
      <c r="AC335" s="8" t="str">
        <v>NE</v>
      </c>
      <c r="AD335" s="8" t="str">
        <v>68127</v>
      </c>
    </row>
    <row r="336" spans="1:30">
      <c r="A336" s="8" t="s">
        <v>469</v>
      </c>
      <c r="B336" s="19">
        <v>41622</v>
      </c>
      <c r="C336" s="8" t="s">
        <v>44</v>
      </c>
      <c r="D336" s="8">
        <v>10009</v>
      </c>
      <c r="E336" s="8" t="str">
        <f>VLOOKUP($D336,'Customer Details'!$A$1:$F$17,4,FALSE)</f>
        <v>Salt Lake City</v>
      </c>
      <c r="F336" s="8" t="s">
        <v>472</v>
      </c>
      <c r="G336" s="8">
        <v>2</v>
      </c>
      <c r="H336" s="2" t="str">
        <f>VLOOKUP($D336,'Customer Details'!$A$1:$F$17,MATCH('Order SUmmary'!H$2,'Customer Details'!$A$1:$F$1,0),0)</f>
        <v>Godfrey Philips India Ltd.</v>
      </c>
      <c r="I336" s="2" t="str">
        <f>VLOOKUP($D336,'Customer Details'!$A$1:$F$17,4,0)</f>
        <v>Salt Lake City</v>
      </c>
      <c r="J336" s="2" t="str">
        <f>VLOOKUP($D336,'Customer Details'!$A$1:$F$17,6,0)</f>
        <v>84118</v>
      </c>
      <c r="K336" s="8" t="str">
        <f>VLOOKUP(VLOOKUP(D336,'Customer Details'!$A$1:$F$17,5,0),'Region INfo'!$A$1:$C$52,3,0)</f>
        <v xml:space="preserve">Pacific   </v>
      </c>
      <c r="L336" s="8" t="str">
        <f>INDEX(Product_List,MATCH($F336,'Product List'!$B$1:$B$299,0),MATCH('Order SUmmary'!L$2,'Product List'!$A$1:$E$1,0))</f>
        <v>Avery 488</v>
      </c>
      <c r="M336" s="8">
        <f>INDEX(Product_List,MATCH($F336,'Product List'!$B$1:$B$299,0),MATCH('Order SUmmary'!M$2,'Product List'!$A$1:$E$1,0))</f>
        <v>3663</v>
      </c>
      <c r="N336" s="8">
        <f>INDEX(Product_List,MATCH($F336,'Product List'!$B$1:$B$299,0),MATCH('Order SUmmary'!N$2,'Product List'!$A$1:$E$1,0))</f>
        <v>1550</v>
      </c>
      <c r="O336" s="8" t="str">
        <f>INDEX(Product_List,MATCH($F336,'Product List'!$B$1:$B$299,0),MATCH('Order SUmmary'!O$2,'Product List'!$A$1:$E$1,0))</f>
        <v>Labels</v>
      </c>
      <c r="P336" s="12">
        <f>HLOOKUP(C336,'Commission Criteria'!$A$2:$I$4,3,FALSE)</f>
        <v>4</v>
      </c>
      <c r="Q336" s="8">
        <f t="shared" si="16"/>
        <v>3100</v>
      </c>
      <c r="R336" s="8">
        <f t="shared" si="17"/>
        <v>7326</v>
      </c>
      <c r="S336" s="36">
        <f>VLOOKUP(R336,'Commission Criteria'!$L$3:$M$11,2,TRUE)</f>
        <v>0.03</v>
      </c>
      <c r="T336" s="36">
        <f>IF(P336&lt;5,VLOOKUP(R336,'Commission Criteria'!$L$3:$M$11,2,1),VLOOKUP('Order SUmmary'!R336,'Commission Criteria'!$P$3:$Q$11,2,1))</f>
        <v>0.03</v>
      </c>
      <c r="U336" s="36">
        <f>VLOOKUP(R336,IF(P336&lt;5,'Commission Criteria'!$L$3:$M$11,'Commission Criteria'!$P$3:$Q$11),2,1)</f>
        <v>0.03</v>
      </c>
      <c r="V336" s="8" t="s">
        <v>32</v>
      </c>
      <c r="W336" s="36">
        <f t="shared" ca="1" si="18"/>
        <v>0.04</v>
      </c>
      <c r="X336" s="8" t="str">
        <f>_xlfn.XLOOKUP(F336,'Product List'!$B$1:$B$299,'Product List'!$A$1:$A$299)</f>
        <v>Avery 488</v>
      </c>
      <c r="Y336" s="8"/>
      <c r="Z336" s="8" t="str" cm="1">
        <f t="array" ref="Z336:AD336">_xlfn.XLOOKUP(D336,'Customer Details'!$A$1:$A$17,'Customer Details'!$B$1:$F$17,"No such customer",0,1)</f>
        <v>Godfrey Philips India Ltd.</v>
      </c>
      <c r="AA336" s="8" t="str">
        <v>20501 Ania Ave #2</v>
      </c>
      <c r="AB336" s="8" t="str">
        <v>Salt Lake City</v>
      </c>
      <c r="AC336" s="8" t="str">
        <v>UT</v>
      </c>
      <c r="AD336" s="8" t="str">
        <v>84118</v>
      </c>
    </row>
    <row r="337" spans="1:30">
      <c r="A337" s="8" t="s">
        <v>473</v>
      </c>
      <c r="B337" s="19">
        <v>41624</v>
      </c>
      <c r="C337" s="8" t="s">
        <v>44</v>
      </c>
      <c r="D337" s="8">
        <v>10003</v>
      </c>
      <c r="E337" s="8" t="str">
        <f>VLOOKUP($D337,'Customer Details'!$A$1:$F$17,4,FALSE)</f>
        <v>Miami</v>
      </c>
      <c r="F337" s="8" t="s">
        <v>474</v>
      </c>
      <c r="G337" s="8">
        <v>1</v>
      </c>
      <c r="H337" s="2" t="str">
        <f>VLOOKUP($D337,'Customer Details'!$A$1:$F$17,MATCH('Order SUmmary'!H$2,'Customer Details'!$A$1:$F$1,0),0)</f>
        <v>Honeywell Automation</v>
      </c>
      <c r="I337" s="2" t="str">
        <f>VLOOKUP($D337,'Customer Details'!$A$1:$F$17,4,0)</f>
        <v>Miami</v>
      </c>
      <c r="J337" s="2" t="str">
        <f>VLOOKUP($D337,'Customer Details'!$A$1:$F$17,6,0)</f>
        <v>33732</v>
      </c>
      <c r="K337" s="8" t="str">
        <f>VLOOKUP(VLOOKUP(D337,'Customer Details'!$A$1:$F$17,5,0),'Region INfo'!$A$1:$C$52,3,0)</f>
        <v>Southern</v>
      </c>
      <c r="L337" s="8" t="str">
        <f>INDEX(Product_List,MATCH($F337,'Product List'!$B$1:$B$299,0),MATCH('Order SUmmary'!L$2,'Product List'!$A$1:$E$1,0))</f>
        <v>Ideal Clamps</v>
      </c>
      <c r="M337" s="8">
        <f>INDEX(Product_List,MATCH($F337,'Product List'!$B$1:$B$299,0),MATCH('Order SUmmary'!M$2,'Product List'!$A$1:$E$1,0))</f>
        <v>4459</v>
      </c>
      <c r="N337" s="8">
        <f>INDEX(Product_List,MATCH($F337,'Product List'!$B$1:$B$299,0),MATCH('Order SUmmary'!N$2,'Product List'!$A$1:$E$1,0))</f>
        <v>1722</v>
      </c>
      <c r="O337" s="8" t="str">
        <f>INDEX(Product_List,MATCH($F337,'Product List'!$B$1:$B$299,0),MATCH('Order SUmmary'!O$2,'Product List'!$A$1:$E$1,0))</f>
        <v>Fasteners</v>
      </c>
      <c r="P337" s="12">
        <f>HLOOKUP(C337,'Commission Criteria'!$A$2:$I$4,3,FALSE)</f>
        <v>4</v>
      </c>
      <c r="Q337" s="8">
        <f t="shared" si="16"/>
        <v>1722</v>
      </c>
      <c r="R337" s="8">
        <f t="shared" si="17"/>
        <v>4459</v>
      </c>
      <c r="S337" s="36">
        <f>VLOOKUP(R337,'Commission Criteria'!$L$3:$M$11,2,TRUE)</f>
        <v>0.01</v>
      </c>
      <c r="T337" s="36">
        <f>IF(P337&lt;5,VLOOKUP(R337,'Commission Criteria'!$L$3:$M$11,2,1),VLOOKUP('Order SUmmary'!R337,'Commission Criteria'!$P$3:$Q$11,2,1))</f>
        <v>0.01</v>
      </c>
      <c r="U337" s="36">
        <f>VLOOKUP(R337,IF(P337&lt;5,'Commission Criteria'!$L$3:$M$11,'Commission Criteria'!$P$3:$Q$11),2,1)</f>
        <v>0.01</v>
      </c>
      <c r="V337" s="8" t="s">
        <v>40</v>
      </c>
      <c r="W337" s="36">
        <f t="shared" ca="1" si="18"/>
        <v>0.02</v>
      </c>
      <c r="X337" s="8" t="str">
        <f>_xlfn.XLOOKUP(F337,'Product List'!$B$1:$B$299,'Product List'!$A$1:$A$299)</f>
        <v>Ideal Clamps</v>
      </c>
      <c r="Y337" s="8"/>
      <c r="Z337" s="8" t="str" cm="1">
        <f t="array" ref="Z337:AD337">_xlfn.XLOOKUP(D337,'Customer Details'!$A$1:$A$17,'Customer Details'!$B$1:$F$17,"No such customer",0,1)</f>
        <v>Honeywell Automation</v>
      </c>
      <c r="AA337" s="8" t="str">
        <v>1272 Harbor Road</v>
      </c>
      <c r="AB337" s="8" t="str">
        <v>Miami</v>
      </c>
      <c r="AC337" s="8" t="str">
        <v>FL</v>
      </c>
      <c r="AD337" s="8" t="str">
        <v>33732</v>
      </c>
    </row>
    <row r="338" spans="1:30">
      <c r="A338" s="8" t="s">
        <v>475</v>
      </c>
      <c r="B338" s="19">
        <v>41626</v>
      </c>
      <c r="C338" s="8" t="s">
        <v>54</v>
      </c>
      <c r="D338" s="8">
        <v>10014</v>
      </c>
      <c r="E338" s="8" t="str">
        <f>VLOOKUP($D338,'Customer Details'!$A$1:$F$17,4,FALSE)</f>
        <v>Honolulu</v>
      </c>
      <c r="F338" s="8" t="s">
        <v>476</v>
      </c>
      <c r="G338" s="8">
        <v>3</v>
      </c>
      <c r="H338" s="2" t="str">
        <f>VLOOKUP($D338,'Customer Details'!$A$1:$F$17,MATCH('Order SUmmary'!H$2,'Customer Details'!$A$1:$F$1,0),0)</f>
        <v>Hindusthan National Glass &amp; Industries Ltd.</v>
      </c>
      <c r="I338" s="2" t="str">
        <f>VLOOKUP($D338,'Customer Details'!$A$1:$F$17,4,0)</f>
        <v>Honolulu</v>
      </c>
      <c r="J338" s="2" t="str">
        <f>VLOOKUP($D338,'Customer Details'!$A$1:$F$17,6,0)</f>
        <v>96825</v>
      </c>
      <c r="K338" s="8" t="str">
        <f>VLOOKUP(VLOOKUP(D338,'Customer Details'!$A$1:$F$17,5,0),'Region INfo'!$A$1:$C$52,3,0)</f>
        <v xml:space="preserve">Pacific   </v>
      </c>
      <c r="L338" s="8" t="str">
        <f>INDEX(Product_List,MATCH($F338,'Product List'!$B$1:$B$299,0),MATCH('Order SUmmary'!L$2,'Product List'!$A$1:$E$1,0))</f>
        <v>Xerox 200</v>
      </c>
      <c r="M338" s="8">
        <f>INDEX(Product_List,MATCH($F338,'Product List'!$B$1:$B$299,0),MATCH('Order SUmmary'!M$2,'Product List'!$A$1:$E$1,0))</f>
        <v>3555</v>
      </c>
      <c r="N338" s="8">
        <f>INDEX(Product_List,MATCH($F338,'Product List'!$B$1:$B$299,0),MATCH('Order SUmmary'!N$2,'Product List'!$A$1:$E$1,0))</f>
        <v>1564</v>
      </c>
      <c r="O338" s="8" t="str">
        <f>INDEX(Product_List,MATCH($F338,'Product List'!$B$1:$B$299,0),MATCH('Order SUmmary'!O$2,'Product List'!$A$1:$E$1,0))</f>
        <v>Paper</v>
      </c>
      <c r="P338" s="12">
        <f>HLOOKUP(C338,'Commission Criteria'!$A$2:$I$4,3,FALSE)</f>
        <v>3</v>
      </c>
      <c r="Q338" s="8">
        <f t="shared" si="16"/>
        <v>4692</v>
      </c>
      <c r="R338" s="8">
        <f t="shared" si="17"/>
        <v>10665</v>
      </c>
      <c r="S338" s="36">
        <f>VLOOKUP(R338,'Commission Criteria'!$L$3:$M$11,2,TRUE)</f>
        <v>0.03</v>
      </c>
      <c r="T338" s="36">
        <f>IF(P338&lt;5,VLOOKUP(R338,'Commission Criteria'!$L$3:$M$11,2,1),VLOOKUP('Order SUmmary'!R338,'Commission Criteria'!$P$3:$Q$11,2,1))</f>
        <v>0.03</v>
      </c>
      <c r="U338" s="36">
        <f>VLOOKUP(R338,IF(P338&lt;5,'Commission Criteria'!$L$3:$M$11,'Commission Criteria'!$P$3:$Q$11),2,1)</f>
        <v>0.03</v>
      </c>
      <c r="V338" s="8" t="s">
        <v>32</v>
      </c>
      <c r="W338" s="36">
        <f t="shared" ca="1" si="18"/>
        <v>0.05</v>
      </c>
      <c r="X338" s="8" t="str">
        <f>_xlfn.XLOOKUP(F338,'Product List'!$B$1:$B$299,'Product List'!$A$1:$A$299)</f>
        <v>Xerox 200</v>
      </c>
      <c r="Y338" s="8"/>
      <c r="Z338" s="8" t="str" cm="1">
        <f t="array" ref="Z338:AD338">_xlfn.XLOOKUP(D338,'Customer Details'!$A$1:$A$17,'Customer Details'!$B$1:$F$17,"No such customer",0,1)</f>
        <v>Hindusthan National Glass &amp; Industries Ltd.</v>
      </c>
      <c r="AA338" s="8" t="str">
        <v>11 Cathy St.</v>
      </c>
      <c r="AB338" s="8" t="str">
        <v>Honolulu</v>
      </c>
      <c r="AC338" s="8" t="str">
        <v>HI</v>
      </c>
      <c r="AD338" s="8" t="str">
        <v>96825</v>
      </c>
    </row>
    <row r="339" spans="1:30">
      <c r="A339" s="8" t="s">
        <v>477</v>
      </c>
      <c r="B339" s="19">
        <v>41627</v>
      </c>
      <c r="C339" s="8" t="s">
        <v>51</v>
      </c>
      <c r="D339" s="8">
        <v>10004</v>
      </c>
      <c r="E339" s="8" t="str">
        <f>VLOOKUP($D339,'Customer Details'!$A$1:$F$17,4,FALSE)</f>
        <v>New York</v>
      </c>
      <c r="F339" s="8" t="s">
        <v>143</v>
      </c>
      <c r="G339" s="8">
        <v>1</v>
      </c>
      <c r="H339" s="2" t="str">
        <f>VLOOKUP($D339,'Customer Details'!$A$1:$F$17,MATCH('Order SUmmary'!H$2,'Customer Details'!$A$1:$F$1,0),0)</f>
        <v>Lupin Ltd.</v>
      </c>
      <c r="I339" s="2" t="str">
        <f>VLOOKUP($D339,'Customer Details'!$A$1:$F$17,4,0)</f>
        <v>New York</v>
      </c>
      <c r="J339" s="2" t="str">
        <f>VLOOKUP($D339,'Customer Details'!$A$1:$F$17,6,0)</f>
        <v>10019</v>
      </c>
      <c r="K339" s="8" t="str">
        <f>VLOOKUP(VLOOKUP(D339,'Customer Details'!$A$1:$F$17,5,0),'Region INfo'!$A$1:$C$52,3,0)</f>
        <v xml:space="preserve">Northern </v>
      </c>
      <c r="L339" s="8" t="str">
        <f>INDEX(Product_List,MATCH($F339,'Product List'!$B$1:$B$299,0),MATCH('Order SUmmary'!L$2,'Product List'!$A$1:$E$1,0))</f>
        <v>Xerox 1932</v>
      </c>
      <c r="M339" s="8">
        <f>INDEX(Product_List,MATCH($F339,'Product List'!$B$1:$B$299,0),MATCH('Order SUmmary'!M$2,'Product List'!$A$1:$E$1,0))</f>
        <v>4309</v>
      </c>
      <c r="N339" s="8">
        <f>INDEX(Product_List,MATCH($F339,'Product List'!$B$1:$B$299,0),MATCH('Order SUmmary'!N$2,'Product List'!$A$1:$E$1,0))</f>
        <v>1779</v>
      </c>
      <c r="O339" s="8" t="str">
        <f>INDEX(Product_List,MATCH($F339,'Product List'!$B$1:$B$299,0),MATCH('Order SUmmary'!O$2,'Product List'!$A$1:$E$1,0))</f>
        <v>Paper</v>
      </c>
      <c r="P339" s="12">
        <f>HLOOKUP(C339,'Commission Criteria'!$A$2:$I$4,3,FALSE)</f>
        <v>10</v>
      </c>
      <c r="Q339" s="8">
        <f t="shared" si="16"/>
        <v>1779</v>
      </c>
      <c r="R339" s="8">
        <f t="shared" si="17"/>
        <v>4309</v>
      </c>
      <c r="S339" s="36">
        <f>VLOOKUP(R339,'Commission Criteria'!$L$3:$M$11,2,TRUE)</f>
        <v>0.01</v>
      </c>
      <c r="T339" s="36">
        <f>IF(P339&lt;5,VLOOKUP(R339,'Commission Criteria'!$L$3:$M$11,2,1),VLOOKUP('Order SUmmary'!R339,'Commission Criteria'!$P$3:$Q$11,2,1))</f>
        <v>0.02</v>
      </c>
      <c r="U339" s="36">
        <f>VLOOKUP(R339,IF(P339&lt;5,'Commission Criteria'!$L$3:$M$11,'Commission Criteria'!$P$3:$Q$11),2,1)</f>
        <v>0.02</v>
      </c>
      <c r="V339" s="8" t="s">
        <v>43</v>
      </c>
      <c r="W339" s="36">
        <f t="shared" ca="1" si="18"/>
        <v>0.02</v>
      </c>
      <c r="X339" s="8" t="str">
        <f>_xlfn.XLOOKUP(F339,'Product List'!$B$1:$B$299,'Product List'!$A$1:$A$299)</f>
        <v>Xerox 1932</v>
      </c>
      <c r="Y339" s="8"/>
      <c r="Z339" s="8" t="str" cm="1">
        <f t="array" ref="Z339:AD339">_xlfn.XLOOKUP(D339,'Customer Details'!$A$1:$A$17,'Customer Details'!$B$1:$F$17,"No such customer",0,1)</f>
        <v>Lupin Ltd.</v>
      </c>
      <c r="AA339" s="8" t="str">
        <v>Abbey Wood</v>
      </c>
      <c r="AB339" s="8" t="str">
        <v>New York</v>
      </c>
      <c r="AC339" s="8" t="str">
        <v>NY</v>
      </c>
      <c r="AD339" s="8" t="str">
        <v>10019</v>
      </c>
    </row>
    <row r="340" spans="1:30">
      <c r="A340" s="8" t="s">
        <v>478</v>
      </c>
      <c r="B340" s="19">
        <v>41627</v>
      </c>
      <c r="C340" s="8" t="s">
        <v>44</v>
      </c>
      <c r="D340" s="8">
        <v>10015</v>
      </c>
      <c r="E340" s="8" t="str">
        <f>VLOOKUP($D340,'Customer Details'!$A$1:$F$17,4,FALSE)</f>
        <v>South Windsor</v>
      </c>
      <c r="F340" s="8" t="s">
        <v>479</v>
      </c>
      <c r="G340" s="8">
        <v>1</v>
      </c>
      <c r="H340" s="2" t="str">
        <f>VLOOKUP($D340,'Customer Details'!$A$1:$F$17,MATCH('Order SUmmary'!H$2,'Customer Details'!$A$1:$F$1,0),0)</f>
        <v>Punj Lloyd Ltd.</v>
      </c>
      <c r="I340" s="2" t="str">
        <f>VLOOKUP($D340,'Customer Details'!$A$1:$F$17,4,0)</f>
        <v>South Windsor</v>
      </c>
      <c r="J340" s="2" t="str">
        <f>VLOOKUP($D340,'Customer Details'!$A$1:$F$17,6,0)</f>
        <v>06074</v>
      </c>
      <c r="K340" s="8" t="str">
        <f>VLOOKUP(VLOOKUP(D340,'Customer Details'!$A$1:$F$17,5,0),'Region INfo'!$A$1:$C$52,3,0)</f>
        <v xml:space="preserve">Northern </v>
      </c>
      <c r="L340" s="8" t="str">
        <f>INDEX(Product_List,MATCH($F340,'Product List'!$B$1:$B$299,0),MATCH('Order SUmmary'!L$2,'Product List'!$A$1:$E$1,0))</f>
        <v>Xerox 23</v>
      </c>
      <c r="M340" s="8">
        <f>INDEX(Product_List,MATCH($F340,'Product List'!$B$1:$B$299,0),MATCH('Order SUmmary'!M$2,'Product List'!$A$1:$E$1,0))</f>
        <v>4643</v>
      </c>
      <c r="N340" s="8">
        <f>INDEX(Product_List,MATCH($F340,'Product List'!$B$1:$B$299,0),MATCH('Order SUmmary'!N$2,'Product List'!$A$1:$E$1,0))</f>
        <v>1549</v>
      </c>
      <c r="O340" s="8" t="str">
        <f>INDEX(Product_List,MATCH($F340,'Product List'!$B$1:$B$299,0),MATCH('Order SUmmary'!O$2,'Product List'!$A$1:$E$1,0))</f>
        <v>Paper</v>
      </c>
      <c r="P340" s="12">
        <f>HLOOKUP(C340,'Commission Criteria'!$A$2:$I$4,3,FALSE)</f>
        <v>4</v>
      </c>
      <c r="Q340" s="8">
        <f t="shared" si="16"/>
        <v>1549</v>
      </c>
      <c r="R340" s="8">
        <f t="shared" si="17"/>
        <v>4643</v>
      </c>
      <c r="S340" s="36">
        <f>VLOOKUP(R340,'Commission Criteria'!$L$3:$M$11,2,TRUE)</f>
        <v>0.01</v>
      </c>
      <c r="T340" s="36">
        <f>IF(P340&lt;5,VLOOKUP(R340,'Commission Criteria'!$L$3:$M$11,2,1),VLOOKUP('Order SUmmary'!R340,'Commission Criteria'!$P$3:$Q$11,2,1))</f>
        <v>0.01</v>
      </c>
      <c r="U340" s="36">
        <f>VLOOKUP(R340,IF(P340&lt;5,'Commission Criteria'!$L$3:$M$11,'Commission Criteria'!$P$3:$Q$11),2,1)</f>
        <v>0.01</v>
      </c>
      <c r="V340" s="8" t="s">
        <v>29</v>
      </c>
      <c r="W340" s="36">
        <f t="shared" ca="1" si="18"/>
        <v>0.03</v>
      </c>
      <c r="X340" s="8" t="str">
        <f>_xlfn.XLOOKUP(F340,'Product List'!$B$1:$B$299,'Product List'!$A$1:$A$299)</f>
        <v>Xerox 23</v>
      </c>
      <c r="Y340" s="8"/>
      <c r="Z340" s="8" t="str" cm="1">
        <f t="array" ref="Z340:AD340">_xlfn.XLOOKUP(D340,'Customer Details'!$A$1:$A$17,'Customer Details'!$B$1:$F$17,"No such customer",0,1)</f>
        <v>Punj Lloyd Ltd.</v>
      </c>
      <c r="AA340" s="8" t="str">
        <v>Box 3263</v>
      </c>
      <c r="AB340" s="8" t="str">
        <v>South Windsor</v>
      </c>
      <c r="AC340" s="8" t="str">
        <v>CT</v>
      </c>
      <c r="AD340" s="8" t="str">
        <v>06074</v>
      </c>
    </row>
    <row r="341" spans="1:30">
      <c r="A341" s="8" t="s">
        <v>478</v>
      </c>
      <c r="B341" s="19">
        <v>41627</v>
      </c>
      <c r="C341" s="8" t="s">
        <v>27</v>
      </c>
      <c r="D341" s="8">
        <v>10014</v>
      </c>
      <c r="E341" s="8" t="str">
        <f>VLOOKUP($D341,'Customer Details'!$A$1:$F$17,4,FALSE)</f>
        <v>Honolulu</v>
      </c>
      <c r="F341" s="8" t="s">
        <v>291</v>
      </c>
      <c r="G341" s="8">
        <v>2</v>
      </c>
      <c r="H341" s="2" t="str">
        <f>VLOOKUP($D341,'Customer Details'!$A$1:$F$17,MATCH('Order SUmmary'!H$2,'Customer Details'!$A$1:$F$1,0),0)</f>
        <v>Hindusthan National Glass &amp; Industries Ltd.</v>
      </c>
      <c r="I341" s="2" t="str">
        <f>VLOOKUP($D341,'Customer Details'!$A$1:$F$17,4,0)</f>
        <v>Honolulu</v>
      </c>
      <c r="J341" s="2" t="str">
        <f>VLOOKUP($D341,'Customer Details'!$A$1:$F$17,6,0)</f>
        <v>96825</v>
      </c>
      <c r="K341" s="8" t="str">
        <f>VLOOKUP(VLOOKUP(D341,'Customer Details'!$A$1:$F$17,5,0),'Region INfo'!$A$1:$C$52,3,0)</f>
        <v xml:space="preserve">Pacific   </v>
      </c>
      <c r="L341" s="8" t="str">
        <f>INDEX(Product_List,MATCH($F341,'Product List'!$B$1:$B$299,0),MATCH('Order SUmmary'!L$2,'Product List'!$A$1:$E$1,0))</f>
        <v>Xerox 1990</v>
      </c>
      <c r="M341" s="8">
        <f>INDEX(Product_List,MATCH($F341,'Product List'!$B$1:$B$299,0),MATCH('Order SUmmary'!M$2,'Product List'!$A$1:$E$1,0))</f>
        <v>3330</v>
      </c>
      <c r="N341" s="8">
        <f>INDEX(Product_List,MATCH($F341,'Product List'!$B$1:$B$299,0),MATCH('Order SUmmary'!N$2,'Product List'!$A$1:$E$1,0))</f>
        <v>2283</v>
      </c>
      <c r="O341" s="8" t="str">
        <f>INDEX(Product_List,MATCH($F341,'Product List'!$B$1:$B$299,0),MATCH('Order SUmmary'!O$2,'Product List'!$A$1:$E$1,0))</f>
        <v>Paper</v>
      </c>
      <c r="P341" s="12">
        <f>HLOOKUP(C341,'Commission Criteria'!$A$2:$I$4,3,FALSE)</f>
        <v>4</v>
      </c>
      <c r="Q341" s="8">
        <f t="shared" si="16"/>
        <v>4566</v>
      </c>
      <c r="R341" s="8">
        <f t="shared" si="17"/>
        <v>6660</v>
      </c>
      <c r="S341" s="36">
        <f>VLOOKUP(R341,'Commission Criteria'!$L$3:$M$11,2,TRUE)</f>
        <v>0.03</v>
      </c>
      <c r="T341" s="36">
        <f>IF(P341&lt;5,VLOOKUP(R341,'Commission Criteria'!$L$3:$M$11,2,1),VLOOKUP('Order SUmmary'!R341,'Commission Criteria'!$P$3:$Q$11,2,1))</f>
        <v>0.03</v>
      </c>
      <c r="U341" s="36">
        <f>VLOOKUP(R341,IF(P341&lt;5,'Commission Criteria'!$L$3:$M$11,'Commission Criteria'!$P$3:$Q$11),2,1)</f>
        <v>0.03</v>
      </c>
      <c r="V341" s="8" t="s">
        <v>32</v>
      </c>
      <c r="W341" s="36">
        <f t="shared" ca="1" si="18"/>
        <v>0.03</v>
      </c>
      <c r="X341" s="8" t="str">
        <f>_xlfn.XLOOKUP(F341,'Product List'!$B$1:$B$299,'Product List'!$A$1:$A$299)</f>
        <v>Xerox 1990</v>
      </c>
      <c r="Y341" s="8"/>
      <c r="Z341" s="8" t="str" cm="1">
        <f t="array" ref="Z341:AD341">_xlfn.XLOOKUP(D341,'Customer Details'!$A$1:$A$17,'Customer Details'!$B$1:$F$17,"No such customer",0,1)</f>
        <v>Hindusthan National Glass &amp; Industries Ltd.</v>
      </c>
      <c r="AA341" s="8" t="str">
        <v>11 Cathy St.</v>
      </c>
      <c r="AB341" s="8" t="str">
        <v>Honolulu</v>
      </c>
      <c r="AC341" s="8" t="str">
        <v>HI</v>
      </c>
      <c r="AD341" s="8" t="str">
        <v>96825</v>
      </c>
    </row>
    <row r="342" spans="1:30">
      <c r="A342" s="8" t="s">
        <v>478</v>
      </c>
      <c r="B342" s="19">
        <v>41627</v>
      </c>
      <c r="C342" s="8" t="s">
        <v>66</v>
      </c>
      <c r="D342" s="8">
        <v>10001</v>
      </c>
      <c r="E342" s="8" t="str">
        <f>VLOOKUP($D342,'Customer Details'!$A$1:$F$17,4,FALSE)</f>
        <v>New York</v>
      </c>
      <c r="F342" s="8" t="s">
        <v>337</v>
      </c>
      <c r="G342" s="8">
        <v>3</v>
      </c>
      <c r="H342" s="2" t="str">
        <f>VLOOKUP($D342,'Customer Details'!$A$1:$F$17,MATCH('Order SUmmary'!H$2,'Customer Details'!$A$1:$F$1,0),0)</f>
        <v>Chambal Fertilisers and Chemicals Ltd.</v>
      </c>
      <c r="I342" s="2" t="str">
        <f>VLOOKUP($D342,'Customer Details'!$A$1:$F$17,4,0)</f>
        <v>New York</v>
      </c>
      <c r="J342" s="2" t="str">
        <f>VLOOKUP($D342,'Customer Details'!$A$1:$F$17,6,0)</f>
        <v>10025</v>
      </c>
      <c r="K342" s="8" t="str">
        <f>VLOOKUP(VLOOKUP(D342,'Customer Details'!$A$1:$F$17,5,0),'Region INfo'!$A$1:$C$52,3,0)</f>
        <v xml:space="preserve">Northern </v>
      </c>
      <c r="L342" s="8" t="str">
        <f>INDEX(Product_List,MATCH($F342,'Product List'!$B$1:$B$299,0),MATCH('Order SUmmary'!L$2,'Product List'!$A$1:$E$1,0))</f>
        <v>Avery 487</v>
      </c>
      <c r="M342" s="8">
        <f>INDEX(Product_List,MATCH($F342,'Product List'!$B$1:$B$299,0),MATCH('Order SUmmary'!M$2,'Product List'!$A$1:$E$1,0))</f>
        <v>2775</v>
      </c>
      <c r="N342" s="8">
        <f>INDEX(Product_List,MATCH($F342,'Product List'!$B$1:$B$299,0),MATCH('Order SUmmary'!N$2,'Product List'!$A$1:$E$1,0))</f>
        <v>1946</v>
      </c>
      <c r="O342" s="8" t="str">
        <f>INDEX(Product_List,MATCH($F342,'Product List'!$B$1:$B$299,0),MATCH('Order SUmmary'!O$2,'Product List'!$A$1:$E$1,0))</f>
        <v>Labels</v>
      </c>
      <c r="P342" s="12">
        <f>HLOOKUP(C342,'Commission Criteria'!$A$2:$I$4,3,FALSE)</f>
        <v>5</v>
      </c>
      <c r="Q342" s="8">
        <f t="shared" si="16"/>
        <v>5838</v>
      </c>
      <c r="R342" s="8">
        <f t="shared" si="17"/>
        <v>8325</v>
      </c>
      <c r="S342" s="36">
        <f>VLOOKUP(R342,'Commission Criteria'!$L$3:$M$11,2,TRUE)</f>
        <v>0.03</v>
      </c>
      <c r="T342" s="36">
        <f>IF(P342&lt;5,VLOOKUP(R342,'Commission Criteria'!$L$3:$M$11,2,1),VLOOKUP('Order SUmmary'!R342,'Commission Criteria'!$P$3:$Q$11,2,1))</f>
        <v>0.02</v>
      </c>
      <c r="U342" s="36">
        <f>VLOOKUP(R342,IF(P342&lt;5,'Commission Criteria'!$L$3:$M$11,'Commission Criteria'!$P$3:$Q$11),2,1)</f>
        <v>0.02</v>
      </c>
      <c r="V342" s="8" t="s">
        <v>29</v>
      </c>
      <c r="W342" s="36">
        <f t="shared" ca="1" si="18"/>
        <v>0.05</v>
      </c>
      <c r="X342" s="8" t="str">
        <f>_xlfn.XLOOKUP(F342,'Product List'!$B$1:$B$299,'Product List'!$A$1:$A$299)</f>
        <v>Avery 487</v>
      </c>
      <c r="Y342" s="8"/>
      <c r="Z342" s="8" t="str" cm="1">
        <f t="array" ref="Z342:AD342">_xlfn.XLOOKUP(D342,'Customer Details'!$A$1:$A$17,'Customer Details'!$B$1:$F$17,"No such customer",0,1)</f>
        <v>Chambal Fertilisers and Chemicals Ltd.</v>
      </c>
      <c r="AA342" s="8" t="str">
        <v>4951 Indiana Ave.</v>
      </c>
      <c r="AB342" s="8" t="str">
        <v>New York</v>
      </c>
      <c r="AC342" s="8" t="str">
        <v>NY</v>
      </c>
      <c r="AD342" s="8" t="str">
        <v>10025</v>
      </c>
    </row>
    <row r="343" spans="1:30">
      <c r="A343" s="8" t="s">
        <v>480</v>
      </c>
      <c r="B343" s="19">
        <v>41628</v>
      </c>
      <c r="C343" s="8" t="s">
        <v>44</v>
      </c>
      <c r="D343" s="8">
        <v>10008</v>
      </c>
      <c r="E343" s="8" t="str">
        <f>VLOOKUP($D343,'Customer Details'!$A$1:$F$17,4,FALSE)</f>
        <v>Chestnut Ridge</v>
      </c>
      <c r="F343" s="8" t="s">
        <v>481</v>
      </c>
      <c r="G343" s="8">
        <v>1</v>
      </c>
      <c r="H343" s="2" t="str">
        <f>VLOOKUP($D343,'Customer Details'!$A$1:$F$17,MATCH('Order SUmmary'!H$2,'Customer Details'!$A$1:$F$1,0),0)</f>
        <v>Reliance Industries Limited</v>
      </c>
      <c r="I343" s="2" t="str">
        <f>VLOOKUP($D343,'Customer Details'!$A$1:$F$17,4,0)</f>
        <v>Chestnut Ridge</v>
      </c>
      <c r="J343" s="2" t="str">
        <f>VLOOKUP($D343,'Customer Details'!$A$1:$F$17,6,0)</f>
        <v>10977</v>
      </c>
      <c r="K343" s="8" t="str">
        <f>VLOOKUP(VLOOKUP(D343,'Customer Details'!$A$1:$F$17,5,0),'Region INfo'!$A$1:$C$52,3,0)</f>
        <v xml:space="preserve">Northern </v>
      </c>
      <c r="L343" s="8" t="str">
        <f>INDEX(Product_List,MATCH($F343,'Product List'!$B$1:$B$299,0),MATCH('Order SUmmary'!L$2,'Product List'!$A$1:$E$1,0))</f>
        <v>Xerox 219</v>
      </c>
      <c r="M343" s="8">
        <f>INDEX(Product_List,MATCH($F343,'Product List'!$B$1:$B$299,0),MATCH('Order SUmmary'!M$2,'Product List'!$A$1:$E$1,0))</f>
        <v>3735</v>
      </c>
      <c r="N343" s="8">
        <f>INDEX(Product_List,MATCH($F343,'Product List'!$B$1:$B$299,0),MATCH('Order SUmmary'!N$2,'Product List'!$A$1:$E$1,0))</f>
        <v>2377</v>
      </c>
      <c r="O343" s="8" t="str">
        <f>INDEX(Product_List,MATCH($F343,'Product List'!$B$1:$B$299,0),MATCH('Order SUmmary'!O$2,'Product List'!$A$1:$E$1,0))</f>
        <v>Paper</v>
      </c>
      <c r="P343" s="12">
        <f>HLOOKUP(C343,'Commission Criteria'!$A$2:$I$4,3,FALSE)</f>
        <v>4</v>
      </c>
      <c r="Q343" s="8">
        <f t="shared" si="16"/>
        <v>2377</v>
      </c>
      <c r="R343" s="8">
        <f t="shared" si="17"/>
        <v>3735</v>
      </c>
      <c r="S343" s="36">
        <f>VLOOKUP(R343,'Commission Criteria'!$L$3:$M$11,2,TRUE)</f>
        <v>0.01</v>
      </c>
      <c r="T343" s="36">
        <f>IF(P343&lt;5,VLOOKUP(R343,'Commission Criteria'!$L$3:$M$11,2,1),VLOOKUP('Order SUmmary'!R343,'Commission Criteria'!$P$3:$Q$11,2,1))</f>
        <v>0.01</v>
      </c>
      <c r="U343" s="36">
        <f>VLOOKUP(R343,IF(P343&lt;5,'Commission Criteria'!$L$3:$M$11,'Commission Criteria'!$P$3:$Q$11),2,1)</f>
        <v>0.01</v>
      </c>
      <c r="V343" s="8" t="s">
        <v>50</v>
      </c>
      <c r="W343" s="36">
        <f t="shared" ca="1" si="18"/>
        <v>0.01</v>
      </c>
      <c r="X343" s="8" t="str">
        <f>_xlfn.XLOOKUP(F343,'Product List'!$B$1:$B$299,'Product List'!$A$1:$A$299)</f>
        <v>Xerox 219</v>
      </c>
      <c r="Y343" s="8"/>
      <c r="Z343" s="8" t="str" cm="1">
        <f t="array" ref="Z343:AD343">_xlfn.XLOOKUP(D343,'Customer Details'!$A$1:$A$17,'Customer Details'!$B$1:$F$17,"No such customer",0,1)</f>
        <v>Reliance Industries Limited</v>
      </c>
      <c r="AA343" s="8" t="str">
        <v>12020 Shamrock Rd., Suite 333</v>
      </c>
      <c r="AB343" s="8" t="str">
        <v>Chestnut Ridge</v>
      </c>
      <c r="AC343" s="8" t="str">
        <v>NY</v>
      </c>
      <c r="AD343" s="8" t="str">
        <v>10977</v>
      </c>
    </row>
    <row r="344" spans="1:30">
      <c r="A344" s="8" t="s">
        <v>480</v>
      </c>
      <c r="B344" s="19">
        <v>41628</v>
      </c>
      <c r="C344" s="8" t="s">
        <v>33</v>
      </c>
      <c r="D344" s="8">
        <v>10010</v>
      </c>
      <c r="E344" s="8" t="str">
        <f>VLOOKUP($D344,'Customer Details'!$A$1:$F$17,4,FALSE)</f>
        <v>Tracy</v>
      </c>
      <c r="F344" s="8" t="s">
        <v>412</v>
      </c>
      <c r="G344" s="8">
        <v>3</v>
      </c>
      <c r="H344" s="2" t="str">
        <f>VLOOKUP($D344,'Customer Details'!$A$1:$F$17,MATCH('Order SUmmary'!H$2,'Customer Details'!$A$1:$F$1,0),0)</f>
        <v>Suzlon Energy Ltd.</v>
      </c>
      <c r="I344" s="2" t="str">
        <f>VLOOKUP($D344,'Customer Details'!$A$1:$F$17,4,0)</f>
        <v>Tracy</v>
      </c>
      <c r="J344" s="2" t="str">
        <f>VLOOKUP($D344,'Customer Details'!$A$1:$F$17,6,0)</f>
        <v>95376</v>
      </c>
      <c r="K344" s="8" t="str">
        <f>VLOOKUP(VLOOKUP(D344,'Customer Details'!$A$1:$F$17,5,0),'Region INfo'!$A$1:$C$52,3,0)</f>
        <v xml:space="preserve">Pacific   </v>
      </c>
      <c r="L344" s="8" t="str">
        <f>INDEX(Product_List,MATCH($F344,'Product List'!$B$1:$B$299,0),MATCH('Order SUmmary'!L$2,'Product List'!$A$1:$E$1,0))</f>
        <v>Avery 482</v>
      </c>
      <c r="M344" s="8">
        <f>INDEX(Product_List,MATCH($F344,'Product List'!$B$1:$B$299,0),MATCH('Order SUmmary'!M$2,'Product List'!$A$1:$E$1,0))</f>
        <v>2868</v>
      </c>
      <c r="N344" s="8">
        <f>INDEX(Product_List,MATCH($F344,'Product List'!$B$1:$B$299,0),MATCH('Order SUmmary'!N$2,'Product List'!$A$1:$E$1,0))</f>
        <v>2479</v>
      </c>
      <c r="O344" s="8" t="str">
        <f>INDEX(Product_List,MATCH($F344,'Product List'!$B$1:$B$299,0),MATCH('Order SUmmary'!O$2,'Product List'!$A$1:$E$1,0))</f>
        <v>Labels</v>
      </c>
      <c r="P344" s="12">
        <f>HLOOKUP(C344,'Commission Criteria'!$A$2:$I$4,3,FALSE)</f>
        <v>1</v>
      </c>
      <c r="Q344" s="8">
        <f t="shared" si="16"/>
        <v>7437</v>
      </c>
      <c r="R344" s="8">
        <f t="shared" si="17"/>
        <v>8604</v>
      </c>
      <c r="S344" s="36">
        <f>VLOOKUP(R344,'Commission Criteria'!$L$3:$M$11,2,TRUE)</f>
        <v>0.03</v>
      </c>
      <c r="T344" s="36">
        <f>IF(P344&lt;5,VLOOKUP(R344,'Commission Criteria'!$L$3:$M$11,2,1),VLOOKUP('Order SUmmary'!R344,'Commission Criteria'!$P$3:$Q$11,2,1))</f>
        <v>0.03</v>
      </c>
      <c r="U344" s="36">
        <f>VLOOKUP(R344,IF(P344&lt;5,'Commission Criteria'!$L$3:$M$11,'Commission Criteria'!$P$3:$Q$11),2,1)</f>
        <v>0.03</v>
      </c>
      <c r="V344" s="8" t="s">
        <v>50</v>
      </c>
      <c r="W344" s="36">
        <f t="shared" ca="1" si="18"/>
        <v>0.02</v>
      </c>
      <c r="X344" s="8" t="str">
        <f>_xlfn.XLOOKUP(F344,'Product List'!$B$1:$B$299,'Product List'!$A$1:$A$299)</f>
        <v>Avery 482</v>
      </c>
      <c r="Y344" s="8"/>
      <c r="Z344" s="8" t="str" cm="1">
        <f t="array" ref="Z344:AD344">_xlfn.XLOOKUP(D344,'Customer Details'!$A$1:$A$17,'Customer Details'!$B$1:$F$17,"No such customer",0,1)</f>
        <v>Suzlon Energy Ltd.</v>
      </c>
      <c r="AA344" s="8" t="str">
        <v>501 Marsh Trail Circle</v>
      </c>
      <c r="AB344" s="8" t="str">
        <v>Tracy</v>
      </c>
      <c r="AC344" s="8" t="str">
        <v>CA</v>
      </c>
      <c r="AD344" s="8" t="str">
        <v>95376</v>
      </c>
    </row>
    <row r="345" spans="1:30">
      <c r="A345" s="8" t="s">
        <v>482</v>
      </c>
      <c r="B345" s="19">
        <v>41630</v>
      </c>
      <c r="C345" s="8" t="s">
        <v>51</v>
      </c>
      <c r="D345" s="8">
        <v>10015</v>
      </c>
      <c r="E345" s="8" t="str">
        <f>VLOOKUP($D345,'Customer Details'!$A$1:$F$17,4,FALSE)</f>
        <v>South Windsor</v>
      </c>
      <c r="F345" s="8" t="s">
        <v>330</v>
      </c>
      <c r="G345" s="8">
        <v>1</v>
      </c>
      <c r="H345" s="2" t="str">
        <f>VLOOKUP($D345,'Customer Details'!$A$1:$F$17,MATCH('Order SUmmary'!H$2,'Customer Details'!$A$1:$F$1,0),0)</f>
        <v>Punj Lloyd Ltd.</v>
      </c>
      <c r="I345" s="2" t="str">
        <f>VLOOKUP($D345,'Customer Details'!$A$1:$F$17,4,0)</f>
        <v>South Windsor</v>
      </c>
      <c r="J345" s="2" t="str">
        <f>VLOOKUP($D345,'Customer Details'!$A$1:$F$17,6,0)</f>
        <v>06074</v>
      </c>
      <c r="K345" s="8" t="str">
        <f>VLOOKUP(VLOOKUP(D345,'Customer Details'!$A$1:$F$17,5,0),'Region INfo'!$A$1:$C$52,3,0)</f>
        <v xml:space="preserve">Northern </v>
      </c>
      <c r="L345" s="8" t="str">
        <f>INDEX(Product_List,MATCH($F345,'Product List'!$B$1:$B$299,0),MATCH('Order SUmmary'!L$2,'Product List'!$A$1:$E$1,0))</f>
        <v>Xerox 1909</v>
      </c>
      <c r="M345" s="8">
        <f>INDEX(Product_List,MATCH($F345,'Product List'!$B$1:$B$299,0),MATCH('Order SUmmary'!M$2,'Product List'!$A$1:$E$1,0))</f>
        <v>2628</v>
      </c>
      <c r="N345" s="8">
        <f>INDEX(Product_List,MATCH($F345,'Product List'!$B$1:$B$299,0),MATCH('Order SUmmary'!N$2,'Product List'!$A$1:$E$1,0))</f>
        <v>1803</v>
      </c>
      <c r="O345" s="8" t="str">
        <f>INDEX(Product_List,MATCH($F345,'Product List'!$B$1:$B$299,0),MATCH('Order SUmmary'!O$2,'Product List'!$A$1:$E$1,0))</f>
        <v>Paper</v>
      </c>
      <c r="P345" s="12">
        <f>HLOOKUP(C345,'Commission Criteria'!$A$2:$I$4,3,FALSE)</f>
        <v>10</v>
      </c>
      <c r="Q345" s="8">
        <f t="shared" si="16"/>
        <v>1803</v>
      </c>
      <c r="R345" s="8">
        <f t="shared" si="17"/>
        <v>2628</v>
      </c>
      <c r="S345" s="36">
        <f>VLOOKUP(R345,'Commission Criteria'!$L$3:$M$11,2,TRUE)</f>
        <v>0.01</v>
      </c>
      <c r="T345" s="36">
        <f>IF(P345&lt;5,VLOOKUP(R345,'Commission Criteria'!$L$3:$M$11,2,1),VLOOKUP('Order SUmmary'!R345,'Commission Criteria'!$P$3:$Q$11,2,1))</f>
        <v>0.02</v>
      </c>
      <c r="U345" s="36">
        <f>VLOOKUP(R345,IF(P345&lt;5,'Commission Criteria'!$L$3:$M$11,'Commission Criteria'!$P$3:$Q$11),2,1)</f>
        <v>0.02</v>
      </c>
      <c r="V345" s="8" t="s">
        <v>32</v>
      </c>
      <c r="W345" s="36">
        <f t="shared" ca="1" si="18"/>
        <v>0.03</v>
      </c>
      <c r="X345" s="8" t="str">
        <f>_xlfn.XLOOKUP(F345,'Product List'!$B$1:$B$299,'Product List'!$A$1:$A$299)</f>
        <v>Xerox 1909</v>
      </c>
      <c r="Y345" s="8"/>
      <c r="Z345" s="8" t="str" cm="1">
        <f t="array" ref="Z345:AD345">_xlfn.XLOOKUP(D345,'Customer Details'!$A$1:$A$17,'Customer Details'!$B$1:$F$17,"No such customer",0,1)</f>
        <v>Punj Lloyd Ltd.</v>
      </c>
      <c r="AA345" s="8" t="str">
        <v>Box 3263</v>
      </c>
      <c r="AB345" s="8" t="str">
        <v>South Windsor</v>
      </c>
      <c r="AC345" s="8" t="str">
        <v>CT</v>
      </c>
      <c r="AD345" s="8" t="str">
        <v>06074</v>
      </c>
    </row>
    <row r="346" spans="1:30">
      <c r="A346" s="8" t="s">
        <v>482</v>
      </c>
      <c r="B346" s="19">
        <v>41630</v>
      </c>
      <c r="C346" s="8" t="s">
        <v>33</v>
      </c>
      <c r="D346" s="8">
        <v>10009</v>
      </c>
      <c r="E346" s="8" t="str">
        <f>VLOOKUP($D346,'Customer Details'!$A$1:$F$17,4,FALSE)</f>
        <v>Salt Lake City</v>
      </c>
      <c r="F346" s="8" t="s">
        <v>100</v>
      </c>
      <c r="G346" s="8">
        <v>1</v>
      </c>
      <c r="H346" s="2" t="str">
        <f>VLOOKUP($D346,'Customer Details'!$A$1:$F$17,MATCH('Order SUmmary'!H$2,'Customer Details'!$A$1:$F$1,0),0)</f>
        <v>Godfrey Philips India Ltd.</v>
      </c>
      <c r="I346" s="2" t="str">
        <f>VLOOKUP($D346,'Customer Details'!$A$1:$F$17,4,0)</f>
        <v>Salt Lake City</v>
      </c>
      <c r="J346" s="2" t="str">
        <f>VLOOKUP($D346,'Customer Details'!$A$1:$F$17,6,0)</f>
        <v>84118</v>
      </c>
      <c r="K346" s="8" t="str">
        <f>VLOOKUP(VLOOKUP(D346,'Customer Details'!$A$1:$F$17,5,0),'Region INfo'!$A$1:$C$52,3,0)</f>
        <v xml:space="preserve">Pacific   </v>
      </c>
      <c r="L346" s="8" t="str">
        <f>INDEX(Product_List,MATCH($F346,'Product List'!$B$1:$B$299,0),MATCH('Order SUmmary'!L$2,'Product List'!$A$1:$E$1,0))</f>
        <v>Xerox 1893</v>
      </c>
      <c r="M346" s="8">
        <f>INDEX(Product_List,MATCH($F346,'Product List'!$B$1:$B$299,0),MATCH('Order SUmmary'!M$2,'Product List'!$A$1:$E$1,0))</f>
        <v>4874</v>
      </c>
      <c r="N346" s="8">
        <f>INDEX(Product_List,MATCH($F346,'Product List'!$B$1:$B$299,0),MATCH('Order SUmmary'!N$2,'Product List'!$A$1:$E$1,0))</f>
        <v>1503</v>
      </c>
      <c r="O346" s="8" t="str">
        <f>INDEX(Product_List,MATCH($F346,'Product List'!$B$1:$B$299,0),MATCH('Order SUmmary'!O$2,'Product List'!$A$1:$E$1,0))</f>
        <v>Paper</v>
      </c>
      <c r="P346" s="12">
        <f>HLOOKUP(C346,'Commission Criteria'!$A$2:$I$4,3,FALSE)</f>
        <v>1</v>
      </c>
      <c r="Q346" s="8">
        <f t="shared" si="16"/>
        <v>1503</v>
      </c>
      <c r="R346" s="8">
        <f t="shared" si="17"/>
        <v>4874</v>
      </c>
      <c r="S346" s="36">
        <f>VLOOKUP(R346,'Commission Criteria'!$L$3:$M$11,2,TRUE)</f>
        <v>0.01</v>
      </c>
      <c r="T346" s="36">
        <f>IF(P346&lt;5,VLOOKUP(R346,'Commission Criteria'!$L$3:$M$11,2,1),VLOOKUP('Order SUmmary'!R346,'Commission Criteria'!$P$3:$Q$11,2,1))</f>
        <v>0.01</v>
      </c>
      <c r="U346" s="36">
        <f>VLOOKUP(R346,IF(P346&lt;5,'Commission Criteria'!$L$3:$M$11,'Commission Criteria'!$P$3:$Q$11),2,1)</f>
        <v>0.01</v>
      </c>
      <c r="V346" s="8" t="s">
        <v>43</v>
      </c>
      <c r="W346" s="36">
        <f t="shared" ca="1" si="18"/>
        <v>0.05</v>
      </c>
      <c r="X346" s="8" t="str">
        <f>_xlfn.XLOOKUP(F346,'Product List'!$B$1:$B$299,'Product List'!$A$1:$A$299)</f>
        <v>Xerox 1893</v>
      </c>
      <c r="Y346" s="8"/>
      <c r="Z346" s="8" t="str" cm="1">
        <f t="array" ref="Z346:AD346">_xlfn.XLOOKUP(D346,'Customer Details'!$A$1:$A$17,'Customer Details'!$B$1:$F$17,"No such customer",0,1)</f>
        <v>Godfrey Philips India Ltd.</v>
      </c>
      <c r="AA346" s="8" t="str">
        <v>20501 Ania Ave #2</v>
      </c>
      <c r="AB346" s="8" t="str">
        <v>Salt Lake City</v>
      </c>
      <c r="AC346" s="8" t="str">
        <v>UT</v>
      </c>
      <c r="AD346" s="8" t="str">
        <v>84118</v>
      </c>
    </row>
    <row r="347" spans="1:30">
      <c r="A347" s="8" t="s">
        <v>483</v>
      </c>
      <c r="B347" s="19">
        <v>41632</v>
      </c>
      <c r="C347" s="8" t="s">
        <v>46</v>
      </c>
      <c r="D347" s="8">
        <v>10013</v>
      </c>
      <c r="E347" s="8" t="str">
        <f>VLOOKUP($D347,'Customer Details'!$A$1:$F$17,4,FALSE)</f>
        <v>Naugatuck</v>
      </c>
      <c r="F347" s="8" t="s">
        <v>345</v>
      </c>
      <c r="G347" s="8">
        <v>3</v>
      </c>
      <c r="H347" s="2" t="str">
        <f>VLOOKUP($D347,'Customer Details'!$A$1:$F$17,MATCH('Order SUmmary'!H$2,'Customer Details'!$A$1:$F$1,0),0)</f>
        <v>GMR Infrastructure Ltd.</v>
      </c>
      <c r="I347" s="2" t="str">
        <f>VLOOKUP($D347,'Customer Details'!$A$1:$F$17,4,0)</f>
        <v>Naugatuck</v>
      </c>
      <c r="J347" s="2" t="str">
        <f>VLOOKUP($D347,'Customer Details'!$A$1:$F$17,6,0)</f>
        <v>06770</v>
      </c>
      <c r="K347" s="8" t="str">
        <f>VLOOKUP(VLOOKUP(D347,'Customer Details'!$A$1:$F$17,5,0),'Region INfo'!$A$1:$C$52,3,0)</f>
        <v xml:space="preserve">Northern </v>
      </c>
      <c r="L347" s="8" t="str">
        <f>INDEX(Product_List,MATCH($F347,'Product List'!$B$1:$B$299,0),MATCH('Order SUmmary'!L$2,'Product List'!$A$1:$E$1,0))</f>
        <v>Newell 340</v>
      </c>
      <c r="M347" s="8">
        <f>INDEX(Product_List,MATCH($F347,'Product List'!$B$1:$B$299,0),MATCH('Order SUmmary'!M$2,'Product List'!$A$1:$E$1,0))</f>
        <v>4239</v>
      </c>
      <c r="N347" s="8">
        <f>INDEX(Product_List,MATCH($F347,'Product List'!$B$1:$B$299,0),MATCH('Order SUmmary'!N$2,'Product List'!$A$1:$E$1,0))</f>
        <v>1749</v>
      </c>
      <c r="O347" s="8" t="str">
        <f>INDEX(Product_List,MATCH($F347,'Product List'!$B$1:$B$299,0),MATCH('Order SUmmary'!O$2,'Product List'!$A$1:$E$1,0))</f>
        <v>Art</v>
      </c>
      <c r="P347" s="12">
        <f>HLOOKUP(C347,'Commission Criteria'!$A$2:$I$4,3,FALSE)</f>
        <v>8</v>
      </c>
      <c r="Q347" s="8">
        <f t="shared" si="16"/>
        <v>5247</v>
      </c>
      <c r="R347" s="8">
        <f t="shared" si="17"/>
        <v>12717</v>
      </c>
      <c r="S347" s="36">
        <f>VLOOKUP(R347,'Commission Criteria'!$L$3:$M$11,2,TRUE)</f>
        <v>0.03</v>
      </c>
      <c r="T347" s="36">
        <f>IF(P347&lt;5,VLOOKUP(R347,'Commission Criteria'!$L$3:$M$11,2,1),VLOOKUP('Order SUmmary'!R347,'Commission Criteria'!$P$3:$Q$11,2,1))</f>
        <v>0.02</v>
      </c>
      <c r="U347" s="36">
        <f>VLOOKUP(R347,IF(P347&lt;5,'Commission Criteria'!$L$3:$M$11,'Commission Criteria'!$P$3:$Q$11),2,1)</f>
        <v>0.02</v>
      </c>
      <c r="V347" s="8" t="s">
        <v>35</v>
      </c>
      <c r="W347" s="36">
        <f t="shared" ca="1" si="18"/>
        <v>0.04</v>
      </c>
      <c r="X347" s="8" t="str">
        <f>_xlfn.XLOOKUP(F347,'Product List'!$B$1:$B$299,'Product List'!$A$1:$A$299)</f>
        <v>Newell 340</v>
      </c>
      <c r="Y347" s="8"/>
      <c r="Z347" s="8" t="str" cm="1">
        <f t="array" ref="Z347:AD347">_xlfn.XLOOKUP(D347,'Customer Details'!$A$1:$A$17,'Customer Details'!$B$1:$F$17,"No such customer",0,1)</f>
        <v>GMR Infrastructure Ltd.</v>
      </c>
      <c r="AA347" s="8" t="str">
        <v>P.O. Box 4421</v>
      </c>
      <c r="AB347" s="8" t="str">
        <v>Naugatuck</v>
      </c>
      <c r="AC347" s="8" t="str">
        <v>CT</v>
      </c>
      <c r="AD347" s="8" t="str">
        <v>06770</v>
      </c>
    </row>
    <row r="348" spans="1:30">
      <c r="A348" s="8" t="s">
        <v>484</v>
      </c>
      <c r="B348" s="19">
        <v>41635</v>
      </c>
      <c r="C348" s="8" t="s">
        <v>27</v>
      </c>
      <c r="D348" s="8">
        <v>10010</v>
      </c>
      <c r="E348" s="8" t="str">
        <f>VLOOKUP($D348,'Customer Details'!$A$1:$F$17,4,FALSE)</f>
        <v>Tracy</v>
      </c>
      <c r="F348" s="8" t="s">
        <v>485</v>
      </c>
      <c r="G348" s="8">
        <v>1</v>
      </c>
      <c r="H348" s="2" t="str">
        <f>VLOOKUP($D348,'Customer Details'!$A$1:$F$17,MATCH('Order SUmmary'!H$2,'Customer Details'!$A$1:$F$1,0),0)</f>
        <v>Suzlon Energy Ltd.</v>
      </c>
      <c r="I348" s="2" t="str">
        <f>VLOOKUP($D348,'Customer Details'!$A$1:$F$17,4,0)</f>
        <v>Tracy</v>
      </c>
      <c r="J348" s="2" t="str">
        <f>VLOOKUP($D348,'Customer Details'!$A$1:$F$17,6,0)</f>
        <v>95376</v>
      </c>
      <c r="K348" s="8" t="str">
        <f>VLOOKUP(VLOOKUP(D348,'Customer Details'!$A$1:$F$17,5,0),'Region INfo'!$A$1:$C$52,3,0)</f>
        <v xml:space="preserve">Pacific   </v>
      </c>
      <c r="L348" s="8" t="str">
        <f>INDEX(Product_List,MATCH($F348,'Product List'!$B$1:$B$299,0),MATCH('Order SUmmary'!L$2,'Product List'!$A$1:$E$1,0))</f>
        <v>Xerox 1967</v>
      </c>
      <c r="M348" s="8">
        <f>INDEX(Product_List,MATCH($F348,'Product List'!$B$1:$B$299,0),MATCH('Order SUmmary'!M$2,'Product List'!$A$1:$E$1,0))</f>
        <v>2552</v>
      </c>
      <c r="N348" s="8">
        <f>INDEX(Product_List,MATCH($F348,'Product List'!$B$1:$B$299,0),MATCH('Order SUmmary'!N$2,'Product List'!$A$1:$E$1,0))</f>
        <v>1905</v>
      </c>
      <c r="O348" s="8" t="str">
        <f>INDEX(Product_List,MATCH($F348,'Product List'!$B$1:$B$299,0),MATCH('Order SUmmary'!O$2,'Product List'!$A$1:$E$1,0))</f>
        <v>Paper</v>
      </c>
      <c r="P348" s="12">
        <f>HLOOKUP(C348,'Commission Criteria'!$A$2:$I$4,3,FALSE)</f>
        <v>4</v>
      </c>
      <c r="Q348" s="8">
        <f t="shared" si="16"/>
        <v>1905</v>
      </c>
      <c r="R348" s="8">
        <f t="shared" si="17"/>
        <v>2552</v>
      </c>
      <c r="S348" s="36">
        <f>VLOOKUP(R348,'Commission Criteria'!$L$3:$M$11,2,TRUE)</f>
        <v>0.01</v>
      </c>
      <c r="T348" s="36">
        <f>IF(P348&lt;5,VLOOKUP(R348,'Commission Criteria'!$L$3:$M$11,2,1),VLOOKUP('Order SUmmary'!R348,'Commission Criteria'!$P$3:$Q$11,2,1))</f>
        <v>0.01</v>
      </c>
      <c r="U348" s="36">
        <f>VLOOKUP(R348,IF(P348&lt;5,'Commission Criteria'!$L$3:$M$11,'Commission Criteria'!$P$3:$Q$11),2,1)</f>
        <v>0.01</v>
      </c>
      <c r="V348" s="8" t="s">
        <v>43</v>
      </c>
      <c r="W348" s="36">
        <f t="shared" ca="1" si="18"/>
        <v>0.04</v>
      </c>
      <c r="X348" s="8" t="str">
        <f>_xlfn.XLOOKUP(F348,'Product List'!$B$1:$B$299,'Product List'!$A$1:$A$299)</f>
        <v>Xerox 1967</v>
      </c>
      <c r="Y348" s="8"/>
      <c r="Z348" s="8" t="str" cm="1">
        <f t="array" ref="Z348:AD348">_xlfn.XLOOKUP(D348,'Customer Details'!$A$1:$A$17,'Customer Details'!$B$1:$F$17,"No such customer",0,1)</f>
        <v>Suzlon Energy Ltd.</v>
      </c>
      <c r="AA348" s="8" t="str">
        <v>501 Marsh Trail Circle</v>
      </c>
      <c r="AB348" s="8" t="str">
        <v>Tracy</v>
      </c>
      <c r="AC348" s="8" t="str">
        <v>CA</v>
      </c>
      <c r="AD348" s="8" t="str">
        <v>95376</v>
      </c>
    </row>
    <row r="349" spans="1:30">
      <c r="A349" s="8" t="s">
        <v>486</v>
      </c>
      <c r="B349" s="19">
        <v>41636</v>
      </c>
      <c r="C349" s="8" t="s">
        <v>33</v>
      </c>
      <c r="D349" s="8">
        <v>10005</v>
      </c>
      <c r="E349" s="8" t="str">
        <f>VLOOKUP($D349,'Customer Details'!$A$1:$F$17,4,FALSE)</f>
        <v>Goleta</v>
      </c>
      <c r="F349" s="8" t="s">
        <v>487</v>
      </c>
      <c r="G349" s="8">
        <v>1</v>
      </c>
      <c r="H349" s="2" t="str">
        <f>VLOOKUP($D349,'Customer Details'!$A$1:$F$17,MATCH('Order SUmmary'!H$2,'Customer Details'!$A$1:$F$1,0),0)</f>
        <v>Fortis Healthcare Ltd.</v>
      </c>
      <c r="I349" s="2" t="str">
        <f>VLOOKUP($D349,'Customer Details'!$A$1:$F$17,4,0)</f>
        <v>Goleta</v>
      </c>
      <c r="J349" s="2" t="str">
        <f>VLOOKUP($D349,'Customer Details'!$A$1:$F$17,6,0)</f>
        <v>93117</v>
      </c>
      <c r="K349" s="8" t="str">
        <f>VLOOKUP(VLOOKUP(D349,'Customer Details'!$A$1:$F$17,5,0),'Region INfo'!$A$1:$C$52,3,0)</f>
        <v xml:space="preserve">Pacific   </v>
      </c>
      <c r="L349" s="8" t="str">
        <f>INDEX(Product_List,MATCH($F349,'Product List'!$B$1:$B$299,0),MATCH('Order SUmmary'!L$2,'Product List'!$A$1:$E$1,0))</f>
        <v>Xerox 1949</v>
      </c>
      <c r="M349" s="8">
        <f>INDEX(Product_List,MATCH($F349,'Product List'!$B$1:$B$299,0),MATCH('Order SUmmary'!M$2,'Product List'!$A$1:$E$1,0))</f>
        <v>3197</v>
      </c>
      <c r="N349" s="8">
        <f>INDEX(Product_List,MATCH($F349,'Product List'!$B$1:$B$299,0),MATCH('Order SUmmary'!N$2,'Product List'!$A$1:$E$1,0))</f>
        <v>1625</v>
      </c>
      <c r="O349" s="8" t="str">
        <f>INDEX(Product_List,MATCH($F349,'Product List'!$B$1:$B$299,0),MATCH('Order SUmmary'!O$2,'Product List'!$A$1:$E$1,0))</f>
        <v>Paper</v>
      </c>
      <c r="P349" s="12">
        <f>HLOOKUP(C349,'Commission Criteria'!$A$2:$I$4,3,FALSE)</f>
        <v>1</v>
      </c>
      <c r="Q349" s="8">
        <f t="shared" si="16"/>
        <v>1625</v>
      </c>
      <c r="R349" s="8">
        <f t="shared" si="17"/>
        <v>3197</v>
      </c>
      <c r="S349" s="36">
        <f>VLOOKUP(R349,'Commission Criteria'!$L$3:$M$11,2,TRUE)</f>
        <v>0.01</v>
      </c>
      <c r="T349" s="36">
        <f>IF(P349&lt;5,VLOOKUP(R349,'Commission Criteria'!$L$3:$M$11,2,1),VLOOKUP('Order SUmmary'!R349,'Commission Criteria'!$P$3:$Q$11,2,1))</f>
        <v>0.01</v>
      </c>
      <c r="U349" s="36">
        <f>VLOOKUP(R349,IF(P349&lt;5,'Commission Criteria'!$L$3:$M$11,'Commission Criteria'!$P$3:$Q$11),2,1)</f>
        <v>0.01</v>
      </c>
      <c r="V349" s="8" t="s">
        <v>50</v>
      </c>
      <c r="W349" s="36">
        <f t="shared" ca="1" si="18"/>
        <v>0.04</v>
      </c>
      <c r="X349" s="8" t="str">
        <f>_xlfn.XLOOKUP(F349,'Product List'!$B$1:$B$299,'Product List'!$A$1:$A$299)</f>
        <v>Xerox 1949</v>
      </c>
      <c r="Y349" s="8"/>
      <c r="Z349" s="8" t="str" cm="1">
        <f t="array" ref="Z349:AD349">_xlfn.XLOOKUP(D349,'Customer Details'!$A$1:$A$17,'Customer Details'!$B$1:$F$17,"No such customer",0,1)</f>
        <v>Fortis Healthcare Ltd.</v>
      </c>
      <c r="AA349" s="8" t="str">
        <v>14 Elsworthy Terrace</v>
      </c>
      <c r="AB349" s="8" t="str">
        <v>Goleta</v>
      </c>
      <c r="AC349" s="8" t="str">
        <v>CA</v>
      </c>
      <c r="AD349" s="8" t="str">
        <v>93117</v>
      </c>
    </row>
    <row r="350" spans="1:30">
      <c r="A350" s="8" t="s">
        <v>488</v>
      </c>
      <c r="B350" s="19">
        <v>41637</v>
      </c>
      <c r="C350" s="8" t="s">
        <v>54</v>
      </c>
      <c r="D350" s="8">
        <v>10011</v>
      </c>
      <c r="E350" s="8" t="str">
        <f>VLOOKUP($D350,'Customer Details'!$A$1:$F$17,4,FALSE)</f>
        <v>Olympia</v>
      </c>
      <c r="F350" s="8" t="s">
        <v>83</v>
      </c>
      <c r="G350" s="8">
        <v>1</v>
      </c>
      <c r="H350" s="2" t="str">
        <f>VLOOKUP($D350,'Customer Details'!$A$1:$F$17,MATCH('Order SUmmary'!H$2,'Customer Details'!$A$1:$F$1,0),0)</f>
        <v>Sonata Software</v>
      </c>
      <c r="I350" s="2" t="str">
        <f>VLOOKUP($D350,'Customer Details'!$A$1:$F$17,4,0)</f>
        <v>Olympia</v>
      </c>
      <c r="J350" s="2" t="str">
        <f>VLOOKUP($D350,'Customer Details'!$A$1:$F$17,6,0)</f>
        <v>98502</v>
      </c>
      <c r="K350" s="8" t="str">
        <f>VLOOKUP(VLOOKUP(D350,'Customer Details'!$A$1:$F$17,5,0),'Region INfo'!$A$1:$C$52,3,0)</f>
        <v xml:space="preserve">Pacific   </v>
      </c>
      <c r="L350" s="8" t="str">
        <f>INDEX(Product_List,MATCH($F350,'Product List'!$B$1:$B$299,0),MATCH('Order SUmmary'!L$2,'Product List'!$A$1:$E$1,0))</f>
        <v>Xerox 211</v>
      </c>
      <c r="M350" s="8">
        <f>INDEX(Product_List,MATCH($F350,'Product List'!$B$1:$B$299,0),MATCH('Order SUmmary'!M$2,'Product List'!$A$1:$E$1,0))</f>
        <v>4291</v>
      </c>
      <c r="N350" s="8">
        <f>INDEX(Product_List,MATCH($F350,'Product List'!$B$1:$B$299,0),MATCH('Order SUmmary'!N$2,'Product List'!$A$1:$E$1,0))</f>
        <v>2021</v>
      </c>
      <c r="O350" s="8" t="str">
        <f>INDEX(Product_List,MATCH($F350,'Product List'!$B$1:$B$299,0),MATCH('Order SUmmary'!O$2,'Product List'!$A$1:$E$1,0))</f>
        <v>Paper</v>
      </c>
      <c r="P350" s="12">
        <f>HLOOKUP(C350,'Commission Criteria'!$A$2:$I$4,3,FALSE)</f>
        <v>3</v>
      </c>
      <c r="Q350" s="8">
        <f t="shared" si="16"/>
        <v>2021</v>
      </c>
      <c r="R350" s="8">
        <f t="shared" si="17"/>
        <v>4291</v>
      </c>
      <c r="S350" s="36">
        <f>VLOOKUP(R350,'Commission Criteria'!$L$3:$M$11,2,TRUE)</f>
        <v>0.01</v>
      </c>
      <c r="T350" s="36">
        <f>IF(P350&lt;5,VLOOKUP(R350,'Commission Criteria'!$L$3:$M$11,2,1),VLOOKUP('Order SUmmary'!R350,'Commission Criteria'!$P$3:$Q$11,2,1))</f>
        <v>0.01</v>
      </c>
      <c r="U350" s="36">
        <f>VLOOKUP(R350,IF(P350&lt;5,'Commission Criteria'!$L$3:$M$11,'Commission Criteria'!$P$3:$Q$11),2,1)</f>
        <v>0.01</v>
      </c>
      <c r="V350" s="8" t="s">
        <v>40</v>
      </c>
      <c r="W350" s="36">
        <f t="shared" ca="1" si="18"/>
        <v>0.01</v>
      </c>
      <c r="X350" s="8" t="str">
        <f>_xlfn.XLOOKUP(F350,'Product List'!$B$1:$B$299,'Product List'!$A$1:$A$299)</f>
        <v>Xerox 211</v>
      </c>
      <c r="Y350" s="8"/>
      <c r="Z350" s="8" t="str" cm="1">
        <f t="array" ref="Z350:AD350">_xlfn.XLOOKUP(D350,'Customer Details'!$A$1:$A$17,'Customer Details'!$B$1:$F$17,"No such customer",0,1)</f>
        <v>Sonata Software</v>
      </c>
      <c r="AA350" s="8" t="str">
        <v>1331 Kimberly Dr.</v>
      </c>
      <c r="AB350" s="8" t="str">
        <v>Olympia</v>
      </c>
      <c r="AC350" s="8" t="str">
        <v>WA</v>
      </c>
      <c r="AD350" s="8" t="str">
        <v>98502</v>
      </c>
    </row>
    <row r="351" spans="1:30">
      <c r="A351" s="8" t="s">
        <v>489</v>
      </c>
      <c r="B351" s="19">
        <v>41637</v>
      </c>
      <c r="C351" s="8" t="s">
        <v>66</v>
      </c>
      <c r="D351" s="8">
        <v>10013</v>
      </c>
      <c r="E351" s="8" t="str">
        <f>VLOOKUP($D351,'Customer Details'!$A$1:$F$17,4,FALSE)</f>
        <v>Naugatuck</v>
      </c>
      <c r="F351" s="8" t="s">
        <v>60</v>
      </c>
      <c r="G351" s="8">
        <v>1</v>
      </c>
      <c r="H351" s="2" t="str">
        <f>VLOOKUP($D351,'Customer Details'!$A$1:$F$17,MATCH('Order SUmmary'!H$2,'Customer Details'!$A$1:$F$1,0),0)</f>
        <v>GMR Infrastructure Ltd.</v>
      </c>
      <c r="I351" s="2" t="str">
        <f>VLOOKUP($D351,'Customer Details'!$A$1:$F$17,4,0)</f>
        <v>Naugatuck</v>
      </c>
      <c r="J351" s="2" t="str">
        <f>VLOOKUP($D351,'Customer Details'!$A$1:$F$17,6,0)</f>
        <v>06770</v>
      </c>
      <c r="K351" s="8" t="str">
        <f>VLOOKUP(VLOOKUP(D351,'Customer Details'!$A$1:$F$17,5,0),'Region INfo'!$A$1:$C$52,3,0)</f>
        <v xml:space="preserve">Northern </v>
      </c>
      <c r="L351" s="8" t="str">
        <f>INDEX(Product_List,MATCH($F351,'Product List'!$B$1:$B$299,0),MATCH('Order SUmmary'!L$2,'Product List'!$A$1:$E$1,0))</f>
        <v>Xerox 1889</v>
      </c>
      <c r="M351" s="8">
        <f>INDEX(Product_List,MATCH($F351,'Product List'!$B$1:$B$299,0),MATCH('Order SUmmary'!M$2,'Product List'!$A$1:$E$1,0))</f>
        <v>4831</v>
      </c>
      <c r="N351" s="8">
        <f>INDEX(Product_List,MATCH($F351,'Product List'!$B$1:$B$299,0),MATCH('Order SUmmary'!N$2,'Product List'!$A$1:$E$1,0))</f>
        <v>2265</v>
      </c>
      <c r="O351" s="8" t="str">
        <f>INDEX(Product_List,MATCH($F351,'Product List'!$B$1:$B$299,0),MATCH('Order SUmmary'!O$2,'Product List'!$A$1:$E$1,0))</f>
        <v>Paper</v>
      </c>
      <c r="P351" s="12">
        <f>HLOOKUP(C351,'Commission Criteria'!$A$2:$I$4,3,FALSE)</f>
        <v>5</v>
      </c>
      <c r="Q351" s="8">
        <f t="shared" si="16"/>
        <v>2265</v>
      </c>
      <c r="R351" s="8">
        <f t="shared" si="17"/>
        <v>4831</v>
      </c>
      <c r="S351" s="36">
        <f>VLOOKUP(R351,'Commission Criteria'!$L$3:$M$11,2,TRUE)</f>
        <v>0.01</v>
      </c>
      <c r="T351" s="36">
        <f>IF(P351&lt;5,VLOOKUP(R351,'Commission Criteria'!$L$3:$M$11,2,1),VLOOKUP('Order SUmmary'!R351,'Commission Criteria'!$P$3:$Q$11,2,1))</f>
        <v>0.02</v>
      </c>
      <c r="U351" s="36">
        <f>VLOOKUP(R351,IF(P351&lt;5,'Commission Criteria'!$L$3:$M$11,'Commission Criteria'!$P$3:$Q$11),2,1)</f>
        <v>0.02</v>
      </c>
      <c r="V351" s="8" t="s">
        <v>50</v>
      </c>
      <c r="W351" s="36">
        <f t="shared" ca="1" si="18"/>
        <v>0.03</v>
      </c>
      <c r="X351" s="8" t="str">
        <f>_xlfn.XLOOKUP(F351,'Product List'!$B$1:$B$299,'Product List'!$A$1:$A$299)</f>
        <v>Xerox 1889</v>
      </c>
      <c r="Y351" s="8"/>
      <c r="Z351" s="8" t="str" cm="1">
        <f t="array" ref="Z351:AD351">_xlfn.XLOOKUP(D351,'Customer Details'!$A$1:$A$17,'Customer Details'!$B$1:$F$17,"No such customer",0,1)</f>
        <v>GMR Infrastructure Ltd.</v>
      </c>
      <c r="AA351" s="8" t="str">
        <v>P.O. Box 4421</v>
      </c>
      <c r="AB351" s="8" t="str">
        <v>Naugatuck</v>
      </c>
      <c r="AC351" s="8" t="str">
        <v>CT</v>
      </c>
      <c r="AD351" s="8" t="str">
        <v>06770</v>
      </c>
    </row>
    <row r="352" spans="1:30">
      <c r="A352" s="8" t="s">
        <v>488</v>
      </c>
      <c r="B352" s="19">
        <v>41637</v>
      </c>
      <c r="C352" s="8" t="s">
        <v>27</v>
      </c>
      <c r="D352" s="8">
        <v>10006</v>
      </c>
      <c r="E352" s="8" t="str">
        <f>VLOOKUP($D352,'Customer Details'!$A$1:$F$17,4,FALSE)</f>
        <v>Midland</v>
      </c>
      <c r="F352" s="8" t="s">
        <v>84</v>
      </c>
      <c r="G352" s="8">
        <v>3</v>
      </c>
      <c r="H352" s="2" t="str">
        <f>VLOOKUP($D352,'Customer Details'!$A$1:$F$17,MATCH('Order SUmmary'!H$2,'Customer Details'!$A$1:$F$1,0),0)</f>
        <v>Supreme Ind</v>
      </c>
      <c r="I352" s="2" t="str">
        <f>VLOOKUP($D352,'Customer Details'!$A$1:$F$17,4,0)</f>
        <v>Midland</v>
      </c>
      <c r="J352" s="2" t="str">
        <f>VLOOKUP($D352,'Customer Details'!$A$1:$F$17,6,0)</f>
        <v>79706</v>
      </c>
      <c r="K352" s="8" t="str">
        <f>VLOOKUP(VLOOKUP(D352,'Customer Details'!$A$1:$F$17,5,0),'Region INfo'!$A$1:$C$52,3,0)</f>
        <v>Western</v>
      </c>
      <c r="L352" s="8" t="str">
        <f>INDEX(Product_List,MATCH($F352,'Product List'!$B$1:$B$299,0),MATCH('Order SUmmary'!L$2,'Product List'!$A$1:$E$1,0))</f>
        <v>Xerox 1979</v>
      </c>
      <c r="M352" s="8">
        <f>INDEX(Product_List,MATCH($F352,'Product List'!$B$1:$B$299,0),MATCH('Order SUmmary'!M$2,'Product List'!$A$1:$E$1,0))</f>
        <v>4731</v>
      </c>
      <c r="N352" s="8">
        <f>INDEX(Product_List,MATCH($F352,'Product List'!$B$1:$B$299,0),MATCH('Order SUmmary'!N$2,'Product List'!$A$1:$E$1,0))</f>
        <v>1858</v>
      </c>
      <c r="O352" s="8" t="str">
        <f>INDEX(Product_List,MATCH($F352,'Product List'!$B$1:$B$299,0),MATCH('Order SUmmary'!O$2,'Product List'!$A$1:$E$1,0))</f>
        <v>Paper</v>
      </c>
      <c r="P352" s="12">
        <f>HLOOKUP(C352,'Commission Criteria'!$A$2:$I$4,3,FALSE)</f>
        <v>4</v>
      </c>
      <c r="Q352" s="8">
        <f t="shared" si="16"/>
        <v>5574</v>
      </c>
      <c r="R352" s="8">
        <f t="shared" si="17"/>
        <v>14193</v>
      </c>
      <c r="S352" s="36">
        <f>VLOOKUP(R352,'Commission Criteria'!$L$3:$M$11,2,TRUE)</f>
        <v>0.03</v>
      </c>
      <c r="T352" s="36">
        <f>IF(P352&lt;5,VLOOKUP(R352,'Commission Criteria'!$L$3:$M$11,2,1),VLOOKUP('Order SUmmary'!R352,'Commission Criteria'!$P$3:$Q$11,2,1))</f>
        <v>0.03</v>
      </c>
      <c r="U352" s="36">
        <f>VLOOKUP(R352,IF(P352&lt;5,'Commission Criteria'!$L$3:$M$11,'Commission Criteria'!$P$3:$Q$11),2,1)</f>
        <v>0.03</v>
      </c>
      <c r="V352" s="8" t="s">
        <v>32</v>
      </c>
      <c r="W352" s="36">
        <f t="shared" ca="1" si="18"/>
        <v>0</v>
      </c>
      <c r="X352" s="8" t="str">
        <f>_xlfn.XLOOKUP(F352,'Product List'!$B$1:$B$299,'Product List'!$A$1:$A$299)</f>
        <v>Xerox 1979</v>
      </c>
      <c r="Y352" s="8"/>
      <c r="Z352" s="8" t="str" cm="1">
        <f t="array" ref="Z352:AD352">_xlfn.XLOOKUP(D352,'Customer Details'!$A$1:$A$17,'Customer Details'!$B$1:$F$17,"No such customer",0,1)</f>
        <v>Supreme Ind</v>
      </c>
      <c r="AA352" s="8" t="str">
        <v>P.O. Box 1367</v>
      </c>
      <c r="AB352" s="8" t="str">
        <v>Midland</v>
      </c>
      <c r="AC352" s="8" t="str">
        <v>TX</v>
      </c>
      <c r="AD352" s="8" t="str">
        <v>79706</v>
      </c>
    </row>
    <row r="353" spans="1:30">
      <c r="A353" s="8" t="s">
        <v>490</v>
      </c>
      <c r="B353" s="19">
        <v>41638</v>
      </c>
      <c r="C353" s="8" t="s">
        <v>66</v>
      </c>
      <c r="D353" s="8">
        <v>10006</v>
      </c>
      <c r="E353" s="8" t="str">
        <f>VLOOKUP($D353,'Customer Details'!$A$1:$F$17,4,FALSE)</f>
        <v>Midland</v>
      </c>
      <c r="F353" s="8" t="s">
        <v>180</v>
      </c>
      <c r="G353" s="8">
        <v>2</v>
      </c>
      <c r="H353" s="2" t="str">
        <f>VLOOKUP($D353,'Customer Details'!$A$1:$F$17,MATCH('Order SUmmary'!H$2,'Customer Details'!$A$1:$F$1,0),0)</f>
        <v>Supreme Ind</v>
      </c>
      <c r="I353" s="2" t="str">
        <f>VLOOKUP($D353,'Customer Details'!$A$1:$F$17,4,0)</f>
        <v>Midland</v>
      </c>
      <c r="J353" s="2" t="str">
        <f>VLOOKUP($D353,'Customer Details'!$A$1:$F$17,6,0)</f>
        <v>79706</v>
      </c>
      <c r="K353" s="8" t="str">
        <f>VLOOKUP(VLOOKUP(D353,'Customer Details'!$A$1:$F$17,5,0),'Region INfo'!$A$1:$C$52,3,0)</f>
        <v>Western</v>
      </c>
      <c r="L353" s="8" t="str">
        <f>INDEX(Product_List,MATCH($F353,'Product List'!$B$1:$B$299,0),MATCH('Order SUmmary'!L$2,'Product List'!$A$1:$E$1,0))</f>
        <v>Avery 497</v>
      </c>
      <c r="M353" s="8">
        <f>INDEX(Product_List,MATCH($F353,'Product List'!$B$1:$B$299,0),MATCH('Order SUmmary'!M$2,'Product List'!$A$1:$E$1,0))</f>
        <v>4711</v>
      </c>
      <c r="N353" s="8">
        <f>INDEX(Product_List,MATCH($F353,'Product List'!$B$1:$B$299,0),MATCH('Order SUmmary'!N$2,'Product List'!$A$1:$E$1,0))</f>
        <v>2288</v>
      </c>
      <c r="O353" s="8" t="str">
        <f>INDEX(Product_List,MATCH($F353,'Product List'!$B$1:$B$299,0),MATCH('Order SUmmary'!O$2,'Product List'!$A$1:$E$1,0))</f>
        <v>Labels</v>
      </c>
      <c r="P353" s="12">
        <f>HLOOKUP(C353,'Commission Criteria'!$A$2:$I$4,3,FALSE)</f>
        <v>5</v>
      </c>
      <c r="Q353" s="8">
        <f t="shared" si="16"/>
        <v>4576</v>
      </c>
      <c r="R353" s="8">
        <f t="shared" si="17"/>
        <v>9422</v>
      </c>
      <c r="S353" s="36">
        <f>VLOOKUP(R353,'Commission Criteria'!$L$3:$M$11,2,TRUE)</f>
        <v>0.03</v>
      </c>
      <c r="T353" s="36">
        <f>IF(P353&lt;5,VLOOKUP(R353,'Commission Criteria'!$L$3:$M$11,2,1),VLOOKUP('Order SUmmary'!R353,'Commission Criteria'!$P$3:$Q$11,2,1))</f>
        <v>0.02</v>
      </c>
      <c r="U353" s="36">
        <f>VLOOKUP(R353,IF(P353&lt;5,'Commission Criteria'!$L$3:$M$11,'Commission Criteria'!$P$3:$Q$11),2,1)</f>
        <v>0.02</v>
      </c>
      <c r="V353" s="8" t="s">
        <v>50</v>
      </c>
      <c r="W353" s="36">
        <f t="shared" ca="1" si="18"/>
        <v>0.01</v>
      </c>
      <c r="X353" s="8" t="str">
        <f>_xlfn.XLOOKUP(F353,'Product List'!$B$1:$B$299,'Product List'!$A$1:$A$299)</f>
        <v>Avery 497</v>
      </c>
      <c r="Y353" s="8"/>
      <c r="Z353" s="8" t="str" cm="1">
        <f t="array" ref="Z353:AD353">_xlfn.XLOOKUP(D353,'Customer Details'!$A$1:$A$17,'Customer Details'!$B$1:$F$17,"No such customer",0,1)</f>
        <v>Supreme Ind</v>
      </c>
      <c r="AA353" s="8" t="str">
        <v>P.O. Box 1367</v>
      </c>
      <c r="AB353" s="8" t="str">
        <v>Midland</v>
      </c>
      <c r="AC353" s="8" t="str">
        <v>TX</v>
      </c>
      <c r="AD353" s="8" t="str">
        <v>79706</v>
      </c>
    </row>
    <row r="354" spans="1:30">
      <c r="A354" s="8" t="s">
        <v>491</v>
      </c>
      <c r="B354" s="19">
        <v>41641</v>
      </c>
      <c r="C354" s="8" t="s">
        <v>51</v>
      </c>
      <c r="D354" s="8">
        <v>10010</v>
      </c>
      <c r="E354" s="8" t="str">
        <f>VLOOKUP($D354,'Customer Details'!$A$1:$F$17,4,FALSE)</f>
        <v>Tracy</v>
      </c>
      <c r="F354" s="8" t="s">
        <v>367</v>
      </c>
      <c r="G354" s="8">
        <v>2</v>
      </c>
      <c r="H354" s="2" t="str">
        <f>VLOOKUP($D354,'Customer Details'!$A$1:$F$17,MATCH('Order SUmmary'!H$2,'Customer Details'!$A$1:$F$1,0),0)</f>
        <v>Suzlon Energy Ltd.</v>
      </c>
      <c r="I354" s="2" t="str">
        <f>VLOOKUP($D354,'Customer Details'!$A$1:$F$17,4,0)</f>
        <v>Tracy</v>
      </c>
      <c r="J354" s="2" t="str">
        <f>VLOOKUP($D354,'Customer Details'!$A$1:$F$17,6,0)</f>
        <v>95376</v>
      </c>
      <c r="K354" s="8" t="str">
        <f>VLOOKUP(VLOOKUP(D354,'Customer Details'!$A$1:$F$17,5,0),'Region INfo'!$A$1:$C$52,3,0)</f>
        <v xml:space="preserve">Pacific   </v>
      </c>
      <c r="L354" s="8" t="str">
        <f>INDEX(Product_List,MATCH($F354,'Product List'!$B$1:$B$299,0),MATCH('Order SUmmary'!L$2,'Product List'!$A$1:$E$1,0))</f>
        <v>Xerox 196</v>
      </c>
      <c r="M354" s="8">
        <f>INDEX(Product_List,MATCH($F354,'Product List'!$B$1:$B$299,0),MATCH('Order SUmmary'!M$2,'Product List'!$A$1:$E$1,0))</f>
        <v>3018</v>
      </c>
      <c r="N354" s="8">
        <f>INDEX(Product_List,MATCH($F354,'Product List'!$B$1:$B$299,0),MATCH('Order SUmmary'!N$2,'Product List'!$A$1:$E$1,0))</f>
        <v>1286</v>
      </c>
      <c r="O354" s="8" t="str">
        <f>INDEX(Product_List,MATCH($F354,'Product List'!$B$1:$B$299,0),MATCH('Order SUmmary'!O$2,'Product List'!$A$1:$E$1,0))</f>
        <v>Paper</v>
      </c>
      <c r="P354" s="12">
        <f>HLOOKUP(C354,'Commission Criteria'!$A$2:$I$4,3,FALSE)</f>
        <v>10</v>
      </c>
      <c r="Q354" s="8">
        <f t="shared" si="16"/>
        <v>2572</v>
      </c>
      <c r="R354" s="8">
        <f t="shared" si="17"/>
        <v>6036</v>
      </c>
      <c r="S354" s="36">
        <f>VLOOKUP(R354,'Commission Criteria'!$L$3:$M$11,2,TRUE)</f>
        <v>0.03</v>
      </c>
      <c r="T354" s="36">
        <f>IF(P354&lt;5,VLOOKUP(R354,'Commission Criteria'!$L$3:$M$11,2,1),VLOOKUP('Order SUmmary'!R354,'Commission Criteria'!$P$3:$Q$11,2,1))</f>
        <v>0.02</v>
      </c>
      <c r="U354" s="36">
        <f>VLOOKUP(R354,IF(P354&lt;5,'Commission Criteria'!$L$3:$M$11,'Commission Criteria'!$P$3:$Q$11),2,1)</f>
        <v>0.02</v>
      </c>
      <c r="V354" s="8" t="s">
        <v>32</v>
      </c>
      <c r="W354" s="36">
        <f t="shared" ca="1" si="18"/>
        <v>0.03</v>
      </c>
      <c r="X354" s="8" t="str">
        <f>_xlfn.XLOOKUP(F354,'Product List'!$B$1:$B$299,'Product List'!$A$1:$A$299)</f>
        <v>Xerox 196</v>
      </c>
      <c r="Y354" s="8"/>
      <c r="Z354" s="8" t="str" cm="1">
        <f t="array" ref="Z354:AD354">_xlfn.XLOOKUP(D354,'Customer Details'!$A$1:$A$17,'Customer Details'!$B$1:$F$17,"No such customer",0,1)</f>
        <v>Suzlon Energy Ltd.</v>
      </c>
      <c r="AA354" s="8" t="str">
        <v>501 Marsh Trail Circle</v>
      </c>
      <c r="AB354" s="8" t="str">
        <v>Tracy</v>
      </c>
      <c r="AC354" s="8" t="str">
        <v>CA</v>
      </c>
      <c r="AD354" s="8" t="str">
        <v>95376</v>
      </c>
    </row>
    <row r="355" spans="1:30">
      <c r="A355" s="8" t="s">
        <v>492</v>
      </c>
      <c r="B355" s="19">
        <v>41641</v>
      </c>
      <c r="C355" s="8" t="s">
        <v>54</v>
      </c>
      <c r="D355" s="8">
        <v>10011</v>
      </c>
      <c r="E355" s="8" t="str">
        <f>VLOOKUP($D355,'Customer Details'!$A$1:$F$17,4,FALSE)</f>
        <v>Olympia</v>
      </c>
      <c r="F355" s="8" t="s">
        <v>493</v>
      </c>
      <c r="G355" s="8">
        <v>2</v>
      </c>
      <c r="H355" s="2" t="str">
        <f>VLOOKUP($D355,'Customer Details'!$A$1:$F$17,MATCH('Order SUmmary'!H$2,'Customer Details'!$A$1:$F$1,0),0)</f>
        <v>Sonata Software</v>
      </c>
      <c r="I355" s="2" t="str">
        <f>VLOOKUP($D355,'Customer Details'!$A$1:$F$17,4,0)</f>
        <v>Olympia</v>
      </c>
      <c r="J355" s="2" t="str">
        <f>VLOOKUP($D355,'Customer Details'!$A$1:$F$17,6,0)</f>
        <v>98502</v>
      </c>
      <c r="K355" s="8" t="str">
        <f>VLOOKUP(VLOOKUP(D355,'Customer Details'!$A$1:$F$17,5,0),'Region INfo'!$A$1:$C$52,3,0)</f>
        <v xml:space="preserve">Pacific   </v>
      </c>
      <c r="L355" s="8" t="str">
        <f>INDEX(Product_List,MATCH($F355,'Product List'!$B$1:$B$299,0),MATCH('Order SUmmary'!L$2,'Product List'!$A$1:$E$1,0))</f>
        <v>Newell 320</v>
      </c>
      <c r="M355" s="8">
        <f>INDEX(Product_List,MATCH($F355,'Product List'!$B$1:$B$299,0),MATCH('Order SUmmary'!M$2,'Product List'!$A$1:$E$1,0))</f>
        <v>4547</v>
      </c>
      <c r="N355" s="8">
        <f>INDEX(Product_List,MATCH($F355,'Product List'!$B$1:$B$299,0),MATCH('Order SUmmary'!N$2,'Product List'!$A$1:$E$1,0))</f>
        <v>2258</v>
      </c>
      <c r="O355" s="8" t="str">
        <f>INDEX(Product_List,MATCH($F355,'Product List'!$B$1:$B$299,0),MATCH('Order SUmmary'!O$2,'Product List'!$A$1:$E$1,0))</f>
        <v>Art</v>
      </c>
      <c r="P355" s="12">
        <f>HLOOKUP(C355,'Commission Criteria'!$A$2:$I$4,3,FALSE)</f>
        <v>3</v>
      </c>
      <c r="Q355" s="8">
        <f t="shared" si="16"/>
        <v>4516</v>
      </c>
      <c r="R355" s="8">
        <f t="shared" si="17"/>
        <v>9094</v>
      </c>
      <c r="S355" s="36">
        <f>VLOOKUP(R355,'Commission Criteria'!$L$3:$M$11,2,TRUE)</f>
        <v>0.03</v>
      </c>
      <c r="T355" s="36">
        <f>IF(P355&lt;5,VLOOKUP(R355,'Commission Criteria'!$L$3:$M$11,2,1),VLOOKUP('Order SUmmary'!R355,'Commission Criteria'!$P$3:$Q$11,2,1))</f>
        <v>0.03</v>
      </c>
      <c r="U355" s="36">
        <f>VLOOKUP(R355,IF(P355&lt;5,'Commission Criteria'!$L$3:$M$11,'Commission Criteria'!$P$3:$Q$11),2,1)</f>
        <v>0.03</v>
      </c>
      <c r="V355" s="8" t="s">
        <v>32</v>
      </c>
      <c r="W355" s="36">
        <f t="shared" ca="1" si="18"/>
        <v>0.03</v>
      </c>
      <c r="X355" s="8" t="str">
        <f>_xlfn.XLOOKUP(F355,'Product List'!$B$1:$B$299,'Product List'!$A$1:$A$299)</f>
        <v>Newell 320</v>
      </c>
      <c r="Y355" s="8"/>
      <c r="Z355" s="8" t="str" cm="1">
        <f t="array" ref="Z355:AD355">_xlfn.XLOOKUP(D355,'Customer Details'!$A$1:$A$17,'Customer Details'!$B$1:$F$17,"No such customer",0,1)</f>
        <v>Sonata Software</v>
      </c>
      <c r="AA355" s="8" t="str">
        <v>1331 Kimberly Dr.</v>
      </c>
      <c r="AB355" s="8" t="str">
        <v>Olympia</v>
      </c>
      <c r="AC355" s="8" t="str">
        <v>WA</v>
      </c>
      <c r="AD355" s="8" t="str">
        <v>98502</v>
      </c>
    </row>
    <row r="356" spans="1:30">
      <c r="A356" s="8" t="s">
        <v>494</v>
      </c>
      <c r="B356" s="19">
        <v>41643</v>
      </c>
      <c r="C356" s="8" t="s">
        <v>54</v>
      </c>
      <c r="D356" s="8">
        <v>10015</v>
      </c>
      <c r="E356" s="8" t="str">
        <f>VLOOKUP($D356,'Customer Details'!$A$1:$F$17,4,FALSE)</f>
        <v>South Windsor</v>
      </c>
      <c r="F356" s="8" t="s">
        <v>238</v>
      </c>
      <c r="G356" s="8">
        <v>1</v>
      </c>
      <c r="H356" s="2" t="str">
        <f>VLOOKUP($D356,'Customer Details'!$A$1:$F$17,MATCH('Order SUmmary'!H$2,'Customer Details'!$A$1:$F$1,0),0)</f>
        <v>Punj Lloyd Ltd.</v>
      </c>
      <c r="I356" s="2" t="str">
        <f>VLOOKUP($D356,'Customer Details'!$A$1:$F$17,4,0)</f>
        <v>South Windsor</v>
      </c>
      <c r="J356" s="2" t="str">
        <f>VLOOKUP($D356,'Customer Details'!$A$1:$F$17,6,0)</f>
        <v>06074</v>
      </c>
      <c r="K356" s="8" t="str">
        <f>VLOOKUP(VLOOKUP(D356,'Customer Details'!$A$1:$F$17,5,0),'Region INfo'!$A$1:$C$52,3,0)</f>
        <v xml:space="preserve">Northern </v>
      </c>
      <c r="L356" s="8" t="str">
        <f>INDEX(Product_List,MATCH($F356,'Product List'!$B$1:$B$299,0),MATCH('Order SUmmary'!L$2,'Product List'!$A$1:$E$1,0))</f>
        <v>Xerox 202</v>
      </c>
      <c r="M356" s="8">
        <f>INDEX(Product_List,MATCH($F356,'Product List'!$B$1:$B$299,0),MATCH('Order SUmmary'!M$2,'Product List'!$A$1:$E$1,0))</f>
        <v>4262</v>
      </c>
      <c r="N356" s="8">
        <f>INDEX(Product_List,MATCH($F356,'Product List'!$B$1:$B$299,0),MATCH('Order SUmmary'!N$2,'Product List'!$A$1:$E$1,0))</f>
        <v>2486</v>
      </c>
      <c r="O356" s="8" t="str">
        <f>INDEX(Product_List,MATCH($F356,'Product List'!$B$1:$B$299,0),MATCH('Order SUmmary'!O$2,'Product List'!$A$1:$E$1,0))</f>
        <v>Paper</v>
      </c>
      <c r="P356" s="12">
        <f>HLOOKUP(C356,'Commission Criteria'!$A$2:$I$4,3,FALSE)</f>
        <v>3</v>
      </c>
      <c r="Q356" s="8">
        <f t="shared" si="16"/>
        <v>2486</v>
      </c>
      <c r="R356" s="8">
        <f t="shared" si="17"/>
        <v>4262</v>
      </c>
      <c r="S356" s="36">
        <f>VLOOKUP(R356,'Commission Criteria'!$L$3:$M$11,2,TRUE)</f>
        <v>0.01</v>
      </c>
      <c r="T356" s="36">
        <f>IF(P356&lt;5,VLOOKUP(R356,'Commission Criteria'!$L$3:$M$11,2,1),VLOOKUP('Order SUmmary'!R356,'Commission Criteria'!$P$3:$Q$11,2,1))</f>
        <v>0.01</v>
      </c>
      <c r="U356" s="36">
        <f>VLOOKUP(R356,IF(P356&lt;5,'Commission Criteria'!$L$3:$M$11,'Commission Criteria'!$P$3:$Q$11),2,1)</f>
        <v>0.01</v>
      </c>
      <c r="V356" s="8" t="s">
        <v>43</v>
      </c>
      <c r="W356" s="36">
        <f t="shared" ca="1" si="18"/>
        <v>0.02</v>
      </c>
      <c r="X356" s="8" t="str">
        <f>_xlfn.XLOOKUP(F356,'Product List'!$B$1:$B$299,'Product List'!$A$1:$A$299)</f>
        <v>Xerox 202</v>
      </c>
      <c r="Y356" s="8"/>
      <c r="Z356" s="8" t="str" cm="1">
        <f t="array" ref="Z356:AD356">_xlfn.XLOOKUP(D356,'Customer Details'!$A$1:$A$17,'Customer Details'!$B$1:$F$17,"No such customer",0,1)</f>
        <v>Punj Lloyd Ltd.</v>
      </c>
      <c r="AA356" s="8" t="str">
        <v>Box 3263</v>
      </c>
      <c r="AB356" s="8" t="str">
        <v>South Windsor</v>
      </c>
      <c r="AC356" s="8" t="str">
        <v>CT</v>
      </c>
      <c r="AD356" s="8" t="str">
        <v>06074</v>
      </c>
    </row>
    <row r="357" spans="1:30">
      <c r="A357" s="8" t="s">
        <v>495</v>
      </c>
      <c r="B357" s="19">
        <v>41644</v>
      </c>
      <c r="C357" s="8" t="s">
        <v>51</v>
      </c>
      <c r="D357" s="8">
        <v>10004</v>
      </c>
      <c r="E357" s="8" t="str">
        <f>VLOOKUP($D357,'Customer Details'!$A$1:$F$17,4,FALSE)</f>
        <v>New York</v>
      </c>
      <c r="F357" s="8" t="s">
        <v>496</v>
      </c>
      <c r="G357" s="8">
        <v>1</v>
      </c>
      <c r="H357" s="2" t="str">
        <f>VLOOKUP($D357,'Customer Details'!$A$1:$F$17,MATCH('Order SUmmary'!H$2,'Customer Details'!$A$1:$F$1,0),0)</f>
        <v>Lupin Ltd.</v>
      </c>
      <c r="I357" s="2" t="str">
        <f>VLOOKUP($D357,'Customer Details'!$A$1:$F$17,4,0)</f>
        <v>New York</v>
      </c>
      <c r="J357" s="2" t="str">
        <f>VLOOKUP($D357,'Customer Details'!$A$1:$F$17,6,0)</f>
        <v>10019</v>
      </c>
      <c r="K357" s="8" t="str">
        <f>VLOOKUP(VLOOKUP(D357,'Customer Details'!$A$1:$F$17,5,0),'Region INfo'!$A$1:$C$52,3,0)</f>
        <v xml:space="preserve">Northern </v>
      </c>
      <c r="L357" s="8" t="str">
        <f>INDEX(Product_List,MATCH($F357,'Product List'!$B$1:$B$299,0),MATCH('Order SUmmary'!L$2,'Product List'!$A$1:$E$1,0))</f>
        <v>Avery 514</v>
      </c>
      <c r="M357" s="8">
        <f>INDEX(Product_List,MATCH($F357,'Product List'!$B$1:$B$299,0),MATCH('Order SUmmary'!M$2,'Product List'!$A$1:$E$1,0))</f>
        <v>4996</v>
      </c>
      <c r="N357" s="8">
        <f>INDEX(Product_List,MATCH($F357,'Product List'!$B$1:$B$299,0),MATCH('Order SUmmary'!N$2,'Product List'!$A$1:$E$1,0))</f>
        <v>2108</v>
      </c>
      <c r="O357" s="8" t="str">
        <f>INDEX(Product_List,MATCH($F357,'Product List'!$B$1:$B$299,0),MATCH('Order SUmmary'!O$2,'Product List'!$A$1:$E$1,0))</f>
        <v>Labels</v>
      </c>
      <c r="P357" s="12">
        <f>HLOOKUP(C357,'Commission Criteria'!$A$2:$I$4,3,FALSE)</f>
        <v>10</v>
      </c>
      <c r="Q357" s="8">
        <f t="shared" si="16"/>
        <v>2108</v>
      </c>
      <c r="R357" s="8">
        <f t="shared" si="17"/>
        <v>4996</v>
      </c>
      <c r="S357" s="36">
        <f>VLOOKUP(R357,'Commission Criteria'!$L$3:$M$11,2,TRUE)</f>
        <v>0.01</v>
      </c>
      <c r="T357" s="36">
        <f>IF(P357&lt;5,VLOOKUP(R357,'Commission Criteria'!$L$3:$M$11,2,1),VLOOKUP('Order SUmmary'!R357,'Commission Criteria'!$P$3:$Q$11,2,1))</f>
        <v>0.02</v>
      </c>
      <c r="U357" s="36">
        <f>VLOOKUP(R357,IF(P357&lt;5,'Commission Criteria'!$L$3:$M$11,'Commission Criteria'!$P$3:$Q$11),2,1)</f>
        <v>0.02</v>
      </c>
      <c r="V357" s="8" t="s">
        <v>29</v>
      </c>
      <c r="W357" s="36">
        <f t="shared" ca="1" si="18"/>
        <v>0</v>
      </c>
      <c r="X357" s="8" t="str">
        <f>_xlfn.XLOOKUP(F357,'Product List'!$B$1:$B$299,'Product List'!$A$1:$A$299)</f>
        <v>Avery 514</v>
      </c>
      <c r="Y357" s="8"/>
      <c r="Z357" s="8" t="str" cm="1">
        <f t="array" ref="Z357:AD357">_xlfn.XLOOKUP(D357,'Customer Details'!$A$1:$A$17,'Customer Details'!$B$1:$F$17,"No such customer",0,1)</f>
        <v>Lupin Ltd.</v>
      </c>
      <c r="AA357" s="8" t="str">
        <v>Abbey Wood</v>
      </c>
      <c r="AB357" s="8" t="str">
        <v>New York</v>
      </c>
      <c r="AC357" s="8" t="str">
        <v>NY</v>
      </c>
      <c r="AD357" s="8" t="str">
        <v>10019</v>
      </c>
    </row>
    <row r="358" spans="1:30">
      <c r="A358" s="8" t="s">
        <v>495</v>
      </c>
      <c r="B358" s="19">
        <v>41644</v>
      </c>
      <c r="C358" s="8" t="s">
        <v>46</v>
      </c>
      <c r="D358" s="8">
        <v>10002</v>
      </c>
      <c r="E358" s="8" t="str">
        <f>VLOOKUP($D358,'Customer Details'!$A$1:$F$17,4,FALSE)</f>
        <v>Omaha</v>
      </c>
      <c r="F358" s="8" t="s">
        <v>497</v>
      </c>
      <c r="G358" s="8">
        <v>2</v>
      </c>
      <c r="H358" s="2" t="str">
        <f>VLOOKUP($D358,'Customer Details'!$A$1:$F$17,MATCH('Order SUmmary'!H$2,'Customer Details'!$A$1:$F$1,0),0)</f>
        <v>Elder Pharmaceuticals</v>
      </c>
      <c r="I358" s="2" t="str">
        <f>VLOOKUP($D358,'Customer Details'!$A$1:$F$17,4,0)</f>
        <v>Omaha</v>
      </c>
      <c r="J358" s="2" t="str">
        <f>VLOOKUP($D358,'Customer Details'!$A$1:$F$17,6,0)</f>
        <v>68127</v>
      </c>
      <c r="K358" s="8" t="str">
        <f>VLOOKUP(VLOOKUP(D358,'Customer Details'!$A$1:$F$17,5,0),'Region INfo'!$A$1:$C$52,3,0)</f>
        <v>Western</v>
      </c>
      <c r="L358" s="8" t="str">
        <f>INDEX(Product_List,MATCH($F358,'Product List'!$B$1:$B$299,0),MATCH('Order SUmmary'!L$2,'Product List'!$A$1:$E$1,0))</f>
        <v>Xerox 232</v>
      </c>
      <c r="M358" s="8">
        <f>INDEX(Product_List,MATCH($F358,'Product List'!$B$1:$B$299,0),MATCH('Order SUmmary'!M$2,'Product List'!$A$1:$E$1,0))</f>
        <v>2814</v>
      </c>
      <c r="N358" s="8">
        <f>INDEX(Product_List,MATCH($F358,'Product List'!$B$1:$B$299,0),MATCH('Order SUmmary'!N$2,'Product List'!$A$1:$E$1,0))</f>
        <v>2437</v>
      </c>
      <c r="O358" s="8" t="str">
        <f>INDEX(Product_List,MATCH($F358,'Product List'!$B$1:$B$299,0),MATCH('Order SUmmary'!O$2,'Product List'!$A$1:$E$1,0))</f>
        <v>Paper</v>
      </c>
      <c r="P358" s="12">
        <f>HLOOKUP(C358,'Commission Criteria'!$A$2:$I$4,3,FALSE)</f>
        <v>8</v>
      </c>
      <c r="Q358" s="8">
        <f t="shared" si="16"/>
        <v>4874</v>
      </c>
      <c r="R358" s="8">
        <f t="shared" si="17"/>
        <v>5628</v>
      </c>
      <c r="S358" s="36">
        <f>VLOOKUP(R358,'Commission Criteria'!$L$3:$M$11,2,TRUE)</f>
        <v>0.03</v>
      </c>
      <c r="T358" s="36">
        <f>IF(P358&lt;5,VLOOKUP(R358,'Commission Criteria'!$L$3:$M$11,2,1),VLOOKUP('Order SUmmary'!R358,'Commission Criteria'!$P$3:$Q$11,2,1))</f>
        <v>0.02</v>
      </c>
      <c r="U358" s="36">
        <f>VLOOKUP(R358,IF(P358&lt;5,'Commission Criteria'!$L$3:$M$11,'Commission Criteria'!$P$3:$Q$11),2,1)</f>
        <v>0.02</v>
      </c>
      <c r="V358" s="8" t="s">
        <v>43</v>
      </c>
      <c r="W358" s="36">
        <f t="shared" ca="1" si="18"/>
        <v>0.02</v>
      </c>
      <c r="X358" s="8" t="str">
        <f>_xlfn.XLOOKUP(F358,'Product List'!$B$1:$B$299,'Product List'!$A$1:$A$299)</f>
        <v>Xerox 232</v>
      </c>
      <c r="Y358" s="8"/>
      <c r="Z358" s="8" t="str" cm="1">
        <f t="array" ref="Z358:AD358">_xlfn.XLOOKUP(D358,'Customer Details'!$A$1:$A$17,'Customer Details'!$B$1:$F$17,"No such customer",0,1)</f>
        <v>Elder Pharmaceuticals</v>
      </c>
      <c r="AA358" s="8" t="str">
        <v>57 Neriba Cres</v>
      </c>
      <c r="AB358" s="8" t="str">
        <v>Omaha</v>
      </c>
      <c r="AC358" s="8" t="str">
        <v>NE</v>
      </c>
      <c r="AD358" s="8" t="str">
        <v>68127</v>
      </c>
    </row>
    <row r="359" spans="1:30">
      <c r="A359" s="8" t="s">
        <v>498</v>
      </c>
      <c r="B359" s="19">
        <v>41644</v>
      </c>
      <c r="C359" s="8" t="s">
        <v>54</v>
      </c>
      <c r="D359" s="8">
        <v>10014</v>
      </c>
      <c r="E359" s="8" t="str">
        <f>VLOOKUP($D359,'Customer Details'!$A$1:$F$17,4,FALSE)</f>
        <v>Honolulu</v>
      </c>
      <c r="F359" s="8" t="s">
        <v>137</v>
      </c>
      <c r="G359" s="8">
        <v>3</v>
      </c>
      <c r="H359" s="2" t="str">
        <f>VLOOKUP($D359,'Customer Details'!$A$1:$F$17,MATCH('Order SUmmary'!H$2,'Customer Details'!$A$1:$F$1,0),0)</f>
        <v>Hindusthan National Glass &amp; Industries Ltd.</v>
      </c>
      <c r="I359" s="2" t="str">
        <f>VLOOKUP($D359,'Customer Details'!$A$1:$F$17,4,0)</f>
        <v>Honolulu</v>
      </c>
      <c r="J359" s="2" t="str">
        <f>VLOOKUP($D359,'Customer Details'!$A$1:$F$17,6,0)</f>
        <v>96825</v>
      </c>
      <c r="K359" s="8" t="str">
        <f>VLOOKUP(VLOOKUP(D359,'Customer Details'!$A$1:$F$17,5,0),'Region INfo'!$A$1:$C$52,3,0)</f>
        <v xml:space="preserve">Pacific   </v>
      </c>
      <c r="L359" s="8" t="str">
        <f>INDEX(Product_List,MATCH($F359,'Product List'!$B$1:$B$299,0),MATCH('Order SUmmary'!L$2,'Product List'!$A$1:$E$1,0))</f>
        <v>Newell 35</v>
      </c>
      <c r="M359" s="8">
        <f>INDEX(Product_List,MATCH($F359,'Product List'!$B$1:$B$299,0),MATCH('Order SUmmary'!M$2,'Product List'!$A$1:$E$1,0))</f>
        <v>4209</v>
      </c>
      <c r="N359" s="8">
        <f>INDEX(Product_List,MATCH($F359,'Product List'!$B$1:$B$299,0),MATCH('Order SUmmary'!N$2,'Product List'!$A$1:$E$1,0))</f>
        <v>1692</v>
      </c>
      <c r="O359" s="8" t="str">
        <f>INDEX(Product_List,MATCH($F359,'Product List'!$B$1:$B$299,0),MATCH('Order SUmmary'!O$2,'Product List'!$A$1:$E$1,0))</f>
        <v>Art</v>
      </c>
      <c r="P359" s="12">
        <f>HLOOKUP(C359,'Commission Criteria'!$A$2:$I$4,3,FALSE)</f>
        <v>3</v>
      </c>
      <c r="Q359" s="8">
        <f t="shared" si="16"/>
        <v>5076</v>
      </c>
      <c r="R359" s="8">
        <f t="shared" si="17"/>
        <v>12627</v>
      </c>
      <c r="S359" s="36">
        <f>VLOOKUP(R359,'Commission Criteria'!$L$3:$M$11,2,TRUE)</f>
        <v>0.03</v>
      </c>
      <c r="T359" s="36">
        <f>IF(P359&lt;5,VLOOKUP(R359,'Commission Criteria'!$L$3:$M$11,2,1),VLOOKUP('Order SUmmary'!R359,'Commission Criteria'!$P$3:$Q$11,2,1))</f>
        <v>0.03</v>
      </c>
      <c r="U359" s="36">
        <f>VLOOKUP(R359,IF(P359&lt;5,'Commission Criteria'!$L$3:$M$11,'Commission Criteria'!$P$3:$Q$11),2,1)</f>
        <v>0.03</v>
      </c>
      <c r="V359" s="8" t="s">
        <v>29</v>
      </c>
      <c r="W359" s="36">
        <f t="shared" ca="1" si="18"/>
        <v>0.04</v>
      </c>
      <c r="X359" s="8" t="str">
        <f>_xlfn.XLOOKUP(F359,'Product List'!$B$1:$B$299,'Product List'!$A$1:$A$299)</f>
        <v>Newell 35</v>
      </c>
      <c r="Y359" s="8"/>
      <c r="Z359" s="8" t="str" cm="1">
        <f t="array" ref="Z359:AD359">_xlfn.XLOOKUP(D359,'Customer Details'!$A$1:$A$17,'Customer Details'!$B$1:$F$17,"No such customer",0,1)</f>
        <v>Hindusthan National Glass &amp; Industries Ltd.</v>
      </c>
      <c r="AA359" s="8" t="str">
        <v>11 Cathy St.</v>
      </c>
      <c r="AB359" s="8" t="str">
        <v>Honolulu</v>
      </c>
      <c r="AC359" s="8" t="str">
        <v>HI</v>
      </c>
      <c r="AD359" s="8" t="str">
        <v>96825</v>
      </c>
    </row>
    <row r="360" spans="1:30">
      <c r="A360" s="8" t="s">
        <v>499</v>
      </c>
      <c r="B360" s="19">
        <v>41645</v>
      </c>
      <c r="C360" s="8" t="s">
        <v>46</v>
      </c>
      <c r="D360" s="8">
        <v>10009</v>
      </c>
      <c r="E360" s="8" t="str">
        <f>VLOOKUP($D360,'Customer Details'!$A$1:$F$17,4,FALSE)</f>
        <v>Salt Lake City</v>
      </c>
      <c r="F360" s="8" t="s">
        <v>227</v>
      </c>
      <c r="G360" s="8">
        <v>1</v>
      </c>
      <c r="H360" s="2" t="str">
        <f>VLOOKUP($D360,'Customer Details'!$A$1:$F$17,MATCH('Order SUmmary'!H$2,'Customer Details'!$A$1:$F$1,0),0)</f>
        <v>Godfrey Philips India Ltd.</v>
      </c>
      <c r="I360" s="2" t="str">
        <f>VLOOKUP($D360,'Customer Details'!$A$1:$F$17,4,0)</f>
        <v>Salt Lake City</v>
      </c>
      <c r="J360" s="2" t="str">
        <f>VLOOKUP($D360,'Customer Details'!$A$1:$F$17,6,0)</f>
        <v>84118</v>
      </c>
      <c r="K360" s="8" t="str">
        <f>VLOOKUP(VLOOKUP(D360,'Customer Details'!$A$1:$F$17,5,0),'Region INfo'!$A$1:$C$52,3,0)</f>
        <v xml:space="preserve">Pacific   </v>
      </c>
      <c r="L360" s="8" t="str">
        <f>INDEX(Product_List,MATCH($F360,'Product List'!$B$1:$B$299,0),MATCH('Order SUmmary'!L$2,'Product List'!$A$1:$E$1,0))</f>
        <v>Xerox 21</v>
      </c>
      <c r="M360" s="8">
        <f>INDEX(Product_List,MATCH($F360,'Product List'!$B$1:$B$299,0),MATCH('Order SUmmary'!M$2,'Product List'!$A$1:$E$1,0))</f>
        <v>2787</v>
      </c>
      <c r="N360" s="8">
        <f>INDEX(Product_List,MATCH($F360,'Product List'!$B$1:$B$299,0),MATCH('Order SUmmary'!N$2,'Product List'!$A$1:$E$1,0))</f>
        <v>2020</v>
      </c>
      <c r="O360" s="8" t="str">
        <f>INDEX(Product_List,MATCH($F360,'Product List'!$B$1:$B$299,0),MATCH('Order SUmmary'!O$2,'Product List'!$A$1:$E$1,0))</f>
        <v>Paper</v>
      </c>
      <c r="P360" s="12">
        <f>HLOOKUP(C360,'Commission Criteria'!$A$2:$I$4,3,FALSE)</f>
        <v>8</v>
      </c>
      <c r="Q360" s="8">
        <f t="shared" si="16"/>
        <v>2020</v>
      </c>
      <c r="R360" s="8">
        <f t="shared" si="17"/>
        <v>2787</v>
      </c>
      <c r="S360" s="36">
        <f>VLOOKUP(R360,'Commission Criteria'!$L$3:$M$11,2,TRUE)</f>
        <v>0.01</v>
      </c>
      <c r="T360" s="36">
        <f>IF(P360&lt;5,VLOOKUP(R360,'Commission Criteria'!$L$3:$M$11,2,1),VLOOKUP('Order SUmmary'!R360,'Commission Criteria'!$P$3:$Q$11,2,1))</f>
        <v>0.02</v>
      </c>
      <c r="U360" s="36">
        <f>VLOOKUP(R360,IF(P360&lt;5,'Commission Criteria'!$L$3:$M$11,'Commission Criteria'!$P$3:$Q$11),2,1)</f>
        <v>0.02</v>
      </c>
      <c r="V360" s="8" t="s">
        <v>43</v>
      </c>
      <c r="W360" s="36">
        <f t="shared" ca="1" si="18"/>
        <v>0</v>
      </c>
      <c r="X360" s="8" t="str">
        <f>_xlfn.XLOOKUP(F360,'Product List'!$B$1:$B$299,'Product List'!$A$1:$A$299)</f>
        <v>Xerox 21</v>
      </c>
      <c r="Y360" s="8"/>
      <c r="Z360" s="8" t="str" cm="1">
        <f t="array" ref="Z360:AD360">_xlfn.XLOOKUP(D360,'Customer Details'!$A$1:$A$17,'Customer Details'!$B$1:$F$17,"No such customer",0,1)</f>
        <v>Godfrey Philips India Ltd.</v>
      </c>
      <c r="AA360" s="8" t="str">
        <v>20501 Ania Ave #2</v>
      </c>
      <c r="AB360" s="8" t="str">
        <v>Salt Lake City</v>
      </c>
      <c r="AC360" s="8" t="str">
        <v>UT</v>
      </c>
      <c r="AD360" s="8" t="str">
        <v>84118</v>
      </c>
    </row>
    <row r="361" spans="1:30">
      <c r="A361" s="8" t="s">
        <v>499</v>
      </c>
      <c r="B361" s="19">
        <v>41645</v>
      </c>
      <c r="C361" s="8" t="s">
        <v>36</v>
      </c>
      <c r="D361" s="8">
        <v>10012</v>
      </c>
      <c r="E361" s="8" t="str">
        <f>VLOOKUP($D361,'Customer Details'!$A$1:$F$17,4,FALSE)</f>
        <v>Santa Barbara</v>
      </c>
      <c r="F361" s="8" t="s">
        <v>31</v>
      </c>
      <c r="G361" s="8">
        <v>1</v>
      </c>
      <c r="H361" s="2" t="str">
        <f>VLOOKUP($D361,'Customer Details'!$A$1:$F$17,MATCH('Order SUmmary'!H$2,'Customer Details'!$A$1:$F$1,0),0)</f>
        <v>Dynamatic Technologies Ltd.</v>
      </c>
      <c r="I361" s="2" t="str">
        <f>VLOOKUP($D361,'Customer Details'!$A$1:$F$17,4,0)</f>
        <v>Santa Barbara</v>
      </c>
      <c r="J361" s="2" t="str">
        <f>VLOOKUP($D361,'Customer Details'!$A$1:$F$17,6,0)</f>
        <v>93110</v>
      </c>
      <c r="K361" s="8" t="str">
        <f>VLOOKUP(VLOOKUP(D361,'Customer Details'!$A$1:$F$17,5,0),'Region INfo'!$A$1:$C$52,3,0)</f>
        <v xml:space="preserve">Pacific   </v>
      </c>
      <c r="L361" s="8" t="str">
        <f>INDEX(Product_List,MATCH($F361,'Product List'!$B$1:$B$299,0),MATCH('Order SUmmary'!L$2,'Product List'!$A$1:$E$1,0))</f>
        <v>Avery 494</v>
      </c>
      <c r="M361" s="8">
        <f>INDEX(Product_List,MATCH($F361,'Product List'!$B$1:$B$299,0),MATCH('Order SUmmary'!M$2,'Product List'!$A$1:$E$1,0))</f>
        <v>2923</v>
      </c>
      <c r="N361" s="8">
        <f>INDEX(Product_List,MATCH($F361,'Product List'!$B$1:$B$299,0),MATCH('Order SUmmary'!N$2,'Product List'!$A$1:$E$1,0))</f>
        <v>2480</v>
      </c>
      <c r="O361" s="8" t="str">
        <f>INDEX(Product_List,MATCH($F361,'Product List'!$B$1:$B$299,0),MATCH('Order SUmmary'!O$2,'Product List'!$A$1:$E$1,0))</f>
        <v>Labels</v>
      </c>
      <c r="P361" s="12">
        <f>HLOOKUP(C361,'Commission Criteria'!$A$2:$I$4,3,FALSE)</f>
        <v>6</v>
      </c>
      <c r="Q361" s="8">
        <f t="shared" si="16"/>
        <v>2480</v>
      </c>
      <c r="R361" s="8">
        <f t="shared" si="17"/>
        <v>2923</v>
      </c>
      <c r="S361" s="36">
        <f>VLOOKUP(R361,'Commission Criteria'!$L$3:$M$11,2,TRUE)</f>
        <v>0.01</v>
      </c>
      <c r="T361" s="36">
        <f>IF(P361&lt;5,VLOOKUP(R361,'Commission Criteria'!$L$3:$M$11,2,1),VLOOKUP('Order SUmmary'!R361,'Commission Criteria'!$P$3:$Q$11,2,1))</f>
        <v>0.02</v>
      </c>
      <c r="U361" s="36">
        <f>VLOOKUP(R361,IF(P361&lt;5,'Commission Criteria'!$L$3:$M$11,'Commission Criteria'!$P$3:$Q$11),2,1)</f>
        <v>0.02</v>
      </c>
      <c r="V361" s="8" t="s">
        <v>35</v>
      </c>
      <c r="W361" s="36">
        <f t="shared" ca="1" si="18"/>
        <v>0.01</v>
      </c>
      <c r="X361" s="8" t="str">
        <f>_xlfn.XLOOKUP(F361,'Product List'!$B$1:$B$299,'Product List'!$A$1:$A$299)</f>
        <v>Avery 494</v>
      </c>
      <c r="Y361" s="8"/>
      <c r="Z361" s="8" t="str" cm="1">
        <f t="array" ref="Z361:AD361">_xlfn.XLOOKUP(D361,'Customer Details'!$A$1:$A$17,'Customer Details'!$B$1:$F$17,"No such customer",0,1)</f>
        <v>Dynamatic Technologies Ltd.</v>
      </c>
      <c r="AA361" s="8" t="str">
        <v>402 Pinkster Lane</v>
      </c>
      <c r="AB361" s="8" t="str">
        <v>Santa Barbara</v>
      </c>
      <c r="AC361" s="8" t="str">
        <v>CA</v>
      </c>
      <c r="AD361" s="8" t="str">
        <v>93110</v>
      </c>
    </row>
    <row r="362" spans="1:30">
      <c r="A362" s="8" t="s">
        <v>500</v>
      </c>
      <c r="B362" s="19">
        <v>41645</v>
      </c>
      <c r="C362" s="8" t="s">
        <v>54</v>
      </c>
      <c r="D362" s="8">
        <v>10003</v>
      </c>
      <c r="E362" s="8" t="str">
        <f>VLOOKUP($D362,'Customer Details'!$A$1:$F$17,4,FALSE)</f>
        <v>Miami</v>
      </c>
      <c r="F362" s="8" t="s">
        <v>449</v>
      </c>
      <c r="G362" s="8">
        <v>1</v>
      </c>
      <c r="H362" s="2" t="str">
        <f>VLOOKUP($D362,'Customer Details'!$A$1:$F$17,MATCH('Order SUmmary'!H$2,'Customer Details'!$A$1:$F$1,0),0)</f>
        <v>Honeywell Automation</v>
      </c>
      <c r="I362" s="2" t="str">
        <f>VLOOKUP($D362,'Customer Details'!$A$1:$F$17,4,0)</f>
        <v>Miami</v>
      </c>
      <c r="J362" s="2" t="str">
        <f>VLOOKUP($D362,'Customer Details'!$A$1:$F$17,6,0)</f>
        <v>33732</v>
      </c>
      <c r="K362" s="8" t="str">
        <f>VLOOKUP(VLOOKUP(D362,'Customer Details'!$A$1:$F$17,5,0),'Region INfo'!$A$1:$C$52,3,0)</f>
        <v>Southern</v>
      </c>
      <c r="L362" s="8" t="str">
        <f>INDEX(Product_List,MATCH($F362,'Product List'!$B$1:$B$299,0),MATCH('Order SUmmary'!L$2,'Product List'!$A$1:$E$1,0))</f>
        <v>AT&amp;T CL82213</v>
      </c>
      <c r="M362" s="8">
        <f>INDEX(Product_List,MATCH($F362,'Product List'!$B$1:$B$299,0),MATCH('Order SUmmary'!M$2,'Product List'!$A$1:$E$1,0))</f>
        <v>3759</v>
      </c>
      <c r="N362" s="8">
        <f>INDEX(Product_List,MATCH($F362,'Product List'!$B$1:$B$299,0),MATCH('Order SUmmary'!N$2,'Product List'!$A$1:$E$1,0))</f>
        <v>2258</v>
      </c>
      <c r="O362" s="8" t="str">
        <f>INDEX(Product_List,MATCH($F362,'Product List'!$B$1:$B$299,0),MATCH('Order SUmmary'!O$2,'Product List'!$A$1:$E$1,0))</f>
        <v>Phones</v>
      </c>
      <c r="P362" s="12">
        <f>HLOOKUP(C362,'Commission Criteria'!$A$2:$I$4,3,FALSE)</f>
        <v>3</v>
      </c>
      <c r="Q362" s="8">
        <f t="shared" si="16"/>
        <v>2258</v>
      </c>
      <c r="R362" s="8">
        <f t="shared" si="17"/>
        <v>3759</v>
      </c>
      <c r="S362" s="36">
        <f>VLOOKUP(R362,'Commission Criteria'!$L$3:$M$11,2,TRUE)</f>
        <v>0.01</v>
      </c>
      <c r="T362" s="36">
        <f>IF(P362&lt;5,VLOOKUP(R362,'Commission Criteria'!$L$3:$M$11,2,1),VLOOKUP('Order SUmmary'!R362,'Commission Criteria'!$P$3:$Q$11,2,1))</f>
        <v>0.01</v>
      </c>
      <c r="U362" s="36">
        <f>VLOOKUP(R362,IF(P362&lt;5,'Commission Criteria'!$L$3:$M$11,'Commission Criteria'!$P$3:$Q$11),2,1)</f>
        <v>0.01</v>
      </c>
      <c r="V362" s="8" t="s">
        <v>32</v>
      </c>
      <c r="W362" s="36">
        <f t="shared" ca="1" si="18"/>
        <v>0.02</v>
      </c>
      <c r="X362" s="8" t="str">
        <f>_xlfn.XLOOKUP(F362,'Product List'!$B$1:$B$299,'Product List'!$A$1:$A$299)</f>
        <v>AT&amp;T CL82213</v>
      </c>
      <c r="Y362" s="8"/>
      <c r="Z362" s="8" t="str" cm="1">
        <f t="array" ref="Z362:AD362">_xlfn.XLOOKUP(D362,'Customer Details'!$A$1:$A$17,'Customer Details'!$B$1:$F$17,"No such customer",0,1)</f>
        <v>Honeywell Automation</v>
      </c>
      <c r="AA362" s="8" t="str">
        <v>1272 Harbor Road</v>
      </c>
      <c r="AB362" s="8" t="str">
        <v>Miami</v>
      </c>
      <c r="AC362" s="8" t="str">
        <v>FL</v>
      </c>
      <c r="AD362" s="8" t="str">
        <v>33732</v>
      </c>
    </row>
    <row r="363" spans="1:30">
      <c r="A363" s="8" t="s">
        <v>499</v>
      </c>
      <c r="B363" s="19">
        <v>41645</v>
      </c>
      <c r="C363" s="8" t="s">
        <v>36</v>
      </c>
      <c r="D363" s="8">
        <v>10012</v>
      </c>
      <c r="E363" s="8" t="str">
        <f>VLOOKUP($D363,'Customer Details'!$A$1:$F$17,4,FALSE)</f>
        <v>Santa Barbara</v>
      </c>
      <c r="F363" s="8" t="s">
        <v>501</v>
      </c>
      <c r="G363" s="8">
        <v>2</v>
      </c>
      <c r="H363" s="2" t="str">
        <f>VLOOKUP($D363,'Customer Details'!$A$1:$F$17,MATCH('Order SUmmary'!H$2,'Customer Details'!$A$1:$F$1,0),0)</f>
        <v>Dynamatic Technologies Ltd.</v>
      </c>
      <c r="I363" s="2" t="str">
        <f>VLOOKUP($D363,'Customer Details'!$A$1:$F$17,4,0)</f>
        <v>Santa Barbara</v>
      </c>
      <c r="J363" s="2" t="str">
        <f>VLOOKUP($D363,'Customer Details'!$A$1:$F$17,6,0)</f>
        <v>93110</v>
      </c>
      <c r="K363" s="8" t="str">
        <f>VLOOKUP(VLOOKUP(D363,'Customer Details'!$A$1:$F$17,5,0),'Region INfo'!$A$1:$C$52,3,0)</f>
        <v xml:space="preserve">Pacific   </v>
      </c>
      <c r="L363" s="8" t="str">
        <f>INDEX(Product_List,MATCH($F363,'Product List'!$B$1:$B$299,0),MATCH('Order SUmmary'!L$2,'Product List'!$A$1:$E$1,0))</f>
        <v>Avery 500</v>
      </c>
      <c r="M363" s="8">
        <f>INDEX(Product_List,MATCH($F363,'Product List'!$B$1:$B$299,0),MATCH('Order SUmmary'!M$2,'Product List'!$A$1:$E$1,0))</f>
        <v>4234</v>
      </c>
      <c r="N363" s="8">
        <f>INDEX(Product_List,MATCH($F363,'Product List'!$B$1:$B$299,0),MATCH('Order SUmmary'!N$2,'Product List'!$A$1:$E$1,0))</f>
        <v>1212</v>
      </c>
      <c r="O363" s="8" t="str">
        <f>INDEX(Product_List,MATCH($F363,'Product List'!$B$1:$B$299,0),MATCH('Order SUmmary'!O$2,'Product List'!$A$1:$E$1,0))</f>
        <v>Labels</v>
      </c>
      <c r="P363" s="12">
        <f>HLOOKUP(C363,'Commission Criteria'!$A$2:$I$4,3,FALSE)</f>
        <v>6</v>
      </c>
      <c r="Q363" s="8">
        <f t="shared" si="16"/>
        <v>2424</v>
      </c>
      <c r="R363" s="8">
        <f t="shared" si="17"/>
        <v>8468</v>
      </c>
      <c r="S363" s="36">
        <f>VLOOKUP(R363,'Commission Criteria'!$L$3:$M$11,2,TRUE)</f>
        <v>0.03</v>
      </c>
      <c r="T363" s="36">
        <f>IF(P363&lt;5,VLOOKUP(R363,'Commission Criteria'!$L$3:$M$11,2,1),VLOOKUP('Order SUmmary'!R363,'Commission Criteria'!$P$3:$Q$11,2,1))</f>
        <v>0.02</v>
      </c>
      <c r="U363" s="36">
        <f>VLOOKUP(R363,IF(P363&lt;5,'Commission Criteria'!$L$3:$M$11,'Commission Criteria'!$P$3:$Q$11),2,1)</f>
        <v>0.02</v>
      </c>
      <c r="V363" s="8" t="s">
        <v>43</v>
      </c>
      <c r="W363" s="36">
        <f t="shared" ca="1" si="18"/>
        <v>0.05</v>
      </c>
      <c r="X363" s="8" t="str">
        <f>_xlfn.XLOOKUP(F363,'Product List'!$B$1:$B$299,'Product List'!$A$1:$A$299)</f>
        <v>Avery 500</v>
      </c>
      <c r="Y363" s="8"/>
      <c r="Z363" s="8" t="str" cm="1">
        <f t="array" ref="Z363:AD363">_xlfn.XLOOKUP(D363,'Customer Details'!$A$1:$A$17,'Customer Details'!$B$1:$F$17,"No such customer",0,1)</f>
        <v>Dynamatic Technologies Ltd.</v>
      </c>
      <c r="AA363" s="8" t="str">
        <v>402 Pinkster Lane</v>
      </c>
      <c r="AB363" s="8" t="str">
        <v>Santa Barbara</v>
      </c>
      <c r="AC363" s="8" t="str">
        <v>CA</v>
      </c>
      <c r="AD363" s="8" t="str">
        <v>93110</v>
      </c>
    </row>
    <row r="364" spans="1:30">
      <c r="A364" s="8" t="s">
        <v>500</v>
      </c>
      <c r="B364" s="19">
        <v>41645</v>
      </c>
      <c r="C364" s="8" t="s">
        <v>66</v>
      </c>
      <c r="D364" s="8">
        <v>10008</v>
      </c>
      <c r="E364" s="8" t="str">
        <f>VLOOKUP($D364,'Customer Details'!$A$1:$F$17,4,FALSE)</f>
        <v>Chestnut Ridge</v>
      </c>
      <c r="F364" s="8" t="s">
        <v>502</v>
      </c>
      <c r="G364" s="8">
        <v>2</v>
      </c>
      <c r="H364" s="2" t="str">
        <f>VLOOKUP($D364,'Customer Details'!$A$1:$F$17,MATCH('Order SUmmary'!H$2,'Customer Details'!$A$1:$F$1,0),0)</f>
        <v>Reliance Industries Limited</v>
      </c>
      <c r="I364" s="2" t="str">
        <f>VLOOKUP($D364,'Customer Details'!$A$1:$F$17,4,0)</f>
        <v>Chestnut Ridge</v>
      </c>
      <c r="J364" s="2" t="str">
        <f>VLOOKUP($D364,'Customer Details'!$A$1:$F$17,6,0)</f>
        <v>10977</v>
      </c>
      <c r="K364" s="8" t="str">
        <f>VLOOKUP(VLOOKUP(D364,'Customer Details'!$A$1:$F$17,5,0),'Region INfo'!$A$1:$C$52,3,0)</f>
        <v xml:space="preserve">Northern </v>
      </c>
      <c r="L364" s="8" t="str">
        <f>INDEX(Product_List,MATCH($F364,'Product List'!$B$1:$B$299,0),MATCH('Order SUmmary'!L$2,'Product List'!$A$1:$E$1,0))</f>
        <v>Xerox 1896</v>
      </c>
      <c r="M364" s="8">
        <f>INDEX(Product_List,MATCH($F364,'Product List'!$B$1:$B$299,0),MATCH('Order SUmmary'!M$2,'Product List'!$A$1:$E$1,0))</f>
        <v>4239</v>
      </c>
      <c r="N364" s="8">
        <f>INDEX(Product_List,MATCH($F364,'Product List'!$B$1:$B$299,0),MATCH('Order SUmmary'!N$2,'Product List'!$A$1:$E$1,0))</f>
        <v>2267</v>
      </c>
      <c r="O364" s="8" t="str">
        <f>INDEX(Product_List,MATCH($F364,'Product List'!$B$1:$B$299,0),MATCH('Order SUmmary'!O$2,'Product List'!$A$1:$E$1,0))</f>
        <v>Paper</v>
      </c>
      <c r="P364" s="12">
        <f>HLOOKUP(C364,'Commission Criteria'!$A$2:$I$4,3,FALSE)</f>
        <v>5</v>
      </c>
      <c r="Q364" s="8">
        <f t="shared" si="16"/>
        <v>4534</v>
      </c>
      <c r="R364" s="8">
        <f t="shared" si="17"/>
        <v>8478</v>
      </c>
      <c r="S364" s="36">
        <f>VLOOKUP(R364,'Commission Criteria'!$L$3:$M$11,2,TRUE)</f>
        <v>0.03</v>
      </c>
      <c r="T364" s="36">
        <f>IF(P364&lt;5,VLOOKUP(R364,'Commission Criteria'!$L$3:$M$11,2,1),VLOOKUP('Order SUmmary'!R364,'Commission Criteria'!$P$3:$Q$11,2,1))</f>
        <v>0.02</v>
      </c>
      <c r="U364" s="36">
        <f>VLOOKUP(R364,IF(P364&lt;5,'Commission Criteria'!$L$3:$M$11,'Commission Criteria'!$P$3:$Q$11),2,1)</f>
        <v>0.02</v>
      </c>
      <c r="V364" s="8" t="s">
        <v>50</v>
      </c>
      <c r="W364" s="36">
        <f t="shared" ca="1" si="18"/>
        <v>0.04</v>
      </c>
      <c r="X364" s="8" t="str">
        <f>_xlfn.XLOOKUP(F364,'Product List'!$B$1:$B$299,'Product List'!$A$1:$A$299)</f>
        <v>Xerox 1896</v>
      </c>
      <c r="Y364" s="8"/>
      <c r="Z364" s="8" t="str" cm="1">
        <f t="array" ref="Z364:AD364">_xlfn.XLOOKUP(D364,'Customer Details'!$A$1:$A$17,'Customer Details'!$B$1:$F$17,"No such customer",0,1)</f>
        <v>Reliance Industries Limited</v>
      </c>
      <c r="AA364" s="8" t="str">
        <v>12020 Shamrock Rd., Suite 333</v>
      </c>
      <c r="AB364" s="8" t="str">
        <v>Chestnut Ridge</v>
      </c>
      <c r="AC364" s="8" t="str">
        <v>NY</v>
      </c>
      <c r="AD364" s="8" t="str">
        <v>10977</v>
      </c>
    </row>
    <row r="365" spans="1:30">
      <c r="A365" s="8" t="s">
        <v>503</v>
      </c>
      <c r="B365" s="19">
        <v>41651</v>
      </c>
      <c r="C365" s="8" t="s">
        <v>46</v>
      </c>
      <c r="D365" s="8">
        <v>10003</v>
      </c>
      <c r="E365" s="8" t="str">
        <f>VLOOKUP($D365,'Customer Details'!$A$1:$F$17,4,FALSE)</f>
        <v>Miami</v>
      </c>
      <c r="F365" s="8" t="s">
        <v>78</v>
      </c>
      <c r="G365" s="8">
        <v>1</v>
      </c>
      <c r="H365" s="2" t="str">
        <f>VLOOKUP($D365,'Customer Details'!$A$1:$F$17,MATCH('Order SUmmary'!H$2,'Customer Details'!$A$1:$F$1,0),0)</f>
        <v>Honeywell Automation</v>
      </c>
      <c r="I365" s="2" t="str">
        <f>VLOOKUP($D365,'Customer Details'!$A$1:$F$17,4,0)</f>
        <v>Miami</v>
      </c>
      <c r="J365" s="2" t="str">
        <f>VLOOKUP($D365,'Customer Details'!$A$1:$F$17,6,0)</f>
        <v>33732</v>
      </c>
      <c r="K365" s="8" t="str">
        <f>VLOOKUP(VLOOKUP(D365,'Customer Details'!$A$1:$F$17,5,0),'Region INfo'!$A$1:$C$52,3,0)</f>
        <v>Southern</v>
      </c>
      <c r="L365" s="8" t="str">
        <f>INDEX(Product_List,MATCH($F365,'Product List'!$B$1:$B$299,0),MATCH('Order SUmmary'!L$2,'Product List'!$A$1:$E$1,0))</f>
        <v>Xerox 199</v>
      </c>
      <c r="M365" s="8">
        <f>INDEX(Product_List,MATCH($F365,'Product List'!$B$1:$B$299,0),MATCH('Order SUmmary'!M$2,'Product List'!$A$1:$E$1,0))</f>
        <v>2523</v>
      </c>
      <c r="N365" s="8">
        <f>INDEX(Product_List,MATCH($F365,'Product List'!$B$1:$B$299,0),MATCH('Order SUmmary'!N$2,'Product List'!$A$1:$E$1,0))</f>
        <v>1665</v>
      </c>
      <c r="O365" s="8" t="str">
        <f>INDEX(Product_List,MATCH($F365,'Product List'!$B$1:$B$299,0),MATCH('Order SUmmary'!O$2,'Product List'!$A$1:$E$1,0))</f>
        <v>Paper</v>
      </c>
      <c r="P365" s="12">
        <f>HLOOKUP(C365,'Commission Criteria'!$A$2:$I$4,3,FALSE)</f>
        <v>8</v>
      </c>
      <c r="Q365" s="8">
        <f t="shared" si="16"/>
        <v>1665</v>
      </c>
      <c r="R365" s="8">
        <f t="shared" si="17"/>
        <v>2523</v>
      </c>
      <c r="S365" s="36">
        <f>VLOOKUP(R365,'Commission Criteria'!$L$3:$M$11,2,TRUE)</f>
        <v>0.01</v>
      </c>
      <c r="T365" s="36">
        <f>IF(P365&lt;5,VLOOKUP(R365,'Commission Criteria'!$L$3:$M$11,2,1),VLOOKUP('Order SUmmary'!R365,'Commission Criteria'!$P$3:$Q$11,2,1))</f>
        <v>0.02</v>
      </c>
      <c r="U365" s="36">
        <f>VLOOKUP(R365,IF(P365&lt;5,'Commission Criteria'!$L$3:$M$11,'Commission Criteria'!$P$3:$Q$11),2,1)</f>
        <v>0.02</v>
      </c>
      <c r="V365" s="8" t="s">
        <v>50</v>
      </c>
      <c r="W365" s="36">
        <f t="shared" ca="1" si="18"/>
        <v>0.01</v>
      </c>
      <c r="X365" s="8" t="str">
        <f>_xlfn.XLOOKUP(F365,'Product List'!$B$1:$B$299,'Product List'!$A$1:$A$299)</f>
        <v>Xerox 199</v>
      </c>
      <c r="Y365" s="8"/>
      <c r="Z365" s="8" t="str" cm="1">
        <f t="array" ref="Z365:AD365">_xlfn.XLOOKUP(D365,'Customer Details'!$A$1:$A$17,'Customer Details'!$B$1:$F$17,"No such customer",0,1)</f>
        <v>Honeywell Automation</v>
      </c>
      <c r="AA365" s="8" t="str">
        <v>1272 Harbor Road</v>
      </c>
      <c r="AB365" s="8" t="str">
        <v>Miami</v>
      </c>
      <c r="AC365" s="8" t="str">
        <v>FL</v>
      </c>
      <c r="AD365" s="8" t="str">
        <v>33732</v>
      </c>
    </row>
    <row r="366" spans="1:30">
      <c r="A366" s="8" t="s">
        <v>504</v>
      </c>
      <c r="B366" s="19">
        <v>41651</v>
      </c>
      <c r="C366" s="8" t="s">
        <v>54</v>
      </c>
      <c r="D366" s="8">
        <v>10003</v>
      </c>
      <c r="E366" s="8" t="str">
        <f>VLOOKUP($D366,'Customer Details'!$A$1:$F$17,4,FALSE)</f>
        <v>Miami</v>
      </c>
      <c r="F366" s="8" t="s">
        <v>184</v>
      </c>
      <c r="G366" s="8">
        <v>1</v>
      </c>
      <c r="H366" s="2" t="str">
        <f>VLOOKUP($D366,'Customer Details'!$A$1:$F$17,MATCH('Order SUmmary'!H$2,'Customer Details'!$A$1:$F$1,0),0)</f>
        <v>Honeywell Automation</v>
      </c>
      <c r="I366" s="2" t="str">
        <f>VLOOKUP($D366,'Customer Details'!$A$1:$F$17,4,0)</f>
        <v>Miami</v>
      </c>
      <c r="J366" s="2" t="str">
        <f>VLOOKUP($D366,'Customer Details'!$A$1:$F$17,6,0)</f>
        <v>33732</v>
      </c>
      <c r="K366" s="8" t="str">
        <f>VLOOKUP(VLOOKUP(D366,'Customer Details'!$A$1:$F$17,5,0),'Region INfo'!$A$1:$C$52,3,0)</f>
        <v>Southern</v>
      </c>
      <c r="L366" s="8" t="str">
        <f>INDEX(Product_List,MATCH($F366,'Product List'!$B$1:$B$299,0),MATCH('Order SUmmary'!L$2,'Product List'!$A$1:$E$1,0))</f>
        <v>Xerox 1983</v>
      </c>
      <c r="M366" s="8">
        <f>INDEX(Product_List,MATCH($F366,'Product List'!$B$1:$B$299,0),MATCH('Order SUmmary'!M$2,'Product List'!$A$1:$E$1,0))</f>
        <v>3514</v>
      </c>
      <c r="N366" s="8">
        <f>INDEX(Product_List,MATCH($F366,'Product List'!$B$1:$B$299,0),MATCH('Order SUmmary'!N$2,'Product List'!$A$1:$E$1,0))</f>
        <v>1257</v>
      </c>
      <c r="O366" s="8" t="str">
        <f>INDEX(Product_List,MATCH($F366,'Product List'!$B$1:$B$299,0),MATCH('Order SUmmary'!O$2,'Product List'!$A$1:$E$1,0))</f>
        <v>Paper</v>
      </c>
      <c r="P366" s="12">
        <f>HLOOKUP(C366,'Commission Criteria'!$A$2:$I$4,3,FALSE)</f>
        <v>3</v>
      </c>
      <c r="Q366" s="8">
        <f t="shared" si="16"/>
        <v>1257</v>
      </c>
      <c r="R366" s="8">
        <f t="shared" si="17"/>
        <v>3514</v>
      </c>
      <c r="S366" s="36">
        <f>VLOOKUP(R366,'Commission Criteria'!$L$3:$M$11,2,TRUE)</f>
        <v>0.01</v>
      </c>
      <c r="T366" s="36">
        <f>IF(P366&lt;5,VLOOKUP(R366,'Commission Criteria'!$L$3:$M$11,2,1),VLOOKUP('Order SUmmary'!R366,'Commission Criteria'!$P$3:$Q$11,2,1))</f>
        <v>0.01</v>
      </c>
      <c r="U366" s="36">
        <f>VLOOKUP(R366,IF(P366&lt;5,'Commission Criteria'!$L$3:$M$11,'Commission Criteria'!$P$3:$Q$11),2,1)</f>
        <v>0.01</v>
      </c>
      <c r="V366" s="8" t="s">
        <v>43</v>
      </c>
      <c r="W366" s="36">
        <f t="shared" ca="1" si="18"/>
        <v>0.04</v>
      </c>
      <c r="X366" s="8" t="str">
        <f>_xlfn.XLOOKUP(F366,'Product List'!$B$1:$B$299,'Product List'!$A$1:$A$299)</f>
        <v>Xerox 1983</v>
      </c>
      <c r="Y366" s="8"/>
      <c r="Z366" s="8" t="str" cm="1">
        <f t="array" ref="Z366:AD366">_xlfn.XLOOKUP(D366,'Customer Details'!$A$1:$A$17,'Customer Details'!$B$1:$F$17,"No such customer",0,1)</f>
        <v>Honeywell Automation</v>
      </c>
      <c r="AA366" s="8" t="str">
        <v>1272 Harbor Road</v>
      </c>
      <c r="AB366" s="8" t="str">
        <v>Miami</v>
      </c>
      <c r="AC366" s="8" t="str">
        <v>FL</v>
      </c>
      <c r="AD366" s="8" t="str">
        <v>33732</v>
      </c>
    </row>
    <row r="367" spans="1:30">
      <c r="A367" s="8" t="s">
        <v>503</v>
      </c>
      <c r="B367" s="19">
        <v>41651</v>
      </c>
      <c r="C367" s="8" t="s">
        <v>46</v>
      </c>
      <c r="D367" s="8">
        <v>10005</v>
      </c>
      <c r="E367" s="8" t="str">
        <f>VLOOKUP($D367,'Customer Details'!$A$1:$F$17,4,FALSE)</f>
        <v>Goleta</v>
      </c>
      <c r="F367" s="8" t="s">
        <v>505</v>
      </c>
      <c r="G367" s="8">
        <v>1</v>
      </c>
      <c r="H367" s="2" t="str">
        <f>VLOOKUP($D367,'Customer Details'!$A$1:$F$17,MATCH('Order SUmmary'!H$2,'Customer Details'!$A$1:$F$1,0),0)</f>
        <v>Fortis Healthcare Ltd.</v>
      </c>
      <c r="I367" s="2" t="str">
        <f>VLOOKUP($D367,'Customer Details'!$A$1:$F$17,4,0)</f>
        <v>Goleta</v>
      </c>
      <c r="J367" s="2" t="str">
        <f>VLOOKUP($D367,'Customer Details'!$A$1:$F$17,6,0)</f>
        <v>93117</v>
      </c>
      <c r="K367" s="8" t="str">
        <f>VLOOKUP(VLOOKUP(D367,'Customer Details'!$A$1:$F$17,5,0),'Region INfo'!$A$1:$C$52,3,0)</f>
        <v xml:space="preserve">Pacific   </v>
      </c>
      <c r="L367" s="8" t="str">
        <f>INDEX(Product_List,MATCH($F367,'Product List'!$B$1:$B$299,0),MATCH('Order SUmmary'!L$2,'Product List'!$A$1:$E$1,0))</f>
        <v>Xerox 1934</v>
      </c>
      <c r="M367" s="8">
        <f>INDEX(Product_List,MATCH($F367,'Product List'!$B$1:$B$299,0),MATCH('Order SUmmary'!M$2,'Product List'!$A$1:$E$1,0))</f>
        <v>4307</v>
      </c>
      <c r="N367" s="8">
        <f>INDEX(Product_List,MATCH($F367,'Product List'!$B$1:$B$299,0),MATCH('Order SUmmary'!N$2,'Product List'!$A$1:$E$1,0))</f>
        <v>1503</v>
      </c>
      <c r="O367" s="8" t="str">
        <f>INDEX(Product_List,MATCH($F367,'Product List'!$B$1:$B$299,0),MATCH('Order SUmmary'!O$2,'Product List'!$A$1:$E$1,0))</f>
        <v>Paper</v>
      </c>
      <c r="P367" s="12">
        <f>HLOOKUP(C367,'Commission Criteria'!$A$2:$I$4,3,FALSE)</f>
        <v>8</v>
      </c>
      <c r="Q367" s="8">
        <f t="shared" si="16"/>
        <v>1503</v>
      </c>
      <c r="R367" s="8">
        <f t="shared" si="17"/>
        <v>4307</v>
      </c>
      <c r="S367" s="36">
        <f>VLOOKUP(R367,'Commission Criteria'!$L$3:$M$11,2,TRUE)</f>
        <v>0.01</v>
      </c>
      <c r="T367" s="36">
        <f>IF(P367&lt;5,VLOOKUP(R367,'Commission Criteria'!$L$3:$M$11,2,1),VLOOKUP('Order SUmmary'!R367,'Commission Criteria'!$P$3:$Q$11,2,1))</f>
        <v>0.02</v>
      </c>
      <c r="U367" s="36">
        <f>VLOOKUP(R367,IF(P367&lt;5,'Commission Criteria'!$L$3:$M$11,'Commission Criteria'!$P$3:$Q$11),2,1)</f>
        <v>0.02</v>
      </c>
      <c r="V367" s="8" t="s">
        <v>40</v>
      </c>
      <c r="W367" s="36">
        <f t="shared" ca="1" si="18"/>
        <v>0.01</v>
      </c>
      <c r="X367" s="8" t="str">
        <f>_xlfn.XLOOKUP(F367,'Product List'!$B$1:$B$299,'Product List'!$A$1:$A$299)</f>
        <v>Xerox 1934</v>
      </c>
      <c r="Y367" s="8"/>
      <c r="Z367" s="8" t="str" cm="1">
        <f t="array" ref="Z367:AD367">_xlfn.XLOOKUP(D367,'Customer Details'!$A$1:$A$17,'Customer Details'!$B$1:$F$17,"No such customer",0,1)</f>
        <v>Fortis Healthcare Ltd.</v>
      </c>
      <c r="AA367" s="8" t="str">
        <v>14 Elsworthy Terrace</v>
      </c>
      <c r="AB367" s="8" t="str">
        <v>Goleta</v>
      </c>
      <c r="AC367" s="8" t="str">
        <v>CA</v>
      </c>
      <c r="AD367" s="8" t="str">
        <v>93117</v>
      </c>
    </row>
    <row r="368" spans="1:30">
      <c r="A368" s="8" t="s">
        <v>503</v>
      </c>
      <c r="B368" s="19">
        <v>41651</v>
      </c>
      <c r="C368" s="8" t="s">
        <v>54</v>
      </c>
      <c r="D368" s="8">
        <v>10001</v>
      </c>
      <c r="E368" s="8" t="str">
        <f>VLOOKUP($D368,'Customer Details'!$A$1:$F$17,4,FALSE)</f>
        <v>New York</v>
      </c>
      <c r="F368" s="8" t="s">
        <v>162</v>
      </c>
      <c r="G368" s="8">
        <v>2</v>
      </c>
      <c r="H368" s="2" t="str">
        <f>VLOOKUP($D368,'Customer Details'!$A$1:$F$17,MATCH('Order SUmmary'!H$2,'Customer Details'!$A$1:$F$1,0),0)</f>
        <v>Chambal Fertilisers and Chemicals Ltd.</v>
      </c>
      <c r="I368" s="2" t="str">
        <f>VLOOKUP($D368,'Customer Details'!$A$1:$F$17,4,0)</f>
        <v>New York</v>
      </c>
      <c r="J368" s="2" t="str">
        <f>VLOOKUP($D368,'Customer Details'!$A$1:$F$17,6,0)</f>
        <v>10025</v>
      </c>
      <c r="K368" s="8" t="str">
        <f>VLOOKUP(VLOOKUP(D368,'Customer Details'!$A$1:$F$17,5,0),'Region INfo'!$A$1:$C$52,3,0)</f>
        <v xml:space="preserve">Northern </v>
      </c>
      <c r="L368" s="8" t="str">
        <f>INDEX(Product_List,MATCH($F368,'Product List'!$B$1:$B$299,0),MATCH('Order SUmmary'!L$2,'Product List'!$A$1:$E$1,0))</f>
        <v>Avery 483</v>
      </c>
      <c r="M368" s="8">
        <f>INDEX(Product_List,MATCH($F368,'Product List'!$B$1:$B$299,0),MATCH('Order SUmmary'!M$2,'Product List'!$A$1:$E$1,0))</f>
        <v>3694</v>
      </c>
      <c r="N368" s="8">
        <f>INDEX(Product_List,MATCH($F368,'Product List'!$B$1:$B$299,0),MATCH('Order SUmmary'!N$2,'Product List'!$A$1:$E$1,0))</f>
        <v>1616</v>
      </c>
      <c r="O368" s="8" t="str">
        <f>INDEX(Product_List,MATCH($F368,'Product List'!$B$1:$B$299,0),MATCH('Order SUmmary'!O$2,'Product List'!$A$1:$E$1,0))</f>
        <v>Labels</v>
      </c>
      <c r="P368" s="12">
        <f>HLOOKUP(C368,'Commission Criteria'!$A$2:$I$4,3,FALSE)</f>
        <v>3</v>
      </c>
      <c r="Q368" s="8">
        <f t="shared" si="16"/>
        <v>3232</v>
      </c>
      <c r="R368" s="8">
        <f t="shared" si="17"/>
        <v>7388</v>
      </c>
      <c r="S368" s="36">
        <f>VLOOKUP(R368,'Commission Criteria'!$L$3:$M$11,2,TRUE)</f>
        <v>0.03</v>
      </c>
      <c r="T368" s="36">
        <f>IF(P368&lt;5,VLOOKUP(R368,'Commission Criteria'!$L$3:$M$11,2,1),VLOOKUP('Order SUmmary'!R368,'Commission Criteria'!$P$3:$Q$11,2,1))</f>
        <v>0.03</v>
      </c>
      <c r="U368" s="36">
        <f>VLOOKUP(R368,IF(P368&lt;5,'Commission Criteria'!$L$3:$M$11,'Commission Criteria'!$P$3:$Q$11),2,1)</f>
        <v>0.03</v>
      </c>
      <c r="V368" s="8" t="s">
        <v>50</v>
      </c>
      <c r="W368" s="36">
        <f t="shared" ca="1" si="18"/>
        <v>0.04</v>
      </c>
      <c r="X368" s="8" t="str">
        <f>_xlfn.XLOOKUP(F368,'Product List'!$B$1:$B$299,'Product List'!$A$1:$A$299)</f>
        <v>Avery 483</v>
      </c>
      <c r="Y368" s="8"/>
      <c r="Z368" s="8" t="str" cm="1">
        <f t="array" ref="Z368:AD368">_xlfn.XLOOKUP(D368,'Customer Details'!$A$1:$A$17,'Customer Details'!$B$1:$F$17,"No such customer",0,1)</f>
        <v>Chambal Fertilisers and Chemicals Ltd.</v>
      </c>
      <c r="AA368" s="8" t="str">
        <v>4951 Indiana Ave.</v>
      </c>
      <c r="AB368" s="8" t="str">
        <v>New York</v>
      </c>
      <c r="AC368" s="8" t="str">
        <v>NY</v>
      </c>
      <c r="AD368" s="8" t="str">
        <v>10025</v>
      </c>
    </row>
    <row r="369" spans="1:30">
      <c r="A369" s="8" t="s">
        <v>504</v>
      </c>
      <c r="B369" s="19">
        <v>41651</v>
      </c>
      <c r="C369" s="8" t="s">
        <v>27</v>
      </c>
      <c r="D369" s="8">
        <v>10006</v>
      </c>
      <c r="E369" s="8" t="str">
        <f>VLOOKUP($D369,'Customer Details'!$A$1:$F$17,4,FALSE)</f>
        <v>Midland</v>
      </c>
      <c r="F369" s="8" t="s">
        <v>112</v>
      </c>
      <c r="G369" s="8">
        <v>2</v>
      </c>
      <c r="H369" s="2" t="str">
        <f>VLOOKUP($D369,'Customer Details'!$A$1:$F$17,MATCH('Order SUmmary'!H$2,'Customer Details'!$A$1:$F$1,0),0)</f>
        <v>Supreme Ind</v>
      </c>
      <c r="I369" s="2" t="str">
        <f>VLOOKUP($D369,'Customer Details'!$A$1:$F$17,4,0)</f>
        <v>Midland</v>
      </c>
      <c r="J369" s="2" t="str">
        <f>VLOOKUP($D369,'Customer Details'!$A$1:$F$17,6,0)</f>
        <v>79706</v>
      </c>
      <c r="K369" s="8" t="str">
        <f>VLOOKUP(VLOOKUP(D369,'Customer Details'!$A$1:$F$17,5,0),'Region INfo'!$A$1:$C$52,3,0)</f>
        <v>Western</v>
      </c>
      <c r="L369" s="8" t="str">
        <f>INDEX(Product_List,MATCH($F369,'Product List'!$B$1:$B$299,0),MATCH('Order SUmmary'!L$2,'Product List'!$A$1:$E$1,0))</f>
        <v>Newell 317</v>
      </c>
      <c r="M369" s="8">
        <f>INDEX(Product_List,MATCH($F369,'Product List'!$B$1:$B$299,0),MATCH('Order SUmmary'!M$2,'Product List'!$A$1:$E$1,0))</f>
        <v>4891</v>
      </c>
      <c r="N369" s="8">
        <f>INDEX(Product_List,MATCH($F369,'Product List'!$B$1:$B$299,0),MATCH('Order SUmmary'!N$2,'Product List'!$A$1:$E$1,0))</f>
        <v>1745</v>
      </c>
      <c r="O369" s="8" t="str">
        <f>INDEX(Product_List,MATCH($F369,'Product List'!$B$1:$B$299,0),MATCH('Order SUmmary'!O$2,'Product List'!$A$1:$E$1,0))</f>
        <v>Art</v>
      </c>
      <c r="P369" s="12">
        <f>HLOOKUP(C369,'Commission Criteria'!$A$2:$I$4,3,FALSE)</f>
        <v>4</v>
      </c>
      <c r="Q369" s="8">
        <f t="shared" si="16"/>
        <v>3490</v>
      </c>
      <c r="R369" s="8">
        <f t="shared" si="17"/>
        <v>9782</v>
      </c>
      <c r="S369" s="36">
        <f>VLOOKUP(R369,'Commission Criteria'!$L$3:$M$11,2,TRUE)</f>
        <v>0.03</v>
      </c>
      <c r="T369" s="36">
        <f>IF(P369&lt;5,VLOOKUP(R369,'Commission Criteria'!$L$3:$M$11,2,1),VLOOKUP('Order SUmmary'!R369,'Commission Criteria'!$P$3:$Q$11,2,1))</f>
        <v>0.03</v>
      </c>
      <c r="U369" s="36">
        <f>VLOOKUP(R369,IF(P369&lt;5,'Commission Criteria'!$L$3:$M$11,'Commission Criteria'!$P$3:$Q$11),2,1)</f>
        <v>0.03</v>
      </c>
      <c r="V369" s="8" t="s">
        <v>32</v>
      </c>
      <c r="W369" s="36">
        <f t="shared" ca="1" si="18"/>
        <v>0.03</v>
      </c>
      <c r="X369" s="8" t="str">
        <f>_xlfn.XLOOKUP(F369,'Product List'!$B$1:$B$299,'Product List'!$A$1:$A$299)</f>
        <v>Newell 317</v>
      </c>
      <c r="Y369" s="8"/>
      <c r="Z369" s="8" t="str" cm="1">
        <f t="array" ref="Z369:AD369">_xlfn.XLOOKUP(D369,'Customer Details'!$A$1:$A$17,'Customer Details'!$B$1:$F$17,"No such customer",0,1)</f>
        <v>Supreme Ind</v>
      </c>
      <c r="AA369" s="8" t="str">
        <v>P.O. Box 1367</v>
      </c>
      <c r="AB369" s="8" t="str">
        <v>Midland</v>
      </c>
      <c r="AC369" s="8" t="str">
        <v>TX</v>
      </c>
      <c r="AD369" s="8" t="str">
        <v>79706</v>
      </c>
    </row>
    <row r="370" spans="1:30">
      <c r="A370" s="8" t="s">
        <v>506</v>
      </c>
      <c r="B370" s="19">
        <v>41652</v>
      </c>
      <c r="C370" s="8" t="s">
        <v>44</v>
      </c>
      <c r="D370" s="8">
        <v>10014</v>
      </c>
      <c r="E370" s="8" t="str">
        <f>VLOOKUP($D370,'Customer Details'!$A$1:$F$17,4,FALSE)</f>
        <v>Honolulu</v>
      </c>
      <c r="F370" s="8" t="s">
        <v>507</v>
      </c>
      <c r="G370" s="8">
        <v>1</v>
      </c>
      <c r="H370" s="2" t="str">
        <f>VLOOKUP($D370,'Customer Details'!$A$1:$F$17,MATCH('Order SUmmary'!H$2,'Customer Details'!$A$1:$F$1,0),0)</f>
        <v>Hindusthan National Glass &amp; Industries Ltd.</v>
      </c>
      <c r="I370" s="2" t="str">
        <f>VLOOKUP($D370,'Customer Details'!$A$1:$F$17,4,0)</f>
        <v>Honolulu</v>
      </c>
      <c r="J370" s="2" t="str">
        <f>VLOOKUP($D370,'Customer Details'!$A$1:$F$17,6,0)</f>
        <v>96825</v>
      </c>
      <c r="K370" s="8" t="str">
        <f>VLOOKUP(VLOOKUP(D370,'Customer Details'!$A$1:$F$17,5,0),'Region INfo'!$A$1:$C$52,3,0)</f>
        <v xml:space="preserve">Pacific   </v>
      </c>
      <c r="L370" s="8" t="str">
        <f>INDEX(Product_List,MATCH($F370,'Product List'!$B$1:$B$299,0),MATCH('Order SUmmary'!L$2,'Product List'!$A$1:$E$1,0))</f>
        <v>Xerox 1905</v>
      </c>
      <c r="M370" s="8">
        <f>INDEX(Product_List,MATCH($F370,'Product List'!$B$1:$B$299,0),MATCH('Order SUmmary'!M$2,'Product List'!$A$1:$E$1,0))</f>
        <v>4858</v>
      </c>
      <c r="N370" s="8">
        <f>INDEX(Product_List,MATCH($F370,'Product List'!$B$1:$B$299,0),MATCH('Order SUmmary'!N$2,'Product List'!$A$1:$E$1,0))</f>
        <v>2491</v>
      </c>
      <c r="O370" s="8" t="str">
        <f>INDEX(Product_List,MATCH($F370,'Product List'!$B$1:$B$299,0),MATCH('Order SUmmary'!O$2,'Product List'!$A$1:$E$1,0))</f>
        <v>Paper</v>
      </c>
      <c r="P370" s="12">
        <f>HLOOKUP(C370,'Commission Criteria'!$A$2:$I$4,3,FALSE)</f>
        <v>4</v>
      </c>
      <c r="Q370" s="8">
        <f t="shared" si="16"/>
        <v>2491</v>
      </c>
      <c r="R370" s="8">
        <f t="shared" si="17"/>
        <v>4858</v>
      </c>
      <c r="S370" s="36">
        <f>VLOOKUP(R370,'Commission Criteria'!$L$3:$M$11,2,TRUE)</f>
        <v>0.01</v>
      </c>
      <c r="T370" s="36">
        <f>IF(P370&lt;5,VLOOKUP(R370,'Commission Criteria'!$L$3:$M$11,2,1),VLOOKUP('Order SUmmary'!R370,'Commission Criteria'!$P$3:$Q$11,2,1))</f>
        <v>0.01</v>
      </c>
      <c r="U370" s="36">
        <f>VLOOKUP(R370,IF(P370&lt;5,'Commission Criteria'!$L$3:$M$11,'Commission Criteria'!$P$3:$Q$11),2,1)</f>
        <v>0.01</v>
      </c>
      <c r="V370" s="8" t="s">
        <v>32</v>
      </c>
      <c r="W370" s="36">
        <f t="shared" ca="1" si="18"/>
        <v>0.04</v>
      </c>
      <c r="X370" s="8" t="str">
        <f>_xlfn.XLOOKUP(F370,'Product List'!$B$1:$B$299,'Product List'!$A$1:$A$299)</f>
        <v>Xerox 1905</v>
      </c>
      <c r="Y370" s="8"/>
      <c r="Z370" s="8" t="str" cm="1">
        <f t="array" ref="Z370:AD370">_xlfn.XLOOKUP(D370,'Customer Details'!$A$1:$A$17,'Customer Details'!$B$1:$F$17,"No such customer",0,1)</f>
        <v>Hindusthan National Glass &amp; Industries Ltd.</v>
      </c>
      <c r="AA370" s="8" t="str">
        <v>11 Cathy St.</v>
      </c>
      <c r="AB370" s="8" t="str">
        <v>Honolulu</v>
      </c>
      <c r="AC370" s="8" t="str">
        <v>HI</v>
      </c>
      <c r="AD370" s="8" t="str">
        <v>96825</v>
      </c>
    </row>
    <row r="371" spans="1:30">
      <c r="A371" s="8" t="s">
        <v>506</v>
      </c>
      <c r="B371" s="19">
        <v>41652</v>
      </c>
      <c r="C371" s="8" t="s">
        <v>54</v>
      </c>
      <c r="D371" s="8">
        <v>10001</v>
      </c>
      <c r="E371" s="8" t="str">
        <f>VLOOKUP($D371,'Customer Details'!$A$1:$F$17,4,FALSE)</f>
        <v>New York</v>
      </c>
      <c r="F371" s="8" t="s">
        <v>343</v>
      </c>
      <c r="G371" s="8">
        <v>3</v>
      </c>
      <c r="H371" s="2" t="str">
        <f>VLOOKUP($D371,'Customer Details'!$A$1:$F$17,MATCH('Order SUmmary'!H$2,'Customer Details'!$A$1:$F$1,0),0)</f>
        <v>Chambal Fertilisers and Chemicals Ltd.</v>
      </c>
      <c r="I371" s="2" t="str">
        <f>VLOOKUP($D371,'Customer Details'!$A$1:$F$17,4,0)</f>
        <v>New York</v>
      </c>
      <c r="J371" s="2" t="str">
        <f>VLOOKUP($D371,'Customer Details'!$A$1:$F$17,6,0)</f>
        <v>10025</v>
      </c>
      <c r="K371" s="8" t="str">
        <f>VLOOKUP(VLOOKUP(D371,'Customer Details'!$A$1:$F$17,5,0),'Region INfo'!$A$1:$C$52,3,0)</f>
        <v xml:space="preserve">Northern </v>
      </c>
      <c r="L371" s="8" t="str">
        <f>INDEX(Product_List,MATCH($F371,'Product List'!$B$1:$B$299,0),MATCH('Order SUmmary'!L$2,'Product List'!$A$1:$E$1,0))</f>
        <v>Newell 333</v>
      </c>
      <c r="M371" s="8">
        <f>INDEX(Product_List,MATCH($F371,'Product List'!$B$1:$B$299,0),MATCH('Order SUmmary'!M$2,'Product List'!$A$1:$E$1,0))</f>
        <v>3000</v>
      </c>
      <c r="N371" s="8">
        <f>INDEX(Product_List,MATCH($F371,'Product List'!$B$1:$B$299,0),MATCH('Order SUmmary'!N$2,'Product List'!$A$1:$E$1,0))</f>
        <v>2148</v>
      </c>
      <c r="O371" s="8" t="str">
        <f>INDEX(Product_List,MATCH($F371,'Product List'!$B$1:$B$299,0),MATCH('Order SUmmary'!O$2,'Product List'!$A$1:$E$1,0))</f>
        <v>Art</v>
      </c>
      <c r="P371" s="12">
        <f>HLOOKUP(C371,'Commission Criteria'!$A$2:$I$4,3,FALSE)</f>
        <v>3</v>
      </c>
      <c r="Q371" s="8">
        <f t="shared" si="16"/>
        <v>6444</v>
      </c>
      <c r="R371" s="8">
        <f t="shared" si="17"/>
        <v>9000</v>
      </c>
      <c r="S371" s="36">
        <f>VLOOKUP(R371,'Commission Criteria'!$L$3:$M$11,2,TRUE)</f>
        <v>0.03</v>
      </c>
      <c r="T371" s="36">
        <f>IF(P371&lt;5,VLOOKUP(R371,'Commission Criteria'!$L$3:$M$11,2,1),VLOOKUP('Order SUmmary'!R371,'Commission Criteria'!$P$3:$Q$11,2,1))</f>
        <v>0.03</v>
      </c>
      <c r="U371" s="36">
        <f>VLOOKUP(R371,IF(P371&lt;5,'Commission Criteria'!$L$3:$M$11,'Commission Criteria'!$P$3:$Q$11),2,1)</f>
        <v>0.03</v>
      </c>
      <c r="V371" s="8" t="s">
        <v>29</v>
      </c>
      <c r="W371" s="36">
        <f t="shared" ca="1" si="18"/>
        <v>0.01</v>
      </c>
      <c r="X371" s="8" t="str">
        <f>_xlfn.XLOOKUP(F371,'Product List'!$B$1:$B$299,'Product List'!$A$1:$A$299)</f>
        <v>Newell 333</v>
      </c>
      <c r="Y371" s="8"/>
      <c r="Z371" s="8" t="str" cm="1">
        <f t="array" ref="Z371:AD371">_xlfn.XLOOKUP(D371,'Customer Details'!$A$1:$A$17,'Customer Details'!$B$1:$F$17,"No such customer",0,1)</f>
        <v>Chambal Fertilisers and Chemicals Ltd.</v>
      </c>
      <c r="AA371" s="8" t="str">
        <v>4951 Indiana Ave.</v>
      </c>
      <c r="AB371" s="8" t="str">
        <v>New York</v>
      </c>
      <c r="AC371" s="8" t="str">
        <v>NY</v>
      </c>
      <c r="AD371" s="8" t="str">
        <v>10025</v>
      </c>
    </row>
    <row r="372" spans="1:30">
      <c r="A372" s="8" t="s">
        <v>508</v>
      </c>
      <c r="B372" s="19">
        <v>41653</v>
      </c>
      <c r="C372" s="8" t="s">
        <v>33</v>
      </c>
      <c r="D372" s="8">
        <v>10013</v>
      </c>
      <c r="E372" s="8" t="str">
        <f>VLOOKUP($D372,'Customer Details'!$A$1:$F$17,4,FALSE)</f>
        <v>Naugatuck</v>
      </c>
      <c r="F372" s="8" t="s">
        <v>291</v>
      </c>
      <c r="G372" s="8">
        <v>2</v>
      </c>
      <c r="H372" s="2" t="str">
        <f>VLOOKUP($D372,'Customer Details'!$A$1:$F$17,MATCH('Order SUmmary'!H$2,'Customer Details'!$A$1:$F$1,0),0)</f>
        <v>GMR Infrastructure Ltd.</v>
      </c>
      <c r="I372" s="2" t="str">
        <f>VLOOKUP($D372,'Customer Details'!$A$1:$F$17,4,0)</f>
        <v>Naugatuck</v>
      </c>
      <c r="J372" s="2" t="str">
        <f>VLOOKUP($D372,'Customer Details'!$A$1:$F$17,6,0)</f>
        <v>06770</v>
      </c>
      <c r="K372" s="8" t="str">
        <f>VLOOKUP(VLOOKUP(D372,'Customer Details'!$A$1:$F$17,5,0),'Region INfo'!$A$1:$C$52,3,0)</f>
        <v xml:space="preserve">Northern </v>
      </c>
      <c r="L372" s="8" t="str">
        <f>INDEX(Product_List,MATCH($F372,'Product List'!$B$1:$B$299,0),MATCH('Order SUmmary'!L$2,'Product List'!$A$1:$E$1,0))</f>
        <v>Xerox 1990</v>
      </c>
      <c r="M372" s="8">
        <f>INDEX(Product_List,MATCH($F372,'Product List'!$B$1:$B$299,0),MATCH('Order SUmmary'!M$2,'Product List'!$A$1:$E$1,0))</f>
        <v>3330</v>
      </c>
      <c r="N372" s="8">
        <f>INDEX(Product_List,MATCH($F372,'Product List'!$B$1:$B$299,0),MATCH('Order SUmmary'!N$2,'Product List'!$A$1:$E$1,0))</f>
        <v>2283</v>
      </c>
      <c r="O372" s="8" t="str">
        <f>INDEX(Product_List,MATCH($F372,'Product List'!$B$1:$B$299,0),MATCH('Order SUmmary'!O$2,'Product List'!$A$1:$E$1,0))</f>
        <v>Paper</v>
      </c>
      <c r="P372" s="12">
        <f>HLOOKUP(C372,'Commission Criteria'!$A$2:$I$4,3,FALSE)</f>
        <v>1</v>
      </c>
      <c r="Q372" s="8">
        <f t="shared" si="16"/>
        <v>4566</v>
      </c>
      <c r="R372" s="8">
        <f t="shared" si="17"/>
        <v>6660</v>
      </c>
      <c r="S372" s="36">
        <f>VLOOKUP(R372,'Commission Criteria'!$L$3:$M$11,2,TRUE)</f>
        <v>0.03</v>
      </c>
      <c r="T372" s="36">
        <f>IF(P372&lt;5,VLOOKUP(R372,'Commission Criteria'!$L$3:$M$11,2,1),VLOOKUP('Order SUmmary'!R372,'Commission Criteria'!$P$3:$Q$11,2,1))</f>
        <v>0.03</v>
      </c>
      <c r="U372" s="36">
        <f>VLOOKUP(R372,IF(P372&lt;5,'Commission Criteria'!$L$3:$M$11,'Commission Criteria'!$P$3:$Q$11),2,1)</f>
        <v>0.03</v>
      </c>
      <c r="V372" s="8" t="s">
        <v>43</v>
      </c>
      <c r="W372" s="36">
        <f t="shared" ca="1" si="18"/>
        <v>0.01</v>
      </c>
      <c r="X372" s="8" t="str">
        <f>_xlfn.XLOOKUP(F372,'Product List'!$B$1:$B$299,'Product List'!$A$1:$A$299)</f>
        <v>Xerox 1990</v>
      </c>
      <c r="Y372" s="8"/>
      <c r="Z372" s="8" t="str" cm="1">
        <f t="array" ref="Z372:AD372">_xlfn.XLOOKUP(D372,'Customer Details'!$A$1:$A$17,'Customer Details'!$B$1:$F$17,"No such customer",0,1)</f>
        <v>GMR Infrastructure Ltd.</v>
      </c>
      <c r="AA372" s="8" t="str">
        <v>P.O. Box 4421</v>
      </c>
      <c r="AB372" s="8" t="str">
        <v>Naugatuck</v>
      </c>
      <c r="AC372" s="8" t="str">
        <v>CT</v>
      </c>
      <c r="AD372" s="8" t="str">
        <v>06770</v>
      </c>
    </row>
    <row r="373" spans="1:30">
      <c r="A373" s="8" t="s">
        <v>509</v>
      </c>
      <c r="B373" s="19">
        <v>41653</v>
      </c>
      <c r="C373" s="8" t="s">
        <v>46</v>
      </c>
      <c r="D373" s="8">
        <v>10006</v>
      </c>
      <c r="E373" s="8" t="str">
        <f>VLOOKUP($D373,'Customer Details'!$A$1:$F$17,4,FALSE)</f>
        <v>Midland</v>
      </c>
      <c r="F373" s="8" t="s">
        <v>510</v>
      </c>
      <c r="G373" s="8">
        <v>2</v>
      </c>
      <c r="H373" s="2" t="str">
        <f>VLOOKUP($D373,'Customer Details'!$A$1:$F$17,MATCH('Order SUmmary'!H$2,'Customer Details'!$A$1:$F$1,0),0)</f>
        <v>Supreme Ind</v>
      </c>
      <c r="I373" s="2" t="str">
        <f>VLOOKUP($D373,'Customer Details'!$A$1:$F$17,4,0)</f>
        <v>Midland</v>
      </c>
      <c r="J373" s="2" t="str">
        <f>VLOOKUP($D373,'Customer Details'!$A$1:$F$17,6,0)</f>
        <v>79706</v>
      </c>
      <c r="K373" s="8" t="str">
        <f>VLOOKUP(VLOOKUP(D373,'Customer Details'!$A$1:$F$17,5,0),'Region INfo'!$A$1:$C$52,3,0)</f>
        <v>Western</v>
      </c>
      <c r="L373" s="8" t="str">
        <f>INDEX(Product_List,MATCH($F373,'Product List'!$B$1:$B$299,0),MATCH('Order SUmmary'!L$2,'Product List'!$A$1:$E$1,0))</f>
        <v>Avery 507</v>
      </c>
      <c r="M373" s="8">
        <f>INDEX(Product_List,MATCH($F373,'Product List'!$B$1:$B$299,0),MATCH('Order SUmmary'!M$2,'Product List'!$A$1:$E$1,0))</f>
        <v>3473</v>
      </c>
      <c r="N373" s="8">
        <f>INDEX(Product_List,MATCH($F373,'Product List'!$B$1:$B$299,0),MATCH('Order SUmmary'!N$2,'Product List'!$A$1:$E$1,0))</f>
        <v>1493</v>
      </c>
      <c r="O373" s="8" t="str">
        <f>INDEX(Product_List,MATCH($F373,'Product List'!$B$1:$B$299,0),MATCH('Order SUmmary'!O$2,'Product List'!$A$1:$E$1,0))</f>
        <v>Labels</v>
      </c>
      <c r="P373" s="12">
        <f>HLOOKUP(C373,'Commission Criteria'!$A$2:$I$4,3,FALSE)</f>
        <v>8</v>
      </c>
      <c r="Q373" s="8">
        <f t="shared" si="16"/>
        <v>2986</v>
      </c>
      <c r="R373" s="8">
        <f t="shared" si="17"/>
        <v>6946</v>
      </c>
      <c r="S373" s="36">
        <f>VLOOKUP(R373,'Commission Criteria'!$L$3:$M$11,2,TRUE)</f>
        <v>0.03</v>
      </c>
      <c r="T373" s="36">
        <f>IF(P373&lt;5,VLOOKUP(R373,'Commission Criteria'!$L$3:$M$11,2,1),VLOOKUP('Order SUmmary'!R373,'Commission Criteria'!$P$3:$Q$11,2,1))</f>
        <v>0.02</v>
      </c>
      <c r="U373" s="36">
        <f>VLOOKUP(R373,IF(P373&lt;5,'Commission Criteria'!$L$3:$M$11,'Commission Criteria'!$P$3:$Q$11),2,1)</f>
        <v>0.02</v>
      </c>
      <c r="V373" s="8" t="s">
        <v>50</v>
      </c>
      <c r="W373" s="36">
        <f t="shared" ca="1" si="18"/>
        <v>0.03</v>
      </c>
      <c r="X373" s="8" t="str">
        <f>_xlfn.XLOOKUP(F373,'Product List'!$B$1:$B$299,'Product List'!$A$1:$A$299)</f>
        <v>Avery 507</v>
      </c>
      <c r="Y373" s="8"/>
      <c r="Z373" s="8" t="str" cm="1">
        <f t="array" ref="Z373:AD373">_xlfn.XLOOKUP(D373,'Customer Details'!$A$1:$A$17,'Customer Details'!$B$1:$F$17,"No such customer",0,1)</f>
        <v>Supreme Ind</v>
      </c>
      <c r="AA373" s="8" t="str">
        <v>P.O. Box 1367</v>
      </c>
      <c r="AB373" s="8" t="str">
        <v>Midland</v>
      </c>
      <c r="AC373" s="8" t="str">
        <v>TX</v>
      </c>
      <c r="AD373" s="8" t="str">
        <v>79706</v>
      </c>
    </row>
    <row r="374" spans="1:30">
      <c r="A374" s="8" t="s">
        <v>509</v>
      </c>
      <c r="B374" s="19">
        <v>41653</v>
      </c>
      <c r="C374" s="8" t="s">
        <v>66</v>
      </c>
      <c r="D374" s="8">
        <v>10009</v>
      </c>
      <c r="E374" s="8" t="str">
        <f>VLOOKUP($D374,'Customer Details'!$A$1:$F$17,4,FALSE)</f>
        <v>Salt Lake City</v>
      </c>
      <c r="F374" s="8" t="s">
        <v>511</v>
      </c>
      <c r="G374" s="8">
        <v>3</v>
      </c>
      <c r="H374" s="2" t="str">
        <f>VLOOKUP($D374,'Customer Details'!$A$1:$F$17,MATCH('Order SUmmary'!H$2,'Customer Details'!$A$1:$F$1,0),0)</f>
        <v>Godfrey Philips India Ltd.</v>
      </c>
      <c r="I374" s="2" t="str">
        <f>VLOOKUP($D374,'Customer Details'!$A$1:$F$17,4,0)</f>
        <v>Salt Lake City</v>
      </c>
      <c r="J374" s="2" t="str">
        <f>VLOOKUP($D374,'Customer Details'!$A$1:$F$17,6,0)</f>
        <v>84118</v>
      </c>
      <c r="K374" s="8" t="str">
        <f>VLOOKUP(VLOOKUP(D374,'Customer Details'!$A$1:$F$17,5,0),'Region INfo'!$A$1:$C$52,3,0)</f>
        <v xml:space="preserve">Pacific   </v>
      </c>
      <c r="L374" s="8" t="str">
        <f>INDEX(Product_List,MATCH($F374,'Product List'!$B$1:$B$299,0),MATCH('Order SUmmary'!L$2,'Product List'!$A$1:$E$1,0))</f>
        <v>Xerox 1999</v>
      </c>
      <c r="M374" s="8">
        <f>INDEX(Product_List,MATCH($F374,'Product List'!$B$1:$B$299,0),MATCH('Order SUmmary'!M$2,'Product List'!$A$1:$E$1,0))</f>
        <v>2612</v>
      </c>
      <c r="N374" s="8">
        <f>INDEX(Product_List,MATCH($F374,'Product List'!$B$1:$B$299,0),MATCH('Order SUmmary'!N$2,'Product List'!$A$1:$E$1,0))</f>
        <v>1994</v>
      </c>
      <c r="O374" s="8" t="str">
        <f>INDEX(Product_List,MATCH($F374,'Product List'!$B$1:$B$299,0),MATCH('Order SUmmary'!O$2,'Product List'!$A$1:$E$1,0))</f>
        <v>Paper</v>
      </c>
      <c r="P374" s="12">
        <f>HLOOKUP(C374,'Commission Criteria'!$A$2:$I$4,3,FALSE)</f>
        <v>5</v>
      </c>
      <c r="Q374" s="8">
        <f t="shared" si="16"/>
        <v>5982</v>
      </c>
      <c r="R374" s="8">
        <f t="shared" si="17"/>
        <v>7836</v>
      </c>
      <c r="S374" s="36">
        <f>VLOOKUP(R374,'Commission Criteria'!$L$3:$M$11,2,TRUE)</f>
        <v>0.03</v>
      </c>
      <c r="T374" s="36">
        <f>IF(P374&lt;5,VLOOKUP(R374,'Commission Criteria'!$L$3:$M$11,2,1),VLOOKUP('Order SUmmary'!R374,'Commission Criteria'!$P$3:$Q$11,2,1))</f>
        <v>0.02</v>
      </c>
      <c r="U374" s="36">
        <f>VLOOKUP(R374,IF(P374&lt;5,'Commission Criteria'!$L$3:$M$11,'Commission Criteria'!$P$3:$Q$11),2,1)</f>
        <v>0.02</v>
      </c>
      <c r="V374" s="8" t="s">
        <v>40</v>
      </c>
      <c r="W374" s="36">
        <f t="shared" ca="1" si="18"/>
        <v>0.03</v>
      </c>
      <c r="X374" s="8" t="str">
        <f>_xlfn.XLOOKUP(F374,'Product List'!$B$1:$B$299,'Product List'!$A$1:$A$299)</f>
        <v>Xerox 1999</v>
      </c>
      <c r="Y374" s="8"/>
      <c r="Z374" s="8" t="str" cm="1">
        <f t="array" ref="Z374:AD374">_xlfn.XLOOKUP(D374,'Customer Details'!$A$1:$A$17,'Customer Details'!$B$1:$F$17,"No such customer",0,1)</f>
        <v>Godfrey Philips India Ltd.</v>
      </c>
      <c r="AA374" s="8" t="str">
        <v>20501 Ania Ave #2</v>
      </c>
      <c r="AB374" s="8" t="str">
        <v>Salt Lake City</v>
      </c>
      <c r="AC374" s="8" t="str">
        <v>UT</v>
      </c>
      <c r="AD374" s="8" t="str">
        <v>84118</v>
      </c>
    </row>
    <row r="375" spans="1:30">
      <c r="A375" s="8" t="s">
        <v>512</v>
      </c>
      <c r="B375" s="19">
        <v>41654</v>
      </c>
      <c r="C375" s="8" t="s">
        <v>27</v>
      </c>
      <c r="D375" s="8">
        <v>10002</v>
      </c>
      <c r="E375" s="8" t="str">
        <f>VLOOKUP($D375,'Customer Details'!$A$1:$F$17,4,FALSE)</f>
        <v>Omaha</v>
      </c>
      <c r="F375" s="8" t="s">
        <v>62</v>
      </c>
      <c r="G375" s="8">
        <v>1</v>
      </c>
      <c r="H375" s="2" t="str">
        <f>VLOOKUP($D375,'Customer Details'!$A$1:$F$17,MATCH('Order SUmmary'!H$2,'Customer Details'!$A$1:$F$1,0),0)</f>
        <v>Elder Pharmaceuticals</v>
      </c>
      <c r="I375" s="2" t="str">
        <f>VLOOKUP($D375,'Customer Details'!$A$1:$F$17,4,0)</f>
        <v>Omaha</v>
      </c>
      <c r="J375" s="2" t="str">
        <f>VLOOKUP($D375,'Customer Details'!$A$1:$F$17,6,0)</f>
        <v>68127</v>
      </c>
      <c r="K375" s="8" t="str">
        <f>VLOOKUP(VLOOKUP(D375,'Customer Details'!$A$1:$F$17,5,0),'Region INfo'!$A$1:$C$52,3,0)</f>
        <v>Western</v>
      </c>
      <c r="L375" s="8" t="str">
        <f>INDEX(Product_List,MATCH($F375,'Product List'!$B$1:$B$299,0),MATCH('Order SUmmary'!L$2,'Product List'!$A$1:$E$1,0))</f>
        <v>Newell 308</v>
      </c>
      <c r="M375" s="8">
        <f>INDEX(Product_List,MATCH($F375,'Product List'!$B$1:$B$299,0),MATCH('Order SUmmary'!M$2,'Product List'!$A$1:$E$1,0))</f>
        <v>4515</v>
      </c>
      <c r="N375" s="8">
        <f>INDEX(Product_List,MATCH($F375,'Product List'!$B$1:$B$299,0),MATCH('Order SUmmary'!N$2,'Product List'!$A$1:$E$1,0))</f>
        <v>1550</v>
      </c>
      <c r="O375" s="8" t="str">
        <f>INDEX(Product_List,MATCH($F375,'Product List'!$B$1:$B$299,0),MATCH('Order SUmmary'!O$2,'Product List'!$A$1:$E$1,0))</f>
        <v>Art</v>
      </c>
      <c r="P375" s="12">
        <f>HLOOKUP(C375,'Commission Criteria'!$A$2:$I$4,3,FALSE)</f>
        <v>4</v>
      </c>
      <c r="Q375" s="8">
        <f t="shared" si="16"/>
        <v>1550</v>
      </c>
      <c r="R375" s="8">
        <f t="shared" si="17"/>
        <v>4515</v>
      </c>
      <c r="S375" s="36">
        <f>VLOOKUP(R375,'Commission Criteria'!$L$3:$M$11,2,TRUE)</f>
        <v>0.01</v>
      </c>
      <c r="T375" s="36">
        <f>IF(P375&lt;5,VLOOKUP(R375,'Commission Criteria'!$L$3:$M$11,2,1),VLOOKUP('Order SUmmary'!R375,'Commission Criteria'!$P$3:$Q$11,2,1))</f>
        <v>0.01</v>
      </c>
      <c r="U375" s="36">
        <f>VLOOKUP(R375,IF(P375&lt;5,'Commission Criteria'!$L$3:$M$11,'Commission Criteria'!$P$3:$Q$11),2,1)</f>
        <v>0.01</v>
      </c>
      <c r="V375" s="8" t="s">
        <v>40</v>
      </c>
      <c r="W375" s="36">
        <f t="shared" ca="1" si="18"/>
        <v>0</v>
      </c>
      <c r="X375" s="8" t="str">
        <f>_xlfn.XLOOKUP(F375,'Product List'!$B$1:$B$299,'Product List'!$A$1:$A$299)</f>
        <v>Newell 308</v>
      </c>
      <c r="Y375" s="8"/>
      <c r="Z375" s="8" t="str" cm="1">
        <f t="array" ref="Z375:AD375">_xlfn.XLOOKUP(D375,'Customer Details'!$A$1:$A$17,'Customer Details'!$B$1:$F$17,"No such customer",0,1)</f>
        <v>Elder Pharmaceuticals</v>
      </c>
      <c r="AA375" s="8" t="str">
        <v>57 Neriba Cres</v>
      </c>
      <c r="AB375" s="8" t="str">
        <v>Omaha</v>
      </c>
      <c r="AC375" s="8" t="str">
        <v>NE</v>
      </c>
      <c r="AD375" s="8" t="str">
        <v>68127</v>
      </c>
    </row>
    <row r="376" spans="1:30">
      <c r="A376" s="8" t="s">
        <v>513</v>
      </c>
      <c r="B376" s="19">
        <v>41654</v>
      </c>
      <c r="C376" s="8" t="s">
        <v>36</v>
      </c>
      <c r="D376" s="8">
        <v>10010</v>
      </c>
      <c r="E376" s="8" t="str">
        <f>VLOOKUP($D376,'Customer Details'!$A$1:$F$17,4,FALSE)</f>
        <v>Tracy</v>
      </c>
      <c r="F376" s="8" t="s">
        <v>231</v>
      </c>
      <c r="G376" s="8">
        <v>2</v>
      </c>
      <c r="H376" s="2" t="str">
        <f>VLOOKUP($D376,'Customer Details'!$A$1:$F$17,MATCH('Order SUmmary'!H$2,'Customer Details'!$A$1:$F$1,0),0)</f>
        <v>Suzlon Energy Ltd.</v>
      </c>
      <c r="I376" s="2" t="str">
        <f>VLOOKUP($D376,'Customer Details'!$A$1:$F$17,4,0)</f>
        <v>Tracy</v>
      </c>
      <c r="J376" s="2" t="str">
        <f>VLOOKUP($D376,'Customer Details'!$A$1:$F$17,6,0)</f>
        <v>95376</v>
      </c>
      <c r="K376" s="8" t="str">
        <f>VLOOKUP(VLOOKUP(D376,'Customer Details'!$A$1:$F$17,5,0),'Region INfo'!$A$1:$C$52,3,0)</f>
        <v xml:space="preserve">Pacific   </v>
      </c>
      <c r="L376" s="8" t="str">
        <f>INDEX(Product_List,MATCH($F376,'Product List'!$B$1:$B$299,0),MATCH('Order SUmmary'!L$2,'Product List'!$A$1:$E$1,0))</f>
        <v>Newell 350</v>
      </c>
      <c r="M376" s="8">
        <f>INDEX(Product_List,MATCH($F376,'Product List'!$B$1:$B$299,0),MATCH('Order SUmmary'!M$2,'Product List'!$A$1:$E$1,0))</f>
        <v>2912</v>
      </c>
      <c r="N376" s="8">
        <f>INDEX(Product_List,MATCH($F376,'Product List'!$B$1:$B$299,0),MATCH('Order SUmmary'!N$2,'Product List'!$A$1:$E$1,0))</f>
        <v>2328</v>
      </c>
      <c r="O376" s="8" t="str">
        <f>INDEX(Product_List,MATCH($F376,'Product List'!$B$1:$B$299,0),MATCH('Order SUmmary'!O$2,'Product List'!$A$1:$E$1,0))</f>
        <v>Art</v>
      </c>
      <c r="P376" s="12">
        <f>HLOOKUP(C376,'Commission Criteria'!$A$2:$I$4,3,FALSE)</f>
        <v>6</v>
      </c>
      <c r="Q376" s="8">
        <f t="shared" si="16"/>
        <v>4656</v>
      </c>
      <c r="R376" s="8">
        <f t="shared" si="17"/>
        <v>5824</v>
      </c>
      <c r="S376" s="36">
        <f>VLOOKUP(R376,'Commission Criteria'!$L$3:$M$11,2,TRUE)</f>
        <v>0.03</v>
      </c>
      <c r="T376" s="36">
        <f>IF(P376&lt;5,VLOOKUP(R376,'Commission Criteria'!$L$3:$M$11,2,1),VLOOKUP('Order SUmmary'!R376,'Commission Criteria'!$P$3:$Q$11,2,1))</f>
        <v>0.02</v>
      </c>
      <c r="U376" s="36">
        <f>VLOOKUP(R376,IF(P376&lt;5,'Commission Criteria'!$L$3:$M$11,'Commission Criteria'!$P$3:$Q$11),2,1)</f>
        <v>0.02</v>
      </c>
      <c r="V376" s="8" t="s">
        <v>35</v>
      </c>
      <c r="W376" s="36">
        <f t="shared" ca="1" si="18"/>
        <v>0.01</v>
      </c>
      <c r="X376" s="8" t="str">
        <f>_xlfn.XLOOKUP(F376,'Product List'!$B$1:$B$299,'Product List'!$A$1:$A$299)</f>
        <v>Newell 350</v>
      </c>
      <c r="Y376" s="8"/>
      <c r="Z376" s="8" t="str" cm="1">
        <f t="array" ref="Z376:AD376">_xlfn.XLOOKUP(D376,'Customer Details'!$A$1:$A$17,'Customer Details'!$B$1:$F$17,"No such customer",0,1)</f>
        <v>Suzlon Energy Ltd.</v>
      </c>
      <c r="AA376" s="8" t="str">
        <v>501 Marsh Trail Circle</v>
      </c>
      <c r="AB376" s="8" t="str">
        <v>Tracy</v>
      </c>
      <c r="AC376" s="8" t="str">
        <v>CA</v>
      </c>
      <c r="AD376" s="8" t="str">
        <v>95376</v>
      </c>
    </row>
    <row r="377" spans="1:30">
      <c r="A377" s="8" t="s">
        <v>512</v>
      </c>
      <c r="B377" s="19">
        <v>41654</v>
      </c>
      <c r="C377" s="8" t="s">
        <v>36</v>
      </c>
      <c r="D377" s="8">
        <v>10015</v>
      </c>
      <c r="E377" s="8" t="str">
        <f>VLOOKUP($D377,'Customer Details'!$A$1:$F$17,4,FALSE)</f>
        <v>South Windsor</v>
      </c>
      <c r="F377" s="8" t="s">
        <v>247</v>
      </c>
      <c r="G377" s="8">
        <v>3</v>
      </c>
      <c r="H377" s="2" t="str">
        <f>VLOOKUP($D377,'Customer Details'!$A$1:$F$17,MATCH('Order SUmmary'!H$2,'Customer Details'!$A$1:$F$1,0),0)</f>
        <v>Punj Lloyd Ltd.</v>
      </c>
      <c r="I377" s="2" t="str">
        <f>VLOOKUP($D377,'Customer Details'!$A$1:$F$17,4,0)</f>
        <v>South Windsor</v>
      </c>
      <c r="J377" s="2" t="str">
        <f>VLOOKUP($D377,'Customer Details'!$A$1:$F$17,6,0)</f>
        <v>06074</v>
      </c>
      <c r="K377" s="8" t="str">
        <f>VLOOKUP(VLOOKUP(D377,'Customer Details'!$A$1:$F$17,5,0),'Region INfo'!$A$1:$C$52,3,0)</f>
        <v xml:space="preserve">Northern </v>
      </c>
      <c r="L377" s="8" t="str">
        <f>INDEX(Product_List,MATCH($F377,'Product List'!$B$1:$B$299,0),MATCH('Order SUmmary'!L$2,'Product List'!$A$1:$E$1,0))</f>
        <v>Newell 329</v>
      </c>
      <c r="M377" s="8">
        <f>INDEX(Product_List,MATCH($F377,'Product List'!$B$1:$B$299,0),MATCH('Order SUmmary'!M$2,'Product List'!$A$1:$E$1,0))</f>
        <v>2787</v>
      </c>
      <c r="N377" s="8">
        <f>INDEX(Product_List,MATCH($F377,'Product List'!$B$1:$B$299,0),MATCH('Order SUmmary'!N$2,'Product List'!$A$1:$E$1,0))</f>
        <v>1470</v>
      </c>
      <c r="O377" s="8" t="str">
        <f>INDEX(Product_List,MATCH($F377,'Product List'!$B$1:$B$299,0),MATCH('Order SUmmary'!O$2,'Product List'!$A$1:$E$1,0))</f>
        <v>Art</v>
      </c>
      <c r="P377" s="12">
        <f>HLOOKUP(C377,'Commission Criteria'!$A$2:$I$4,3,FALSE)</f>
        <v>6</v>
      </c>
      <c r="Q377" s="8">
        <f t="shared" si="16"/>
        <v>4410</v>
      </c>
      <c r="R377" s="8">
        <f t="shared" si="17"/>
        <v>8361</v>
      </c>
      <c r="S377" s="36">
        <f>VLOOKUP(R377,'Commission Criteria'!$L$3:$M$11,2,TRUE)</f>
        <v>0.03</v>
      </c>
      <c r="T377" s="36">
        <f>IF(P377&lt;5,VLOOKUP(R377,'Commission Criteria'!$L$3:$M$11,2,1),VLOOKUP('Order SUmmary'!R377,'Commission Criteria'!$P$3:$Q$11,2,1))</f>
        <v>0.02</v>
      </c>
      <c r="U377" s="36">
        <f>VLOOKUP(R377,IF(P377&lt;5,'Commission Criteria'!$L$3:$M$11,'Commission Criteria'!$P$3:$Q$11),2,1)</f>
        <v>0.02</v>
      </c>
      <c r="V377" s="8" t="s">
        <v>32</v>
      </c>
      <c r="W377" s="36">
        <f t="shared" ca="1" si="18"/>
        <v>0.02</v>
      </c>
      <c r="X377" s="8" t="str">
        <f>_xlfn.XLOOKUP(F377,'Product List'!$B$1:$B$299,'Product List'!$A$1:$A$299)</f>
        <v>Newell 329</v>
      </c>
      <c r="Y377" s="8"/>
      <c r="Z377" s="8" t="str" cm="1">
        <f t="array" ref="Z377:AD377">_xlfn.XLOOKUP(D377,'Customer Details'!$A$1:$A$17,'Customer Details'!$B$1:$F$17,"No such customer",0,1)</f>
        <v>Punj Lloyd Ltd.</v>
      </c>
      <c r="AA377" s="8" t="str">
        <v>Box 3263</v>
      </c>
      <c r="AB377" s="8" t="str">
        <v>South Windsor</v>
      </c>
      <c r="AC377" s="8" t="str">
        <v>CT</v>
      </c>
      <c r="AD377" s="8" t="str">
        <v>06074</v>
      </c>
    </row>
    <row r="378" spans="1:30">
      <c r="A378" s="8" t="s">
        <v>512</v>
      </c>
      <c r="B378" s="19">
        <v>41654</v>
      </c>
      <c r="C378" s="8" t="s">
        <v>27</v>
      </c>
      <c r="D378" s="8">
        <v>10006</v>
      </c>
      <c r="E378" s="8" t="str">
        <f>VLOOKUP($D378,'Customer Details'!$A$1:$F$17,4,FALSE)</f>
        <v>Midland</v>
      </c>
      <c r="F378" s="8" t="s">
        <v>88</v>
      </c>
      <c r="G378" s="8">
        <v>3</v>
      </c>
      <c r="H378" s="2" t="str">
        <f>VLOOKUP($D378,'Customer Details'!$A$1:$F$17,MATCH('Order SUmmary'!H$2,'Customer Details'!$A$1:$F$1,0),0)</f>
        <v>Supreme Ind</v>
      </c>
      <c r="I378" s="2" t="str">
        <f>VLOOKUP($D378,'Customer Details'!$A$1:$F$17,4,0)</f>
        <v>Midland</v>
      </c>
      <c r="J378" s="2" t="str">
        <f>VLOOKUP($D378,'Customer Details'!$A$1:$F$17,6,0)</f>
        <v>79706</v>
      </c>
      <c r="K378" s="8" t="str">
        <f>VLOOKUP(VLOOKUP(D378,'Customer Details'!$A$1:$F$17,5,0),'Region INfo'!$A$1:$C$52,3,0)</f>
        <v>Western</v>
      </c>
      <c r="L378" s="8" t="str">
        <f>INDEX(Product_List,MATCH($F378,'Product List'!$B$1:$B$299,0),MATCH('Order SUmmary'!L$2,'Product List'!$A$1:$E$1,0))</f>
        <v>Xerox 1922</v>
      </c>
      <c r="M378" s="8">
        <f>INDEX(Product_List,MATCH($F378,'Product List'!$B$1:$B$299,0),MATCH('Order SUmmary'!M$2,'Product List'!$A$1:$E$1,0))</f>
        <v>3493</v>
      </c>
      <c r="N378" s="8">
        <f>INDEX(Product_List,MATCH($F378,'Product List'!$B$1:$B$299,0),MATCH('Order SUmmary'!N$2,'Product List'!$A$1:$E$1,0))</f>
        <v>2180</v>
      </c>
      <c r="O378" s="8" t="str">
        <f>INDEX(Product_List,MATCH($F378,'Product List'!$B$1:$B$299,0),MATCH('Order SUmmary'!O$2,'Product List'!$A$1:$E$1,0))</f>
        <v>Paper</v>
      </c>
      <c r="P378" s="12">
        <f>HLOOKUP(C378,'Commission Criteria'!$A$2:$I$4,3,FALSE)</f>
        <v>4</v>
      </c>
      <c r="Q378" s="8">
        <f t="shared" si="16"/>
        <v>6540</v>
      </c>
      <c r="R378" s="8">
        <f t="shared" si="17"/>
        <v>10479</v>
      </c>
      <c r="S378" s="36">
        <f>VLOOKUP(R378,'Commission Criteria'!$L$3:$M$11,2,TRUE)</f>
        <v>0.03</v>
      </c>
      <c r="T378" s="36">
        <f>IF(P378&lt;5,VLOOKUP(R378,'Commission Criteria'!$L$3:$M$11,2,1),VLOOKUP('Order SUmmary'!R378,'Commission Criteria'!$P$3:$Q$11,2,1))</f>
        <v>0.03</v>
      </c>
      <c r="U378" s="36">
        <f>VLOOKUP(R378,IF(P378&lt;5,'Commission Criteria'!$L$3:$M$11,'Commission Criteria'!$P$3:$Q$11),2,1)</f>
        <v>0.03</v>
      </c>
      <c r="V378" s="8" t="s">
        <v>35</v>
      </c>
      <c r="W378" s="36">
        <f t="shared" ca="1" si="18"/>
        <v>0</v>
      </c>
      <c r="X378" s="8" t="str">
        <f>_xlfn.XLOOKUP(F378,'Product List'!$B$1:$B$299,'Product List'!$A$1:$A$299)</f>
        <v>Xerox 1922</v>
      </c>
      <c r="Y378" s="8"/>
      <c r="Z378" s="8" t="str" cm="1">
        <f t="array" ref="Z378:AD378">_xlfn.XLOOKUP(D378,'Customer Details'!$A$1:$A$17,'Customer Details'!$B$1:$F$17,"No such customer",0,1)</f>
        <v>Supreme Ind</v>
      </c>
      <c r="AA378" s="8" t="str">
        <v>P.O. Box 1367</v>
      </c>
      <c r="AB378" s="8" t="str">
        <v>Midland</v>
      </c>
      <c r="AC378" s="8" t="str">
        <v>TX</v>
      </c>
      <c r="AD378" s="8" t="str">
        <v>79706</v>
      </c>
    </row>
    <row r="379" spans="1:30">
      <c r="A379" s="8" t="s">
        <v>514</v>
      </c>
      <c r="B379" s="19">
        <v>41656</v>
      </c>
      <c r="C379" s="8" t="s">
        <v>33</v>
      </c>
      <c r="D379" s="8">
        <v>10004</v>
      </c>
      <c r="E379" s="8" t="str">
        <f>VLOOKUP($D379,'Customer Details'!$A$1:$F$17,4,FALSE)</f>
        <v>New York</v>
      </c>
      <c r="F379" s="8" t="s">
        <v>515</v>
      </c>
      <c r="G379" s="8">
        <v>3</v>
      </c>
      <c r="H379" s="2" t="str">
        <f>VLOOKUP($D379,'Customer Details'!$A$1:$F$17,MATCH('Order SUmmary'!H$2,'Customer Details'!$A$1:$F$1,0),0)</f>
        <v>Lupin Ltd.</v>
      </c>
      <c r="I379" s="2" t="str">
        <f>VLOOKUP($D379,'Customer Details'!$A$1:$F$17,4,0)</f>
        <v>New York</v>
      </c>
      <c r="J379" s="2" t="str">
        <f>VLOOKUP($D379,'Customer Details'!$A$1:$F$17,6,0)</f>
        <v>10019</v>
      </c>
      <c r="K379" s="8" t="str">
        <f>VLOOKUP(VLOOKUP(D379,'Customer Details'!$A$1:$F$17,5,0),'Region INfo'!$A$1:$C$52,3,0)</f>
        <v xml:space="preserve">Northern </v>
      </c>
      <c r="L379" s="8" t="str">
        <f>INDEX(Product_List,MATCH($F379,'Product List'!$B$1:$B$299,0),MATCH('Order SUmmary'!L$2,'Product List'!$A$1:$E$1,0))</f>
        <v>Staple holder</v>
      </c>
      <c r="M379" s="8">
        <f>INDEX(Product_List,MATCH($F379,'Product List'!$B$1:$B$299,0),MATCH('Order SUmmary'!M$2,'Product List'!$A$1:$E$1,0))</f>
        <v>2500</v>
      </c>
      <c r="N379" s="8">
        <f>INDEX(Product_List,MATCH($F379,'Product List'!$B$1:$B$299,0),MATCH('Order SUmmary'!N$2,'Product List'!$A$1:$E$1,0))</f>
        <v>1914</v>
      </c>
      <c r="O379" s="8" t="str">
        <f>INDEX(Product_List,MATCH($F379,'Product List'!$B$1:$B$299,0),MATCH('Order SUmmary'!O$2,'Product List'!$A$1:$E$1,0))</f>
        <v>Appliances</v>
      </c>
      <c r="P379" s="12">
        <f>HLOOKUP(C379,'Commission Criteria'!$A$2:$I$4,3,FALSE)</f>
        <v>1</v>
      </c>
      <c r="Q379" s="8">
        <f t="shared" si="16"/>
        <v>5742</v>
      </c>
      <c r="R379" s="8">
        <f t="shared" si="17"/>
        <v>7500</v>
      </c>
      <c r="S379" s="36">
        <f>VLOOKUP(R379,'Commission Criteria'!$L$3:$M$11,2,TRUE)</f>
        <v>0.03</v>
      </c>
      <c r="T379" s="36">
        <f>IF(P379&lt;5,VLOOKUP(R379,'Commission Criteria'!$L$3:$M$11,2,1),VLOOKUP('Order SUmmary'!R379,'Commission Criteria'!$P$3:$Q$11,2,1))</f>
        <v>0.03</v>
      </c>
      <c r="U379" s="36">
        <f>VLOOKUP(R379,IF(P379&lt;5,'Commission Criteria'!$L$3:$M$11,'Commission Criteria'!$P$3:$Q$11),2,1)</f>
        <v>0.03</v>
      </c>
      <c r="V379" s="8" t="s">
        <v>32</v>
      </c>
      <c r="W379" s="36">
        <f t="shared" ca="1" si="18"/>
        <v>0.05</v>
      </c>
      <c r="X379" s="8" t="str">
        <f>_xlfn.XLOOKUP(F379,'Product List'!$B$1:$B$299,'Product List'!$A$1:$A$299)</f>
        <v>Staple holder</v>
      </c>
      <c r="Y379" s="8"/>
      <c r="Z379" s="8" t="str" cm="1">
        <f t="array" ref="Z379:AD379">_xlfn.XLOOKUP(D379,'Customer Details'!$A$1:$A$17,'Customer Details'!$B$1:$F$17,"No such customer",0,1)</f>
        <v>Lupin Ltd.</v>
      </c>
      <c r="AA379" s="8" t="str">
        <v>Abbey Wood</v>
      </c>
      <c r="AB379" s="8" t="str">
        <v>New York</v>
      </c>
      <c r="AC379" s="8" t="str">
        <v>NY</v>
      </c>
      <c r="AD379" s="8" t="str">
        <v>10019</v>
      </c>
    </row>
    <row r="380" spans="1:30">
      <c r="A380" s="8" t="s">
        <v>516</v>
      </c>
      <c r="B380" s="19">
        <v>41658</v>
      </c>
      <c r="C380" s="8" t="s">
        <v>66</v>
      </c>
      <c r="D380" s="8">
        <v>10002</v>
      </c>
      <c r="E380" s="8" t="str">
        <f>VLOOKUP($D380,'Customer Details'!$A$1:$F$17,4,FALSE)</f>
        <v>Omaha</v>
      </c>
      <c r="F380" s="8" t="s">
        <v>102</v>
      </c>
      <c r="G380" s="8">
        <v>1</v>
      </c>
      <c r="H380" s="2" t="str">
        <f>VLOOKUP($D380,'Customer Details'!$A$1:$F$17,MATCH('Order SUmmary'!H$2,'Customer Details'!$A$1:$F$1,0),0)</f>
        <v>Elder Pharmaceuticals</v>
      </c>
      <c r="I380" s="2" t="str">
        <f>VLOOKUP($D380,'Customer Details'!$A$1:$F$17,4,0)</f>
        <v>Omaha</v>
      </c>
      <c r="J380" s="2" t="str">
        <f>VLOOKUP($D380,'Customer Details'!$A$1:$F$17,6,0)</f>
        <v>68127</v>
      </c>
      <c r="K380" s="8" t="str">
        <f>VLOOKUP(VLOOKUP(D380,'Customer Details'!$A$1:$F$17,5,0),'Region INfo'!$A$1:$C$52,3,0)</f>
        <v>Western</v>
      </c>
      <c r="L380" s="8" t="str">
        <f>INDEX(Product_List,MATCH($F380,'Product List'!$B$1:$B$299,0),MATCH('Order SUmmary'!L$2,'Product List'!$A$1:$E$1,0))</f>
        <v>Xerox 1997</v>
      </c>
      <c r="M380" s="8">
        <f>INDEX(Product_List,MATCH($F380,'Product List'!$B$1:$B$299,0),MATCH('Order SUmmary'!M$2,'Product List'!$A$1:$E$1,0))</f>
        <v>3844</v>
      </c>
      <c r="N380" s="8">
        <f>INDEX(Product_List,MATCH($F380,'Product List'!$B$1:$B$299,0),MATCH('Order SUmmary'!N$2,'Product List'!$A$1:$E$1,0))</f>
        <v>2157</v>
      </c>
      <c r="O380" s="8" t="str">
        <f>INDEX(Product_List,MATCH($F380,'Product List'!$B$1:$B$299,0),MATCH('Order SUmmary'!O$2,'Product List'!$A$1:$E$1,0))</f>
        <v>Paper</v>
      </c>
      <c r="P380" s="12">
        <f>HLOOKUP(C380,'Commission Criteria'!$A$2:$I$4,3,FALSE)</f>
        <v>5</v>
      </c>
      <c r="Q380" s="8">
        <f t="shared" si="16"/>
        <v>2157</v>
      </c>
      <c r="R380" s="8">
        <f t="shared" si="17"/>
        <v>3844</v>
      </c>
      <c r="S380" s="36">
        <f>VLOOKUP(R380,'Commission Criteria'!$L$3:$M$11,2,TRUE)</f>
        <v>0.01</v>
      </c>
      <c r="T380" s="36">
        <f>IF(P380&lt;5,VLOOKUP(R380,'Commission Criteria'!$L$3:$M$11,2,1),VLOOKUP('Order SUmmary'!R380,'Commission Criteria'!$P$3:$Q$11,2,1))</f>
        <v>0.02</v>
      </c>
      <c r="U380" s="36">
        <f>VLOOKUP(R380,IF(P380&lt;5,'Commission Criteria'!$L$3:$M$11,'Commission Criteria'!$P$3:$Q$11),2,1)</f>
        <v>0.02</v>
      </c>
      <c r="V380" s="8" t="s">
        <v>40</v>
      </c>
      <c r="W380" s="36">
        <f t="shared" ca="1" si="18"/>
        <v>0.01</v>
      </c>
      <c r="X380" s="8" t="str">
        <f>_xlfn.XLOOKUP(F380,'Product List'!$B$1:$B$299,'Product List'!$A$1:$A$299)</f>
        <v>Xerox 1997</v>
      </c>
      <c r="Y380" s="8"/>
      <c r="Z380" s="8" t="str" cm="1">
        <f t="array" ref="Z380:AD380">_xlfn.XLOOKUP(D380,'Customer Details'!$A$1:$A$17,'Customer Details'!$B$1:$F$17,"No such customer",0,1)</f>
        <v>Elder Pharmaceuticals</v>
      </c>
      <c r="AA380" s="8" t="str">
        <v>57 Neriba Cres</v>
      </c>
      <c r="AB380" s="8" t="str">
        <v>Omaha</v>
      </c>
      <c r="AC380" s="8" t="str">
        <v>NE</v>
      </c>
      <c r="AD380" s="8" t="str">
        <v>68127</v>
      </c>
    </row>
    <row r="381" spans="1:30">
      <c r="A381" s="8" t="s">
        <v>517</v>
      </c>
      <c r="B381" s="19">
        <v>41659</v>
      </c>
      <c r="C381" s="8" t="s">
        <v>33</v>
      </c>
      <c r="D381" s="8">
        <v>10010</v>
      </c>
      <c r="E381" s="8" t="str">
        <f>VLOOKUP($D381,'Customer Details'!$A$1:$F$17,4,FALSE)</f>
        <v>Tracy</v>
      </c>
      <c r="F381" s="8" t="s">
        <v>518</v>
      </c>
      <c r="G381" s="8">
        <v>3</v>
      </c>
      <c r="H381" s="2" t="str">
        <f>VLOOKUP($D381,'Customer Details'!$A$1:$F$17,MATCH('Order SUmmary'!H$2,'Customer Details'!$A$1:$F$1,0),0)</f>
        <v>Suzlon Energy Ltd.</v>
      </c>
      <c r="I381" s="2" t="str">
        <f>VLOOKUP($D381,'Customer Details'!$A$1:$F$17,4,0)</f>
        <v>Tracy</v>
      </c>
      <c r="J381" s="2" t="str">
        <f>VLOOKUP($D381,'Customer Details'!$A$1:$F$17,6,0)</f>
        <v>95376</v>
      </c>
      <c r="K381" s="8" t="str">
        <f>VLOOKUP(VLOOKUP(D381,'Customer Details'!$A$1:$F$17,5,0),'Region INfo'!$A$1:$C$52,3,0)</f>
        <v xml:space="preserve">Pacific   </v>
      </c>
      <c r="L381" s="8" t="str">
        <f>INDEX(Product_List,MATCH($F381,'Product List'!$B$1:$B$299,0),MATCH('Order SUmmary'!L$2,'Product List'!$A$1:$E$1,0))</f>
        <v>Xerox 1931</v>
      </c>
      <c r="M381" s="8">
        <f>INDEX(Product_List,MATCH($F381,'Product List'!$B$1:$B$299,0),MATCH('Order SUmmary'!M$2,'Product List'!$A$1:$E$1,0))</f>
        <v>2706</v>
      </c>
      <c r="N381" s="8">
        <f>INDEX(Product_List,MATCH($F381,'Product List'!$B$1:$B$299,0),MATCH('Order SUmmary'!N$2,'Product List'!$A$1:$E$1,0))</f>
        <v>2310</v>
      </c>
      <c r="O381" s="8" t="str">
        <f>INDEX(Product_List,MATCH($F381,'Product List'!$B$1:$B$299,0),MATCH('Order SUmmary'!O$2,'Product List'!$A$1:$E$1,0))</f>
        <v>Paper</v>
      </c>
      <c r="P381" s="12">
        <f>HLOOKUP(C381,'Commission Criteria'!$A$2:$I$4,3,FALSE)</f>
        <v>1</v>
      </c>
      <c r="Q381" s="8">
        <f t="shared" si="16"/>
        <v>6930</v>
      </c>
      <c r="R381" s="8">
        <f t="shared" si="17"/>
        <v>8118</v>
      </c>
      <c r="S381" s="36">
        <f>VLOOKUP(R381,'Commission Criteria'!$L$3:$M$11,2,TRUE)</f>
        <v>0.03</v>
      </c>
      <c r="T381" s="36">
        <f>IF(P381&lt;5,VLOOKUP(R381,'Commission Criteria'!$L$3:$M$11,2,1),VLOOKUP('Order SUmmary'!R381,'Commission Criteria'!$P$3:$Q$11,2,1))</f>
        <v>0.03</v>
      </c>
      <c r="U381" s="36">
        <f>VLOOKUP(R381,IF(P381&lt;5,'Commission Criteria'!$L$3:$M$11,'Commission Criteria'!$P$3:$Q$11),2,1)</f>
        <v>0.03</v>
      </c>
      <c r="V381" s="8" t="s">
        <v>40</v>
      </c>
      <c r="W381" s="36">
        <f t="shared" ca="1" si="18"/>
        <v>0.01</v>
      </c>
      <c r="X381" s="8" t="str">
        <f>_xlfn.XLOOKUP(F381,'Product List'!$B$1:$B$299,'Product List'!$A$1:$A$299)</f>
        <v>Xerox 1931</v>
      </c>
      <c r="Y381" s="8"/>
      <c r="Z381" s="8" t="str" cm="1">
        <f t="array" ref="Z381:AD381">_xlfn.XLOOKUP(D381,'Customer Details'!$A$1:$A$17,'Customer Details'!$B$1:$F$17,"No such customer",0,1)</f>
        <v>Suzlon Energy Ltd.</v>
      </c>
      <c r="AA381" s="8" t="str">
        <v>501 Marsh Trail Circle</v>
      </c>
      <c r="AB381" s="8" t="str">
        <v>Tracy</v>
      </c>
      <c r="AC381" s="8" t="str">
        <v>CA</v>
      </c>
      <c r="AD381" s="8" t="str">
        <v>95376</v>
      </c>
    </row>
    <row r="382" spans="1:30">
      <c r="A382" s="8" t="s">
        <v>519</v>
      </c>
      <c r="B382" s="19">
        <v>41661</v>
      </c>
      <c r="C382" s="8" t="s">
        <v>27</v>
      </c>
      <c r="D382" s="8">
        <v>10015</v>
      </c>
      <c r="E382" s="8" t="str">
        <f>VLOOKUP($D382,'Customer Details'!$A$1:$F$17,4,FALSE)</f>
        <v>South Windsor</v>
      </c>
      <c r="F382" s="8" t="s">
        <v>178</v>
      </c>
      <c r="G382" s="8">
        <v>1</v>
      </c>
      <c r="H382" s="2" t="str">
        <f>VLOOKUP($D382,'Customer Details'!$A$1:$F$17,MATCH('Order SUmmary'!H$2,'Customer Details'!$A$1:$F$1,0),0)</f>
        <v>Punj Lloyd Ltd.</v>
      </c>
      <c r="I382" s="2" t="str">
        <f>VLOOKUP($D382,'Customer Details'!$A$1:$F$17,4,0)</f>
        <v>South Windsor</v>
      </c>
      <c r="J382" s="2" t="str">
        <f>VLOOKUP($D382,'Customer Details'!$A$1:$F$17,6,0)</f>
        <v>06074</v>
      </c>
      <c r="K382" s="8" t="str">
        <f>VLOOKUP(VLOOKUP(D382,'Customer Details'!$A$1:$F$17,5,0),'Region INfo'!$A$1:$C$52,3,0)</f>
        <v xml:space="preserve">Northern </v>
      </c>
      <c r="L382" s="8" t="str">
        <f>INDEX(Product_List,MATCH($F382,'Product List'!$B$1:$B$299,0),MATCH('Order SUmmary'!L$2,'Product List'!$A$1:$E$1,0))</f>
        <v>Xerox 1912</v>
      </c>
      <c r="M382" s="8">
        <f>INDEX(Product_List,MATCH($F382,'Product List'!$B$1:$B$299,0),MATCH('Order SUmmary'!M$2,'Product List'!$A$1:$E$1,0))</f>
        <v>2803</v>
      </c>
      <c r="N382" s="8">
        <f>INDEX(Product_List,MATCH($F382,'Product List'!$B$1:$B$299,0),MATCH('Order SUmmary'!N$2,'Product List'!$A$1:$E$1,0))</f>
        <v>1344</v>
      </c>
      <c r="O382" s="8" t="str">
        <f>INDEX(Product_List,MATCH($F382,'Product List'!$B$1:$B$299,0),MATCH('Order SUmmary'!O$2,'Product List'!$A$1:$E$1,0))</f>
        <v>Paper</v>
      </c>
      <c r="P382" s="12">
        <f>HLOOKUP(C382,'Commission Criteria'!$A$2:$I$4,3,FALSE)</f>
        <v>4</v>
      </c>
      <c r="Q382" s="8">
        <f t="shared" si="16"/>
        <v>1344</v>
      </c>
      <c r="R382" s="8">
        <f t="shared" si="17"/>
        <v>2803</v>
      </c>
      <c r="S382" s="36">
        <f>VLOOKUP(R382,'Commission Criteria'!$L$3:$M$11,2,TRUE)</f>
        <v>0.01</v>
      </c>
      <c r="T382" s="36">
        <f>IF(P382&lt;5,VLOOKUP(R382,'Commission Criteria'!$L$3:$M$11,2,1),VLOOKUP('Order SUmmary'!R382,'Commission Criteria'!$P$3:$Q$11,2,1))</f>
        <v>0.01</v>
      </c>
      <c r="U382" s="36">
        <f>VLOOKUP(R382,IF(P382&lt;5,'Commission Criteria'!$L$3:$M$11,'Commission Criteria'!$P$3:$Q$11),2,1)</f>
        <v>0.01</v>
      </c>
      <c r="V382" s="8" t="s">
        <v>35</v>
      </c>
      <c r="W382" s="36">
        <f t="shared" ca="1" si="18"/>
        <v>0.03</v>
      </c>
      <c r="X382" s="8" t="str">
        <f>_xlfn.XLOOKUP(F382,'Product List'!$B$1:$B$299,'Product List'!$A$1:$A$299)</f>
        <v>Xerox 1912</v>
      </c>
      <c r="Y382" s="8"/>
      <c r="Z382" s="8" t="str" cm="1">
        <f t="array" ref="Z382:AD382">_xlfn.XLOOKUP(D382,'Customer Details'!$A$1:$A$17,'Customer Details'!$B$1:$F$17,"No such customer",0,1)</f>
        <v>Punj Lloyd Ltd.</v>
      </c>
      <c r="AA382" s="8" t="str">
        <v>Box 3263</v>
      </c>
      <c r="AB382" s="8" t="str">
        <v>South Windsor</v>
      </c>
      <c r="AC382" s="8" t="str">
        <v>CT</v>
      </c>
      <c r="AD382" s="8" t="str">
        <v>06074</v>
      </c>
    </row>
    <row r="383" spans="1:30">
      <c r="A383" s="8" t="s">
        <v>519</v>
      </c>
      <c r="B383" s="19">
        <v>41661</v>
      </c>
      <c r="C383" s="8" t="s">
        <v>27</v>
      </c>
      <c r="D383" s="8">
        <v>10003</v>
      </c>
      <c r="E383" s="8" t="str">
        <f>VLOOKUP($D383,'Customer Details'!$A$1:$F$17,4,FALSE)</f>
        <v>Miami</v>
      </c>
      <c r="F383" s="8" t="s">
        <v>57</v>
      </c>
      <c r="G383" s="8">
        <v>2</v>
      </c>
      <c r="H383" s="2" t="str">
        <f>VLOOKUP($D383,'Customer Details'!$A$1:$F$17,MATCH('Order SUmmary'!H$2,'Customer Details'!$A$1:$F$1,0),0)</f>
        <v>Honeywell Automation</v>
      </c>
      <c r="I383" s="2" t="str">
        <f>VLOOKUP($D383,'Customer Details'!$A$1:$F$17,4,0)</f>
        <v>Miami</v>
      </c>
      <c r="J383" s="2" t="str">
        <f>VLOOKUP($D383,'Customer Details'!$A$1:$F$17,6,0)</f>
        <v>33732</v>
      </c>
      <c r="K383" s="8" t="str">
        <f>VLOOKUP(VLOOKUP(D383,'Customer Details'!$A$1:$F$17,5,0),'Region INfo'!$A$1:$C$52,3,0)</f>
        <v>Southern</v>
      </c>
      <c r="L383" s="8" t="str">
        <f>INDEX(Product_List,MATCH($F383,'Product List'!$B$1:$B$299,0),MATCH('Order SUmmary'!L$2,'Product List'!$A$1:$E$1,0))</f>
        <v>Xerox 1886</v>
      </c>
      <c r="M383" s="8">
        <f>INDEX(Product_List,MATCH($F383,'Product List'!$B$1:$B$299,0),MATCH('Order SUmmary'!M$2,'Product List'!$A$1:$E$1,0))</f>
        <v>3757</v>
      </c>
      <c r="N383" s="8">
        <f>INDEX(Product_List,MATCH($F383,'Product List'!$B$1:$B$299,0),MATCH('Order SUmmary'!N$2,'Product List'!$A$1:$E$1,0))</f>
        <v>2156</v>
      </c>
      <c r="O383" s="8" t="str">
        <f>INDEX(Product_List,MATCH($F383,'Product List'!$B$1:$B$299,0),MATCH('Order SUmmary'!O$2,'Product List'!$A$1:$E$1,0))</f>
        <v>Paper</v>
      </c>
      <c r="P383" s="12">
        <f>HLOOKUP(C383,'Commission Criteria'!$A$2:$I$4,3,FALSE)</f>
        <v>4</v>
      </c>
      <c r="Q383" s="8">
        <f t="shared" si="16"/>
        <v>4312</v>
      </c>
      <c r="R383" s="8">
        <f t="shared" si="17"/>
        <v>7514</v>
      </c>
      <c r="S383" s="36">
        <f>VLOOKUP(R383,'Commission Criteria'!$L$3:$M$11,2,TRUE)</f>
        <v>0.03</v>
      </c>
      <c r="T383" s="36">
        <f>IF(P383&lt;5,VLOOKUP(R383,'Commission Criteria'!$L$3:$M$11,2,1),VLOOKUP('Order SUmmary'!R383,'Commission Criteria'!$P$3:$Q$11,2,1))</f>
        <v>0.03</v>
      </c>
      <c r="U383" s="36">
        <f>VLOOKUP(R383,IF(P383&lt;5,'Commission Criteria'!$L$3:$M$11,'Commission Criteria'!$P$3:$Q$11),2,1)</f>
        <v>0.03</v>
      </c>
      <c r="V383" s="8" t="s">
        <v>40</v>
      </c>
      <c r="W383" s="36">
        <f t="shared" ca="1" si="18"/>
        <v>0.02</v>
      </c>
      <c r="X383" s="8" t="str">
        <f>_xlfn.XLOOKUP(F383,'Product List'!$B$1:$B$299,'Product List'!$A$1:$A$299)</f>
        <v>Xerox 1886</v>
      </c>
      <c r="Y383" s="8"/>
      <c r="Z383" s="8" t="str" cm="1">
        <f t="array" ref="Z383:AD383">_xlfn.XLOOKUP(D383,'Customer Details'!$A$1:$A$17,'Customer Details'!$B$1:$F$17,"No such customer",0,1)</f>
        <v>Honeywell Automation</v>
      </c>
      <c r="AA383" s="8" t="str">
        <v>1272 Harbor Road</v>
      </c>
      <c r="AB383" s="8" t="str">
        <v>Miami</v>
      </c>
      <c r="AC383" s="8" t="str">
        <v>FL</v>
      </c>
      <c r="AD383" s="8" t="str">
        <v>33732</v>
      </c>
    </row>
    <row r="384" spans="1:30">
      <c r="A384" s="8" t="s">
        <v>520</v>
      </c>
      <c r="B384" s="19">
        <v>41662</v>
      </c>
      <c r="C384" s="8" t="s">
        <v>66</v>
      </c>
      <c r="D384" s="8">
        <v>10011</v>
      </c>
      <c r="E384" s="8" t="str">
        <f>VLOOKUP($D384,'Customer Details'!$A$1:$F$17,4,FALSE)</f>
        <v>Olympia</v>
      </c>
      <c r="F384" s="8" t="s">
        <v>147</v>
      </c>
      <c r="G384" s="8">
        <v>1</v>
      </c>
      <c r="H384" s="2" t="str">
        <f>VLOOKUP($D384,'Customer Details'!$A$1:$F$17,MATCH('Order SUmmary'!H$2,'Customer Details'!$A$1:$F$1,0),0)</f>
        <v>Sonata Software</v>
      </c>
      <c r="I384" s="2" t="str">
        <f>VLOOKUP($D384,'Customer Details'!$A$1:$F$17,4,0)</f>
        <v>Olympia</v>
      </c>
      <c r="J384" s="2" t="str">
        <f>VLOOKUP($D384,'Customer Details'!$A$1:$F$17,6,0)</f>
        <v>98502</v>
      </c>
      <c r="K384" s="8" t="str">
        <f>VLOOKUP(VLOOKUP(D384,'Customer Details'!$A$1:$F$17,5,0),'Region INfo'!$A$1:$C$52,3,0)</f>
        <v xml:space="preserve">Pacific   </v>
      </c>
      <c r="L384" s="8" t="str">
        <f>INDEX(Product_List,MATCH($F384,'Product List'!$B$1:$B$299,0),MATCH('Order SUmmary'!L$2,'Product List'!$A$1:$E$1,0))</f>
        <v>Xerox 1936</v>
      </c>
      <c r="M384" s="8">
        <f>INDEX(Product_List,MATCH($F384,'Product List'!$B$1:$B$299,0),MATCH('Order SUmmary'!M$2,'Product List'!$A$1:$E$1,0))</f>
        <v>2539</v>
      </c>
      <c r="N384" s="8">
        <f>INDEX(Product_List,MATCH($F384,'Product List'!$B$1:$B$299,0),MATCH('Order SUmmary'!N$2,'Product List'!$A$1:$E$1,0))</f>
        <v>1656</v>
      </c>
      <c r="O384" s="8" t="str">
        <f>INDEX(Product_List,MATCH($F384,'Product List'!$B$1:$B$299,0),MATCH('Order SUmmary'!O$2,'Product List'!$A$1:$E$1,0))</f>
        <v>Paper</v>
      </c>
      <c r="P384" s="12">
        <f>HLOOKUP(C384,'Commission Criteria'!$A$2:$I$4,3,FALSE)</f>
        <v>5</v>
      </c>
      <c r="Q384" s="8">
        <f t="shared" si="16"/>
        <v>1656</v>
      </c>
      <c r="R384" s="8">
        <f t="shared" si="17"/>
        <v>2539</v>
      </c>
      <c r="S384" s="36">
        <f>VLOOKUP(R384,'Commission Criteria'!$L$3:$M$11,2,TRUE)</f>
        <v>0.01</v>
      </c>
      <c r="T384" s="36">
        <f>IF(P384&lt;5,VLOOKUP(R384,'Commission Criteria'!$L$3:$M$11,2,1),VLOOKUP('Order SUmmary'!R384,'Commission Criteria'!$P$3:$Q$11,2,1))</f>
        <v>0.02</v>
      </c>
      <c r="U384" s="36">
        <f>VLOOKUP(R384,IF(P384&lt;5,'Commission Criteria'!$L$3:$M$11,'Commission Criteria'!$P$3:$Q$11),2,1)</f>
        <v>0.02</v>
      </c>
      <c r="V384" s="8" t="s">
        <v>29</v>
      </c>
      <c r="W384" s="36">
        <f t="shared" ca="1" si="18"/>
        <v>0.05</v>
      </c>
      <c r="X384" s="8" t="str">
        <f>_xlfn.XLOOKUP(F384,'Product List'!$B$1:$B$299,'Product List'!$A$1:$A$299)</f>
        <v>Xerox 1936</v>
      </c>
      <c r="Y384" s="8"/>
      <c r="Z384" s="8" t="str" cm="1">
        <f t="array" ref="Z384:AD384">_xlfn.XLOOKUP(D384,'Customer Details'!$A$1:$A$17,'Customer Details'!$B$1:$F$17,"No such customer",0,1)</f>
        <v>Sonata Software</v>
      </c>
      <c r="AA384" s="8" t="str">
        <v>1331 Kimberly Dr.</v>
      </c>
      <c r="AB384" s="8" t="str">
        <v>Olympia</v>
      </c>
      <c r="AC384" s="8" t="str">
        <v>WA</v>
      </c>
      <c r="AD384" s="8" t="str">
        <v>98502</v>
      </c>
    </row>
    <row r="385" spans="1:30">
      <c r="A385" s="8" t="s">
        <v>520</v>
      </c>
      <c r="B385" s="19">
        <v>41662</v>
      </c>
      <c r="C385" s="8" t="s">
        <v>33</v>
      </c>
      <c r="D385" s="8">
        <v>10009</v>
      </c>
      <c r="E385" s="8" t="str">
        <f>VLOOKUP($D385,'Customer Details'!$A$1:$F$17,4,FALSE)</f>
        <v>Salt Lake City</v>
      </c>
      <c r="F385" s="8" t="s">
        <v>355</v>
      </c>
      <c r="G385" s="8">
        <v>1</v>
      </c>
      <c r="H385" s="2" t="str">
        <f>VLOOKUP($D385,'Customer Details'!$A$1:$F$17,MATCH('Order SUmmary'!H$2,'Customer Details'!$A$1:$F$1,0),0)</f>
        <v>Godfrey Philips India Ltd.</v>
      </c>
      <c r="I385" s="2" t="str">
        <f>VLOOKUP($D385,'Customer Details'!$A$1:$F$17,4,0)</f>
        <v>Salt Lake City</v>
      </c>
      <c r="J385" s="2" t="str">
        <f>VLOOKUP($D385,'Customer Details'!$A$1:$F$17,6,0)</f>
        <v>84118</v>
      </c>
      <c r="K385" s="8" t="str">
        <f>VLOOKUP(VLOOKUP(D385,'Customer Details'!$A$1:$F$17,5,0),'Region INfo'!$A$1:$C$52,3,0)</f>
        <v xml:space="preserve">Pacific   </v>
      </c>
      <c r="L385" s="8" t="str">
        <f>INDEX(Product_List,MATCH($F385,'Product List'!$B$1:$B$299,0),MATCH('Order SUmmary'!L$2,'Product List'!$A$1:$E$1,0))</f>
        <v>Avery 51</v>
      </c>
      <c r="M385" s="8">
        <f>INDEX(Product_List,MATCH($F385,'Product List'!$B$1:$B$299,0),MATCH('Order SUmmary'!M$2,'Product List'!$A$1:$E$1,0))</f>
        <v>3717</v>
      </c>
      <c r="N385" s="8">
        <f>INDEX(Product_List,MATCH($F385,'Product List'!$B$1:$B$299,0),MATCH('Order SUmmary'!N$2,'Product List'!$A$1:$E$1,0))</f>
        <v>2146</v>
      </c>
      <c r="O385" s="8" t="str">
        <f>INDEX(Product_List,MATCH($F385,'Product List'!$B$1:$B$299,0),MATCH('Order SUmmary'!O$2,'Product List'!$A$1:$E$1,0))</f>
        <v>Labels</v>
      </c>
      <c r="P385" s="12">
        <f>HLOOKUP(C385,'Commission Criteria'!$A$2:$I$4,3,FALSE)</f>
        <v>1</v>
      </c>
      <c r="Q385" s="8">
        <f t="shared" si="16"/>
        <v>2146</v>
      </c>
      <c r="R385" s="8">
        <f t="shared" si="17"/>
        <v>3717</v>
      </c>
      <c r="S385" s="36">
        <f>VLOOKUP(R385,'Commission Criteria'!$L$3:$M$11,2,TRUE)</f>
        <v>0.01</v>
      </c>
      <c r="T385" s="36">
        <f>IF(P385&lt;5,VLOOKUP(R385,'Commission Criteria'!$L$3:$M$11,2,1),VLOOKUP('Order SUmmary'!R385,'Commission Criteria'!$P$3:$Q$11,2,1))</f>
        <v>0.01</v>
      </c>
      <c r="U385" s="36">
        <f>VLOOKUP(R385,IF(P385&lt;5,'Commission Criteria'!$L$3:$M$11,'Commission Criteria'!$P$3:$Q$11),2,1)</f>
        <v>0.01</v>
      </c>
      <c r="V385" s="8" t="s">
        <v>50</v>
      </c>
      <c r="W385" s="36">
        <f t="shared" ca="1" si="18"/>
        <v>0.05</v>
      </c>
      <c r="X385" s="8" t="str">
        <f>_xlfn.XLOOKUP(F385,'Product List'!$B$1:$B$299,'Product List'!$A$1:$A$299)</f>
        <v>Avery 51</v>
      </c>
      <c r="Y385" s="8"/>
      <c r="Z385" s="8" t="str" cm="1">
        <f t="array" ref="Z385:AD385">_xlfn.XLOOKUP(D385,'Customer Details'!$A$1:$A$17,'Customer Details'!$B$1:$F$17,"No such customer",0,1)</f>
        <v>Godfrey Philips India Ltd.</v>
      </c>
      <c r="AA385" s="8" t="str">
        <v>20501 Ania Ave #2</v>
      </c>
      <c r="AB385" s="8" t="str">
        <v>Salt Lake City</v>
      </c>
      <c r="AC385" s="8" t="str">
        <v>UT</v>
      </c>
      <c r="AD385" s="8" t="str">
        <v>84118</v>
      </c>
    </row>
    <row r="386" spans="1:30">
      <c r="A386" s="8" t="s">
        <v>521</v>
      </c>
      <c r="B386" s="19">
        <v>41662</v>
      </c>
      <c r="C386" s="8" t="s">
        <v>51</v>
      </c>
      <c r="D386" s="8">
        <v>10011</v>
      </c>
      <c r="E386" s="8" t="str">
        <f>VLOOKUP($D386,'Customer Details'!$A$1:$F$17,4,FALSE)</f>
        <v>Olympia</v>
      </c>
      <c r="F386" s="8" t="s">
        <v>295</v>
      </c>
      <c r="G386" s="8">
        <v>2</v>
      </c>
      <c r="H386" s="2" t="str">
        <f>VLOOKUP($D386,'Customer Details'!$A$1:$F$17,MATCH('Order SUmmary'!H$2,'Customer Details'!$A$1:$F$1,0),0)</f>
        <v>Sonata Software</v>
      </c>
      <c r="I386" s="2" t="str">
        <f>VLOOKUP($D386,'Customer Details'!$A$1:$F$17,4,0)</f>
        <v>Olympia</v>
      </c>
      <c r="J386" s="2" t="str">
        <f>VLOOKUP($D386,'Customer Details'!$A$1:$F$17,6,0)</f>
        <v>98502</v>
      </c>
      <c r="K386" s="8" t="str">
        <f>VLOOKUP(VLOOKUP(D386,'Customer Details'!$A$1:$F$17,5,0),'Region INfo'!$A$1:$C$52,3,0)</f>
        <v xml:space="preserve">Pacific   </v>
      </c>
      <c r="L386" s="8" t="str">
        <f>INDEX(Product_List,MATCH($F386,'Product List'!$B$1:$B$299,0),MATCH('Order SUmmary'!L$2,'Product List'!$A$1:$E$1,0))</f>
        <v>Xerox 1950</v>
      </c>
      <c r="M386" s="8">
        <f>INDEX(Product_List,MATCH($F386,'Product List'!$B$1:$B$299,0),MATCH('Order SUmmary'!M$2,'Product List'!$A$1:$E$1,0))</f>
        <v>3101</v>
      </c>
      <c r="N386" s="8">
        <f>INDEX(Product_List,MATCH($F386,'Product List'!$B$1:$B$299,0),MATCH('Order SUmmary'!N$2,'Product List'!$A$1:$E$1,0))</f>
        <v>1524</v>
      </c>
      <c r="O386" s="8" t="str">
        <f>INDEX(Product_List,MATCH($F386,'Product List'!$B$1:$B$299,0),MATCH('Order SUmmary'!O$2,'Product List'!$A$1:$E$1,0))</f>
        <v>Paper</v>
      </c>
      <c r="P386" s="12">
        <f>HLOOKUP(C386,'Commission Criteria'!$A$2:$I$4,3,FALSE)</f>
        <v>10</v>
      </c>
      <c r="Q386" s="8">
        <f t="shared" si="16"/>
        <v>3048</v>
      </c>
      <c r="R386" s="8">
        <f t="shared" si="17"/>
        <v>6202</v>
      </c>
      <c r="S386" s="36">
        <f>VLOOKUP(R386,'Commission Criteria'!$L$3:$M$11,2,TRUE)</f>
        <v>0.03</v>
      </c>
      <c r="T386" s="36">
        <f>IF(P386&lt;5,VLOOKUP(R386,'Commission Criteria'!$L$3:$M$11,2,1),VLOOKUP('Order SUmmary'!R386,'Commission Criteria'!$P$3:$Q$11,2,1))</f>
        <v>0.02</v>
      </c>
      <c r="U386" s="36">
        <f>VLOOKUP(R386,IF(P386&lt;5,'Commission Criteria'!$L$3:$M$11,'Commission Criteria'!$P$3:$Q$11),2,1)</f>
        <v>0.02</v>
      </c>
      <c r="V386" s="8" t="s">
        <v>35</v>
      </c>
      <c r="W386" s="36">
        <f t="shared" ca="1" si="18"/>
        <v>0.05</v>
      </c>
      <c r="X386" s="8" t="str">
        <f>_xlfn.XLOOKUP(F386,'Product List'!$B$1:$B$299,'Product List'!$A$1:$A$299)</f>
        <v>Xerox 1950</v>
      </c>
      <c r="Y386" s="8"/>
      <c r="Z386" s="8" t="str" cm="1">
        <f t="array" ref="Z386:AD386">_xlfn.XLOOKUP(D386,'Customer Details'!$A$1:$A$17,'Customer Details'!$B$1:$F$17,"No such customer",0,1)</f>
        <v>Sonata Software</v>
      </c>
      <c r="AA386" s="8" t="str">
        <v>1331 Kimberly Dr.</v>
      </c>
      <c r="AB386" s="8" t="str">
        <v>Olympia</v>
      </c>
      <c r="AC386" s="8" t="str">
        <v>WA</v>
      </c>
      <c r="AD386" s="8" t="str">
        <v>98502</v>
      </c>
    </row>
    <row r="387" spans="1:30">
      <c r="A387" s="8" t="s">
        <v>521</v>
      </c>
      <c r="B387" s="19">
        <v>41662</v>
      </c>
      <c r="C387" s="8" t="s">
        <v>51</v>
      </c>
      <c r="D387" s="8">
        <v>10005</v>
      </c>
      <c r="E387" s="8" t="str">
        <f>VLOOKUP($D387,'Customer Details'!$A$1:$F$17,4,FALSE)</f>
        <v>Goleta</v>
      </c>
      <c r="F387" s="8" t="s">
        <v>522</v>
      </c>
      <c r="G387" s="8">
        <v>2</v>
      </c>
      <c r="H387" s="2" t="str">
        <f>VLOOKUP($D387,'Customer Details'!$A$1:$F$17,MATCH('Order SUmmary'!H$2,'Customer Details'!$A$1:$F$1,0),0)</f>
        <v>Fortis Healthcare Ltd.</v>
      </c>
      <c r="I387" s="2" t="str">
        <f>VLOOKUP($D387,'Customer Details'!$A$1:$F$17,4,0)</f>
        <v>Goleta</v>
      </c>
      <c r="J387" s="2" t="str">
        <f>VLOOKUP($D387,'Customer Details'!$A$1:$F$17,6,0)</f>
        <v>93117</v>
      </c>
      <c r="K387" s="8" t="str">
        <f>VLOOKUP(VLOOKUP(D387,'Customer Details'!$A$1:$F$17,5,0),'Region INfo'!$A$1:$C$52,3,0)</f>
        <v xml:space="preserve">Pacific   </v>
      </c>
      <c r="L387" s="8" t="str">
        <f>INDEX(Product_List,MATCH($F387,'Product List'!$B$1:$B$299,0),MATCH('Order SUmmary'!L$2,'Product List'!$A$1:$E$1,0))</f>
        <v>HTC One</v>
      </c>
      <c r="M387" s="8">
        <f>INDEX(Product_List,MATCH($F387,'Product List'!$B$1:$B$299,0),MATCH('Order SUmmary'!M$2,'Product List'!$A$1:$E$1,0))</f>
        <v>3536</v>
      </c>
      <c r="N387" s="8">
        <f>INDEX(Product_List,MATCH($F387,'Product List'!$B$1:$B$299,0),MATCH('Order SUmmary'!N$2,'Product List'!$A$1:$E$1,0))</f>
        <v>1644</v>
      </c>
      <c r="O387" s="8" t="str">
        <f>INDEX(Product_List,MATCH($F387,'Product List'!$B$1:$B$299,0),MATCH('Order SUmmary'!O$2,'Product List'!$A$1:$E$1,0))</f>
        <v>Phones</v>
      </c>
      <c r="P387" s="12">
        <f>HLOOKUP(C387,'Commission Criteria'!$A$2:$I$4,3,FALSE)</f>
        <v>10</v>
      </c>
      <c r="Q387" s="8">
        <f t="shared" si="16"/>
        <v>3288</v>
      </c>
      <c r="R387" s="8">
        <f t="shared" si="17"/>
        <v>7072</v>
      </c>
      <c r="S387" s="36">
        <f>VLOOKUP(R387,'Commission Criteria'!$L$3:$M$11,2,TRUE)</f>
        <v>0.03</v>
      </c>
      <c r="T387" s="36">
        <f>IF(P387&lt;5,VLOOKUP(R387,'Commission Criteria'!$L$3:$M$11,2,1),VLOOKUP('Order SUmmary'!R387,'Commission Criteria'!$P$3:$Q$11,2,1))</f>
        <v>0.02</v>
      </c>
      <c r="U387" s="36">
        <f>VLOOKUP(R387,IF(P387&lt;5,'Commission Criteria'!$L$3:$M$11,'Commission Criteria'!$P$3:$Q$11),2,1)</f>
        <v>0.02</v>
      </c>
      <c r="V387" s="8" t="s">
        <v>35</v>
      </c>
      <c r="W387" s="36">
        <f t="shared" ca="1" si="18"/>
        <v>0.01</v>
      </c>
      <c r="X387" s="8" t="str">
        <f>_xlfn.XLOOKUP(F387,'Product List'!$B$1:$B$299,'Product List'!$A$1:$A$299)</f>
        <v>HTC One</v>
      </c>
      <c r="Y387" s="8"/>
      <c r="Z387" s="8" t="str" cm="1">
        <f t="array" ref="Z387:AD387">_xlfn.XLOOKUP(D387,'Customer Details'!$A$1:$A$17,'Customer Details'!$B$1:$F$17,"No such customer",0,1)</f>
        <v>Fortis Healthcare Ltd.</v>
      </c>
      <c r="AA387" s="8" t="str">
        <v>14 Elsworthy Terrace</v>
      </c>
      <c r="AB387" s="8" t="str">
        <v>Goleta</v>
      </c>
      <c r="AC387" s="8" t="str">
        <v>CA</v>
      </c>
      <c r="AD387" s="8" t="str">
        <v>93117</v>
      </c>
    </row>
    <row r="388" spans="1:30">
      <c r="A388" s="8" t="s">
        <v>523</v>
      </c>
      <c r="B388" s="19">
        <v>41662</v>
      </c>
      <c r="C388" s="8" t="s">
        <v>66</v>
      </c>
      <c r="D388" s="8">
        <v>10001</v>
      </c>
      <c r="E388" s="8" t="str">
        <f>VLOOKUP($D388,'Customer Details'!$A$1:$F$17,4,FALSE)</f>
        <v>New York</v>
      </c>
      <c r="F388" s="8" t="s">
        <v>82</v>
      </c>
      <c r="G388" s="8">
        <v>2</v>
      </c>
      <c r="H388" s="2" t="str">
        <f>VLOOKUP($D388,'Customer Details'!$A$1:$F$17,MATCH('Order SUmmary'!H$2,'Customer Details'!$A$1:$F$1,0),0)</f>
        <v>Chambal Fertilisers and Chemicals Ltd.</v>
      </c>
      <c r="I388" s="2" t="str">
        <f>VLOOKUP($D388,'Customer Details'!$A$1:$F$17,4,0)</f>
        <v>New York</v>
      </c>
      <c r="J388" s="2" t="str">
        <f>VLOOKUP($D388,'Customer Details'!$A$1:$F$17,6,0)</f>
        <v>10025</v>
      </c>
      <c r="K388" s="8" t="str">
        <f>VLOOKUP(VLOOKUP(D388,'Customer Details'!$A$1:$F$17,5,0),'Region INfo'!$A$1:$C$52,3,0)</f>
        <v xml:space="preserve">Northern </v>
      </c>
      <c r="L388" s="8" t="str">
        <f>INDEX(Product_List,MATCH($F388,'Product List'!$B$1:$B$299,0),MATCH('Order SUmmary'!L$2,'Product List'!$A$1:$E$1,0))</f>
        <v>Xerox 1926</v>
      </c>
      <c r="M388" s="8">
        <f>INDEX(Product_List,MATCH($F388,'Product List'!$B$1:$B$299,0),MATCH('Order SUmmary'!M$2,'Product List'!$A$1:$E$1,0))</f>
        <v>3725</v>
      </c>
      <c r="N388" s="8">
        <f>INDEX(Product_List,MATCH($F388,'Product List'!$B$1:$B$299,0),MATCH('Order SUmmary'!N$2,'Product List'!$A$1:$E$1,0))</f>
        <v>1250</v>
      </c>
      <c r="O388" s="8" t="str">
        <f>INDEX(Product_List,MATCH($F388,'Product List'!$B$1:$B$299,0),MATCH('Order SUmmary'!O$2,'Product List'!$A$1:$E$1,0))</f>
        <v>Paper</v>
      </c>
      <c r="P388" s="12">
        <f>HLOOKUP(C388,'Commission Criteria'!$A$2:$I$4,3,FALSE)</f>
        <v>5</v>
      </c>
      <c r="Q388" s="8">
        <f t="shared" ref="Q388:Q451" si="19">N388*G388</f>
        <v>2500</v>
      </c>
      <c r="R388" s="8">
        <f t="shared" ref="R388:R451" si="20">M388*G388</f>
        <v>7450</v>
      </c>
      <c r="S388" s="36">
        <f>VLOOKUP(R388,'Commission Criteria'!$L$3:$M$11,2,TRUE)</f>
        <v>0.03</v>
      </c>
      <c r="T388" s="36">
        <f>IF(P388&lt;5,VLOOKUP(R388,'Commission Criteria'!$L$3:$M$11,2,1),VLOOKUP('Order SUmmary'!R388,'Commission Criteria'!$P$3:$Q$11,2,1))</f>
        <v>0.02</v>
      </c>
      <c r="U388" s="36">
        <f>VLOOKUP(R388,IF(P388&lt;5,'Commission Criteria'!$L$3:$M$11,'Commission Criteria'!$P$3:$Q$11),2,1)</f>
        <v>0.02</v>
      </c>
      <c r="V388" s="8" t="s">
        <v>35</v>
      </c>
      <c r="W388" s="36">
        <f t="shared" ref="W388:W451" ca="1" si="21">VLOOKUP(F388,INDIRECT(V388&amp;"!$A$1:$B$296"),2,0)</f>
        <v>0.02</v>
      </c>
      <c r="X388" s="8" t="str">
        <f>_xlfn.XLOOKUP(F388,'Product List'!$B$1:$B$299,'Product List'!$A$1:$A$299)</f>
        <v>Xerox 1926</v>
      </c>
      <c r="Y388" s="8"/>
      <c r="Z388" s="8" t="str" cm="1">
        <f t="array" ref="Z388:AD388">_xlfn.XLOOKUP(D388,'Customer Details'!$A$1:$A$17,'Customer Details'!$B$1:$F$17,"No such customer",0,1)</f>
        <v>Chambal Fertilisers and Chemicals Ltd.</v>
      </c>
      <c r="AA388" s="8" t="str">
        <v>4951 Indiana Ave.</v>
      </c>
      <c r="AB388" s="8" t="str">
        <v>New York</v>
      </c>
      <c r="AC388" s="8" t="str">
        <v>NY</v>
      </c>
      <c r="AD388" s="8" t="str">
        <v>10025</v>
      </c>
    </row>
    <row r="389" spans="1:30">
      <c r="A389" s="8" t="s">
        <v>520</v>
      </c>
      <c r="B389" s="19">
        <v>41662</v>
      </c>
      <c r="C389" s="8" t="s">
        <v>36</v>
      </c>
      <c r="D389" s="8">
        <v>10011</v>
      </c>
      <c r="E389" s="8" t="str">
        <f>VLOOKUP($D389,'Customer Details'!$A$1:$F$17,4,FALSE)</f>
        <v>Olympia</v>
      </c>
      <c r="F389" s="8" t="s">
        <v>524</v>
      </c>
      <c r="G389" s="8">
        <v>2</v>
      </c>
      <c r="H389" s="2" t="str">
        <f>VLOOKUP($D389,'Customer Details'!$A$1:$F$17,MATCH('Order SUmmary'!H$2,'Customer Details'!$A$1:$F$1,0),0)</f>
        <v>Sonata Software</v>
      </c>
      <c r="I389" s="2" t="str">
        <f>VLOOKUP($D389,'Customer Details'!$A$1:$F$17,4,0)</f>
        <v>Olympia</v>
      </c>
      <c r="J389" s="2" t="str">
        <f>VLOOKUP($D389,'Customer Details'!$A$1:$F$17,6,0)</f>
        <v>98502</v>
      </c>
      <c r="K389" s="8" t="str">
        <f>VLOOKUP(VLOOKUP(D389,'Customer Details'!$A$1:$F$17,5,0),'Region INfo'!$A$1:$C$52,3,0)</f>
        <v xml:space="preserve">Pacific   </v>
      </c>
      <c r="L389" s="8" t="str">
        <f>INDEX(Product_List,MATCH($F389,'Product List'!$B$1:$B$299,0),MATCH('Order SUmmary'!L$2,'Product List'!$A$1:$E$1,0))</f>
        <v>Avery 495</v>
      </c>
      <c r="M389" s="8">
        <f>INDEX(Product_List,MATCH($F389,'Product List'!$B$1:$B$299,0),MATCH('Order SUmmary'!M$2,'Product List'!$A$1:$E$1,0))</f>
        <v>4542</v>
      </c>
      <c r="N389" s="8">
        <f>INDEX(Product_List,MATCH($F389,'Product List'!$B$1:$B$299,0),MATCH('Order SUmmary'!N$2,'Product List'!$A$1:$E$1,0))</f>
        <v>1226</v>
      </c>
      <c r="O389" s="8" t="str">
        <f>INDEX(Product_List,MATCH($F389,'Product List'!$B$1:$B$299,0),MATCH('Order SUmmary'!O$2,'Product List'!$A$1:$E$1,0))</f>
        <v>Labels</v>
      </c>
      <c r="P389" s="12">
        <f>HLOOKUP(C389,'Commission Criteria'!$A$2:$I$4,3,FALSE)</f>
        <v>6</v>
      </c>
      <c r="Q389" s="8">
        <f t="shared" si="19"/>
        <v>2452</v>
      </c>
      <c r="R389" s="8">
        <f t="shared" si="20"/>
        <v>9084</v>
      </c>
      <c r="S389" s="36">
        <f>VLOOKUP(R389,'Commission Criteria'!$L$3:$M$11,2,TRUE)</f>
        <v>0.03</v>
      </c>
      <c r="T389" s="36">
        <f>IF(P389&lt;5,VLOOKUP(R389,'Commission Criteria'!$L$3:$M$11,2,1),VLOOKUP('Order SUmmary'!R389,'Commission Criteria'!$P$3:$Q$11,2,1))</f>
        <v>0.02</v>
      </c>
      <c r="U389" s="36">
        <f>VLOOKUP(R389,IF(P389&lt;5,'Commission Criteria'!$L$3:$M$11,'Commission Criteria'!$P$3:$Q$11),2,1)</f>
        <v>0.02</v>
      </c>
      <c r="V389" s="8" t="s">
        <v>40</v>
      </c>
      <c r="W389" s="36">
        <f t="shared" ca="1" si="21"/>
        <v>0.02</v>
      </c>
      <c r="X389" s="8" t="str">
        <f>_xlfn.XLOOKUP(F389,'Product List'!$B$1:$B$299,'Product List'!$A$1:$A$299)</f>
        <v>Avery 495</v>
      </c>
      <c r="Y389" s="8"/>
      <c r="Z389" s="8" t="str" cm="1">
        <f t="array" ref="Z389:AD389">_xlfn.XLOOKUP(D389,'Customer Details'!$A$1:$A$17,'Customer Details'!$B$1:$F$17,"No such customer",0,1)</f>
        <v>Sonata Software</v>
      </c>
      <c r="AA389" s="8" t="str">
        <v>1331 Kimberly Dr.</v>
      </c>
      <c r="AB389" s="8" t="str">
        <v>Olympia</v>
      </c>
      <c r="AC389" s="8" t="str">
        <v>WA</v>
      </c>
      <c r="AD389" s="8" t="str">
        <v>98502</v>
      </c>
    </row>
    <row r="390" spans="1:30">
      <c r="A390" s="8" t="s">
        <v>521</v>
      </c>
      <c r="B390" s="19">
        <v>41662</v>
      </c>
      <c r="C390" s="8" t="s">
        <v>44</v>
      </c>
      <c r="D390" s="8">
        <v>10005</v>
      </c>
      <c r="E390" s="8" t="str">
        <f>VLOOKUP($D390,'Customer Details'!$A$1:$F$17,4,FALSE)</f>
        <v>Goleta</v>
      </c>
      <c r="F390" s="8" t="s">
        <v>47</v>
      </c>
      <c r="G390" s="8">
        <v>3</v>
      </c>
      <c r="H390" s="2" t="str">
        <f>VLOOKUP($D390,'Customer Details'!$A$1:$F$17,MATCH('Order SUmmary'!H$2,'Customer Details'!$A$1:$F$1,0),0)</f>
        <v>Fortis Healthcare Ltd.</v>
      </c>
      <c r="I390" s="2" t="str">
        <f>VLOOKUP($D390,'Customer Details'!$A$1:$F$17,4,0)</f>
        <v>Goleta</v>
      </c>
      <c r="J390" s="2" t="str">
        <f>VLOOKUP($D390,'Customer Details'!$A$1:$F$17,6,0)</f>
        <v>93117</v>
      </c>
      <c r="K390" s="8" t="str">
        <f>VLOOKUP(VLOOKUP(D390,'Customer Details'!$A$1:$F$17,5,0),'Region INfo'!$A$1:$C$52,3,0)</f>
        <v xml:space="preserve">Pacific   </v>
      </c>
      <c r="L390" s="8" t="str">
        <f>INDEX(Product_List,MATCH($F390,'Product List'!$B$1:$B$299,0),MATCH('Order SUmmary'!L$2,'Product List'!$A$1:$E$1,0))</f>
        <v>Xerox 1907</v>
      </c>
      <c r="M390" s="8">
        <f>INDEX(Product_List,MATCH($F390,'Product List'!$B$1:$B$299,0),MATCH('Order SUmmary'!M$2,'Product List'!$A$1:$E$1,0))</f>
        <v>4990</v>
      </c>
      <c r="N390" s="8">
        <f>INDEX(Product_List,MATCH($F390,'Product List'!$B$1:$B$299,0),MATCH('Order SUmmary'!N$2,'Product List'!$A$1:$E$1,0))</f>
        <v>1360</v>
      </c>
      <c r="O390" s="8" t="str">
        <f>INDEX(Product_List,MATCH($F390,'Product List'!$B$1:$B$299,0),MATCH('Order SUmmary'!O$2,'Product List'!$A$1:$E$1,0))</f>
        <v>Paper</v>
      </c>
      <c r="P390" s="12">
        <f>HLOOKUP(C390,'Commission Criteria'!$A$2:$I$4,3,FALSE)</f>
        <v>4</v>
      </c>
      <c r="Q390" s="8">
        <f t="shared" si="19"/>
        <v>4080</v>
      </c>
      <c r="R390" s="8">
        <f t="shared" si="20"/>
        <v>14970</v>
      </c>
      <c r="S390" s="36">
        <f>VLOOKUP(R390,'Commission Criteria'!$L$3:$M$11,2,TRUE)</f>
        <v>0.03</v>
      </c>
      <c r="T390" s="36">
        <f>IF(P390&lt;5,VLOOKUP(R390,'Commission Criteria'!$L$3:$M$11,2,1),VLOOKUP('Order SUmmary'!R390,'Commission Criteria'!$P$3:$Q$11,2,1))</f>
        <v>0.03</v>
      </c>
      <c r="U390" s="36">
        <f>VLOOKUP(R390,IF(P390&lt;5,'Commission Criteria'!$L$3:$M$11,'Commission Criteria'!$P$3:$Q$11),2,1)</f>
        <v>0.03</v>
      </c>
      <c r="V390" s="8" t="s">
        <v>43</v>
      </c>
      <c r="W390" s="36">
        <f t="shared" ca="1" si="21"/>
        <v>0</v>
      </c>
      <c r="X390" s="8" t="str">
        <f>_xlfn.XLOOKUP(F390,'Product List'!$B$1:$B$299,'Product List'!$A$1:$A$299)</f>
        <v>Xerox 1907</v>
      </c>
      <c r="Y390" s="8"/>
      <c r="Z390" s="8" t="str" cm="1">
        <f t="array" ref="Z390:AD390">_xlfn.XLOOKUP(D390,'Customer Details'!$A$1:$A$17,'Customer Details'!$B$1:$F$17,"No such customer",0,1)</f>
        <v>Fortis Healthcare Ltd.</v>
      </c>
      <c r="AA390" s="8" t="str">
        <v>14 Elsworthy Terrace</v>
      </c>
      <c r="AB390" s="8" t="str">
        <v>Goleta</v>
      </c>
      <c r="AC390" s="8" t="str">
        <v>CA</v>
      </c>
      <c r="AD390" s="8" t="str">
        <v>93117</v>
      </c>
    </row>
    <row r="391" spans="1:30">
      <c r="A391" s="8" t="s">
        <v>525</v>
      </c>
      <c r="B391" s="19">
        <v>41665</v>
      </c>
      <c r="C391" s="8" t="s">
        <v>66</v>
      </c>
      <c r="D391" s="8">
        <v>10008</v>
      </c>
      <c r="E391" s="8" t="str">
        <f>VLOOKUP($D391,'Customer Details'!$A$1:$F$17,4,FALSE)</f>
        <v>Chestnut Ridge</v>
      </c>
      <c r="F391" s="8" t="s">
        <v>337</v>
      </c>
      <c r="G391" s="8">
        <v>1</v>
      </c>
      <c r="H391" s="2" t="str">
        <f>VLOOKUP($D391,'Customer Details'!$A$1:$F$17,MATCH('Order SUmmary'!H$2,'Customer Details'!$A$1:$F$1,0),0)</f>
        <v>Reliance Industries Limited</v>
      </c>
      <c r="I391" s="2" t="str">
        <f>VLOOKUP($D391,'Customer Details'!$A$1:$F$17,4,0)</f>
        <v>Chestnut Ridge</v>
      </c>
      <c r="J391" s="2" t="str">
        <f>VLOOKUP($D391,'Customer Details'!$A$1:$F$17,6,0)</f>
        <v>10977</v>
      </c>
      <c r="K391" s="8" t="str">
        <f>VLOOKUP(VLOOKUP(D391,'Customer Details'!$A$1:$F$17,5,0),'Region INfo'!$A$1:$C$52,3,0)</f>
        <v xml:space="preserve">Northern </v>
      </c>
      <c r="L391" s="8" t="str">
        <f>INDEX(Product_List,MATCH($F391,'Product List'!$B$1:$B$299,0),MATCH('Order SUmmary'!L$2,'Product List'!$A$1:$E$1,0))</f>
        <v>Avery 487</v>
      </c>
      <c r="M391" s="8">
        <f>INDEX(Product_List,MATCH($F391,'Product List'!$B$1:$B$299,0),MATCH('Order SUmmary'!M$2,'Product List'!$A$1:$E$1,0))</f>
        <v>2775</v>
      </c>
      <c r="N391" s="8">
        <f>INDEX(Product_List,MATCH($F391,'Product List'!$B$1:$B$299,0),MATCH('Order SUmmary'!N$2,'Product List'!$A$1:$E$1,0))</f>
        <v>1946</v>
      </c>
      <c r="O391" s="8" t="str">
        <f>INDEX(Product_List,MATCH($F391,'Product List'!$B$1:$B$299,0),MATCH('Order SUmmary'!O$2,'Product List'!$A$1:$E$1,0))</f>
        <v>Labels</v>
      </c>
      <c r="P391" s="12">
        <f>HLOOKUP(C391,'Commission Criteria'!$A$2:$I$4,3,FALSE)</f>
        <v>5</v>
      </c>
      <c r="Q391" s="8">
        <f t="shared" si="19"/>
        <v>1946</v>
      </c>
      <c r="R391" s="8">
        <f t="shared" si="20"/>
        <v>2775</v>
      </c>
      <c r="S391" s="36">
        <f>VLOOKUP(R391,'Commission Criteria'!$L$3:$M$11,2,TRUE)</f>
        <v>0.01</v>
      </c>
      <c r="T391" s="36">
        <f>IF(P391&lt;5,VLOOKUP(R391,'Commission Criteria'!$L$3:$M$11,2,1),VLOOKUP('Order SUmmary'!R391,'Commission Criteria'!$P$3:$Q$11,2,1))</f>
        <v>0.02</v>
      </c>
      <c r="U391" s="36">
        <f>VLOOKUP(R391,IF(P391&lt;5,'Commission Criteria'!$L$3:$M$11,'Commission Criteria'!$P$3:$Q$11),2,1)</f>
        <v>0.02</v>
      </c>
      <c r="V391" s="8" t="s">
        <v>29</v>
      </c>
      <c r="W391" s="36">
        <f t="shared" ca="1" si="21"/>
        <v>0.05</v>
      </c>
      <c r="X391" s="8" t="str">
        <f>_xlfn.XLOOKUP(F391,'Product List'!$B$1:$B$299,'Product List'!$A$1:$A$299)</f>
        <v>Avery 487</v>
      </c>
      <c r="Y391" s="8"/>
      <c r="Z391" s="8" t="str" cm="1">
        <f t="array" ref="Z391:AD391">_xlfn.XLOOKUP(D391,'Customer Details'!$A$1:$A$17,'Customer Details'!$B$1:$F$17,"No such customer",0,1)</f>
        <v>Reliance Industries Limited</v>
      </c>
      <c r="AA391" s="8" t="str">
        <v>12020 Shamrock Rd., Suite 333</v>
      </c>
      <c r="AB391" s="8" t="str">
        <v>Chestnut Ridge</v>
      </c>
      <c r="AC391" s="8" t="str">
        <v>NY</v>
      </c>
      <c r="AD391" s="8" t="str">
        <v>10977</v>
      </c>
    </row>
    <row r="392" spans="1:30">
      <c r="A392" s="8" t="s">
        <v>525</v>
      </c>
      <c r="B392" s="19">
        <v>41665</v>
      </c>
      <c r="C392" s="8" t="s">
        <v>66</v>
      </c>
      <c r="D392" s="8">
        <v>10006</v>
      </c>
      <c r="E392" s="8" t="str">
        <f>VLOOKUP($D392,'Customer Details'!$A$1:$F$17,4,FALSE)</f>
        <v>Midland</v>
      </c>
      <c r="F392" s="8" t="s">
        <v>74</v>
      </c>
      <c r="G392" s="8">
        <v>1</v>
      </c>
      <c r="H392" s="2" t="str">
        <f>VLOOKUP($D392,'Customer Details'!$A$1:$F$17,MATCH('Order SUmmary'!H$2,'Customer Details'!$A$1:$F$1,0),0)</f>
        <v>Supreme Ind</v>
      </c>
      <c r="I392" s="2" t="str">
        <f>VLOOKUP($D392,'Customer Details'!$A$1:$F$17,4,0)</f>
        <v>Midland</v>
      </c>
      <c r="J392" s="2" t="str">
        <f>VLOOKUP($D392,'Customer Details'!$A$1:$F$17,6,0)</f>
        <v>79706</v>
      </c>
      <c r="K392" s="8" t="str">
        <f>VLOOKUP(VLOOKUP(D392,'Customer Details'!$A$1:$F$17,5,0),'Region INfo'!$A$1:$C$52,3,0)</f>
        <v>Western</v>
      </c>
      <c r="L392" s="8" t="str">
        <f>INDEX(Product_List,MATCH($F392,'Product List'!$B$1:$B$299,0),MATCH('Order SUmmary'!L$2,'Product List'!$A$1:$E$1,0))</f>
        <v>Newell 310</v>
      </c>
      <c r="M392" s="8">
        <f>INDEX(Product_List,MATCH($F392,'Product List'!$B$1:$B$299,0),MATCH('Order SUmmary'!M$2,'Product List'!$A$1:$E$1,0))</f>
        <v>3463</v>
      </c>
      <c r="N392" s="8">
        <f>INDEX(Product_List,MATCH($F392,'Product List'!$B$1:$B$299,0),MATCH('Order SUmmary'!N$2,'Product List'!$A$1:$E$1,0))</f>
        <v>1964</v>
      </c>
      <c r="O392" s="8" t="str">
        <f>INDEX(Product_List,MATCH($F392,'Product List'!$B$1:$B$299,0),MATCH('Order SUmmary'!O$2,'Product List'!$A$1:$E$1,0))</f>
        <v>Art</v>
      </c>
      <c r="P392" s="12">
        <f>HLOOKUP(C392,'Commission Criteria'!$A$2:$I$4,3,FALSE)</f>
        <v>5</v>
      </c>
      <c r="Q392" s="8">
        <f t="shared" si="19"/>
        <v>1964</v>
      </c>
      <c r="R392" s="8">
        <f t="shared" si="20"/>
        <v>3463</v>
      </c>
      <c r="S392" s="36">
        <f>VLOOKUP(R392,'Commission Criteria'!$L$3:$M$11,2,TRUE)</f>
        <v>0.01</v>
      </c>
      <c r="T392" s="36">
        <f>IF(P392&lt;5,VLOOKUP(R392,'Commission Criteria'!$L$3:$M$11,2,1),VLOOKUP('Order SUmmary'!R392,'Commission Criteria'!$P$3:$Q$11,2,1))</f>
        <v>0.02</v>
      </c>
      <c r="U392" s="36">
        <f>VLOOKUP(R392,IF(P392&lt;5,'Commission Criteria'!$L$3:$M$11,'Commission Criteria'!$P$3:$Q$11),2,1)</f>
        <v>0.02</v>
      </c>
      <c r="V392" s="8" t="s">
        <v>32</v>
      </c>
      <c r="W392" s="36">
        <f t="shared" ca="1" si="21"/>
        <v>0.01</v>
      </c>
      <c r="X392" s="8" t="str">
        <f>_xlfn.XLOOKUP(F392,'Product List'!$B$1:$B$299,'Product List'!$A$1:$A$299)</f>
        <v>Newell 310</v>
      </c>
      <c r="Y392" s="8"/>
      <c r="Z392" s="8" t="str" cm="1">
        <f t="array" ref="Z392:AD392">_xlfn.XLOOKUP(D392,'Customer Details'!$A$1:$A$17,'Customer Details'!$B$1:$F$17,"No such customer",0,1)</f>
        <v>Supreme Ind</v>
      </c>
      <c r="AA392" s="8" t="str">
        <v>P.O. Box 1367</v>
      </c>
      <c r="AB392" s="8" t="str">
        <v>Midland</v>
      </c>
      <c r="AC392" s="8" t="str">
        <v>TX</v>
      </c>
      <c r="AD392" s="8" t="str">
        <v>79706</v>
      </c>
    </row>
    <row r="393" spans="1:30">
      <c r="A393" s="8" t="s">
        <v>525</v>
      </c>
      <c r="B393" s="19">
        <v>41665</v>
      </c>
      <c r="C393" s="8" t="s">
        <v>51</v>
      </c>
      <c r="D393" s="8">
        <v>10010</v>
      </c>
      <c r="E393" s="8" t="str">
        <f>VLOOKUP($D393,'Customer Details'!$A$1:$F$17,4,FALSE)</f>
        <v>Tracy</v>
      </c>
      <c r="F393" s="8" t="s">
        <v>501</v>
      </c>
      <c r="G393" s="8">
        <v>1</v>
      </c>
      <c r="H393" s="2" t="str">
        <f>VLOOKUP($D393,'Customer Details'!$A$1:$F$17,MATCH('Order SUmmary'!H$2,'Customer Details'!$A$1:$F$1,0),0)</f>
        <v>Suzlon Energy Ltd.</v>
      </c>
      <c r="I393" s="2" t="str">
        <f>VLOOKUP($D393,'Customer Details'!$A$1:$F$17,4,0)</f>
        <v>Tracy</v>
      </c>
      <c r="J393" s="2" t="str">
        <f>VLOOKUP($D393,'Customer Details'!$A$1:$F$17,6,0)</f>
        <v>95376</v>
      </c>
      <c r="K393" s="8" t="str">
        <f>VLOOKUP(VLOOKUP(D393,'Customer Details'!$A$1:$F$17,5,0),'Region INfo'!$A$1:$C$52,3,0)</f>
        <v xml:space="preserve">Pacific   </v>
      </c>
      <c r="L393" s="8" t="str">
        <f>INDEX(Product_List,MATCH($F393,'Product List'!$B$1:$B$299,0),MATCH('Order SUmmary'!L$2,'Product List'!$A$1:$E$1,0))</f>
        <v>Avery 500</v>
      </c>
      <c r="M393" s="8">
        <f>INDEX(Product_List,MATCH($F393,'Product List'!$B$1:$B$299,0),MATCH('Order SUmmary'!M$2,'Product List'!$A$1:$E$1,0))</f>
        <v>4234</v>
      </c>
      <c r="N393" s="8">
        <f>INDEX(Product_List,MATCH($F393,'Product List'!$B$1:$B$299,0),MATCH('Order SUmmary'!N$2,'Product List'!$A$1:$E$1,0))</f>
        <v>1212</v>
      </c>
      <c r="O393" s="8" t="str">
        <f>INDEX(Product_List,MATCH($F393,'Product List'!$B$1:$B$299,0),MATCH('Order SUmmary'!O$2,'Product List'!$A$1:$E$1,0))</f>
        <v>Labels</v>
      </c>
      <c r="P393" s="12">
        <f>HLOOKUP(C393,'Commission Criteria'!$A$2:$I$4,3,FALSE)</f>
        <v>10</v>
      </c>
      <c r="Q393" s="8">
        <f t="shared" si="19"/>
        <v>1212</v>
      </c>
      <c r="R393" s="8">
        <f t="shared" si="20"/>
        <v>4234</v>
      </c>
      <c r="S393" s="36">
        <f>VLOOKUP(R393,'Commission Criteria'!$L$3:$M$11,2,TRUE)</f>
        <v>0.01</v>
      </c>
      <c r="T393" s="36">
        <f>IF(P393&lt;5,VLOOKUP(R393,'Commission Criteria'!$L$3:$M$11,2,1),VLOOKUP('Order SUmmary'!R393,'Commission Criteria'!$P$3:$Q$11,2,1))</f>
        <v>0.02</v>
      </c>
      <c r="U393" s="36">
        <f>VLOOKUP(R393,IF(P393&lt;5,'Commission Criteria'!$L$3:$M$11,'Commission Criteria'!$P$3:$Q$11),2,1)</f>
        <v>0.02</v>
      </c>
      <c r="V393" s="8" t="s">
        <v>35</v>
      </c>
      <c r="W393" s="36">
        <f t="shared" ca="1" si="21"/>
        <v>0</v>
      </c>
      <c r="X393" s="8" t="str">
        <f>_xlfn.XLOOKUP(F393,'Product List'!$B$1:$B$299,'Product List'!$A$1:$A$299)</f>
        <v>Avery 500</v>
      </c>
      <c r="Y393" s="8"/>
      <c r="Z393" s="8" t="str" cm="1">
        <f t="array" ref="Z393:AD393">_xlfn.XLOOKUP(D393,'Customer Details'!$A$1:$A$17,'Customer Details'!$B$1:$F$17,"No such customer",0,1)</f>
        <v>Suzlon Energy Ltd.</v>
      </c>
      <c r="AA393" s="8" t="str">
        <v>501 Marsh Trail Circle</v>
      </c>
      <c r="AB393" s="8" t="str">
        <v>Tracy</v>
      </c>
      <c r="AC393" s="8" t="str">
        <v>CA</v>
      </c>
      <c r="AD393" s="8" t="str">
        <v>95376</v>
      </c>
    </row>
    <row r="394" spans="1:30">
      <c r="A394" s="8" t="s">
        <v>526</v>
      </c>
      <c r="B394" s="19">
        <v>41668</v>
      </c>
      <c r="C394" s="8" t="s">
        <v>33</v>
      </c>
      <c r="D394" s="8">
        <v>10009</v>
      </c>
      <c r="E394" s="8" t="str">
        <f>VLOOKUP($D394,'Customer Details'!$A$1:$F$17,4,FALSE)</f>
        <v>Salt Lake City</v>
      </c>
      <c r="F394" s="8" t="s">
        <v>137</v>
      </c>
      <c r="G394" s="8">
        <v>1</v>
      </c>
      <c r="H394" s="2" t="str">
        <f>VLOOKUP($D394,'Customer Details'!$A$1:$F$17,MATCH('Order SUmmary'!H$2,'Customer Details'!$A$1:$F$1,0),0)</f>
        <v>Godfrey Philips India Ltd.</v>
      </c>
      <c r="I394" s="2" t="str">
        <f>VLOOKUP($D394,'Customer Details'!$A$1:$F$17,4,0)</f>
        <v>Salt Lake City</v>
      </c>
      <c r="J394" s="2" t="str">
        <f>VLOOKUP($D394,'Customer Details'!$A$1:$F$17,6,0)</f>
        <v>84118</v>
      </c>
      <c r="K394" s="8" t="str">
        <f>VLOOKUP(VLOOKUP(D394,'Customer Details'!$A$1:$F$17,5,0),'Region INfo'!$A$1:$C$52,3,0)</f>
        <v xml:space="preserve">Pacific   </v>
      </c>
      <c r="L394" s="8" t="str">
        <f>INDEX(Product_List,MATCH($F394,'Product List'!$B$1:$B$299,0),MATCH('Order SUmmary'!L$2,'Product List'!$A$1:$E$1,0))</f>
        <v>Newell 35</v>
      </c>
      <c r="M394" s="8">
        <f>INDEX(Product_List,MATCH($F394,'Product List'!$B$1:$B$299,0),MATCH('Order SUmmary'!M$2,'Product List'!$A$1:$E$1,0))</f>
        <v>4209</v>
      </c>
      <c r="N394" s="8">
        <f>INDEX(Product_List,MATCH($F394,'Product List'!$B$1:$B$299,0),MATCH('Order SUmmary'!N$2,'Product List'!$A$1:$E$1,0))</f>
        <v>1692</v>
      </c>
      <c r="O394" s="8" t="str">
        <f>INDEX(Product_List,MATCH($F394,'Product List'!$B$1:$B$299,0),MATCH('Order SUmmary'!O$2,'Product List'!$A$1:$E$1,0))</f>
        <v>Art</v>
      </c>
      <c r="P394" s="12">
        <f>HLOOKUP(C394,'Commission Criteria'!$A$2:$I$4,3,FALSE)</f>
        <v>1</v>
      </c>
      <c r="Q394" s="8">
        <f t="shared" si="19"/>
        <v>1692</v>
      </c>
      <c r="R394" s="8">
        <f t="shared" si="20"/>
        <v>4209</v>
      </c>
      <c r="S394" s="36">
        <f>VLOOKUP(R394,'Commission Criteria'!$L$3:$M$11,2,TRUE)</f>
        <v>0.01</v>
      </c>
      <c r="T394" s="36">
        <f>IF(P394&lt;5,VLOOKUP(R394,'Commission Criteria'!$L$3:$M$11,2,1),VLOOKUP('Order SUmmary'!R394,'Commission Criteria'!$P$3:$Q$11,2,1))</f>
        <v>0.01</v>
      </c>
      <c r="U394" s="36">
        <f>VLOOKUP(R394,IF(P394&lt;5,'Commission Criteria'!$L$3:$M$11,'Commission Criteria'!$P$3:$Q$11),2,1)</f>
        <v>0.01</v>
      </c>
      <c r="V394" s="8" t="s">
        <v>32</v>
      </c>
      <c r="W394" s="36">
        <f t="shared" ca="1" si="21"/>
        <v>0.05</v>
      </c>
      <c r="X394" s="8" t="str">
        <f>_xlfn.XLOOKUP(F394,'Product List'!$B$1:$B$299,'Product List'!$A$1:$A$299)</f>
        <v>Newell 35</v>
      </c>
      <c r="Y394" s="8"/>
      <c r="Z394" s="8" t="str" cm="1">
        <f t="array" ref="Z394:AD394">_xlfn.XLOOKUP(D394,'Customer Details'!$A$1:$A$17,'Customer Details'!$B$1:$F$17,"No such customer",0,1)</f>
        <v>Godfrey Philips India Ltd.</v>
      </c>
      <c r="AA394" s="8" t="str">
        <v>20501 Ania Ave #2</v>
      </c>
      <c r="AB394" s="8" t="str">
        <v>Salt Lake City</v>
      </c>
      <c r="AC394" s="8" t="str">
        <v>UT</v>
      </c>
      <c r="AD394" s="8" t="str">
        <v>84118</v>
      </c>
    </row>
    <row r="395" spans="1:30">
      <c r="A395" s="8" t="s">
        <v>527</v>
      </c>
      <c r="B395" s="19">
        <v>41672</v>
      </c>
      <c r="C395" s="8" t="s">
        <v>51</v>
      </c>
      <c r="D395" s="8">
        <v>10007</v>
      </c>
      <c r="E395" s="8" t="str">
        <f>VLOOKUP($D395,'Customer Details'!$A$1:$F$17,4,FALSE)</f>
        <v>Richmond</v>
      </c>
      <c r="F395" s="8" t="s">
        <v>446</v>
      </c>
      <c r="G395" s="8">
        <v>1</v>
      </c>
      <c r="H395" s="2" t="str">
        <f>VLOOKUP($D395,'Customer Details'!$A$1:$F$17,MATCH('Order SUmmary'!H$2,'Customer Details'!$A$1:$F$1,0),0)</f>
        <v>GHCL Ltd.</v>
      </c>
      <c r="I395" s="2" t="str">
        <f>VLOOKUP($D395,'Customer Details'!$A$1:$F$17,4,0)</f>
        <v>Richmond</v>
      </c>
      <c r="J395" s="2" t="str">
        <f>VLOOKUP($D395,'Customer Details'!$A$1:$F$17,6,0)</f>
        <v>94805</v>
      </c>
      <c r="K395" s="8" t="str">
        <f>VLOOKUP(VLOOKUP(D395,'Customer Details'!$A$1:$F$17,5,0),'Region INfo'!$A$1:$C$52,3,0)</f>
        <v xml:space="preserve">Pacific   </v>
      </c>
      <c r="L395" s="8" t="str">
        <f>INDEX(Product_List,MATCH($F395,'Product List'!$B$1:$B$299,0),MATCH('Order SUmmary'!L$2,'Product List'!$A$1:$E$1,0))</f>
        <v>Xerox 1956</v>
      </c>
      <c r="M395" s="8">
        <f>INDEX(Product_List,MATCH($F395,'Product List'!$B$1:$B$299,0),MATCH('Order SUmmary'!M$2,'Product List'!$A$1:$E$1,0))</f>
        <v>2659</v>
      </c>
      <c r="N395" s="8">
        <f>INDEX(Product_List,MATCH($F395,'Product List'!$B$1:$B$299,0),MATCH('Order SUmmary'!N$2,'Product List'!$A$1:$E$1,0))</f>
        <v>2415</v>
      </c>
      <c r="O395" s="8" t="str">
        <f>INDEX(Product_List,MATCH($F395,'Product List'!$B$1:$B$299,0),MATCH('Order SUmmary'!O$2,'Product List'!$A$1:$E$1,0))</f>
        <v>Paper</v>
      </c>
      <c r="P395" s="12">
        <f>HLOOKUP(C395,'Commission Criteria'!$A$2:$I$4,3,FALSE)</f>
        <v>10</v>
      </c>
      <c r="Q395" s="8">
        <f t="shared" si="19"/>
        <v>2415</v>
      </c>
      <c r="R395" s="8">
        <f t="shared" si="20"/>
        <v>2659</v>
      </c>
      <c r="S395" s="36">
        <f>VLOOKUP(R395,'Commission Criteria'!$L$3:$M$11,2,TRUE)</f>
        <v>0.01</v>
      </c>
      <c r="T395" s="36">
        <f>IF(P395&lt;5,VLOOKUP(R395,'Commission Criteria'!$L$3:$M$11,2,1),VLOOKUP('Order SUmmary'!R395,'Commission Criteria'!$P$3:$Q$11,2,1))</f>
        <v>0.02</v>
      </c>
      <c r="U395" s="36">
        <f>VLOOKUP(R395,IF(P395&lt;5,'Commission Criteria'!$L$3:$M$11,'Commission Criteria'!$P$3:$Q$11),2,1)</f>
        <v>0.02</v>
      </c>
      <c r="V395" s="8" t="s">
        <v>32</v>
      </c>
      <c r="W395" s="36">
        <f t="shared" ca="1" si="21"/>
        <v>0.01</v>
      </c>
      <c r="X395" s="8" t="str">
        <f>_xlfn.XLOOKUP(F395,'Product List'!$B$1:$B$299,'Product List'!$A$1:$A$299)</f>
        <v>Xerox 1956</v>
      </c>
      <c r="Y395" s="8"/>
      <c r="Z395" s="8" t="str" cm="1">
        <f t="array" ref="Z395:AD395">_xlfn.XLOOKUP(D395,'Customer Details'!$A$1:$A$17,'Customer Details'!$B$1:$F$17,"No such customer",0,1)</f>
        <v>GHCL Ltd.</v>
      </c>
      <c r="AA395" s="8" t="str">
        <v>58 Clarence St</v>
      </c>
      <c r="AB395" s="8" t="str">
        <v>Richmond</v>
      </c>
      <c r="AC395" s="8" t="str">
        <v>CA</v>
      </c>
      <c r="AD395" s="8" t="str">
        <v>94805</v>
      </c>
    </row>
    <row r="396" spans="1:30">
      <c r="A396" s="8" t="s">
        <v>527</v>
      </c>
      <c r="B396" s="19">
        <v>41672</v>
      </c>
      <c r="C396" s="8" t="s">
        <v>36</v>
      </c>
      <c r="D396" s="8">
        <v>10011</v>
      </c>
      <c r="E396" s="8" t="str">
        <f>VLOOKUP($D396,'Customer Details'!$A$1:$F$17,4,FALSE)</f>
        <v>Olympia</v>
      </c>
      <c r="F396" s="8" t="s">
        <v>74</v>
      </c>
      <c r="G396" s="8">
        <v>24</v>
      </c>
      <c r="H396" s="2" t="str">
        <f>VLOOKUP($D396,'Customer Details'!$A$1:$F$17,MATCH('Order SUmmary'!H$2,'Customer Details'!$A$1:$F$1,0),0)</f>
        <v>Sonata Software</v>
      </c>
      <c r="I396" s="2" t="str">
        <f>VLOOKUP($D396,'Customer Details'!$A$1:$F$17,4,0)</f>
        <v>Olympia</v>
      </c>
      <c r="J396" s="2" t="str">
        <f>VLOOKUP($D396,'Customer Details'!$A$1:$F$17,6,0)</f>
        <v>98502</v>
      </c>
      <c r="K396" s="8" t="str">
        <f>VLOOKUP(VLOOKUP(D396,'Customer Details'!$A$1:$F$17,5,0),'Region INfo'!$A$1:$C$52,3,0)</f>
        <v xml:space="preserve">Pacific   </v>
      </c>
      <c r="L396" s="8" t="str">
        <f>INDEX(Product_List,MATCH($F396,'Product List'!$B$1:$B$299,0),MATCH('Order SUmmary'!L$2,'Product List'!$A$1:$E$1,0))</f>
        <v>Newell 310</v>
      </c>
      <c r="M396" s="8">
        <f>INDEX(Product_List,MATCH($F396,'Product List'!$B$1:$B$299,0),MATCH('Order SUmmary'!M$2,'Product List'!$A$1:$E$1,0))</f>
        <v>3463</v>
      </c>
      <c r="N396" s="8">
        <f>INDEX(Product_List,MATCH($F396,'Product List'!$B$1:$B$299,0),MATCH('Order SUmmary'!N$2,'Product List'!$A$1:$E$1,0))</f>
        <v>1964</v>
      </c>
      <c r="O396" s="8" t="str">
        <f>INDEX(Product_List,MATCH($F396,'Product List'!$B$1:$B$299,0),MATCH('Order SUmmary'!O$2,'Product List'!$A$1:$E$1,0))</f>
        <v>Art</v>
      </c>
      <c r="P396" s="12">
        <f>HLOOKUP(C396,'Commission Criteria'!$A$2:$I$4,3,FALSE)</f>
        <v>6</v>
      </c>
      <c r="Q396" s="8">
        <f t="shared" si="19"/>
        <v>47136</v>
      </c>
      <c r="R396" s="8">
        <f t="shared" si="20"/>
        <v>83112</v>
      </c>
      <c r="S396" s="36">
        <f>VLOOKUP(R396,'Commission Criteria'!$L$3:$M$11,2,TRUE)</f>
        <v>7.0000000000000007E-2</v>
      </c>
      <c r="T396" s="36">
        <f>IF(P396&lt;5,VLOOKUP(R396,'Commission Criteria'!$L$3:$M$11,2,1),VLOOKUP('Order SUmmary'!R396,'Commission Criteria'!$P$3:$Q$11,2,1))</f>
        <v>0.08</v>
      </c>
      <c r="U396" s="36">
        <f>VLOOKUP(R396,IF(P396&lt;5,'Commission Criteria'!$L$3:$M$11,'Commission Criteria'!$P$3:$Q$11),2,1)</f>
        <v>0.08</v>
      </c>
      <c r="V396" s="8" t="s">
        <v>40</v>
      </c>
      <c r="W396" s="36">
        <f t="shared" ca="1" si="21"/>
        <v>0</v>
      </c>
      <c r="X396" s="8" t="str">
        <f>_xlfn.XLOOKUP(F396,'Product List'!$B$1:$B$299,'Product List'!$A$1:$A$299)</f>
        <v>Newell 310</v>
      </c>
      <c r="Y396" s="8"/>
      <c r="Z396" s="8" t="str" cm="1">
        <f t="array" ref="Z396:AD396">_xlfn.XLOOKUP(D396,'Customer Details'!$A$1:$A$17,'Customer Details'!$B$1:$F$17,"No such customer",0,1)</f>
        <v>Sonata Software</v>
      </c>
      <c r="AA396" s="8" t="str">
        <v>1331 Kimberly Dr.</v>
      </c>
      <c r="AB396" s="8" t="str">
        <v>Olympia</v>
      </c>
      <c r="AC396" s="8" t="str">
        <v>WA</v>
      </c>
      <c r="AD396" s="8" t="str">
        <v>98502</v>
      </c>
    </row>
    <row r="397" spans="1:30">
      <c r="A397" s="8" t="s">
        <v>528</v>
      </c>
      <c r="B397" s="19">
        <v>41675</v>
      </c>
      <c r="C397" s="8" t="s">
        <v>66</v>
      </c>
      <c r="D397" s="8">
        <v>10009</v>
      </c>
      <c r="E397" s="8" t="str">
        <f>VLOOKUP($D397,'Customer Details'!$A$1:$F$17,4,FALSE)</f>
        <v>Salt Lake City</v>
      </c>
      <c r="F397" s="8" t="s">
        <v>320</v>
      </c>
      <c r="G397" s="8">
        <v>1</v>
      </c>
      <c r="H397" s="2" t="str">
        <f>VLOOKUP($D397,'Customer Details'!$A$1:$F$17,MATCH('Order SUmmary'!H$2,'Customer Details'!$A$1:$F$1,0),0)</f>
        <v>Godfrey Philips India Ltd.</v>
      </c>
      <c r="I397" s="2" t="str">
        <f>VLOOKUP($D397,'Customer Details'!$A$1:$F$17,4,0)</f>
        <v>Salt Lake City</v>
      </c>
      <c r="J397" s="2" t="str">
        <f>VLOOKUP($D397,'Customer Details'!$A$1:$F$17,6,0)</f>
        <v>84118</v>
      </c>
      <c r="K397" s="8" t="str">
        <f>VLOOKUP(VLOOKUP(D397,'Customer Details'!$A$1:$F$17,5,0),'Region INfo'!$A$1:$C$52,3,0)</f>
        <v xml:space="preserve">Pacific   </v>
      </c>
      <c r="L397" s="8" t="str">
        <f>INDEX(Product_List,MATCH($F397,'Product List'!$B$1:$B$299,0),MATCH('Order SUmmary'!L$2,'Product List'!$A$1:$E$1,0))</f>
        <v>LG Exalt</v>
      </c>
      <c r="M397" s="8">
        <f>INDEX(Product_List,MATCH($F397,'Product List'!$B$1:$B$299,0),MATCH('Order SUmmary'!M$2,'Product List'!$A$1:$E$1,0))</f>
        <v>4599</v>
      </c>
      <c r="N397" s="8">
        <f>INDEX(Product_List,MATCH($F397,'Product List'!$B$1:$B$299,0),MATCH('Order SUmmary'!N$2,'Product List'!$A$1:$E$1,0))</f>
        <v>1332</v>
      </c>
      <c r="O397" s="8" t="str">
        <f>INDEX(Product_List,MATCH($F397,'Product List'!$B$1:$B$299,0),MATCH('Order SUmmary'!O$2,'Product List'!$A$1:$E$1,0))</f>
        <v>Phones</v>
      </c>
      <c r="P397" s="12">
        <f>HLOOKUP(C397,'Commission Criteria'!$A$2:$I$4,3,FALSE)</f>
        <v>5</v>
      </c>
      <c r="Q397" s="8">
        <f t="shared" si="19"/>
        <v>1332</v>
      </c>
      <c r="R397" s="8">
        <f t="shared" si="20"/>
        <v>4599</v>
      </c>
      <c r="S397" s="36">
        <f>VLOOKUP(R397,'Commission Criteria'!$L$3:$M$11,2,TRUE)</f>
        <v>0.01</v>
      </c>
      <c r="T397" s="36">
        <f>IF(P397&lt;5,VLOOKUP(R397,'Commission Criteria'!$L$3:$M$11,2,1),VLOOKUP('Order SUmmary'!R397,'Commission Criteria'!$P$3:$Q$11,2,1))</f>
        <v>0.02</v>
      </c>
      <c r="U397" s="36">
        <f>VLOOKUP(R397,IF(P397&lt;5,'Commission Criteria'!$L$3:$M$11,'Commission Criteria'!$P$3:$Q$11),2,1)</f>
        <v>0.02</v>
      </c>
      <c r="V397" s="8" t="s">
        <v>29</v>
      </c>
      <c r="W397" s="36">
        <f t="shared" ca="1" si="21"/>
        <v>0</v>
      </c>
      <c r="X397" s="8" t="str">
        <f>_xlfn.XLOOKUP(F397,'Product List'!$B$1:$B$299,'Product List'!$A$1:$A$299)</f>
        <v>LG Exalt</v>
      </c>
      <c r="Y397" s="8"/>
      <c r="Z397" s="8" t="str" cm="1">
        <f t="array" ref="Z397:AD397">_xlfn.XLOOKUP(D397,'Customer Details'!$A$1:$A$17,'Customer Details'!$B$1:$F$17,"No such customer",0,1)</f>
        <v>Godfrey Philips India Ltd.</v>
      </c>
      <c r="AA397" s="8" t="str">
        <v>20501 Ania Ave #2</v>
      </c>
      <c r="AB397" s="8" t="str">
        <v>Salt Lake City</v>
      </c>
      <c r="AC397" s="8" t="str">
        <v>UT</v>
      </c>
      <c r="AD397" s="8" t="str">
        <v>84118</v>
      </c>
    </row>
    <row r="398" spans="1:30">
      <c r="A398" s="8" t="s">
        <v>529</v>
      </c>
      <c r="B398" s="19">
        <v>41675</v>
      </c>
      <c r="C398" s="8" t="s">
        <v>44</v>
      </c>
      <c r="D398" s="8">
        <v>10002</v>
      </c>
      <c r="E398" s="8" t="str">
        <f>VLOOKUP($D398,'Customer Details'!$A$1:$F$17,4,FALSE)</f>
        <v>Omaha</v>
      </c>
      <c r="F398" s="8" t="s">
        <v>227</v>
      </c>
      <c r="G398" s="8">
        <v>2</v>
      </c>
      <c r="H398" s="2" t="str">
        <f>VLOOKUP($D398,'Customer Details'!$A$1:$F$17,MATCH('Order SUmmary'!H$2,'Customer Details'!$A$1:$F$1,0),0)</f>
        <v>Elder Pharmaceuticals</v>
      </c>
      <c r="I398" s="2" t="str">
        <f>VLOOKUP($D398,'Customer Details'!$A$1:$F$17,4,0)</f>
        <v>Omaha</v>
      </c>
      <c r="J398" s="2" t="str">
        <f>VLOOKUP($D398,'Customer Details'!$A$1:$F$17,6,0)</f>
        <v>68127</v>
      </c>
      <c r="K398" s="8" t="str">
        <f>VLOOKUP(VLOOKUP(D398,'Customer Details'!$A$1:$F$17,5,0),'Region INfo'!$A$1:$C$52,3,0)</f>
        <v>Western</v>
      </c>
      <c r="L398" s="8" t="str">
        <f>INDEX(Product_List,MATCH($F398,'Product List'!$B$1:$B$299,0),MATCH('Order SUmmary'!L$2,'Product List'!$A$1:$E$1,0))</f>
        <v>Xerox 21</v>
      </c>
      <c r="M398" s="8">
        <f>INDEX(Product_List,MATCH($F398,'Product List'!$B$1:$B$299,0),MATCH('Order SUmmary'!M$2,'Product List'!$A$1:$E$1,0))</f>
        <v>2787</v>
      </c>
      <c r="N398" s="8">
        <f>INDEX(Product_List,MATCH($F398,'Product List'!$B$1:$B$299,0),MATCH('Order SUmmary'!N$2,'Product List'!$A$1:$E$1,0))</f>
        <v>2020</v>
      </c>
      <c r="O398" s="8" t="str">
        <f>INDEX(Product_List,MATCH($F398,'Product List'!$B$1:$B$299,0),MATCH('Order SUmmary'!O$2,'Product List'!$A$1:$E$1,0))</f>
        <v>Paper</v>
      </c>
      <c r="P398" s="12">
        <f>HLOOKUP(C398,'Commission Criteria'!$A$2:$I$4,3,FALSE)</f>
        <v>4</v>
      </c>
      <c r="Q398" s="8">
        <f t="shared" si="19"/>
        <v>4040</v>
      </c>
      <c r="R398" s="8">
        <f t="shared" si="20"/>
        <v>5574</v>
      </c>
      <c r="S398" s="36">
        <f>VLOOKUP(R398,'Commission Criteria'!$L$3:$M$11,2,TRUE)</f>
        <v>0.03</v>
      </c>
      <c r="T398" s="36">
        <f>IF(P398&lt;5,VLOOKUP(R398,'Commission Criteria'!$L$3:$M$11,2,1),VLOOKUP('Order SUmmary'!R398,'Commission Criteria'!$P$3:$Q$11,2,1))</f>
        <v>0.03</v>
      </c>
      <c r="U398" s="36">
        <f>VLOOKUP(R398,IF(P398&lt;5,'Commission Criteria'!$L$3:$M$11,'Commission Criteria'!$P$3:$Q$11),2,1)</f>
        <v>0.03</v>
      </c>
      <c r="V398" s="8" t="s">
        <v>40</v>
      </c>
      <c r="W398" s="36">
        <f t="shared" ca="1" si="21"/>
        <v>0.05</v>
      </c>
      <c r="X398" s="8" t="str">
        <f>_xlfn.XLOOKUP(F398,'Product List'!$B$1:$B$299,'Product List'!$A$1:$A$299)</f>
        <v>Xerox 21</v>
      </c>
      <c r="Y398" s="8"/>
      <c r="Z398" s="8" t="str" cm="1">
        <f t="array" ref="Z398:AD398">_xlfn.XLOOKUP(D398,'Customer Details'!$A$1:$A$17,'Customer Details'!$B$1:$F$17,"No such customer",0,1)</f>
        <v>Elder Pharmaceuticals</v>
      </c>
      <c r="AA398" s="8" t="str">
        <v>57 Neriba Cres</v>
      </c>
      <c r="AB398" s="8" t="str">
        <v>Omaha</v>
      </c>
      <c r="AC398" s="8" t="str">
        <v>NE</v>
      </c>
      <c r="AD398" s="8" t="str">
        <v>68127</v>
      </c>
    </row>
    <row r="399" spans="1:30">
      <c r="A399" s="8" t="s">
        <v>528</v>
      </c>
      <c r="B399" s="19">
        <v>41675</v>
      </c>
      <c r="C399" s="8" t="s">
        <v>66</v>
      </c>
      <c r="D399" s="8">
        <v>10009</v>
      </c>
      <c r="E399" s="8" t="str">
        <f>VLOOKUP($D399,'Customer Details'!$A$1:$F$17,4,FALSE)</f>
        <v>Salt Lake City</v>
      </c>
      <c r="F399" s="8" t="s">
        <v>275</v>
      </c>
      <c r="G399" s="8">
        <v>2</v>
      </c>
      <c r="H399" s="2" t="str">
        <f>VLOOKUP($D399,'Customer Details'!$A$1:$F$17,MATCH('Order SUmmary'!H$2,'Customer Details'!$A$1:$F$1,0),0)</f>
        <v>Godfrey Philips India Ltd.</v>
      </c>
      <c r="I399" s="2" t="str">
        <f>VLOOKUP($D399,'Customer Details'!$A$1:$F$17,4,0)</f>
        <v>Salt Lake City</v>
      </c>
      <c r="J399" s="2" t="str">
        <f>VLOOKUP($D399,'Customer Details'!$A$1:$F$17,6,0)</f>
        <v>84118</v>
      </c>
      <c r="K399" s="8" t="str">
        <f>VLOOKUP(VLOOKUP(D399,'Customer Details'!$A$1:$F$17,5,0),'Region INfo'!$A$1:$C$52,3,0)</f>
        <v xml:space="preserve">Pacific   </v>
      </c>
      <c r="L399" s="8" t="str">
        <f>INDEX(Product_List,MATCH($F399,'Product List'!$B$1:$B$299,0),MATCH('Order SUmmary'!L$2,'Product List'!$A$1:$E$1,0))</f>
        <v>Xerox 218</v>
      </c>
      <c r="M399" s="8">
        <f>INDEX(Product_List,MATCH($F399,'Product List'!$B$1:$B$299,0),MATCH('Order SUmmary'!M$2,'Product List'!$A$1:$E$1,0))</f>
        <v>4239</v>
      </c>
      <c r="N399" s="8">
        <f>INDEX(Product_List,MATCH($F399,'Product List'!$B$1:$B$299,0),MATCH('Order SUmmary'!N$2,'Product List'!$A$1:$E$1,0))</f>
        <v>1860</v>
      </c>
      <c r="O399" s="8" t="str">
        <f>INDEX(Product_List,MATCH($F399,'Product List'!$B$1:$B$299,0),MATCH('Order SUmmary'!O$2,'Product List'!$A$1:$E$1,0))</f>
        <v>Paper</v>
      </c>
      <c r="P399" s="12">
        <f>HLOOKUP(C399,'Commission Criteria'!$A$2:$I$4,3,FALSE)</f>
        <v>5</v>
      </c>
      <c r="Q399" s="8">
        <f t="shared" si="19"/>
        <v>3720</v>
      </c>
      <c r="R399" s="8">
        <f t="shared" si="20"/>
        <v>8478</v>
      </c>
      <c r="S399" s="36">
        <f>VLOOKUP(R399,'Commission Criteria'!$L$3:$M$11,2,TRUE)</f>
        <v>0.03</v>
      </c>
      <c r="T399" s="36">
        <f>IF(P399&lt;5,VLOOKUP(R399,'Commission Criteria'!$L$3:$M$11,2,1),VLOOKUP('Order SUmmary'!R399,'Commission Criteria'!$P$3:$Q$11,2,1))</f>
        <v>0.02</v>
      </c>
      <c r="U399" s="36">
        <f>VLOOKUP(R399,IF(P399&lt;5,'Commission Criteria'!$L$3:$M$11,'Commission Criteria'!$P$3:$Q$11),2,1)</f>
        <v>0.02</v>
      </c>
      <c r="V399" s="8" t="s">
        <v>50</v>
      </c>
      <c r="W399" s="36">
        <f t="shared" ca="1" si="21"/>
        <v>0</v>
      </c>
      <c r="X399" s="8" t="str">
        <f>_xlfn.XLOOKUP(F399,'Product List'!$B$1:$B$299,'Product List'!$A$1:$A$299)</f>
        <v>Xerox 218</v>
      </c>
      <c r="Y399" s="8"/>
      <c r="Z399" s="8" t="str" cm="1">
        <f t="array" ref="Z399:AD399">_xlfn.XLOOKUP(D399,'Customer Details'!$A$1:$A$17,'Customer Details'!$B$1:$F$17,"No such customer",0,1)</f>
        <v>Godfrey Philips India Ltd.</v>
      </c>
      <c r="AA399" s="8" t="str">
        <v>20501 Ania Ave #2</v>
      </c>
      <c r="AB399" s="8" t="str">
        <v>Salt Lake City</v>
      </c>
      <c r="AC399" s="8" t="str">
        <v>UT</v>
      </c>
      <c r="AD399" s="8" t="str">
        <v>84118</v>
      </c>
    </row>
    <row r="400" spans="1:30">
      <c r="A400" s="8" t="s">
        <v>530</v>
      </c>
      <c r="B400" s="19">
        <v>41678</v>
      </c>
      <c r="C400" s="8" t="s">
        <v>66</v>
      </c>
      <c r="D400" s="8">
        <v>10006</v>
      </c>
      <c r="E400" s="8" t="str">
        <f>VLOOKUP($D400,'Customer Details'!$A$1:$F$17,4,FALSE)</f>
        <v>Midland</v>
      </c>
      <c r="F400" s="8" t="s">
        <v>114</v>
      </c>
      <c r="G400" s="8">
        <v>1</v>
      </c>
      <c r="H400" s="2" t="str">
        <f>VLOOKUP($D400,'Customer Details'!$A$1:$F$17,MATCH('Order SUmmary'!H$2,'Customer Details'!$A$1:$F$1,0),0)</f>
        <v>Supreme Ind</v>
      </c>
      <c r="I400" s="2" t="str">
        <f>VLOOKUP($D400,'Customer Details'!$A$1:$F$17,4,0)</f>
        <v>Midland</v>
      </c>
      <c r="J400" s="2" t="str">
        <f>VLOOKUP($D400,'Customer Details'!$A$1:$F$17,6,0)</f>
        <v>79706</v>
      </c>
      <c r="K400" s="8" t="str">
        <f>VLOOKUP(VLOOKUP(D400,'Customer Details'!$A$1:$F$17,5,0),'Region INfo'!$A$1:$C$52,3,0)</f>
        <v>Western</v>
      </c>
      <c r="L400" s="8" t="str">
        <f>INDEX(Product_List,MATCH($F400,'Product List'!$B$1:$B$299,0),MATCH('Order SUmmary'!L$2,'Product List'!$A$1:$E$1,0))</f>
        <v>Xerox 1910</v>
      </c>
      <c r="M400" s="8">
        <f>INDEX(Product_List,MATCH($F400,'Product List'!$B$1:$B$299,0),MATCH('Order SUmmary'!M$2,'Product List'!$A$1:$E$1,0))</f>
        <v>2588</v>
      </c>
      <c r="N400" s="8">
        <f>INDEX(Product_List,MATCH($F400,'Product List'!$B$1:$B$299,0),MATCH('Order SUmmary'!N$2,'Product List'!$A$1:$E$1,0))</f>
        <v>2069</v>
      </c>
      <c r="O400" s="8" t="str">
        <f>INDEX(Product_List,MATCH($F400,'Product List'!$B$1:$B$299,0),MATCH('Order SUmmary'!O$2,'Product List'!$A$1:$E$1,0))</f>
        <v>Paper</v>
      </c>
      <c r="P400" s="12">
        <f>HLOOKUP(C400,'Commission Criteria'!$A$2:$I$4,3,FALSE)</f>
        <v>5</v>
      </c>
      <c r="Q400" s="8">
        <f t="shared" si="19"/>
        <v>2069</v>
      </c>
      <c r="R400" s="8">
        <f t="shared" si="20"/>
        <v>2588</v>
      </c>
      <c r="S400" s="36">
        <f>VLOOKUP(R400,'Commission Criteria'!$L$3:$M$11,2,TRUE)</f>
        <v>0.01</v>
      </c>
      <c r="T400" s="36">
        <f>IF(P400&lt;5,VLOOKUP(R400,'Commission Criteria'!$L$3:$M$11,2,1),VLOOKUP('Order SUmmary'!R400,'Commission Criteria'!$P$3:$Q$11,2,1))</f>
        <v>0.02</v>
      </c>
      <c r="U400" s="36">
        <f>VLOOKUP(R400,IF(P400&lt;5,'Commission Criteria'!$L$3:$M$11,'Commission Criteria'!$P$3:$Q$11),2,1)</f>
        <v>0.02</v>
      </c>
      <c r="V400" s="8" t="s">
        <v>50</v>
      </c>
      <c r="W400" s="36">
        <f t="shared" ca="1" si="21"/>
        <v>0.04</v>
      </c>
      <c r="X400" s="8" t="str">
        <f>_xlfn.XLOOKUP(F400,'Product List'!$B$1:$B$299,'Product List'!$A$1:$A$299)</f>
        <v>Xerox 1910</v>
      </c>
      <c r="Y400" s="8"/>
      <c r="Z400" s="8" t="str" cm="1">
        <f t="array" ref="Z400:AD400">_xlfn.XLOOKUP(D400,'Customer Details'!$A$1:$A$17,'Customer Details'!$B$1:$F$17,"No such customer",0,1)</f>
        <v>Supreme Ind</v>
      </c>
      <c r="AA400" s="8" t="str">
        <v>P.O. Box 1367</v>
      </c>
      <c r="AB400" s="8" t="str">
        <v>Midland</v>
      </c>
      <c r="AC400" s="8" t="str">
        <v>TX</v>
      </c>
      <c r="AD400" s="8" t="str">
        <v>79706</v>
      </c>
    </row>
    <row r="401" spans="1:30">
      <c r="A401" s="8" t="s">
        <v>531</v>
      </c>
      <c r="B401" s="19">
        <v>41680</v>
      </c>
      <c r="C401" s="8" t="s">
        <v>44</v>
      </c>
      <c r="D401" s="8">
        <v>10005</v>
      </c>
      <c r="E401" s="8" t="str">
        <f>VLOOKUP($D401,'Customer Details'!$A$1:$F$17,4,FALSE)</f>
        <v>Goleta</v>
      </c>
      <c r="F401" s="8" t="s">
        <v>532</v>
      </c>
      <c r="G401" s="8">
        <v>1</v>
      </c>
      <c r="H401" s="2" t="str">
        <f>VLOOKUP($D401,'Customer Details'!$A$1:$F$17,MATCH('Order SUmmary'!H$2,'Customer Details'!$A$1:$F$1,0),0)</f>
        <v>Fortis Healthcare Ltd.</v>
      </c>
      <c r="I401" s="2" t="str">
        <f>VLOOKUP($D401,'Customer Details'!$A$1:$F$17,4,0)</f>
        <v>Goleta</v>
      </c>
      <c r="J401" s="2" t="str">
        <f>VLOOKUP($D401,'Customer Details'!$A$1:$F$17,6,0)</f>
        <v>93117</v>
      </c>
      <c r="K401" s="8" t="str">
        <f>VLOOKUP(VLOOKUP(D401,'Customer Details'!$A$1:$F$17,5,0),'Region INfo'!$A$1:$C$52,3,0)</f>
        <v xml:space="preserve">Pacific   </v>
      </c>
      <c r="L401" s="8" t="str">
        <f>INDEX(Product_List,MATCH($F401,'Product List'!$B$1:$B$299,0),MATCH('Order SUmmary'!L$2,'Product List'!$A$1:$E$1,0))</f>
        <v>Clarity 53712</v>
      </c>
      <c r="M401" s="8">
        <f>INDEX(Product_List,MATCH($F401,'Product List'!$B$1:$B$299,0),MATCH('Order SUmmary'!M$2,'Product List'!$A$1:$E$1,0))</f>
        <v>2586</v>
      </c>
      <c r="N401" s="8">
        <f>INDEX(Product_List,MATCH($F401,'Product List'!$B$1:$B$299,0),MATCH('Order SUmmary'!N$2,'Product List'!$A$1:$E$1,0))</f>
        <v>2432</v>
      </c>
      <c r="O401" s="8" t="str">
        <f>INDEX(Product_List,MATCH($F401,'Product List'!$B$1:$B$299,0),MATCH('Order SUmmary'!O$2,'Product List'!$A$1:$E$1,0))</f>
        <v>Phones</v>
      </c>
      <c r="P401" s="12">
        <f>HLOOKUP(C401,'Commission Criteria'!$A$2:$I$4,3,FALSE)</f>
        <v>4</v>
      </c>
      <c r="Q401" s="8">
        <f t="shared" si="19"/>
        <v>2432</v>
      </c>
      <c r="R401" s="8">
        <f t="shared" si="20"/>
        <v>2586</v>
      </c>
      <c r="S401" s="36">
        <f>VLOOKUP(R401,'Commission Criteria'!$L$3:$M$11,2,TRUE)</f>
        <v>0.01</v>
      </c>
      <c r="T401" s="36">
        <f>IF(P401&lt;5,VLOOKUP(R401,'Commission Criteria'!$L$3:$M$11,2,1),VLOOKUP('Order SUmmary'!R401,'Commission Criteria'!$P$3:$Q$11,2,1))</f>
        <v>0.01</v>
      </c>
      <c r="U401" s="36">
        <f>VLOOKUP(R401,IF(P401&lt;5,'Commission Criteria'!$L$3:$M$11,'Commission Criteria'!$P$3:$Q$11),2,1)</f>
        <v>0.01</v>
      </c>
      <c r="V401" s="8" t="s">
        <v>40</v>
      </c>
      <c r="W401" s="36">
        <f t="shared" ca="1" si="21"/>
        <v>0.01</v>
      </c>
      <c r="X401" s="8" t="str">
        <f>_xlfn.XLOOKUP(F401,'Product List'!$B$1:$B$299,'Product List'!$A$1:$A$299)</f>
        <v>Clarity 53712</v>
      </c>
      <c r="Y401" s="8"/>
      <c r="Z401" s="8" t="str" cm="1">
        <f t="array" ref="Z401:AD401">_xlfn.XLOOKUP(D401,'Customer Details'!$A$1:$A$17,'Customer Details'!$B$1:$F$17,"No such customer",0,1)</f>
        <v>Fortis Healthcare Ltd.</v>
      </c>
      <c r="AA401" s="8" t="str">
        <v>14 Elsworthy Terrace</v>
      </c>
      <c r="AB401" s="8" t="str">
        <v>Goleta</v>
      </c>
      <c r="AC401" s="8" t="str">
        <v>CA</v>
      </c>
      <c r="AD401" s="8" t="str">
        <v>93117</v>
      </c>
    </row>
    <row r="402" spans="1:30">
      <c r="A402" s="8" t="s">
        <v>533</v>
      </c>
      <c r="B402" s="19">
        <v>41680</v>
      </c>
      <c r="C402" s="8" t="s">
        <v>33</v>
      </c>
      <c r="D402" s="8">
        <v>10015</v>
      </c>
      <c r="E402" s="8" t="str">
        <f>VLOOKUP($D402,'Customer Details'!$A$1:$F$17,4,FALSE)</f>
        <v>South Windsor</v>
      </c>
      <c r="F402" s="8" t="s">
        <v>102</v>
      </c>
      <c r="G402" s="8">
        <v>1</v>
      </c>
      <c r="H402" s="2" t="str">
        <f>VLOOKUP($D402,'Customer Details'!$A$1:$F$17,MATCH('Order SUmmary'!H$2,'Customer Details'!$A$1:$F$1,0),0)</f>
        <v>Punj Lloyd Ltd.</v>
      </c>
      <c r="I402" s="2" t="str">
        <f>VLOOKUP($D402,'Customer Details'!$A$1:$F$17,4,0)</f>
        <v>South Windsor</v>
      </c>
      <c r="J402" s="2" t="str">
        <f>VLOOKUP($D402,'Customer Details'!$A$1:$F$17,6,0)</f>
        <v>06074</v>
      </c>
      <c r="K402" s="8" t="str">
        <f>VLOOKUP(VLOOKUP(D402,'Customer Details'!$A$1:$F$17,5,0),'Region INfo'!$A$1:$C$52,3,0)</f>
        <v xml:space="preserve">Northern </v>
      </c>
      <c r="L402" s="8" t="str">
        <f>INDEX(Product_List,MATCH($F402,'Product List'!$B$1:$B$299,0),MATCH('Order SUmmary'!L$2,'Product List'!$A$1:$E$1,0))</f>
        <v>Xerox 1997</v>
      </c>
      <c r="M402" s="8">
        <f>INDEX(Product_List,MATCH($F402,'Product List'!$B$1:$B$299,0),MATCH('Order SUmmary'!M$2,'Product List'!$A$1:$E$1,0))</f>
        <v>3844</v>
      </c>
      <c r="N402" s="8">
        <f>INDEX(Product_List,MATCH($F402,'Product List'!$B$1:$B$299,0),MATCH('Order SUmmary'!N$2,'Product List'!$A$1:$E$1,0))</f>
        <v>2157</v>
      </c>
      <c r="O402" s="8" t="str">
        <f>INDEX(Product_List,MATCH($F402,'Product List'!$B$1:$B$299,0),MATCH('Order SUmmary'!O$2,'Product List'!$A$1:$E$1,0))</f>
        <v>Paper</v>
      </c>
      <c r="P402" s="12">
        <f>HLOOKUP(C402,'Commission Criteria'!$A$2:$I$4,3,FALSE)</f>
        <v>1</v>
      </c>
      <c r="Q402" s="8">
        <f t="shared" si="19"/>
        <v>2157</v>
      </c>
      <c r="R402" s="8">
        <f t="shared" si="20"/>
        <v>3844</v>
      </c>
      <c r="S402" s="36">
        <f>VLOOKUP(R402,'Commission Criteria'!$L$3:$M$11,2,TRUE)</f>
        <v>0.01</v>
      </c>
      <c r="T402" s="36">
        <f>IF(P402&lt;5,VLOOKUP(R402,'Commission Criteria'!$L$3:$M$11,2,1),VLOOKUP('Order SUmmary'!R402,'Commission Criteria'!$P$3:$Q$11,2,1))</f>
        <v>0.01</v>
      </c>
      <c r="U402" s="36">
        <f>VLOOKUP(R402,IF(P402&lt;5,'Commission Criteria'!$L$3:$M$11,'Commission Criteria'!$P$3:$Q$11),2,1)</f>
        <v>0.01</v>
      </c>
      <c r="V402" s="8" t="s">
        <v>35</v>
      </c>
      <c r="W402" s="36">
        <f t="shared" ca="1" si="21"/>
        <v>0.02</v>
      </c>
      <c r="X402" s="8" t="str">
        <f>_xlfn.XLOOKUP(F402,'Product List'!$B$1:$B$299,'Product List'!$A$1:$A$299)</f>
        <v>Xerox 1997</v>
      </c>
      <c r="Y402" s="8"/>
      <c r="Z402" s="8" t="str" cm="1">
        <f t="array" ref="Z402:AD402">_xlfn.XLOOKUP(D402,'Customer Details'!$A$1:$A$17,'Customer Details'!$B$1:$F$17,"No such customer",0,1)</f>
        <v>Punj Lloyd Ltd.</v>
      </c>
      <c r="AA402" s="8" t="str">
        <v>Box 3263</v>
      </c>
      <c r="AB402" s="8" t="str">
        <v>South Windsor</v>
      </c>
      <c r="AC402" s="8" t="str">
        <v>CT</v>
      </c>
      <c r="AD402" s="8" t="str">
        <v>06074</v>
      </c>
    </row>
    <row r="403" spans="1:30">
      <c r="A403" s="8" t="s">
        <v>533</v>
      </c>
      <c r="B403" s="19">
        <v>41680</v>
      </c>
      <c r="C403" s="8" t="s">
        <v>66</v>
      </c>
      <c r="D403" s="8">
        <v>10003</v>
      </c>
      <c r="E403" s="8" t="str">
        <f>VLOOKUP($D403,'Customer Details'!$A$1:$F$17,4,FALSE)</f>
        <v>Miami</v>
      </c>
      <c r="F403" s="8" t="s">
        <v>524</v>
      </c>
      <c r="G403" s="8">
        <v>1</v>
      </c>
      <c r="H403" s="2" t="str">
        <f>VLOOKUP($D403,'Customer Details'!$A$1:$F$17,MATCH('Order SUmmary'!H$2,'Customer Details'!$A$1:$F$1,0),0)</f>
        <v>Honeywell Automation</v>
      </c>
      <c r="I403" s="2" t="str">
        <f>VLOOKUP($D403,'Customer Details'!$A$1:$F$17,4,0)</f>
        <v>Miami</v>
      </c>
      <c r="J403" s="2" t="str">
        <f>VLOOKUP($D403,'Customer Details'!$A$1:$F$17,6,0)</f>
        <v>33732</v>
      </c>
      <c r="K403" s="8" t="str">
        <f>VLOOKUP(VLOOKUP(D403,'Customer Details'!$A$1:$F$17,5,0),'Region INfo'!$A$1:$C$52,3,0)</f>
        <v>Southern</v>
      </c>
      <c r="L403" s="8" t="str">
        <f>INDEX(Product_List,MATCH($F403,'Product List'!$B$1:$B$299,0),MATCH('Order SUmmary'!L$2,'Product List'!$A$1:$E$1,0))</f>
        <v>Avery 495</v>
      </c>
      <c r="M403" s="8">
        <f>INDEX(Product_List,MATCH($F403,'Product List'!$B$1:$B$299,0),MATCH('Order SUmmary'!M$2,'Product List'!$A$1:$E$1,0))</f>
        <v>4542</v>
      </c>
      <c r="N403" s="8">
        <f>INDEX(Product_List,MATCH($F403,'Product List'!$B$1:$B$299,0),MATCH('Order SUmmary'!N$2,'Product List'!$A$1:$E$1,0))</f>
        <v>1226</v>
      </c>
      <c r="O403" s="8" t="str">
        <f>INDEX(Product_List,MATCH($F403,'Product List'!$B$1:$B$299,0),MATCH('Order SUmmary'!O$2,'Product List'!$A$1:$E$1,0))</f>
        <v>Labels</v>
      </c>
      <c r="P403" s="12">
        <f>HLOOKUP(C403,'Commission Criteria'!$A$2:$I$4,3,FALSE)</f>
        <v>5</v>
      </c>
      <c r="Q403" s="8">
        <f t="shared" si="19"/>
        <v>1226</v>
      </c>
      <c r="R403" s="8">
        <f t="shared" si="20"/>
        <v>4542</v>
      </c>
      <c r="S403" s="36">
        <f>VLOOKUP(R403,'Commission Criteria'!$L$3:$M$11,2,TRUE)</f>
        <v>0.01</v>
      </c>
      <c r="T403" s="36">
        <f>IF(P403&lt;5,VLOOKUP(R403,'Commission Criteria'!$L$3:$M$11,2,1),VLOOKUP('Order SUmmary'!R403,'Commission Criteria'!$P$3:$Q$11,2,1))</f>
        <v>0.02</v>
      </c>
      <c r="U403" s="36">
        <f>VLOOKUP(R403,IF(P403&lt;5,'Commission Criteria'!$L$3:$M$11,'Commission Criteria'!$P$3:$Q$11),2,1)</f>
        <v>0.02</v>
      </c>
      <c r="V403" s="8" t="s">
        <v>43</v>
      </c>
      <c r="W403" s="36">
        <f t="shared" ca="1" si="21"/>
        <v>0.03</v>
      </c>
      <c r="X403" s="8" t="str">
        <f>_xlfn.XLOOKUP(F403,'Product List'!$B$1:$B$299,'Product List'!$A$1:$A$299)</f>
        <v>Avery 495</v>
      </c>
      <c r="Y403" s="8"/>
      <c r="Z403" s="8" t="str" cm="1">
        <f t="array" ref="Z403:AD403">_xlfn.XLOOKUP(D403,'Customer Details'!$A$1:$A$17,'Customer Details'!$B$1:$F$17,"No such customer",0,1)</f>
        <v>Honeywell Automation</v>
      </c>
      <c r="AA403" s="8" t="str">
        <v>1272 Harbor Road</v>
      </c>
      <c r="AB403" s="8" t="str">
        <v>Miami</v>
      </c>
      <c r="AC403" s="8" t="str">
        <v>FL</v>
      </c>
      <c r="AD403" s="8" t="str">
        <v>33732</v>
      </c>
    </row>
    <row r="404" spans="1:30">
      <c r="A404" s="8" t="s">
        <v>534</v>
      </c>
      <c r="B404" s="19">
        <v>41681</v>
      </c>
      <c r="C404" s="8" t="s">
        <v>33</v>
      </c>
      <c r="D404" s="8">
        <v>10006</v>
      </c>
      <c r="E404" s="8" t="str">
        <f>VLOOKUP($D404,'Customer Details'!$A$1:$F$17,4,FALSE)</f>
        <v>Midland</v>
      </c>
      <c r="F404" s="8" t="s">
        <v>52</v>
      </c>
      <c r="G404" s="8">
        <v>1</v>
      </c>
      <c r="H404" s="2" t="str">
        <f>VLOOKUP($D404,'Customer Details'!$A$1:$F$17,MATCH('Order SUmmary'!H$2,'Customer Details'!$A$1:$F$1,0),0)</f>
        <v>Supreme Ind</v>
      </c>
      <c r="I404" s="2" t="str">
        <f>VLOOKUP($D404,'Customer Details'!$A$1:$F$17,4,0)</f>
        <v>Midland</v>
      </c>
      <c r="J404" s="2" t="str">
        <f>VLOOKUP($D404,'Customer Details'!$A$1:$F$17,6,0)</f>
        <v>79706</v>
      </c>
      <c r="K404" s="8" t="str">
        <f>VLOOKUP(VLOOKUP(D404,'Customer Details'!$A$1:$F$17,5,0),'Region INfo'!$A$1:$C$52,3,0)</f>
        <v>Western</v>
      </c>
      <c r="L404" s="8" t="str">
        <f>INDEX(Product_List,MATCH($F404,'Product List'!$B$1:$B$299,0),MATCH('Order SUmmary'!L$2,'Product List'!$A$1:$E$1,0))</f>
        <v>Avery 520</v>
      </c>
      <c r="M404" s="8">
        <f>INDEX(Product_List,MATCH($F404,'Product List'!$B$1:$B$299,0),MATCH('Order SUmmary'!M$2,'Product List'!$A$1:$E$1,0))</f>
        <v>2718</v>
      </c>
      <c r="N404" s="8">
        <f>INDEX(Product_List,MATCH($F404,'Product List'!$B$1:$B$299,0),MATCH('Order SUmmary'!N$2,'Product List'!$A$1:$E$1,0))</f>
        <v>2254</v>
      </c>
      <c r="O404" s="8" t="str">
        <f>INDEX(Product_List,MATCH($F404,'Product List'!$B$1:$B$299,0),MATCH('Order SUmmary'!O$2,'Product List'!$A$1:$E$1,0))</f>
        <v>Labels</v>
      </c>
      <c r="P404" s="12">
        <f>HLOOKUP(C404,'Commission Criteria'!$A$2:$I$4,3,FALSE)</f>
        <v>1</v>
      </c>
      <c r="Q404" s="8">
        <f t="shared" si="19"/>
        <v>2254</v>
      </c>
      <c r="R404" s="8">
        <f t="shared" si="20"/>
        <v>2718</v>
      </c>
      <c r="S404" s="36">
        <f>VLOOKUP(R404,'Commission Criteria'!$L$3:$M$11,2,TRUE)</f>
        <v>0.01</v>
      </c>
      <c r="T404" s="36">
        <f>IF(P404&lt;5,VLOOKUP(R404,'Commission Criteria'!$L$3:$M$11,2,1),VLOOKUP('Order SUmmary'!R404,'Commission Criteria'!$P$3:$Q$11,2,1))</f>
        <v>0.01</v>
      </c>
      <c r="U404" s="36">
        <f>VLOOKUP(R404,IF(P404&lt;5,'Commission Criteria'!$L$3:$M$11,'Commission Criteria'!$P$3:$Q$11),2,1)</f>
        <v>0.01</v>
      </c>
      <c r="V404" s="8" t="s">
        <v>29</v>
      </c>
      <c r="W404" s="36">
        <f t="shared" ca="1" si="21"/>
        <v>0.05</v>
      </c>
      <c r="X404" s="8" t="str">
        <f>_xlfn.XLOOKUP(F404,'Product List'!$B$1:$B$299,'Product List'!$A$1:$A$299)</f>
        <v>Avery 520</v>
      </c>
      <c r="Y404" s="8"/>
      <c r="Z404" s="8" t="str" cm="1">
        <f t="array" ref="Z404:AD404">_xlfn.XLOOKUP(D404,'Customer Details'!$A$1:$A$17,'Customer Details'!$B$1:$F$17,"No such customer",0,1)</f>
        <v>Supreme Ind</v>
      </c>
      <c r="AA404" s="8" t="str">
        <v>P.O. Box 1367</v>
      </c>
      <c r="AB404" s="8" t="str">
        <v>Midland</v>
      </c>
      <c r="AC404" s="8" t="str">
        <v>TX</v>
      </c>
      <c r="AD404" s="8" t="str">
        <v>79706</v>
      </c>
    </row>
    <row r="405" spans="1:30">
      <c r="A405" s="8" t="s">
        <v>534</v>
      </c>
      <c r="B405" s="19">
        <v>41681</v>
      </c>
      <c r="C405" s="8" t="s">
        <v>46</v>
      </c>
      <c r="D405" s="8">
        <v>10011</v>
      </c>
      <c r="E405" s="8" t="str">
        <f>VLOOKUP($D405,'Customer Details'!$A$1:$F$17,4,FALSE)</f>
        <v>Olympia</v>
      </c>
      <c r="F405" s="8" t="s">
        <v>535</v>
      </c>
      <c r="G405" s="8">
        <v>2</v>
      </c>
      <c r="H405" s="2" t="str">
        <f>VLOOKUP($D405,'Customer Details'!$A$1:$F$17,MATCH('Order SUmmary'!H$2,'Customer Details'!$A$1:$F$1,0),0)</f>
        <v>Sonata Software</v>
      </c>
      <c r="I405" s="2" t="str">
        <f>VLOOKUP($D405,'Customer Details'!$A$1:$F$17,4,0)</f>
        <v>Olympia</v>
      </c>
      <c r="J405" s="2" t="str">
        <f>VLOOKUP($D405,'Customer Details'!$A$1:$F$17,6,0)</f>
        <v>98502</v>
      </c>
      <c r="K405" s="8" t="str">
        <f>VLOOKUP(VLOOKUP(D405,'Customer Details'!$A$1:$F$17,5,0),'Region INfo'!$A$1:$C$52,3,0)</f>
        <v xml:space="preserve">Pacific   </v>
      </c>
      <c r="L405" s="8" t="str">
        <f>INDEX(Product_List,MATCH($F405,'Product List'!$B$1:$B$299,0),MATCH('Order SUmmary'!L$2,'Product List'!$A$1:$E$1,0))</f>
        <v>Newell 325</v>
      </c>
      <c r="M405" s="8">
        <f>INDEX(Product_List,MATCH($F405,'Product List'!$B$1:$B$299,0),MATCH('Order SUmmary'!M$2,'Product List'!$A$1:$E$1,0))</f>
        <v>4420</v>
      </c>
      <c r="N405" s="8">
        <f>INDEX(Product_List,MATCH($F405,'Product List'!$B$1:$B$299,0),MATCH('Order SUmmary'!N$2,'Product List'!$A$1:$E$1,0))</f>
        <v>1797</v>
      </c>
      <c r="O405" s="8" t="str">
        <f>INDEX(Product_List,MATCH($F405,'Product List'!$B$1:$B$299,0),MATCH('Order SUmmary'!O$2,'Product List'!$A$1:$E$1,0))</f>
        <v>Art</v>
      </c>
      <c r="P405" s="12">
        <f>HLOOKUP(C405,'Commission Criteria'!$A$2:$I$4,3,FALSE)</f>
        <v>8</v>
      </c>
      <c r="Q405" s="8">
        <f t="shared" si="19"/>
        <v>3594</v>
      </c>
      <c r="R405" s="8">
        <f t="shared" si="20"/>
        <v>8840</v>
      </c>
      <c r="S405" s="36">
        <f>VLOOKUP(R405,'Commission Criteria'!$L$3:$M$11,2,TRUE)</f>
        <v>0.03</v>
      </c>
      <c r="T405" s="36">
        <f>IF(P405&lt;5,VLOOKUP(R405,'Commission Criteria'!$L$3:$M$11,2,1),VLOOKUP('Order SUmmary'!R405,'Commission Criteria'!$P$3:$Q$11,2,1))</f>
        <v>0.02</v>
      </c>
      <c r="U405" s="36">
        <f>VLOOKUP(R405,IF(P405&lt;5,'Commission Criteria'!$L$3:$M$11,'Commission Criteria'!$P$3:$Q$11),2,1)</f>
        <v>0.02</v>
      </c>
      <c r="V405" s="8" t="s">
        <v>29</v>
      </c>
      <c r="W405" s="36">
        <f t="shared" ca="1" si="21"/>
        <v>0.04</v>
      </c>
      <c r="X405" s="8" t="str">
        <f>_xlfn.XLOOKUP(F405,'Product List'!$B$1:$B$299,'Product List'!$A$1:$A$299)</f>
        <v>Newell 325</v>
      </c>
      <c r="Y405" s="8"/>
      <c r="Z405" s="8" t="str" cm="1">
        <f t="array" ref="Z405:AD405">_xlfn.XLOOKUP(D405,'Customer Details'!$A$1:$A$17,'Customer Details'!$B$1:$F$17,"No such customer",0,1)</f>
        <v>Sonata Software</v>
      </c>
      <c r="AA405" s="8" t="str">
        <v>1331 Kimberly Dr.</v>
      </c>
      <c r="AB405" s="8" t="str">
        <v>Olympia</v>
      </c>
      <c r="AC405" s="8" t="str">
        <v>WA</v>
      </c>
      <c r="AD405" s="8" t="str">
        <v>98502</v>
      </c>
    </row>
    <row r="406" spans="1:30">
      <c r="A406" s="8" t="s">
        <v>536</v>
      </c>
      <c r="B406" s="19">
        <v>41683</v>
      </c>
      <c r="C406" s="8" t="s">
        <v>36</v>
      </c>
      <c r="D406" s="8">
        <v>10011</v>
      </c>
      <c r="E406" s="8" t="str">
        <f>VLOOKUP($D406,'Customer Details'!$A$1:$F$17,4,FALSE)</f>
        <v>Olympia</v>
      </c>
      <c r="F406" s="8" t="s">
        <v>537</v>
      </c>
      <c r="G406" s="8">
        <v>1</v>
      </c>
      <c r="H406" s="2" t="str">
        <f>VLOOKUP($D406,'Customer Details'!$A$1:$F$17,MATCH('Order SUmmary'!H$2,'Customer Details'!$A$1:$F$1,0),0)</f>
        <v>Sonata Software</v>
      </c>
      <c r="I406" s="2" t="str">
        <f>VLOOKUP($D406,'Customer Details'!$A$1:$F$17,4,0)</f>
        <v>Olympia</v>
      </c>
      <c r="J406" s="2" t="str">
        <f>VLOOKUP($D406,'Customer Details'!$A$1:$F$17,6,0)</f>
        <v>98502</v>
      </c>
      <c r="K406" s="8" t="str">
        <f>VLOOKUP(VLOOKUP(D406,'Customer Details'!$A$1:$F$17,5,0),'Region INfo'!$A$1:$C$52,3,0)</f>
        <v xml:space="preserve">Pacific   </v>
      </c>
      <c r="L406" s="8" t="str">
        <f>INDEX(Product_List,MATCH($F406,'Product List'!$B$1:$B$299,0),MATCH('Order SUmmary'!L$2,'Product List'!$A$1:$E$1,0))</f>
        <v>Xerox 210</v>
      </c>
      <c r="M406" s="8">
        <f>INDEX(Product_List,MATCH($F406,'Product List'!$B$1:$B$299,0),MATCH('Order SUmmary'!M$2,'Product List'!$A$1:$E$1,0))</f>
        <v>4669</v>
      </c>
      <c r="N406" s="8">
        <f>INDEX(Product_List,MATCH($F406,'Product List'!$B$1:$B$299,0),MATCH('Order SUmmary'!N$2,'Product List'!$A$1:$E$1,0))</f>
        <v>2255</v>
      </c>
      <c r="O406" s="8" t="str">
        <f>INDEX(Product_List,MATCH($F406,'Product List'!$B$1:$B$299,0),MATCH('Order SUmmary'!O$2,'Product List'!$A$1:$E$1,0))</f>
        <v>Paper</v>
      </c>
      <c r="P406" s="12">
        <f>HLOOKUP(C406,'Commission Criteria'!$A$2:$I$4,3,FALSE)</f>
        <v>6</v>
      </c>
      <c r="Q406" s="8">
        <f t="shared" si="19"/>
        <v>2255</v>
      </c>
      <c r="R406" s="8">
        <f t="shared" si="20"/>
        <v>4669</v>
      </c>
      <c r="S406" s="36">
        <f>VLOOKUP(R406,'Commission Criteria'!$L$3:$M$11,2,TRUE)</f>
        <v>0.01</v>
      </c>
      <c r="T406" s="36">
        <f>IF(P406&lt;5,VLOOKUP(R406,'Commission Criteria'!$L$3:$M$11,2,1),VLOOKUP('Order SUmmary'!R406,'Commission Criteria'!$P$3:$Q$11,2,1))</f>
        <v>0.02</v>
      </c>
      <c r="U406" s="36">
        <f>VLOOKUP(R406,IF(P406&lt;5,'Commission Criteria'!$L$3:$M$11,'Commission Criteria'!$P$3:$Q$11),2,1)</f>
        <v>0.02</v>
      </c>
      <c r="V406" s="8" t="s">
        <v>50</v>
      </c>
      <c r="W406" s="36">
        <f t="shared" ca="1" si="21"/>
        <v>0.04</v>
      </c>
      <c r="X406" s="8" t="str">
        <f>_xlfn.XLOOKUP(F406,'Product List'!$B$1:$B$299,'Product List'!$A$1:$A$299)</f>
        <v>Xerox 210</v>
      </c>
      <c r="Y406" s="8"/>
      <c r="Z406" s="8" t="str" cm="1">
        <f t="array" ref="Z406:AD406">_xlfn.XLOOKUP(D406,'Customer Details'!$A$1:$A$17,'Customer Details'!$B$1:$F$17,"No such customer",0,1)</f>
        <v>Sonata Software</v>
      </c>
      <c r="AA406" s="8" t="str">
        <v>1331 Kimberly Dr.</v>
      </c>
      <c r="AB406" s="8" t="str">
        <v>Olympia</v>
      </c>
      <c r="AC406" s="8" t="str">
        <v>WA</v>
      </c>
      <c r="AD406" s="8" t="str">
        <v>98502</v>
      </c>
    </row>
    <row r="407" spans="1:30">
      <c r="A407" s="8" t="s">
        <v>538</v>
      </c>
      <c r="B407" s="19">
        <v>41684</v>
      </c>
      <c r="C407" s="8" t="s">
        <v>33</v>
      </c>
      <c r="D407" s="8">
        <v>10008</v>
      </c>
      <c r="E407" s="8" t="str">
        <f>VLOOKUP($D407,'Customer Details'!$A$1:$F$17,4,FALSE)</f>
        <v>Chestnut Ridge</v>
      </c>
      <c r="F407" s="8" t="s">
        <v>522</v>
      </c>
      <c r="G407" s="8">
        <v>2</v>
      </c>
      <c r="H407" s="2" t="str">
        <f>VLOOKUP($D407,'Customer Details'!$A$1:$F$17,MATCH('Order SUmmary'!H$2,'Customer Details'!$A$1:$F$1,0),0)</f>
        <v>Reliance Industries Limited</v>
      </c>
      <c r="I407" s="2" t="str">
        <f>VLOOKUP($D407,'Customer Details'!$A$1:$F$17,4,0)</f>
        <v>Chestnut Ridge</v>
      </c>
      <c r="J407" s="2" t="str">
        <f>VLOOKUP($D407,'Customer Details'!$A$1:$F$17,6,0)</f>
        <v>10977</v>
      </c>
      <c r="K407" s="8" t="str">
        <f>VLOOKUP(VLOOKUP(D407,'Customer Details'!$A$1:$F$17,5,0),'Region INfo'!$A$1:$C$52,3,0)</f>
        <v xml:space="preserve">Northern </v>
      </c>
      <c r="L407" s="8" t="str">
        <f>INDEX(Product_List,MATCH($F407,'Product List'!$B$1:$B$299,0),MATCH('Order SUmmary'!L$2,'Product List'!$A$1:$E$1,0))</f>
        <v>HTC One</v>
      </c>
      <c r="M407" s="8">
        <f>INDEX(Product_List,MATCH($F407,'Product List'!$B$1:$B$299,0),MATCH('Order SUmmary'!M$2,'Product List'!$A$1:$E$1,0))</f>
        <v>3536</v>
      </c>
      <c r="N407" s="8">
        <f>INDEX(Product_List,MATCH($F407,'Product List'!$B$1:$B$299,0),MATCH('Order SUmmary'!N$2,'Product List'!$A$1:$E$1,0))</f>
        <v>1644</v>
      </c>
      <c r="O407" s="8" t="str">
        <f>INDEX(Product_List,MATCH($F407,'Product List'!$B$1:$B$299,0),MATCH('Order SUmmary'!O$2,'Product List'!$A$1:$E$1,0))</f>
        <v>Phones</v>
      </c>
      <c r="P407" s="12">
        <f>HLOOKUP(C407,'Commission Criteria'!$A$2:$I$4,3,FALSE)</f>
        <v>1</v>
      </c>
      <c r="Q407" s="8">
        <f t="shared" si="19"/>
        <v>3288</v>
      </c>
      <c r="R407" s="8">
        <f t="shared" si="20"/>
        <v>7072</v>
      </c>
      <c r="S407" s="36">
        <f>VLOOKUP(R407,'Commission Criteria'!$L$3:$M$11,2,TRUE)</f>
        <v>0.03</v>
      </c>
      <c r="T407" s="36">
        <f>IF(P407&lt;5,VLOOKUP(R407,'Commission Criteria'!$L$3:$M$11,2,1),VLOOKUP('Order SUmmary'!R407,'Commission Criteria'!$P$3:$Q$11,2,1))</f>
        <v>0.03</v>
      </c>
      <c r="U407" s="36">
        <f>VLOOKUP(R407,IF(P407&lt;5,'Commission Criteria'!$L$3:$M$11,'Commission Criteria'!$P$3:$Q$11),2,1)</f>
        <v>0.03</v>
      </c>
      <c r="V407" s="8" t="s">
        <v>35</v>
      </c>
      <c r="W407" s="36">
        <f t="shared" ca="1" si="21"/>
        <v>0.01</v>
      </c>
      <c r="X407" s="8" t="str">
        <f>_xlfn.XLOOKUP(F407,'Product List'!$B$1:$B$299,'Product List'!$A$1:$A$299)</f>
        <v>HTC One</v>
      </c>
      <c r="Y407" s="8"/>
      <c r="Z407" s="8" t="str" cm="1">
        <f t="array" ref="Z407:AD407">_xlfn.XLOOKUP(D407,'Customer Details'!$A$1:$A$17,'Customer Details'!$B$1:$F$17,"No such customer",0,1)</f>
        <v>Reliance Industries Limited</v>
      </c>
      <c r="AA407" s="8" t="str">
        <v>12020 Shamrock Rd., Suite 333</v>
      </c>
      <c r="AB407" s="8" t="str">
        <v>Chestnut Ridge</v>
      </c>
      <c r="AC407" s="8" t="str">
        <v>NY</v>
      </c>
      <c r="AD407" s="8" t="str">
        <v>10977</v>
      </c>
    </row>
    <row r="408" spans="1:30">
      <c r="A408" s="8" t="s">
        <v>538</v>
      </c>
      <c r="B408" s="19">
        <v>41684</v>
      </c>
      <c r="C408" s="8" t="s">
        <v>54</v>
      </c>
      <c r="D408" s="8">
        <v>10005</v>
      </c>
      <c r="E408" s="8" t="str">
        <f>VLOOKUP($D408,'Customer Details'!$A$1:$F$17,4,FALSE)</f>
        <v>Goleta</v>
      </c>
      <c r="F408" s="8" t="s">
        <v>539</v>
      </c>
      <c r="G408" s="8">
        <v>3</v>
      </c>
      <c r="H408" s="2" t="str">
        <f>VLOOKUP($D408,'Customer Details'!$A$1:$F$17,MATCH('Order SUmmary'!H$2,'Customer Details'!$A$1:$F$1,0),0)</f>
        <v>Fortis Healthcare Ltd.</v>
      </c>
      <c r="I408" s="2" t="str">
        <f>VLOOKUP($D408,'Customer Details'!$A$1:$F$17,4,0)</f>
        <v>Goleta</v>
      </c>
      <c r="J408" s="2" t="str">
        <f>VLOOKUP($D408,'Customer Details'!$A$1:$F$17,6,0)</f>
        <v>93117</v>
      </c>
      <c r="K408" s="8" t="str">
        <f>VLOOKUP(VLOOKUP(D408,'Customer Details'!$A$1:$F$17,5,0),'Region INfo'!$A$1:$C$52,3,0)</f>
        <v xml:space="preserve">Pacific   </v>
      </c>
      <c r="L408" s="8" t="str">
        <f>INDEX(Product_List,MATCH($F408,'Product List'!$B$1:$B$299,0),MATCH('Order SUmmary'!L$2,'Product List'!$A$1:$E$1,0))</f>
        <v>Xerox 220</v>
      </c>
      <c r="M408" s="8">
        <f>INDEX(Product_List,MATCH($F408,'Product List'!$B$1:$B$299,0),MATCH('Order SUmmary'!M$2,'Product List'!$A$1:$E$1,0))</f>
        <v>2714</v>
      </c>
      <c r="N408" s="8">
        <f>INDEX(Product_List,MATCH($F408,'Product List'!$B$1:$B$299,0),MATCH('Order SUmmary'!N$2,'Product List'!$A$1:$E$1,0))</f>
        <v>1975</v>
      </c>
      <c r="O408" s="8" t="str">
        <f>INDEX(Product_List,MATCH($F408,'Product List'!$B$1:$B$299,0),MATCH('Order SUmmary'!O$2,'Product List'!$A$1:$E$1,0))</f>
        <v>Paper</v>
      </c>
      <c r="P408" s="12">
        <f>HLOOKUP(C408,'Commission Criteria'!$A$2:$I$4,3,FALSE)</f>
        <v>3</v>
      </c>
      <c r="Q408" s="8">
        <f t="shared" si="19"/>
        <v>5925</v>
      </c>
      <c r="R408" s="8">
        <f t="shared" si="20"/>
        <v>8142</v>
      </c>
      <c r="S408" s="36">
        <f>VLOOKUP(R408,'Commission Criteria'!$L$3:$M$11,2,TRUE)</f>
        <v>0.03</v>
      </c>
      <c r="T408" s="36">
        <f>IF(P408&lt;5,VLOOKUP(R408,'Commission Criteria'!$L$3:$M$11,2,1),VLOOKUP('Order SUmmary'!R408,'Commission Criteria'!$P$3:$Q$11,2,1))</f>
        <v>0.03</v>
      </c>
      <c r="U408" s="36">
        <f>VLOOKUP(R408,IF(P408&lt;5,'Commission Criteria'!$L$3:$M$11,'Commission Criteria'!$P$3:$Q$11),2,1)</f>
        <v>0.03</v>
      </c>
      <c r="V408" s="8" t="s">
        <v>35</v>
      </c>
      <c r="W408" s="36">
        <f t="shared" ca="1" si="21"/>
        <v>0</v>
      </c>
      <c r="X408" s="8" t="str">
        <f>_xlfn.XLOOKUP(F408,'Product List'!$B$1:$B$299,'Product List'!$A$1:$A$299)</f>
        <v>Xerox 220</v>
      </c>
      <c r="Y408" s="8"/>
      <c r="Z408" s="8" t="str" cm="1">
        <f t="array" ref="Z408:AD408">_xlfn.XLOOKUP(D408,'Customer Details'!$A$1:$A$17,'Customer Details'!$B$1:$F$17,"No such customer",0,1)</f>
        <v>Fortis Healthcare Ltd.</v>
      </c>
      <c r="AA408" s="8" t="str">
        <v>14 Elsworthy Terrace</v>
      </c>
      <c r="AB408" s="8" t="str">
        <v>Goleta</v>
      </c>
      <c r="AC408" s="8" t="str">
        <v>CA</v>
      </c>
      <c r="AD408" s="8" t="str">
        <v>93117</v>
      </c>
    </row>
    <row r="409" spans="1:30">
      <c r="A409" s="8" t="s">
        <v>540</v>
      </c>
      <c r="B409" s="19">
        <v>41685</v>
      </c>
      <c r="C409" s="8" t="s">
        <v>51</v>
      </c>
      <c r="D409" s="8">
        <v>10002</v>
      </c>
      <c r="E409" s="8" t="str">
        <f>VLOOKUP($D409,'Customer Details'!$A$1:$F$17,4,FALSE)</f>
        <v>Omaha</v>
      </c>
      <c r="F409" s="8" t="s">
        <v>541</v>
      </c>
      <c r="G409" s="8">
        <v>1</v>
      </c>
      <c r="H409" s="2" t="str">
        <f>VLOOKUP($D409,'Customer Details'!$A$1:$F$17,MATCH('Order SUmmary'!H$2,'Customer Details'!$A$1:$F$1,0),0)</f>
        <v>Elder Pharmaceuticals</v>
      </c>
      <c r="I409" s="2" t="str">
        <f>VLOOKUP($D409,'Customer Details'!$A$1:$F$17,4,0)</f>
        <v>Omaha</v>
      </c>
      <c r="J409" s="2" t="str">
        <f>VLOOKUP($D409,'Customer Details'!$A$1:$F$17,6,0)</f>
        <v>68127</v>
      </c>
      <c r="K409" s="8" t="str">
        <f>VLOOKUP(VLOOKUP(D409,'Customer Details'!$A$1:$F$17,5,0),'Region INfo'!$A$1:$C$52,3,0)</f>
        <v>Western</v>
      </c>
      <c r="L409" s="8" t="str">
        <f>INDEX(Product_List,MATCH($F409,'Product List'!$B$1:$B$299,0),MATCH('Order SUmmary'!L$2,'Product List'!$A$1:$E$1,0))</f>
        <v>Xerox 221</v>
      </c>
      <c r="M409" s="8">
        <f>INDEX(Product_List,MATCH($F409,'Product List'!$B$1:$B$299,0),MATCH('Order SUmmary'!M$2,'Product List'!$A$1:$E$1,0))</f>
        <v>4152</v>
      </c>
      <c r="N409" s="8">
        <f>INDEX(Product_List,MATCH($F409,'Product List'!$B$1:$B$299,0),MATCH('Order SUmmary'!N$2,'Product List'!$A$1:$E$1,0))</f>
        <v>1278</v>
      </c>
      <c r="O409" s="8" t="str">
        <f>INDEX(Product_List,MATCH($F409,'Product List'!$B$1:$B$299,0),MATCH('Order SUmmary'!O$2,'Product List'!$A$1:$E$1,0))</f>
        <v>Paper</v>
      </c>
      <c r="P409" s="12">
        <f>HLOOKUP(C409,'Commission Criteria'!$A$2:$I$4,3,FALSE)</f>
        <v>10</v>
      </c>
      <c r="Q409" s="8">
        <f t="shared" si="19"/>
        <v>1278</v>
      </c>
      <c r="R409" s="8">
        <f t="shared" si="20"/>
        <v>4152</v>
      </c>
      <c r="S409" s="36">
        <f>VLOOKUP(R409,'Commission Criteria'!$L$3:$M$11,2,TRUE)</f>
        <v>0.01</v>
      </c>
      <c r="T409" s="36">
        <f>IF(P409&lt;5,VLOOKUP(R409,'Commission Criteria'!$L$3:$M$11,2,1),VLOOKUP('Order SUmmary'!R409,'Commission Criteria'!$P$3:$Q$11,2,1))</f>
        <v>0.02</v>
      </c>
      <c r="U409" s="36">
        <f>VLOOKUP(R409,IF(P409&lt;5,'Commission Criteria'!$L$3:$M$11,'Commission Criteria'!$P$3:$Q$11),2,1)</f>
        <v>0.02</v>
      </c>
      <c r="V409" s="8" t="s">
        <v>40</v>
      </c>
      <c r="W409" s="36">
        <f t="shared" ca="1" si="21"/>
        <v>0.01</v>
      </c>
      <c r="X409" s="8" t="str">
        <f>_xlfn.XLOOKUP(F409,'Product List'!$B$1:$B$299,'Product List'!$A$1:$A$299)</f>
        <v>Xerox 221</v>
      </c>
      <c r="Y409" s="8"/>
      <c r="Z409" s="8" t="str" cm="1">
        <f t="array" ref="Z409:AD409">_xlfn.XLOOKUP(D409,'Customer Details'!$A$1:$A$17,'Customer Details'!$B$1:$F$17,"No such customer",0,1)</f>
        <v>Elder Pharmaceuticals</v>
      </c>
      <c r="AA409" s="8" t="str">
        <v>57 Neriba Cres</v>
      </c>
      <c r="AB409" s="8" t="str">
        <v>Omaha</v>
      </c>
      <c r="AC409" s="8" t="str">
        <v>NE</v>
      </c>
      <c r="AD409" s="8" t="str">
        <v>68127</v>
      </c>
    </row>
    <row r="410" spans="1:30">
      <c r="A410" s="8" t="s">
        <v>542</v>
      </c>
      <c r="B410" s="19">
        <v>41686</v>
      </c>
      <c r="C410" s="8" t="s">
        <v>51</v>
      </c>
      <c r="D410" s="8">
        <v>10006</v>
      </c>
      <c r="E410" s="8" t="str">
        <f>VLOOKUP($D410,'Customer Details'!$A$1:$F$17,4,FALSE)</f>
        <v>Midland</v>
      </c>
      <c r="F410" s="8" t="s">
        <v>487</v>
      </c>
      <c r="G410" s="8">
        <v>1</v>
      </c>
      <c r="H410" s="2" t="str">
        <f>VLOOKUP($D410,'Customer Details'!$A$1:$F$17,MATCH('Order SUmmary'!H$2,'Customer Details'!$A$1:$F$1,0),0)</f>
        <v>Supreme Ind</v>
      </c>
      <c r="I410" s="2" t="str">
        <f>VLOOKUP($D410,'Customer Details'!$A$1:$F$17,4,0)</f>
        <v>Midland</v>
      </c>
      <c r="J410" s="2" t="str">
        <f>VLOOKUP($D410,'Customer Details'!$A$1:$F$17,6,0)</f>
        <v>79706</v>
      </c>
      <c r="K410" s="8" t="str">
        <f>VLOOKUP(VLOOKUP(D410,'Customer Details'!$A$1:$F$17,5,0),'Region INfo'!$A$1:$C$52,3,0)</f>
        <v>Western</v>
      </c>
      <c r="L410" s="8" t="str">
        <f>INDEX(Product_List,MATCH($F410,'Product List'!$B$1:$B$299,0),MATCH('Order SUmmary'!L$2,'Product List'!$A$1:$E$1,0))</f>
        <v>Xerox 1949</v>
      </c>
      <c r="M410" s="8">
        <f>INDEX(Product_List,MATCH($F410,'Product List'!$B$1:$B$299,0),MATCH('Order SUmmary'!M$2,'Product List'!$A$1:$E$1,0))</f>
        <v>3197</v>
      </c>
      <c r="N410" s="8">
        <f>INDEX(Product_List,MATCH($F410,'Product List'!$B$1:$B$299,0),MATCH('Order SUmmary'!N$2,'Product List'!$A$1:$E$1,0))</f>
        <v>1625</v>
      </c>
      <c r="O410" s="8" t="str">
        <f>INDEX(Product_List,MATCH($F410,'Product List'!$B$1:$B$299,0),MATCH('Order SUmmary'!O$2,'Product List'!$A$1:$E$1,0))</f>
        <v>Paper</v>
      </c>
      <c r="P410" s="12">
        <f>HLOOKUP(C410,'Commission Criteria'!$A$2:$I$4,3,FALSE)</f>
        <v>10</v>
      </c>
      <c r="Q410" s="8">
        <f t="shared" si="19"/>
        <v>1625</v>
      </c>
      <c r="R410" s="8">
        <f t="shared" si="20"/>
        <v>3197</v>
      </c>
      <c r="S410" s="36">
        <f>VLOOKUP(R410,'Commission Criteria'!$L$3:$M$11,2,TRUE)</f>
        <v>0.01</v>
      </c>
      <c r="T410" s="36">
        <f>IF(P410&lt;5,VLOOKUP(R410,'Commission Criteria'!$L$3:$M$11,2,1),VLOOKUP('Order SUmmary'!R410,'Commission Criteria'!$P$3:$Q$11,2,1))</f>
        <v>0.02</v>
      </c>
      <c r="U410" s="36">
        <f>VLOOKUP(R410,IF(P410&lt;5,'Commission Criteria'!$L$3:$M$11,'Commission Criteria'!$P$3:$Q$11),2,1)</f>
        <v>0.02</v>
      </c>
      <c r="V410" s="8" t="s">
        <v>35</v>
      </c>
      <c r="W410" s="36">
        <f t="shared" ca="1" si="21"/>
        <v>0.05</v>
      </c>
      <c r="X410" s="8" t="str">
        <f>_xlfn.XLOOKUP(F410,'Product List'!$B$1:$B$299,'Product List'!$A$1:$A$299)</f>
        <v>Xerox 1949</v>
      </c>
      <c r="Y410" s="8"/>
      <c r="Z410" s="8" t="str" cm="1">
        <f t="array" ref="Z410:AD410">_xlfn.XLOOKUP(D410,'Customer Details'!$A$1:$A$17,'Customer Details'!$B$1:$F$17,"No such customer",0,1)</f>
        <v>Supreme Ind</v>
      </c>
      <c r="AA410" s="8" t="str">
        <v>P.O. Box 1367</v>
      </c>
      <c r="AB410" s="8" t="str">
        <v>Midland</v>
      </c>
      <c r="AC410" s="8" t="str">
        <v>TX</v>
      </c>
      <c r="AD410" s="8" t="str">
        <v>79706</v>
      </c>
    </row>
    <row r="411" spans="1:30">
      <c r="A411" s="8" t="s">
        <v>543</v>
      </c>
      <c r="B411" s="19">
        <v>41688</v>
      </c>
      <c r="C411" s="8" t="s">
        <v>33</v>
      </c>
      <c r="D411" s="8">
        <v>10008</v>
      </c>
      <c r="E411" s="8" t="str">
        <f>VLOOKUP($D411,'Customer Details'!$A$1:$F$17,4,FALSE)</f>
        <v>Chestnut Ridge</v>
      </c>
      <c r="F411" s="8" t="s">
        <v>64</v>
      </c>
      <c r="G411" s="8">
        <v>1</v>
      </c>
      <c r="H411" s="2" t="str">
        <f>VLOOKUP($D411,'Customer Details'!$A$1:$F$17,MATCH('Order SUmmary'!H$2,'Customer Details'!$A$1:$F$1,0),0)</f>
        <v>Reliance Industries Limited</v>
      </c>
      <c r="I411" s="2" t="str">
        <f>VLOOKUP($D411,'Customer Details'!$A$1:$F$17,4,0)</f>
        <v>Chestnut Ridge</v>
      </c>
      <c r="J411" s="2" t="str">
        <f>VLOOKUP($D411,'Customer Details'!$A$1:$F$17,6,0)</f>
        <v>10977</v>
      </c>
      <c r="K411" s="8" t="str">
        <f>VLOOKUP(VLOOKUP(D411,'Customer Details'!$A$1:$F$17,5,0),'Region INfo'!$A$1:$C$52,3,0)</f>
        <v xml:space="preserve">Northern </v>
      </c>
      <c r="L411" s="8" t="str">
        <f>INDEX(Product_List,MATCH($F411,'Product List'!$B$1:$B$299,0),MATCH('Order SUmmary'!L$2,'Product List'!$A$1:$E$1,0))</f>
        <v>Xerox 226</v>
      </c>
      <c r="M411" s="8">
        <f>INDEX(Product_List,MATCH($F411,'Product List'!$B$1:$B$299,0),MATCH('Order SUmmary'!M$2,'Product List'!$A$1:$E$1,0))</f>
        <v>3256</v>
      </c>
      <c r="N411" s="8">
        <f>INDEX(Product_List,MATCH($F411,'Product List'!$B$1:$B$299,0),MATCH('Order SUmmary'!N$2,'Product List'!$A$1:$E$1,0))</f>
        <v>1772</v>
      </c>
      <c r="O411" s="8" t="str">
        <f>INDEX(Product_List,MATCH($F411,'Product List'!$B$1:$B$299,0),MATCH('Order SUmmary'!O$2,'Product List'!$A$1:$E$1,0))</f>
        <v>Paper</v>
      </c>
      <c r="P411" s="12">
        <f>HLOOKUP(C411,'Commission Criteria'!$A$2:$I$4,3,FALSE)</f>
        <v>1</v>
      </c>
      <c r="Q411" s="8">
        <f t="shared" si="19"/>
        <v>1772</v>
      </c>
      <c r="R411" s="8">
        <f t="shared" si="20"/>
        <v>3256</v>
      </c>
      <c r="S411" s="36">
        <f>VLOOKUP(R411,'Commission Criteria'!$L$3:$M$11,2,TRUE)</f>
        <v>0.01</v>
      </c>
      <c r="T411" s="36">
        <f>IF(P411&lt;5,VLOOKUP(R411,'Commission Criteria'!$L$3:$M$11,2,1),VLOOKUP('Order SUmmary'!R411,'Commission Criteria'!$P$3:$Q$11,2,1))</f>
        <v>0.01</v>
      </c>
      <c r="U411" s="36">
        <f>VLOOKUP(R411,IF(P411&lt;5,'Commission Criteria'!$L$3:$M$11,'Commission Criteria'!$P$3:$Q$11),2,1)</f>
        <v>0.01</v>
      </c>
      <c r="V411" s="8" t="s">
        <v>35</v>
      </c>
      <c r="W411" s="36">
        <f t="shared" ca="1" si="21"/>
        <v>0.04</v>
      </c>
      <c r="X411" s="8" t="str">
        <f>_xlfn.XLOOKUP(F411,'Product List'!$B$1:$B$299,'Product List'!$A$1:$A$299)</f>
        <v>Xerox 226</v>
      </c>
      <c r="Y411" s="8"/>
      <c r="Z411" s="8" t="str" cm="1">
        <f t="array" ref="Z411:AD411">_xlfn.XLOOKUP(D411,'Customer Details'!$A$1:$A$17,'Customer Details'!$B$1:$F$17,"No such customer",0,1)</f>
        <v>Reliance Industries Limited</v>
      </c>
      <c r="AA411" s="8" t="str">
        <v>12020 Shamrock Rd., Suite 333</v>
      </c>
      <c r="AB411" s="8" t="str">
        <v>Chestnut Ridge</v>
      </c>
      <c r="AC411" s="8" t="str">
        <v>NY</v>
      </c>
      <c r="AD411" s="8" t="str">
        <v>10977</v>
      </c>
    </row>
    <row r="412" spans="1:30">
      <c r="A412" s="8" t="s">
        <v>544</v>
      </c>
      <c r="B412" s="19">
        <v>41688</v>
      </c>
      <c r="C412" s="8" t="s">
        <v>33</v>
      </c>
      <c r="D412" s="8">
        <v>10007</v>
      </c>
      <c r="E412" s="8" t="str">
        <f>VLOOKUP($D412,'Customer Details'!$A$1:$F$17,4,FALSE)</f>
        <v>Richmond</v>
      </c>
      <c r="F412" s="8" t="s">
        <v>545</v>
      </c>
      <c r="G412" s="8">
        <v>3</v>
      </c>
      <c r="H412" s="2" t="str">
        <f>VLOOKUP($D412,'Customer Details'!$A$1:$F$17,MATCH('Order SUmmary'!H$2,'Customer Details'!$A$1:$F$1,0),0)</f>
        <v>GHCL Ltd.</v>
      </c>
      <c r="I412" s="2" t="str">
        <f>VLOOKUP($D412,'Customer Details'!$A$1:$F$17,4,0)</f>
        <v>Richmond</v>
      </c>
      <c r="J412" s="2" t="str">
        <f>VLOOKUP($D412,'Customer Details'!$A$1:$F$17,6,0)</f>
        <v>94805</v>
      </c>
      <c r="K412" s="8" t="str">
        <f>VLOOKUP(VLOOKUP(D412,'Customer Details'!$A$1:$F$17,5,0),'Region INfo'!$A$1:$C$52,3,0)</f>
        <v xml:space="preserve">Pacific   </v>
      </c>
      <c r="L412" s="8" t="str">
        <f>INDEX(Product_List,MATCH($F412,'Product List'!$B$1:$B$299,0),MATCH('Order SUmmary'!L$2,'Product List'!$A$1:$E$1,0))</f>
        <v>Xerox 227</v>
      </c>
      <c r="M412" s="8">
        <f>INDEX(Product_List,MATCH($F412,'Product List'!$B$1:$B$299,0),MATCH('Order SUmmary'!M$2,'Product List'!$A$1:$E$1,0))</f>
        <v>3827</v>
      </c>
      <c r="N412" s="8">
        <f>INDEX(Product_List,MATCH($F412,'Product List'!$B$1:$B$299,0),MATCH('Order SUmmary'!N$2,'Product List'!$A$1:$E$1,0))</f>
        <v>2424</v>
      </c>
      <c r="O412" s="8" t="str">
        <f>INDEX(Product_List,MATCH($F412,'Product List'!$B$1:$B$299,0),MATCH('Order SUmmary'!O$2,'Product List'!$A$1:$E$1,0))</f>
        <v>Paper</v>
      </c>
      <c r="P412" s="12">
        <f>HLOOKUP(C412,'Commission Criteria'!$A$2:$I$4,3,FALSE)</f>
        <v>1</v>
      </c>
      <c r="Q412" s="8">
        <f t="shared" si="19"/>
        <v>7272</v>
      </c>
      <c r="R412" s="8">
        <f t="shared" si="20"/>
        <v>11481</v>
      </c>
      <c r="S412" s="36">
        <f>VLOOKUP(R412,'Commission Criteria'!$L$3:$M$11,2,TRUE)</f>
        <v>0.03</v>
      </c>
      <c r="T412" s="36">
        <f>IF(P412&lt;5,VLOOKUP(R412,'Commission Criteria'!$L$3:$M$11,2,1),VLOOKUP('Order SUmmary'!R412,'Commission Criteria'!$P$3:$Q$11,2,1))</f>
        <v>0.03</v>
      </c>
      <c r="U412" s="36">
        <f>VLOOKUP(R412,IF(P412&lt;5,'Commission Criteria'!$L$3:$M$11,'Commission Criteria'!$P$3:$Q$11),2,1)</f>
        <v>0.03</v>
      </c>
      <c r="V412" s="8" t="s">
        <v>29</v>
      </c>
      <c r="W412" s="36">
        <f t="shared" ca="1" si="21"/>
        <v>0.05</v>
      </c>
      <c r="X412" s="8" t="str">
        <f>_xlfn.XLOOKUP(F412,'Product List'!$B$1:$B$299,'Product List'!$A$1:$A$299)</f>
        <v>Xerox 227</v>
      </c>
      <c r="Y412" s="8"/>
      <c r="Z412" s="8" t="str" cm="1">
        <f t="array" ref="Z412:AD412">_xlfn.XLOOKUP(D412,'Customer Details'!$A$1:$A$17,'Customer Details'!$B$1:$F$17,"No such customer",0,1)</f>
        <v>GHCL Ltd.</v>
      </c>
      <c r="AA412" s="8" t="str">
        <v>58 Clarence St</v>
      </c>
      <c r="AB412" s="8" t="str">
        <v>Richmond</v>
      </c>
      <c r="AC412" s="8" t="str">
        <v>CA</v>
      </c>
      <c r="AD412" s="8" t="str">
        <v>94805</v>
      </c>
    </row>
    <row r="413" spans="1:30">
      <c r="A413" s="8" t="s">
        <v>546</v>
      </c>
      <c r="B413" s="19">
        <v>41689</v>
      </c>
      <c r="C413" s="8" t="s">
        <v>27</v>
      </c>
      <c r="D413" s="8">
        <v>10003</v>
      </c>
      <c r="E413" s="8" t="str">
        <f>VLOOKUP($D413,'Customer Details'!$A$1:$F$17,4,FALSE)</f>
        <v>Miami</v>
      </c>
      <c r="F413" s="8" t="s">
        <v>128</v>
      </c>
      <c r="G413" s="8">
        <v>3</v>
      </c>
      <c r="H413" s="2" t="str">
        <f>VLOOKUP($D413,'Customer Details'!$A$1:$F$17,MATCH('Order SUmmary'!H$2,'Customer Details'!$A$1:$F$1,0),0)</f>
        <v>Honeywell Automation</v>
      </c>
      <c r="I413" s="2" t="str">
        <f>VLOOKUP($D413,'Customer Details'!$A$1:$F$17,4,0)</f>
        <v>Miami</v>
      </c>
      <c r="J413" s="2" t="str">
        <f>VLOOKUP($D413,'Customer Details'!$A$1:$F$17,6,0)</f>
        <v>33732</v>
      </c>
      <c r="K413" s="8" t="str">
        <f>VLOOKUP(VLOOKUP(D413,'Customer Details'!$A$1:$F$17,5,0),'Region INfo'!$A$1:$C$52,3,0)</f>
        <v>Southern</v>
      </c>
      <c r="L413" s="8" t="str">
        <f>INDEX(Product_List,MATCH($F413,'Product List'!$B$1:$B$299,0),MATCH('Order SUmmary'!L$2,'Product List'!$A$1:$E$1,0))</f>
        <v>Xerox 19</v>
      </c>
      <c r="M413" s="8">
        <f>INDEX(Product_List,MATCH($F413,'Product List'!$B$1:$B$299,0),MATCH('Order SUmmary'!M$2,'Product List'!$A$1:$E$1,0))</f>
        <v>4845</v>
      </c>
      <c r="N413" s="8">
        <f>INDEX(Product_List,MATCH($F413,'Product List'!$B$1:$B$299,0),MATCH('Order SUmmary'!N$2,'Product List'!$A$1:$E$1,0))</f>
        <v>1433</v>
      </c>
      <c r="O413" s="8" t="str">
        <f>INDEX(Product_List,MATCH($F413,'Product List'!$B$1:$B$299,0),MATCH('Order SUmmary'!O$2,'Product List'!$A$1:$E$1,0))</f>
        <v>Paper</v>
      </c>
      <c r="P413" s="12">
        <f>HLOOKUP(C413,'Commission Criteria'!$A$2:$I$4,3,FALSE)</f>
        <v>4</v>
      </c>
      <c r="Q413" s="8">
        <f t="shared" si="19"/>
        <v>4299</v>
      </c>
      <c r="R413" s="8">
        <f t="shared" si="20"/>
        <v>14535</v>
      </c>
      <c r="S413" s="36">
        <f>VLOOKUP(R413,'Commission Criteria'!$L$3:$M$11,2,TRUE)</f>
        <v>0.03</v>
      </c>
      <c r="T413" s="36">
        <f>IF(P413&lt;5,VLOOKUP(R413,'Commission Criteria'!$L$3:$M$11,2,1),VLOOKUP('Order SUmmary'!R413,'Commission Criteria'!$P$3:$Q$11,2,1))</f>
        <v>0.03</v>
      </c>
      <c r="U413" s="36">
        <f>VLOOKUP(R413,IF(P413&lt;5,'Commission Criteria'!$L$3:$M$11,'Commission Criteria'!$P$3:$Q$11),2,1)</f>
        <v>0.03</v>
      </c>
      <c r="V413" s="8" t="s">
        <v>29</v>
      </c>
      <c r="W413" s="36">
        <f t="shared" ca="1" si="21"/>
        <v>0.01</v>
      </c>
      <c r="X413" s="8" t="str">
        <f>_xlfn.XLOOKUP(F413,'Product List'!$B$1:$B$299,'Product List'!$A$1:$A$299)</f>
        <v>Xerox 19</v>
      </c>
      <c r="Y413" s="8"/>
      <c r="Z413" s="8" t="str" cm="1">
        <f t="array" ref="Z413:AD413">_xlfn.XLOOKUP(D413,'Customer Details'!$A$1:$A$17,'Customer Details'!$B$1:$F$17,"No such customer",0,1)</f>
        <v>Honeywell Automation</v>
      </c>
      <c r="AA413" s="8" t="str">
        <v>1272 Harbor Road</v>
      </c>
      <c r="AB413" s="8" t="str">
        <v>Miami</v>
      </c>
      <c r="AC413" s="8" t="str">
        <v>FL</v>
      </c>
      <c r="AD413" s="8" t="str">
        <v>33732</v>
      </c>
    </row>
    <row r="414" spans="1:30">
      <c r="A414" s="8" t="s">
        <v>546</v>
      </c>
      <c r="B414" s="19">
        <v>41691</v>
      </c>
      <c r="C414" s="8" t="s">
        <v>27</v>
      </c>
      <c r="D414" s="8">
        <v>10014</v>
      </c>
      <c r="E414" s="8" t="str">
        <f>VLOOKUP($D414,'Customer Details'!$A$1:$F$17,4,FALSE)</f>
        <v>Honolulu</v>
      </c>
      <c r="F414" s="8" t="s">
        <v>352</v>
      </c>
      <c r="G414" s="8">
        <v>1</v>
      </c>
      <c r="H414" s="2" t="str">
        <f>VLOOKUP($D414,'Customer Details'!$A$1:$F$17,MATCH('Order SUmmary'!H$2,'Customer Details'!$A$1:$F$1,0),0)</f>
        <v>Hindusthan National Glass &amp; Industries Ltd.</v>
      </c>
      <c r="I414" s="2" t="str">
        <f>VLOOKUP($D414,'Customer Details'!$A$1:$F$17,4,0)</f>
        <v>Honolulu</v>
      </c>
      <c r="J414" s="2" t="str">
        <f>VLOOKUP($D414,'Customer Details'!$A$1:$F$17,6,0)</f>
        <v>96825</v>
      </c>
      <c r="K414" s="8" t="str">
        <f>VLOOKUP(VLOOKUP(D414,'Customer Details'!$A$1:$F$17,5,0),'Region INfo'!$A$1:$C$52,3,0)</f>
        <v xml:space="preserve">Pacific   </v>
      </c>
      <c r="L414" s="8" t="str">
        <f>INDEX(Product_List,MATCH($F414,'Product List'!$B$1:$B$299,0),MATCH('Order SUmmary'!L$2,'Product List'!$A$1:$E$1,0))</f>
        <v>Avery 501</v>
      </c>
      <c r="M414" s="8">
        <f>INDEX(Product_List,MATCH($F414,'Product List'!$B$1:$B$299,0),MATCH('Order SUmmary'!M$2,'Product List'!$A$1:$E$1,0))</f>
        <v>3295</v>
      </c>
      <c r="N414" s="8">
        <f>INDEX(Product_List,MATCH($F414,'Product List'!$B$1:$B$299,0),MATCH('Order SUmmary'!N$2,'Product List'!$A$1:$E$1,0))</f>
        <v>1841</v>
      </c>
      <c r="O414" s="8" t="str">
        <f>INDEX(Product_List,MATCH($F414,'Product List'!$B$1:$B$299,0),MATCH('Order SUmmary'!O$2,'Product List'!$A$1:$E$1,0))</f>
        <v>Labels</v>
      </c>
      <c r="P414" s="12">
        <f>HLOOKUP(C414,'Commission Criteria'!$A$2:$I$4,3,FALSE)</f>
        <v>4</v>
      </c>
      <c r="Q414" s="8">
        <f t="shared" si="19"/>
        <v>1841</v>
      </c>
      <c r="R414" s="8">
        <f t="shared" si="20"/>
        <v>3295</v>
      </c>
      <c r="S414" s="36">
        <f>VLOOKUP(R414,'Commission Criteria'!$L$3:$M$11,2,TRUE)</f>
        <v>0.01</v>
      </c>
      <c r="T414" s="36">
        <f>IF(P414&lt;5,VLOOKUP(R414,'Commission Criteria'!$L$3:$M$11,2,1),VLOOKUP('Order SUmmary'!R414,'Commission Criteria'!$P$3:$Q$11,2,1))</f>
        <v>0.01</v>
      </c>
      <c r="U414" s="36">
        <f>VLOOKUP(R414,IF(P414&lt;5,'Commission Criteria'!$L$3:$M$11,'Commission Criteria'!$P$3:$Q$11),2,1)</f>
        <v>0.01</v>
      </c>
      <c r="V414" s="8" t="s">
        <v>40</v>
      </c>
      <c r="W414" s="36">
        <f t="shared" ca="1" si="21"/>
        <v>0.01</v>
      </c>
      <c r="X414" s="8" t="str">
        <f>_xlfn.XLOOKUP(F414,'Product List'!$B$1:$B$299,'Product List'!$A$1:$A$299)</f>
        <v>Avery 501</v>
      </c>
      <c r="Y414" s="8"/>
      <c r="Z414" s="8" t="str" cm="1">
        <f t="array" ref="Z414:AD414">_xlfn.XLOOKUP(D414,'Customer Details'!$A$1:$A$17,'Customer Details'!$B$1:$F$17,"No such customer",0,1)</f>
        <v>Hindusthan National Glass &amp; Industries Ltd.</v>
      </c>
      <c r="AA414" s="8" t="str">
        <v>11 Cathy St.</v>
      </c>
      <c r="AB414" s="8" t="str">
        <v>Honolulu</v>
      </c>
      <c r="AC414" s="8" t="str">
        <v>HI</v>
      </c>
      <c r="AD414" s="8" t="str">
        <v>96825</v>
      </c>
    </row>
    <row r="415" spans="1:30">
      <c r="A415" s="8" t="s">
        <v>547</v>
      </c>
      <c r="B415" s="19">
        <v>41691</v>
      </c>
      <c r="C415" s="8" t="s">
        <v>54</v>
      </c>
      <c r="D415" s="8">
        <v>10015</v>
      </c>
      <c r="E415" s="8" t="str">
        <f>VLOOKUP($D415,'Customer Details'!$A$1:$F$17,4,FALSE)</f>
        <v>South Windsor</v>
      </c>
      <c r="F415" s="8" t="s">
        <v>232</v>
      </c>
      <c r="G415" s="8">
        <v>3</v>
      </c>
      <c r="H415" s="2" t="str">
        <f>VLOOKUP($D415,'Customer Details'!$A$1:$F$17,MATCH('Order SUmmary'!H$2,'Customer Details'!$A$1:$F$1,0),0)</f>
        <v>Punj Lloyd Ltd.</v>
      </c>
      <c r="I415" s="2" t="str">
        <f>VLOOKUP($D415,'Customer Details'!$A$1:$F$17,4,0)</f>
        <v>South Windsor</v>
      </c>
      <c r="J415" s="2" t="str">
        <f>VLOOKUP($D415,'Customer Details'!$A$1:$F$17,6,0)</f>
        <v>06074</v>
      </c>
      <c r="K415" s="8" t="str">
        <f>VLOOKUP(VLOOKUP(D415,'Customer Details'!$A$1:$F$17,5,0),'Region INfo'!$A$1:$C$52,3,0)</f>
        <v xml:space="preserve">Northern </v>
      </c>
      <c r="L415" s="8" t="str">
        <f>INDEX(Product_List,MATCH($F415,'Product List'!$B$1:$B$299,0),MATCH('Order SUmmary'!L$2,'Product List'!$A$1:$E$1,0))</f>
        <v>Xerox 1914</v>
      </c>
      <c r="M415" s="8">
        <f>INDEX(Product_List,MATCH($F415,'Product List'!$B$1:$B$299,0),MATCH('Order SUmmary'!M$2,'Product List'!$A$1:$E$1,0))</f>
        <v>3508</v>
      </c>
      <c r="N415" s="8">
        <f>INDEX(Product_List,MATCH($F415,'Product List'!$B$1:$B$299,0),MATCH('Order SUmmary'!N$2,'Product List'!$A$1:$E$1,0))</f>
        <v>1212</v>
      </c>
      <c r="O415" s="8" t="str">
        <f>INDEX(Product_List,MATCH($F415,'Product List'!$B$1:$B$299,0),MATCH('Order SUmmary'!O$2,'Product List'!$A$1:$E$1,0))</f>
        <v>Paper</v>
      </c>
      <c r="P415" s="12">
        <f>HLOOKUP(C415,'Commission Criteria'!$A$2:$I$4,3,FALSE)</f>
        <v>3</v>
      </c>
      <c r="Q415" s="8">
        <f t="shared" si="19"/>
        <v>3636</v>
      </c>
      <c r="R415" s="8">
        <f t="shared" si="20"/>
        <v>10524</v>
      </c>
      <c r="S415" s="36">
        <f>VLOOKUP(R415,'Commission Criteria'!$L$3:$M$11,2,TRUE)</f>
        <v>0.03</v>
      </c>
      <c r="T415" s="36">
        <f>IF(P415&lt;5,VLOOKUP(R415,'Commission Criteria'!$L$3:$M$11,2,1),VLOOKUP('Order SUmmary'!R415,'Commission Criteria'!$P$3:$Q$11,2,1))</f>
        <v>0.03</v>
      </c>
      <c r="U415" s="36">
        <f>VLOOKUP(R415,IF(P415&lt;5,'Commission Criteria'!$L$3:$M$11,'Commission Criteria'!$P$3:$Q$11),2,1)</f>
        <v>0.03</v>
      </c>
      <c r="V415" s="8" t="s">
        <v>40</v>
      </c>
      <c r="W415" s="36">
        <f t="shared" ca="1" si="21"/>
        <v>0.01</v>
      </c>
      <c r="X415" s="8" t="str">
        <f>_xlfn.XLOOKUP(F415,'Product List'!$B$1:$B$299,'Product List'!$A$1:$A$299)</f>
        <v>Xerox 1914</v>
      </c>
      <c r="Y415" s="8"/>
      <c r="Z415" s="8" t="str" cm="1">
        <f t="array" ref="Z415:AD415">_xlfn.XLOOKUP(D415,'Customer Details'!$A$1:$A$17,'Customer Details'!$B$1:$F$17,"No such customer",0,1)</f>
        <v>Punj Lloyd Ltd.</v>
      </c>
      <c r="AA415" s="8" t="str">
        <v>Box 3263</v>
      </c>
      <c r="AB415" s="8" t="str">
        <v>South Windsor</v>
      </c>
      <c r="AC415" s="8" t="str">
        <v>CT</v>
      </c>
      <c r="AD415" s="8" t="str">
        <v>06074</v>
      </c>
    </row>
    <row r="416" spans="1:30">
      <c r="A416" s="8" t="s">
        <v>548</v>
      </c>
      <c r="B416" s="19">
        <v>41692</v>
      </c>
      <c r="C416" s="8" t="s">
        <v>36</v>
      </c>
      <c r="D416" s="8">
        <v>10001</v>
      </c>
      <c r="E416" s="8" t="str">
        <f>VLOOKUP($D416,'Customer Details'!$A$1:$F$17,4,FALSE)</f>
        <v>New York</v>
      </c>
      <c r="F416" s="8" t="s">
        <v>154</v>
      </c>
      <c r="G416" s="8">
        <v>3</v>
      </c>
      <c r="H416" s="2" t="str">
        <f>VLOOKUP($D416,'Customer Details'!$A$1:$F$17,MATCH('Order SUmmary'!H$2,'Customer Details'!$A$1:$F$1,0),0)</f>
        <v>Chambal Fertilisers and Chemicals Ltd.</v>
      </c>
      <c r="I416" s="2" t="str">
        <f>VLOOKUP($D416,'Customer Details'!$A$1:$F$17,4,0)</f>
        <v>New York</v>
      </c>
      <c r="J416" s="2" t="str">
        <f>VLOOKUP($D416,'Customer Details'!$A$1:$F$17,6,0)</f>
        <v>10025</v>
      </c>
      <c r="K416" s="8" t="str">
        <f>VLOOKUP(VLOOKUP(D416,'Customer Details'!$A$1:$F$17,5,0),'Region INfo'!$A$1:$C$52,3,0)</f>
        <v xml:space="preserve">Northern </v>
      </c>
      <c r="L416" s="8" t="str">
        <f>INDEX(Product_List,MATCH($F416,'Product List'!$B$1:$B$299,0),MATCH('Order SUmmary'!L$2,'Product List'!$A$1:$E$1,0))</f>
        <v>Xerox 228</v>
      </c>
      <c r="M416" s="8">
        <f>INDEX(Product_List,MATCH($F416,'Product List'!$B$1:$B$299,0),MATCH('Order SUmmary'!M$2,'Product List'!$A$1:$E$1,0))</f>
        <v>3912</v>
      </c>
      <c r="N416" s="8">
        <f>INDEX(Product_List,MATCH($F416,'Product List'!$B$1:$B$299,0),MATCH('Order SUmmary'!N$2,'Product List'!$A$1:$E$1,0))</f>
        <v>1569</v>
      </c>
      <c r="O416" s="8" t="str">
        <f>INDEX(Product_List,MATCH($F416,'Product List'!$B$1:$B$299,0),MATCH('Order SUmmary'!O$2,'Product List'!$A$1:$E$1,0))</f>
        <v>Paper</v>
      </c>
      <c r="P416" s="12">
        <f>HLOOKUP(C416,'Commission Criteria'!$A$2:$I$4,3,FALSE)</f>
        <v>6</v>
      </c>
      <c r="Q416" s="8">
        <f t="shared" si="19"/>
        <v>4707</v>
      </c>
      <c r="R416" s="8">
        <f t="shared" si="20"/>
        <v>11736</v>
      </c>
      <c r="S416" s="36">
        <f>VLOOKUP(R416,'Commission Criteria'!$L$3:$M$11,2,TRUE)</f>
        <v>0.03</v>
      </c>
      <c r="T416" s="36">
        <f>IF(P416&lt;5,VLOOKUP(R416,'Commission Criteria'!$L$3:$M$11,2,1),VLOOKUP('Order SUmmary'!R416,'Commission Criteria'!$P$3:$Q$11,2,1))</f>
        <v>0.02</v>
      </c>
      <c r="U416" s="36">
        <f>VLOOKUP(R416,IF(P416&lt;5,'Commission Criteria'!$L$3:$M$11,'Commission Criteria'!$P$3:$Q$11),2,1)</f>
        <v>0.02</v>
      </c>
      <c r="V416" s="8" t="s">
        <v>29</v>
      </c>
      <c r="W416" s="36">
        <f t="shared" ca="1" si="21"/>
        <v>0.02</v>
      </c>
      <c r="X416" s="8" t="str">
        <f>_xlfn.XLOOKUP(F416,'Product List'!$B$1:$B$299,'Product List'!$A$1:$A$299)</f>
        <v>Xerox 228</v>
      </c>
      <c r="Y416" s="8"/>
      <c r="Z416" s="8" t="str" cm="1">
        <f t="array" ref="Z416:AD416">_xlfn.XLOOKUP(D416,'Customer Details'!$A$1:$A$17,'Customer Details'!$B$1:$F$17,"No such customer",0,1)</f>
        <v>Chambal Fertilisers and Chemicals Ltd.</v>
      </c>
      <c r="AA416" s="8" t="str">
        <v>4951 Indiana Ave.</v>
      </c>
      <c r="AB416" s="8" t="str">
        <v>New York</v>
      </c>
      <c r="AC416" s="8" t="str">
        <v>NY</v>
      </c>
      <c r="AD416" s="8" t="str">
        <v>10025</v>
      </c>
    </row>
    <row r="417" spans="1:30">
      <c r="A417" s="8" t="s">
        <v>549</v>
      </c>
      <c r="B417" s="19">
        <v>41695</v>
      </c>
      <c r="C417" s="8" t="s">
        <v>44</v>
      </c>
      <c r="D417" s="8">
        <v>10014</v>
      </c>
      <c r="E417" s="8" t="str">
        <f>VLOOKUP($D417,'Customer Details'!$A$1:$F$17,4,FALSE)</f>
        <v>Honolulu</v>
      </c>
      <c r="F417" s="8" t="s">
        <v>74</v>
      </c>
      <c r="G417" s="8">
        <v>2</v>
      </c>
      <c r="H417" s="2" t="str">
        <f>VLOOKUP($D417,'Customer Details'!$A$1:$F$17,MATCH('Order SUmmary'!H$2,'Customer Details'!$A$1:$F$1,0),0)</f>
        <v>Hindusthan National Glass &amp; Industries Ltd.</v>
      </c>
      <c r="I417" s="2" t="str">
        <f>VLOOKUP($D417,'Customer Details'!$A$1:$F$17,4,0)</f>
        <v>Honolulu</v>
      </c>
      <c r="J417" s="2" t="str">
        <f>VLOOKUP($D417,'Customer Details'!$A$1:$F$17,6,0)</f>
        <v>96825</v>
      </c>
      <c r="K417" s="8" t="str">
        <f>VLOOKUP(VLOOKUP(D417,'Customer Details'!$A$1:$F$17,5,0),'Region INfo'!$A$1:$C$52,3,0)</f>
        <v xml:space="preserve">Pacific   </v>
      </c>
      <c r="L417" s="8" t="str">
        <f>INDEX(Product_List,MATCH($F417,'Product List'!$B$1:$B$299,0),MATCH('Order SUmmary'!L$2,'Product List'!$A$1:$E$1,0))</f>
        <v>Newell 310</v>
      </c>
      <c r="M417" s="8">
        <f>INDEX(Product_List,MATCH($F417,'Product List'!$B$1:$B$299,0),MATCH('Order SUmmary'!M$2,'Product List'!$A$1:$E$1,0))</f>
        <v>3463</v>
      </c>
      <c r="N417" s="8">
        <f>INDEX(Product_List,MATCH($F417,'Product List'!$B$1:$B$299,0),MATCH('Order SUmmary'!N$2,'Product List'!$A$1:$E$1,0))</f>
        <v>1964</v>
      </c>
      <c r="O417" s="8" t="str">
        <f>INDEX(Product_List,MATCH($F417,'Product List'!$B$1:$B$299,0),MATCH('Order SUmmary'!O$2,'Product List'!$A$1:$E$1,0))</f>
        <v>Art</v>
      </c>
      <c r="P417" s="12">
        <f>HLOOKUP(C417,'Commission Criteria'!$A$2:$I$4,3,FALSE)</f>
        <v>4</v>
      </c>
      <c r="Q417" s="8">
        <f t="shared" si="19"/>
        <v>3928</v>
      </c>
      <c r="R417" s="8">
        <f t="shared" si="20"/>
        <v>6926</v>
      </c>
      <c r="S417" s="36">
        <f>VLOOKUP(R417,'Commission Criteria'!$L$3:$M$11,2,TRUE)</f>
        <v>0.03</v>
      </c>
      <c r="T417" s="36">
        <f>IF(P417&lt;5,VLOOKUP(R417,'Commission Criteria'!$L$3:$M$11,2,1),VLOOKUP('Order SUmmary'!R417,'Commission Criteria'!$P$3:$Q$11,2,1))</f>
        <v>0.03</v>
      </c>
      <c r="U417" s="36">
        <f>VLOOKUP(R417,IF(P417&lt;5,'Commission Criteria'!$L$3:$M$11,'Commission Criteria'!$P$3:$Q$11),2,1)</f>
        <v>0.03</v>
      </c>
      <c r="V417" s="8" t="s">
        <v>35</v>
      </c>
      <c r="W417" s="36">
        <f t="shared" ca="1" si="21"/>
        <v>0.03</v>
      </c>
      <c r="X417" s="8" t="str">
        <f>_xlfn.XLOOKUP(F417,'Product List'!$B$1:$B$299,'Product List'!$A$1:$A$299)</f>
        <v>Newell 310</v>
      </c>
      <c r="Y417" s="8"/>
      <c r="Z417" s="8" t="str" cm="1">
        <f t="array" ref="Z417:AD417">_xlfn.XLOOKUP(D417,'Customer Details'!$A$1:$A$17,'Customer Details'!$B$1:$F$17,"No such customer",0,1)</f>
        <v>Hindusthan National Glass &amp; Industries Ltd.</v>
      </c>
      <c r="AA417" s="8" t="str">
        <v>11 Cathy St.</v>
      </c>
      <c r="AB417" s="8" t="str">
        <v>Honolulu</v>
      </c>
      <c r="AC417" s="8" t="str">
        <v>HI</v>
      </c>
      <c r="AD417" s="8" t="str">
        <v>96825</v>
      </c>
    </row>
    <row r="418" spans="1:30">
      <c r="A418" s="8" t="s">
        <v>550</v>
      </c>
      <c r="B418" s="19">
        <v>41695</v>
      </c>
      <c r="C418" s="8" t="s">
        <v>46</v>
      </c>
      <c r="D418" s="8">
        <v>10005</v>
      </c>
      <c r="E418" s="8" t="str">
        <f>VLOOKUP($D418,'Customer Details'!$A$1:$F$17,4,FALSE)</f>
        <v>Goleta</v>
      </c>
      <c r="F418" s="8" t="s">
        <v>436</v>
      </c>
      <c r="G418" s="8">
        <v>2</v>
      </c>
      <c r="H418" s="2" t="str">
        <f>VLOOKUP($D418,'Customer Details'!$A$1:$F$17,MATCH('Order SUmmary'!H$2,'Customer Details'!$A$1:$F$1,0),0)</f>
        <v>Fortis Healthcare Ltd.</v>
      </c>
      <c r="I418" s="2" t="str">
        <f>VLOOKUP($D418,'Customer Details'!$A$1:$F$17,4,0)</f>
        <v>Goleta</v>
      </c>
      <c r="J418" s="2" t="str">
        <f>VLOOKUP($D418,'Customer Details'!$A$1:$F$17,6,0)</f>
        <v>93117</v>
      </c>
      <c r="K418" s="8" t="str">
        <f>VLOOKUP(VLOOKUP(D418,'Customer Details'!$A$1:$F$17,5,0),'Region INfo'!$A$1:$C$52,3,0)</f>
        <v xml:space="preserve">Pacific   </v>
      </c>
      <c r="L418" s="8" t="str">
        <f>INDEX(Product_List,MATCH($F418,'Product List'!$B$1:$B$299,0),MATCH('Order SUmmary'!L$2,'Product List'!$A$1:$E$1,0))</f>
        <v>Newell 338</v>
      </c>
      <c r="M418" s="8">
        <f>INDEX(Product_List,MATCH($F418,'Product List'!$B$1:$B$299,0),MATCH('Order SUmmary'!M$2,'Product List'!$A$1:$E$1,0))</f>
        <v>3686</v>
      </c>
      <c r="N418" s="8">
        <f>INDEX(Product_List,MATCH($F418,'Product List'!$B$1:$B$299,0),MATCH('Order SUmmary'!N$2,'Product List'!$A$1:$E$1,0))</f>
        <v>2401</v>
      </c>
      <c r="O418" s="8" t="str">
        <f>INDEX(Product_List,MATCH($F418,'Product List'!$B$1:$B$299,0),MATCH('Order SUmmary'!O$2,'Product List'!$A$1:$E$1,0))</f>
        <v>Art</v>
      </c>
      <c r="P418" s="12">
        <f>HLOOKUP(C418,'Commission Criteria'!$A$2:$I$4,3,FALSE)</f>
        <v>8</v>
      </c>
      <c r="Q418" s="8">
        <f t="shared" si="19"/>
        <v>4802</v>
      </c>
      <c r="R418" s="8">
        <f t="shared" si="20"/>
        <v>7372</v>
      </c>
      <c r="S418" s="36">
        <f>VLOOKUP(R418,'Commission Criteria'!$L$3:$M$11,2,TRUE)</f>
        <v>0.03</v>
      </c>
      <c r="T418" s="36">
        <f>IF(P418&lt;5,VLOOKUP(R418,'Commission Criteria'!$L$3:$M$11,2,1),VLOOKUP('Order SUmmary'!R418,'Commission Criteria'!$P$3:$Q$11,2,1))</f>
        <v>0.02</v>
      </c>
      <c r="U418" s="36">
        <f>VLOOKUP(R418,IF(P418&lt;5,'Commission Criteria'!$L$3:$M$11,'Commission Criteria'!$P$3:$Q$11),2,1)</f>
        <v>0.02</v>
      </c>
      <c r="V418" s="8" t="s">
        <v>43</v>
      </c>
      <c r="W418" s="36">
        <f t="shared" ca="1" si="21"/>
        <v>0.04</v>
      </c>
      <c r="X418" s="8" t="str">
        <f>_xlfn.XLOOKUP(F418,'Product List'!$B$1:$B$299,'Product List'!$A$1:$A$299)</f>
        <v>Newell 338</v>
      </c>
      <c r="Y418" s="8"/>
      <c r="Z418" s="8" t="str" cm="1">
        <f t="array" ref="Z418:AD418">_xlfn.XLOOKUP(D418,'Customer Details'!$A$1:$A$17,'Customer Details'!$B$1:$F$17,"No such customer",0,1)</f>
        <v>Fortis Healthcare Ltd.</v>
      </c>
      <c r="AA418" s="8" t="str">
        <v>14 Elsworthy Terrace</v>
      </c>
      <c r="AB418" s="8" t="str">
        <v>Goleta</v>
      </c>
      <c r="AC418" s="8" t="str">
        <v>CA</v>
      </c>
      <c r="AD418" s="8" t="str">
        <v>93117</v>
      </c>
    </row>
    <row r="419" spans="1:30">
      <c r="A419" s="8" t="s">
        <v>549</v>
      </c>
      <c r="B419" s="19">
        <v>41695</v>
      </c>
      <c r="C419" s="8" t="s">
        <v>36</v>
      </c>
      <c r="D419" s="8">
        <v>10002</v>
      </c>
      <c r="E419" s="8" t="str">
        <f>VLOOKUP($D419,'Customer Details'!$A$1:$F$17,4,FALSE)</f>
        <v>Omaha</v>
      </c>
      <c r="F419" s="8" t="s">
        <v>39</v>
      </c>
      <c r="G419" s="8">
        <v>3</v>
      </c>
      <c r="H419" s="2" t="str">
        <f>VLOOKUP($D419,'Customer Details'!$A$1:$F$17,MATCH('Order SUmmary'!H$2,'Customer Details'!$A$1:$F$1,0),0)</f>
        <v>Elder Pharmaceuticals</v>
      </c>
      <c r="I419" s="2" t="str">
        <f>VLOOKUP($D419,'Customer Details'!$A$1:$F$17,4,0)</f>
        <v>Omaha</v>
      </c>
      <c r="J419" s="2" t="str">
        <f>VLOOKUP($D419,'Customer Details'!$A$1:$F$17,6,0)</f>
        <v>68127</v>
      </c>
      <c r="K419" s="8" t="str">
        <f>VLOOKUP(VLOOKUP(D419,'Customer Details'!$A$1:$F$17,5,0),'Region INfo'!$A$1:$C$52,3,0)</f>
        <v>Western</v>
      </c>
      <c r="L419" s="8" t="str">
        <f>INDEX(Product_List,MATCH($F419,'Product List'!$B$1:$B$299,0),MATCH('Order SUmmary'!L$2,'Product List'!$A$1:$E$1,0))</f>
        <v>Xerox 1890</v>
      </c>
      <c r="M419" s="8">
        <f>INDEX(Product_List,MATCH($F419,'Product List'!$B$1:$B$299,0),MATCH('Order SUmmary'!M$2,'Product List'!$A$1:$E$1,0))</f>
        <v>3878</v>
      </c>
      <c r="N419" s="8">
        <f>INDEX(Product_List,MATCH($F419,'Product List'!$B$1:$B$299,0),MATCH('Order SUmmary'!N$2,'Product List'!$A$1:$E$1,0))</f>
        <v>2236</v>
      </c>
      <c r="O419" s="8" t="str">
        <f>INDEX(Product_List,MATCH($F419,'Product List'!$B$1:$B$299,0),MATCH('Order SUmmary'!O$2,'Product List'!$A$1:$E$1,0))</f>
        <v>Paper</v>
      </c>
      <c r="P419" s="12">
        <f>HLOOKUP(C419,'Commission Criteria'!$A$2:$I$4,3,FALSE)</f>
        <v>6</v>
      </c>
      <c r="Q419" s="8">
        <f t="shared" si="19"/>
        <v>6708</v>
      </c>
      <c r="R419" s="8">
        <f t="shared" si="20"/>
        <v>11634</v>
      </c>
      <c r="S419" s="36">
        <f>VLOOKUP(R419,'Commission Criteria'!$L$3:$M$11,2,TRUE)</f>
        <v>0.03</v>
      </c>
      <c r="T419" s="36">
        <f>IF(P419&lt;5,VLOOKUP(R419,'Commission Criteria'!$L$3:$M$11,2,1),VLOOKUP('Order SUmmary'!R419,'Commission Criteria'!$P$3:$Q$11,2,1))</f>
        <v>0.02</v>
      </c>
      <c r="U419" s="36">
        <f>VLOOKUP(R419,IF(P419&lt;5,'Commission Criteria'!$L$3:$M$11,'Commission Criteria'!$P$3:$Q$11),2,1)</f>
        <v>0.02</v>
      </c>
      <c r="V419" s="8" t="s">
        <v>43</v>
      </c>
      <c r="W419" s="36">
        <f t="shared" ca="1" si="21"/>
        <v>0.05</v>
      </c>
      <c r="X419" s="8" t="str">
        <f>_xlfn.XLOOKUP(F419,'Product List'!$B$1:$B$299,'Product List'!$A$1:$A$299)</f>
        <v>Xerox 1890</v>
      </c>
      <c r="Y419" s="8"/>
      <c r="Z419" s="8" t="str" cm="1">
        <f t="array" ref="Z419:AD419">_xlfn.XLOOKUP(D419,'Customer Details'!$A$1:$A$17,'Customer Details'!$B$1:$F$17,"No such customer",0,1)</f>
        <v>Elder Pharmaceuticals</v>
      </c>
      <c r="AA419" s="8" t="str">
        <v>57 Neriba Cres</v>
      </c>
      <c r="AB419" s="8" t="str">
        <v>Omaha</v>
      </c>
      <c r="AC419" s="8" t="str">
        <v>NE</v>
      </c>
      <c r="AD419" s="8" t="str">
        <v>68127</v>
      </c>
    </row>
    <row r="420" spans="1:30">
      <c r="A420" s="8" t="s">
        <v>551</v>
      </c>
      <c r="B420" s="19">
        <v>41696</v>
      </c>
      <c r="C420" s="8" t="s">
        <v>36</v>
      </c>
      <c r="D420" s="8">
        <v>10007</v>
      </c>
      <c r="E420" s="8" t="str">
        <f>VLOOKUP($D420,'Customer Details'!$A$1:$F$17,4,FALSE)</f>
        <v>Richmond</v>
      </c>
      <c r="F420" s="8" t="s">
        <v>90</v>
      </c>
      <c r="G420" s="8">
        <v>2</v>
      </c>
      <c r="H420" s="2" t="str">
        <f>VLOOKUP($D420,'Customer Details'!$A$1:$F$17,MATCH('Order SUmmary'!H$2,'Customer Details'!$A$1:$F$1,0),0)</f>
        <v>GHCL Ltd.</v>
      </c>
      <c r="I420" s="2" t="str">
        <f>VLOOKUP($D420,'Customer Details'!$A$1:$F$17,4,0)</f>
        <v>Richmond</v>
      </c>
      <c r="J420" s="2" t="str">
        <f>VLOOKUP($D420,'Customer Details'!$A$1:$F$17,6,0)</f>
        <v>94805</v>
      </c>
      <c r="K420" s="8" t="str">
        <f>VLOOKUP(VLOOKUP(D420,'Customer Details'!$A$1:$F$17,5,0),'Region INfo'!$A$1:$C$52,3,0)</f>
        <v xml:space="preserve">Pacific   </v>
      </c>
      <c r="L420" s="8" t="str">
        <f>INDEX(Product_List,MATCH($F420,'Product List'!$B$1:$B$299,0),MATCH('Order SUmmary'!L$2,'Product List'!$A$1:$E$1,0))</f>
        <v>Xerox 1974</v>
      </c>
      <c r="M420" s="8">
        <f>INDEX(Product_List,MATCH($F420,'Product List'!$B$1:$B$299,0),MATCH('Order SUmmary'!M$2,'Product List'!$A$1:$E$1,0))</f>
        <v>2734</v>
      </c>
      <c r="N420" s="8">
        <f>INDEX(Product_List,MATCH($F420,'Product List'!$B$1:$B$299,0),MATCH('Order SUmmary'!N$2,'Product List'!$A$1:$E$1,0))</f>
        <v>1596</v>
      </c>
      <c r="O420" s="8" t="str">
        <f>INDEX(Product_List,MATCH($F420,'Product List'!$B$1:$B$299,0),MATCH('Order SUmmary'!O$2,'Product List'!$A$1:$E$1,0))</f>
        <v>Paper</v>
      </c>
      <c r="P420" s="12">
        <f>HLOOKUP(C420,'Commission Criteria'!$A$2:$I$4,3,FALSE)</f>
        <v>6</v>
      </c>
      <c r="Q420" s="8">
        <f t="shared" si="19"/>
        <v>3192</v>
      </c>
      <c r="R420" s="8">
        <f t="shared" si="20"/>
        <v>5468</v>
      </c>
      <c r="S420" s="36">
        <f>VLOOKUP(R420,'Commission Criteria'!$L$3:$M$11,2,TRUE)</f>
        <v>0.03</v>
      </c>
      <c r="T420" s="36">
        <f>IF(P420&lt;5,VLOOKUP(R420,'Commission Criteria'!$L$3:$M$11,2,1),VLOOKUP('Order SUmmary'!R420,'Commission Criteria'!$P$3:$Q$11,2,1))</f>
        <v>0.02</v>
      </c>
      <c r="U420" s="36">
        <f>VLOOKUP(R420,IF(P420&lt;5,'Commission Criteria'!$L$3:$M$11,'Commission Criteria'!$P$3:$Q$11),2,1)</f>
        <v>0.02</v>
      </c>
      <c r="V420" s="8" t="s">
        <v>50</v>
      </c>
      <c r="W420" s="36">
        <f t="shared" ca="1" si="21"/>
        <v>0.01</v>
      </c>
      <c r="X420" s="8" t="str">
        <f>_xlfn.XLOOKUP(F420,'Product List'!$B$1:$B$299,'Product List'!$A$1:$A$299)</f>
        <v>Xerox 1974</v>
      </c>
      <c r="Y420" s="8"/>
      <c r="Z420" s="8" t="str" cm="1">
        <f t="array" ref="Z420:AD420">_xlfn.XLOOKUP(D420,'Customer Details'!$A$1:$A$17,'Customer Details'!$B$1:$F$17,"No such customer",0,1)</f>
        <v>GHCL Ltd.</v>
      </c>
      <c r="AA420" s="8" t="str">
        <v>58 Clarence St</v>
      </c>
      <c r="AB420" s="8" t="str">
        <v>Richmond</v>
      </c>
      <c r="AC420" s="8" t="str">
        <v>CA</v>
      </c>
      <c r="AD420" s="8" t="str">
        <v>94805</v>
      </c>
    </row>
    <row r="421" spans="1:30">
      <c r="A421" s="8" t="s">
        <v>551</v>
      </c>
      <c r="B421" s="19">
        <v>41696</v>
      </c>
      <c r="C421" s="8" t="s">
        <v>27</v>
      </c>
      <c r="D421" s="8">
        <v>10004</v>
      </c>
      <c r="E421" s="8" t="str">
        <f>VLOOKUP($D421,'Customer Details'!$A$1:$F$17,4,FALSE)</f>
        <v>New York</v>
      </c>
      <c r="F421" s="8" t="s">
        <v>371</v>
      </c>
      <c r="G421" s="8">
        <v>3</v>
      </c>
      <c r="H421" s="2" t="str">
        <f>VLOOKUP($D421,'Customer Details'!$A$1:$F$17,MATCH('Order SUmmary'!H$2,'Customer Details'!$A$1:$F$1,0),0)</f>
        <v>Lupin Ltd.</v>
      </c>
      <c r="I421" s="2" t="str">
        <f>VLOOKUP($D421,'Customer Details'!$A$1:$F$17,4,0)</f>
        <v>New York</v>
      </c>
      <c r="J421" s="2" t="str">
        <f>VLOOKUP($D421,'Customer Details'!$A$1:$F$17,6,0)</f>
        <v>10019</v>
      </c>
      <c r="K421" s="8" t="str">
        <f>VLOOKUP(VLOOKUP(D421,'Customer Details'!$A$1:$F$17,5,0),'Region INfo'!$A$1:$C$52,3,0)</f>
        <v xml:space="preserve">Northern </v>
      </c>
      <c r="L421" s="8" t="str">
        <f>INDEX(Product_List,MATCH($F421,'Product List'!$B$1:$B$299,0),MATCH('Order SUmmary'!L$2,'Product List'!$A$1:$E$1,0))</f>
        <v>Xerox 1968</v>
      </c>
      <c r="M421" s="8">
        <f>INDEX(Product_List,MATCH($F421,'Product List'!$B$1:$B$299,0),MATCH('Order SUmmary'!M$2,'Product List'!$A$1:$E$1,0))</f>
        <v>3413</v>
      </c>
      <c r="N421" s="8">
        <f>INDEX(Product_List,MATCH($F421,'Product List'!$B$1:$B$299,0),MATCH('Order SUmmary'!N$2,'Product List'!$A$1:$E$1,0))</f>
        <v>1700</v>
      </c>
      <c r="O421" s="8" t="str">
        <f>INDEX(Product_List,MATCH($F421,'Product List'!$B$1:$B$299,0),MATCH('Order SUmmary'!O$2,'Product List'!$A$1:$E$1,0))</f>
        <v>Paper</v>
      </c>
      <c r="P421" s="12">
        <f>HLOOKUP(C421,'Commission Criteria'!$A$2:$I$4,3,FALSE)</f>
        <v>4</v>
      </c>
      <c r="Q421" s="8">
        <f t="shared" si="19"/>
        <v>5100</v>
      </c>
      <c r="R421" s="8">
        <f t="shared" si="20"/>
        <v>10239</v>
      </c>
      <c r="S421" s="36">
        <f>VLOOKUP(R421,'Commission Criteria'!$L$3:$M$11,2,TRUE)</f>
        <v>0.03</v>
      </c>
      <c r="T421" s="36">
        <f>IF(P421&lt;5,VLOOKUP(R421,'Commission Criteria'!$L$3:$M$11,2,1),VLOOKUP('Order SUmmary'!R421,'Commission Criteria'!$P$3:$Q$11,2,1))</f>
        <v>0.03</v>
      </c>
      <c r="U421" s="36">
        <f>VLOOKUP(R421,IF(P421&lt;5,'Commission Criteria'!$L$3:$M$11,'Commission Criteria'!$P$3:$Q$11),2,1)</f>
        <v>0.03</v>
      </c>
      <c r="V421" s="8" t="s">
        <v>40</v>
      </c>
      <c r="W421" s="36">
        <f t="shared" ca="1" si="21"/>
        <v>0.05</v>
      </c>
      <c r="X421" s="8" t="str">
        <f>_xlfn.XLOOKUP(F421,'Product List'!$B$1:$B$299,'Product List'!$A$1:$A$299)</f>
        <v>Xerox 1968</v>
      </c>
      <c r="Y421" s="8"/>
      <c r="Z421" s="8" t="str" cm="1">
        <f t="array" ref="Z421:AD421">_xlfn.XLOOKUP(D421,'Customer Details'!$A$1:$A$17,'Customer Details'!$B$1:$F$17,"No such customer",0,1)</f>
        <v>Lupin Ltd.</v>
      </c>
      <c r="AA421" s="8" t="str">
        <v>Abbey Wood</v>
      </c>
      <c r="AB421" s="8" t="str">
        <v>New York</v>
      </c>
      <c r="AC421" s="8" t="str">
        <v>NY</v>
      </c>
      <c r="AD421" s="8" t="str">
        <v>10019</v>
      </c>
    </row>
    <row r="422" spans="1:30">
      <c r="A422" s="8" t="s">
        <v>552</v>
      </c>
      <c r="B422" s="19">
        <v>41697</v>
      </c>
      <c r="C422" s="8" t="s">
        <v>36</v>
      </c>
      <c r="D422" s="8">
        <v>10009</v>
      </c>
      <c r="E422" s="8" t="str">
        <f>VLOOKUP($D422,'Customer Details'!$A$1:$F$17,4,FALSE)</f>
        <v>Salt Lake City</v>
      </c>
      <c r="F422" s="8" t="s">
        <v>257</v>
      </c>
      <c r="G422" s="8">
        <v>3</v>
      </c>
      <c r="H422" s="2" t="str">
        <f>VLOOKUP($D422,'Customer Details'!$A$1:$F$17,MATCH('Order SUmmary'!H$2,'Customer Details'!$A$1:$F$1,0),0)</f>
        <v>Godfrey Philips India Ltd.</v>
      </c>
      <c r="I422" s="2" t="str">
        <f>VLOOKUP($D422,'Customer Details'!$A$1:$F$17,4,0)</f>
        <v>Salt Lake City</v>
      </c>
      <c r="J422" s="2" t="str">
        <f>VLOOKUP($D422,'Customer Details'!$A$1:$F$17,6,0)</f>
        <v>84118</v>
      </c>
      <c r="K422" s="8" t="str">
        <f>VLOOKUP(VLOOKUP(D422,'Customer Details'!$A$1:$F$17,5,0),'Region INfo'!$A$1:$C$52,3,0)</f>
        <v xml:space="preserve">Pacific   </v>
      </c>
      <c r="L422" s="8" t="str">
        <f>INDEX(Product_List,MATCH($F422,'Product List'!$B$1:$B$299,0),MATCH('Order SUmmary'!L$2,'Product List'!$A$1:$E$1,0))</f>
        <v>Xerox 1977</v>
      </c>
      <c r="M422" s="8">
        <f>INDEX(Product_List,MATCH($F422,'Product List'!$B$1:$B$299,0),MATCH('Order SUmmary'!M$2,'Product List'!$A$1:$E$1,0))</f>
        <v>3649</v>
      </c>
      <c r="N422" s="8">
        <f>INDEX(Product_List,MATCH($F422,'Product List'!$B$1:$B$299,0),MATCH('Order SUmmary'!N$2,'Product List'!$A$1:$E$1,0))</f>
        <v>2295</v>
      </c>
      <c r="O422" s="8" t="str">
        <f>INDEX(Product_List,MATCH($F422,'Product List'!$B$1:$B$299,0),MATCH('Order SUmmary'!O$2,'Product List'!$A$1:$E$1,0))</f>
        <v>Paper</v>
      </c>
      <c r="P422" s="12">
        <f>HLOOKUP(C422,'Commission Criteria'!$A$2:$I$4,3,FALSE)</f>
        <v>6</v>
      </c>
      <c r="Q422" s="8">
        <f t="shared" si="19"/>
        <v>6885</v>
      </c>
      <c r="R422" s="8">
        <f t="shared" si="20"/>
        <v>10947</v>
      </c>
      <c r="S422" s="36">
        <f>VLOOKUP(R422,'Commission Criteria'!$L$3:$M$11,2,TRUE)</f>
        <v>0.03</v>
      </c>
      <c r="T422" s="36">
        <f>IF(P422&lt;5,VLOOKUP(R422,'Commission Criteria'!$L$3:$M$11,2,1),VLOOKUP('Order SUmmary'!R422,'Commission Criteria'!$P$3:$Q$11,2,1))</f>
        <v>0.02</v>
      </c>
      <c r="U422" s="36">
        <f>VLOOKUP(R422,IF(P422&lt;5,'Commission Criteria'!$L$3:$M$11,'Commission Criteria'!$P$3:$Q$11),2,1)</f>
        <v>0.02</v>
      </c>
      <c r="V422" s="8" t="s">
        <v>43</v>
      </c>
      <c r="W422" s="36">
        <f t="shared" ca="1" si="21"/>
        <v>0.04</v>
      </c>
      <c r="X422" s="8" t="str">
        <f>_xlfn.XLOOKUP(F422,'Product List'!$B$1:$B$299,'Product List'!$A$1:$A$299)</f>
        <v>Xerox 1977</v>
      </c>
      <c r="Y422" s="8"/>
      <c r="Z422" s="8" t="str" cm="1">
        <f t="array" ref="Z422:AD422">_xlfn.XLOOKUP(D422,'Customer Details'!$A$1:$A$17,'Customer Details'!$B$1:$F$17,"No such customer",0,1)</f>
        <v>Godfrey Philips India Ltd.</v>
      </c>
      <c r="AA422" s="8" t="str">
        <v>20501 Ania Ave #2</v>
      </c>
      <c r="AB422" s="8" t="str">
        <v>Salt Lake City</v>
      </c>
      <c r="AC422" s="8" t="str">
        <v>UT</v>
      </c>
      <c r="AD422" s="8" t="str">
        <v>84118</v>
      </c>
    </row>
    <row r="423" spans="1:30">
      <c r="A423" s="8" t="s">
        <v>553</v>
      </c>
      <c r="B423" s="19">
        <v>41698</v>
      </c>
      <c r="C423" s="8" t="s">
        <v>27</v>
      </c>
      <c r="D423" s="8">
        <v>10014</v>
      </c>
      <c r="E423" s="8" t="str">
        <f>VLOOKUP($D423,'Customer Details'!$A$1:$F$17,4,FALSE)</f>
        <v>Honolulu</v>
      </c>
      <c r="F423" s="8" t="s">
        <v>133</v>
      </c>
      <c r="G423" s="8">
        <v>1</v>
      </c>
      <c r="H423" s="2" t="str">
        <f>VLOOKUP($D423,'Customer Details'!$A$1:$F$17,MATCH('Order SUmmary'!H$2,'Customer Details'!$A$1:$F$1,0),0)</f>
        <v>Hindusthan National Glass &amp; Industries Ltd.</v>
      </c>
      <c r="I423" s="2" t="str">
        <f>VLOOKUP($D423,'Customer Details'!$A$1:$F$17,4,0)</f>
        <v>Honolulu</v>
      </c>
      <c r="J423" s="2" t="str">
        <f>VLOOKUP($D423,'Customer Details'!$A$1:$F$17,6,0)</f>
        <v>96825</v>
      </c>
      <c r="K423" s="8" t="str">
        <f>VLOOKUP(VLOOKUP(D423,'Customer Details'!$A$1:$F$17,5,0),'Region INfo'!$A$1:$C$52,3,0)</f>
        <v xml:space="preserve">Pacific   </v>
      </c>
      <c r="L423" s="8" t="str">
        <f>INDEX(Product_List,MATCH($F423,'Product List'!$B$1:$B$299,0),MATCH('Order SUmmary'!L$2,'Product List'!$A$1:$E$1,0))</f>
        <v>Xerox 213</v>
      </c>
      <c r="M423" s="8">
        <f>INDEX(Product_List,MATCH($F423,'Product List'!$B$1:$B$299,0),MATCH('Order SUmmary'!M$2,'Product List'!$A$1:$E$1,0))</f>
        <v>4906</v>
      </c>
      <c r="N423" s="8">
        <f>INDEX(Product_List,MATCH($F423,'Product List'!$B$1:$B$299,0),MATCH('Order SUmmary'!N$2,'Product List'!$A$1:$E$1,0))</f>
        <v>2269</v>
      </c>
      <c r="O423" s="8" t="str">
        <f>INDEX(Product_List,MATCH($F423,'Product List'!$B$1:$B$299,0),MATCH('Order SUmmary'!O$2,'Product List'!$A$1:$E$1,0))</f>
        <v>Paper</v>
      </c>
      <c r="P423" s="12">
        <f>HLOOKUP(C423,'Commission Criteria'!$A$2:$I$4,3,FALSE)</f>
        <v>4</v>
      </c>
      <c r="Q423" s="8">
        <f t="shared" si="19"/>
        <v>2269</v>
      </c>
      <c r="R423" s="8">
        <f t="shared" si="20"/>
        <v>4906</v>
      </c>
      <c r="S423" s="36">
        <f>VLOOKUP(R423,'Commission Criteria'!$L$3:$M$11,2,TRUE)</f>
        <v>0.01</v>
      </c>
      <c r="T423" s="36">
        <f>IF(P423&lt;5,VLOOKUP(R423,'Commission Criteria'!$L$3:$M$11,2,1),VLOOKUP('Order SUmmary'!R423,'Commission Criteria'!$P$3:$Q$11,2,1))</f>
        <v>0.01</v>
      </c>
      <c r="U423" s="36">
        <f>VLOOKUP(R423,IF(P423&lt;5,'Commission Criteria'!$L$3:$M$11,'Commission Criteria'!$P$3:$Q$11),2,1)</f>
        <v>0.01</v>
      </c>
      <c r="V423" s="8" t="s">
        <v>32</v>
      </c>
      <c r="W423" s="36">
        <f t="shared" ca="1" si="21"/>
        <v>0</v>
      </c>
      <c r="X423" s="8" t="str">
        <f>_xlfn.XLOOKUP(F423,'Product List'!$B$1:$B$299,'Product List'!$A$1:$A$299)</f>
        <v>Xerox 213</v>
      </c>
      <c r="Y423" s="8"/>
      <c r="Z423" s="8" t="str" cm="1">
        <f t="array" ref="Z423:AD423">_xlfn.XLOOKUP(D423,'Customer Details'!$A$1:$A$17,'Customer Details'!$B$1:$F$17,"No such customer",0,1)</f>
        <v>Hindusthan National Glass &amp; Industries Ltd.</v>
      </c>
      <c r="AA423" s="8" t="str">
        <v>11 Cathy St.</v>
      </c>
      <c r="AB423" s="8" t="str">
        <v>Honolulu</v>
      </c>
      <c r="AC423" s="8" t="str">
        <v>HI</v>
      </c>
      <c r="AD423" s="8" t="str">
        <v>96825</v>
      </c>
    </row>
    <row r="424" spans="1:30">
      <c r="A424" s="8" t="s">
        <v>554</v>
      </c>
      <c r="B424" s="19">
        <v>41698</v>
      </c>
      <c r="C424" s="8" t="s">
        <v>66</v>
      </c>
      <c r="D424" s="8">
        <v>10011</v>
      </c>
      <c r="E424" s="8" t="str">
        <f>VLOOKUP($D424,'Customer Details'!$A$1:$F$17,4,FALSE)</f>
        <v>Olympia</v>
      </c>
      <c r="F424" s="8" t="s">
        <v>555</v>
      </c>
      <c r="G424" s="8">
        <v>2</v>
      </c>
      <c r="H424" s="2" t="str">
        <f>VLOOKUP($D424,'Customer Details'!$A$1:$F$17,MATCH('Order SUmmary'!H$2,'Customer Details'!$A$1:$F$1,0),0)</f>
        <v>Sonata Software</v>
      </c>
      <c r="I424" s="2" t="str">
        <f>VLOOKUP($D424,'Customer Details'!$A$1:$F$17,4,0)</f>
        <v>Olympia</v>
      </c>
      <c r="J424" s="2" t="str">
        <f>VLOOKUP($D424,'Customer Details'!$A$1:$F$17,6,0)</f>
        <v>98502</v>
      </c>
      <c r="K424" s="8" t="str">
        <f>VLOOKUP(VLOOKUP(D424,'Customer Details'!$A$1:$F$17,5,0),'Region INfo'!$A$1:$C$52,3,0)</f>
        <v xml:space="preserve">Pacific   </v>
      </c>
      <c r="L424" s="8" t="str">
        <f>INDEX(Product_List,MATCH($F424,'Product List'!$B$1:$B$299,0),MATCH('Order SUmmary'!L$2,'Product List'!$A$1:$E$1,0))</f>
        <v>Xerox 1880</v>
      </c>
      <c r="M424" s="8">
        <f>INDEX(Product_List,MATCH($F424,'Product List'!$B$1:$B$299,0),MATCH('Order SUmmary'!M$2,'Product List'!$A$1:$E$1,0))</f>
        <v>3642</v>
      </c>
      <c r="N424" s="8">
        <f>INDEX(Product_List,MATCH($F424,'Product List'!$B$1:$B$299,0),MATCH('Order SUmmary'!N$2,'Product List'!$A$1:$E$1,0))</f>
        <v>1705</v>
      </c>
      <c r="O424" s="8" t="str">
        <f>INDEX(Product_List,MATCH($F424,'Product List'!$B$1:$B$299,0),MATCH('Order SUmmary'!O$2,'Product List'!$A$1:$E$1,0))</f>
        <v>Paper</v>
      </c>
      <c r="P424" s="12">
        <f>HLOOKUP(C424,'Commission Criteria'!$A$2:$I$4,3,FALSE)</f>
        <v>5</v>
      </c>
      <c r="Q424" s="8">
        <f t="shared" si="19"/>
        <v>3410</v>
      </c>
      <c r="R424" s="8">
        <f t="shared" si="20"/>
        <v>7284</v>
      </c>
      <c r="S424" s="36">
        <f>VLOOKUP(R424,'Commission Criteria'!$L$3:$M$11,2,TRUE)</f>
        <v>0.03</v>
      </c>
      <c r="T424" s="36">
        <f>IF(P424&lt;5,VLOOKUP(R424,'Commission Criteria'!$L$3:$M$11,2,1),VLOOKUP('Order SUmmary'!R424,'Commission Criteria'!$P$3:$Q$11,2,1))</f>
        <v>0.02</v>
      </c>
      <c r="U424" s="36">
        <f>VLOOKUP(R424,IF(P424&lt;5,'Commission Criteria'!$L$3:$M$11,'Commission Criteria'!$P$3:$Q$11),2,1)</f>
        <v>0.02</v>
      </c>
      <c r="V424" s="8" t="s">
        <v>43</v>
      </c>
      <c r="W424" s="36">
        <f t="shared" ca="1" si="21"/>
        <v>0.02</v>
      </c>
      <c r="X424" s="8" t="str">
        <f>_xlfn.XLOOKUP(F424,'Product List'!$B$1:$B$299,'Product List'!$A$1:$A$299)</f>
        <v>Xerox 1880</v>
      </c>
      <c r="Y424" s="8"/>
      <c r="Z424" s="8" t="str" cm="1">
        <f t="array" ref="Z424:AD424">_xlfn.XLOOKUP(D424,'Customer Details'!$A$1:$A$17,'Customer Details'!$B$1:$F$17,"No such customer",0,1)</f>
        <v>Sonata Software</v>
      </c>
      <c r="AA424" s="8" t="str">
        <v>1331 Kimberly Dr.</v>
      </c>
      <c r="AB424" s="8" t="str">
        <v>Olympia</v>
      </c>
      <c r="AC424" s="8" t="str">
        <v>WA</v>
      </c>
      <c r="AD424" s="8" t="str">
        <v>98502</v>
      </c>
    </row>
    <row r="425" spans="1:30">
      <c r="A425" s="8" t="s">
        <v>556</v>
      </c>
      <c r="B425" s="19">
        <v>41701</v>
      </c>
      <c r="C425" s="8" t="s">
        <v>51</v>
      </c>
      <c r="D425" s="8">
        <v>10015</v>
      </c>
      <c r="E425" s="8" t="str">
        <f>VLOOKUP($D425,'Customer Details'!$A$1:$F$17,4,FALSE)</f>
        <v>South Windsor</v>
      </c>
      <c r="F425" s="8" t="s">
        <v>123</v>
      </c>
      <c r="G425" s="8">
        <v>1</v>
      </c>
      <c r="H425" s="2" t="str">
        <f>VLOOKUP($D425,'Customer Details'!$A$1:$F$17,MATCH('Order SUmmary'!H$2,'Customer Details'!$A$1:$F$1,0),0)</f>
        <v>Punj Lloyd Ltd.</v>
      </c>
      <c r="I425" s="2" t="str">
        <f>VLOOKUP($D425,'Customer Details'!$A$1:$F$17,4,0)</f>
        <v>South Windsor</v>
      </c>
      <c r="J425" s="2" t="str">
        <f>VLOOKUP($D425,'Customer Details'!$A$1:$F$17,6,0)</f>
        <v>06074</v>
      </c>
      <c r="K425" s="8" t="str">
        <f>VLOOKUP(VLOOKUP(D425,'Customer Details'!$A$1:$F$17,5,0),'Region INfo'!$A$1:$C$52,3,0)</f>
        <v xml:space="preserve">Northern </v>
      </c>
      <c r="L425" s="8" t="str">
        <f>INDEX(Product_List,MATCH($F425,'Product List'!$B$1:$B$299,0),MATCH('Order SUmmary'!L$2,'Product List'!$A$1:$E$1,0))</f>
        <v>Avery 503</v>
      </c>
      <c r="M425" s="8">
        <f>INDEX(Product_List,MATCH($F425,'Product List'!$B$1:$B$299,0),MATCH('Order SUmmary'!M$2,'Product List'!$A$1:$E$1,0))</f>
        <v>2820</v>
      </c>
      <c r="N425" s="8">
        <f>INDEX(Product_List,MATCH($F425,'Product List'!$B$1:$B$299,0),MATCH('Order SUmmary'!N$2,'Product List'!$A$1:$E$1,0))</f>
        <v>1504</v>
      </c>
      <c r="O425" s="8" t="str">
        <f>INDEX(Product_List,MATCH($F425,'Product List'!$B$1:$B$299,0),MATCH('Order SUmmary'!O$2,'Product List'!$A$1:$E$1,0))</f>
        <v>Labels</v>
      </c>
      <c r="P425" s="12">
        <f>HLOOKUP(C425,'Commission Criteria'!$A$2:$I$4,3,FALSE)</f>
        <v>10</v>
      </c>
      <c r="Q425" s="8">
        <f t="shared" si="19"/>
        <v>1504</v>
      </c>
      <c r="R425" s="8">
        <f t="shared" si="20"/>
        <v>2820</v>
      </c>
      <c r="S425" s="36">
        <f>VLOOKUP(R425,'Commission Criteria'!$L$3:$M$11,2,TRUE)</f>
        <v>0.01</v>
      </c>
      <c r="T425" s="36">
        <f>IF(P425&lt;5,VLOOKUP(R425,'Commission Criteria'!$L$3:$M$11,2,1),VLOOKUP('Order SUmmary'!R425,'Commission Criteria'!$P$3:$Q$11,2,1))</f>
        <v>0.02</v>
      </c>
      <c r="U425" s="36">
        <f>VLOOKUP(R425,IF(P425&lt;5,'Commission Criteria'!$L$3:$M$11,'Commission Criteria'!$P$3:$Q$11),2,1)</f>
        <v>0.02</v>
      </c>
      <c r="V425" s="8" t="s">
        <v>43</v>
      </c>
      <c r="W425" s="36">
        <f t="shared" ca="1" si="21"/>
        <v>0.02</v>
      </c>
      <c r="X425" s="8" t="str">
        <f>_xlfn.XLOOKUP(F425,'Product List'!$B$1:$B$299,'Product List'!$A$1:$A$299)</f>
        <v>Avery 503</v>
      </c>
      <c r="Y425" s="8"/>
      <c r="Z425" s="8" t="str" cm="1">
        <f t="array" ref="Z425:AD425">_xlfn.XLOOKUP(D425,'Customer Details'!$A$1:$A$17,'Customer Details'!$B$1:$F$17,"No such customer",0,1)</f>
        <v>Punj Lloyd Ltd.</v>
      </c>
      <c r="AA425" s="8" t="str">
        <v>Box 3263</v>
      </c>
      <c r="AB425" s="8" t="str">
        <v>South Windsor</v>
      </c>
      <c r="AC425" s="8" t="str">
        <v>CT</v>
      </c>
      <c r="AD425" s="8" t="str">
        <v>06074</v>
      </c>
    </row>
    <row r="426" spans="1:30">
      <c r="A426" s="8" t="s">
        <v>557</v>
      </c>
      <c r="B426" s="19">
        <v>41701</v>
      </c>
      <c r="C426" s="8" t="s">
        <v>46</v>
      </c>
      <c r="D426" s="8">
        <v>10001</v>
      </c>
      <c r="E426" s="8" t="str">
        <f>VLOOKUP($D426,'Customer Details'!$A$1:$F$17,4,FALSE)</f>
        <v>New York</v>
      </c>
      <c r="F426" s="8" t="s">
        <v>558</v>
      </c>
      <c r="G426" s="8">
        <v>2</v>
      </c>
      <c r="H426" s="2" t="str">
        <f>VLOOKUP($D426,'Customer Details'!$A$1:$F$17,MATCH('Order SUmmary'!H$2,'Customer Details'!$A$1:$F$1,0),0)</f>
        <v>Chambal Fertilisers and Chemicals Ltd.</v>
      </c>
      <c r="I426" s="2" t="str">
        <f>VLOOKUP($D426,'Customer Details'!$A$1:$F$17,4,0)</f>
        <v>New York</v>
      </c>
      <c r="J426" s="2" t="str">
        <f>VLOOKUP($D426,'Customer Details'!$A$1:$F$17,6,0)</f>
        <v>10025</v>
      </c>
      <c r="K426" s="8" t="str">
        <f>VLOOKUP(VLOOKUP(D426,'Customer Details'!$A$1:$F$17,5,0),'Region INfo'!$A$1:$C$52,3,0)</f>
        <v xml:space="preserve">Northern </v>
      </c>
      <c r="L426" s="8" t="str">
        <f>INDEX(Product_List,MATCH($F426,'Product List'!$B$1:$B$299,0),MATCH('Order SUmmary'!L$2,'Product List'!$A$1:$E$1,0))</f>
        <v>Xerox 206</v>
      </c>
      <c r="M426" s="8">
        <f>INDEX(Product_List,MATCH($F426,'Product List'!$B$1:$B$299,0),MATCH('Order SUmmary'!M$2,'Product List'!$A$1:$E$1,0))</f>
        <v>3408</v>
      </c>
      <c r="N426" s="8">
        <f>INDEX(Product_List,MATCH($F426,'Product List'!$B$1:$B$299,0),MATCH('Order SUmmary'!N$2,'Product List'!$A$1:$E$1,0))</f>
        <v>1465</v>
      </c>
      <c r="O426" s="8" t="str">
        <f>INDEX(Product_List,MATCH($F426,'Product List'!$B$1:$B$299,0),MATCH('Order SUmmary'!O$2,'Product List'!$A$1:$E$1,0))</f>
        <v>Paper</v>
      </c>
      <c r="P426" s="12">
        <f>HLOOKUP(C426,'Commission Criteria'!$A$2:$I$4,3,FALSE)</f>
        <v>8</v>
      </c>
      <c r="Q426" s="8">
        <f t="shared" si="19"/>
        <v>2930</v>
      </c>
      <c r="R426" s="8">
        <f t="shared" si="20"/>
        <v>6816</v>
      </c>
      <c r="S426" s="36">
        <f>VLOOKUP(R426,'Commission Criteria'!$L$3:$M$11,2,TRUE)</f>
        <v>0.03</v>
      </c>
      <c r="T426" s="36">
        <f>IF(P426&lt;5,VLOOKUP(R426,'Commission Criteria'!$L$3:$M$11,2,1),VLOOKUP('Order SUmmary'!R426,'Commission Criteria'!$P$3:$Q$11,2,1))</f>
        <v>0.02</v>
      </c>
      <c r="U426" s="36">
        <f>VLOOKUP(R426,IF(P426&lt;5,'Commission Criteria'!$L$3:$M$11,'Commission Criteria'!$P$3:$Q$11),2,1)</f>
        <v>0.02</v>
      </c>
      <c r="V426" s="8" t="s">
        <v>32</v>
      </c>
      <c r="W426" s="36">
        <f t="shared" ca="1" si="21"/>
        <v>0</v>
      </c>
      <c r="X426" s="8" t="str">
        <f>_xlfn.XLOOKUP(F426,'Product List'!$B$1:$B$299,'Product List'!$A$1:$A$299)</f>
        <v>Xerox 206</v>
      </c>
      <c r="Y426" s="8"/>
      <c r="Z426" s="8" t="str" cm="1">
        <f t="array" ref="Z426:AD426">_xlfn.XLOOKUP(D426,'Customer Details'!$A$1:$A$17,'Customer Details'!$B$1:$F$17,"No such customer",0,1)</f>
        <v>Chambal Fertilisers and Chemicals Ltd.</v>
      </c>
      <c r="AA426" s="8" t="str">
        <v>4951 Indiana Ave.</v>
      </c>
      <c r="AB426" s="8" t="str">
        <v>New York</v>
      </c>
      <c r="AC426" s="8" t="str">
        <v>NY</v>
      </c>
      <c r="AD426" s="8" t="str">
        <v>10025</v>
      </c>
    </row>
    <row r="427" spans="1:30">
      <c r="A427" s="8" t="s">
        <v>559</v>
      </c>
      <c r="B427" s="19">
        <v>41702</v>
      </c>
      <c r="C427" s="8" t="s">
        <v>54</v>
      </c>
      <c r="D427" s="8">
        <v>10004</v>
      </c>
      <c r="E427" s="8" t="str">
        <f>VLOOKUP($D427,'Customer Details'!$A$1:$F$17,4,FALSE)</f>
        <v>New York</v>
      </c>
      <c r="F427" s="8" t="s">
        <v>510</v>
      </c>
      <c r="G427" s="8">
        <v>1</v>
      </c>
      <c r="H427" s="2" t="str">
        <f>VLOOKUP($D427,'Customer Details'!$A$1:$F$17,MATCH('Order SUmmary'!H$2,'Customer Details'!$A$1:$F$1,0),0)</f>
        <v>Lupin Ltd.</v>
      </c>
      <c r="I427" s="2" t="str">
        <f>VLOOKUP($D427,'Customer Details'!$A$1:$F$17,4,0)</f>
        <v>New York</v>
      </c>
      <c r="J427" s="2" t="str">
        <f>VLOOKUP($D427,'Customer Details'!$A$1:$F$17,6,0)</f>
        <v>10019</v>
      </c>
      <c r="K427" s="8" t="str">
        <f>VLOOKUP(VLOOKUP(D427,'Customer Details'!$A$1:$F$17,5,0),'Region INfo'!$A$1:$C$52,3,0)</f>
        <v xml:space="preserve">Northern </v>
      </c>
      <c r="L427" s="8" t="str">
        <f>INDEX(Product_List,MATCH($F427,'Product List'!$B$1:$B$299,0),MATCH('Order SUmmary'!L$2,'Product List'!$A$1:$E$1,0))</f>
        <v>Avery 507</v>
      </c>
      <c r="M427" s="8">
        <f>INDEX(Product_List,MATCH($F427,'Product List'!$B$1:$B$299,0),MATCH('Order SUmmary'!M$2,'Product List'!$A$1:$E$1,0))</f>
        <v>3473</v>
      </c>
      <c r="N427" s="8">
        <f>INDEX(Product_List,MATCH($F427,'Product List'!$B$1:$B$299,0),MATCH('Order SUmmary'!N$2,'Product List'!$A$1:$E$1,0))</f>
        <v>1493</v>
      </c>
      <c r="O427" s="8" t="str">
        <f>INDEX(Product_List,MATCH($F427,'Product List'!$B$1:$B$299,0),MATCH('Order SUmmary'!O$2,'Product List'!$A$1:$E$1,0))</f>
        <v>Labels</v>
      </c>
      <c r="P427" s="12">
        <f>HLOOKUP(C427,'Commission Criteria'!$A$2:$I$4,3,FALSE)</f>
        <v>3</v>
      </c>
      <c r="Q427" s="8">
        <f t="shared" si="19"/>
        <v>1493</v>
      </c>
      <c r="R427" s="8">
        <f t="shared" si="20"/>
        <v>3473</v>
      </c>
      <c r="S427" s="36">
        <f>VLOOKUP(R427,'Commission Criteria'!$L$3:$M$11,2,TRUE)</f>
        <v>0.01</v>
      </c>
      <c r="T427" s="36">
        <f>IF(P427&lt;5,VLOOKUP(R427,'Commission Criteria'!$L$3:$M$11,2,1),VLOOKUP('Order SUmmary'!R427,'Commission Criteria'!$P$3:$Q$11,2,1))</f>
        <v>0.01</v>
      </c>
      <c r="U427" s="36">
        <f>VLOOKUP(R427,IF(P427&lt;5,'Commission Criteria'!$L$3:$M$11,'Commission Criteria'!$P$3:$Q$11),2,1)</f>
        <v>0.01</v>
      </c>
      <c r="V427" s="8" t="s">
        <v>50</v>
      </c>
      <c r="W427" s="36">
        <f t="shared" ca="1" si="21"/>
        <v>0.03</v>
      </c>
      <c r="X427" s="8" t="str">
        <f>_xlfn.XLOOKUP(F427,'Product List'!$B$1:$B$299,'Product List'!$A$1:$A$299)</f>
        <v>Avery 507</v>
      </c>
      <c r="Y427" s="8"/>
      <c r="Z427" s="8" t="str" cm="1">
        <f t="array" ref="Z427:AD427">_xlfn.XLOOKUP(D427,'Customer Details'!$A$1:$A$17,'Customer Details'!$B$1:$F$17,"No such customer",0,1)</f>
        <v>Lupin Ltd.</v>
      </c>
      <c r="AA427" s="8" t="str">
        <v>Abbey Wood</v>
      </c>
      <c r="AB427" s="8" t="str">
        <v>New York</v>
      </c>
      <c r="AC427" s="8" t="str">
        <v>NY</v>
      </c>
      <c r="AD427" s="8" t="str">
        <v>10019</v>
      </c>
    </row>
    <row r="428" spans="1:30">
      <c r="A428" s="8" t="s">
        <v>559</v>
      </c>
      <c r="B428" s="19">
        <v>41702</v>
      </c>
      <c r="C428" s="8" t="s">
        <v>66</v>
      </c>
      <c r="D428" s="8">
        <v>10013</v>
      </c>
      <c r="E428" s="8" t="str">
        <f>VLOOKUP($D428,'Customer Details'!$A$1:$F$17,4,FALSE)</f>
        <v>Naugatuck</v>
      </c>
      <c r="F428" s="8" t="s">
        <v>60</v>
      </c>
      <c r="G428" s="8">
        <v>1</v>
      </c>
      <c r="H428" s="2" t="str">
        <f>VLOOKUP($D428,'Customer Details'!$A$1:$F$17,MATCH('Order SUmmary'!H$2,'Customer Details'!$A$1:$F$1,0),0)</f>
        <v>GMR Infrastructure Ltd.</v>
      </c>
      <c r="I428" s="2" t="str">
        <f>VLOOKUP($D428,'Customer Details'!$A$1:$F$17,4,0)</f>
        <v>Naugatuck</v>
      </c>
      <c r="J428" s="2" t="str">
        <f>VLOOKUP($D428,'Customer Details'!$A$1:$F$17,6,0)</f>
        <v>06770</v>
      </c>
      <c r="K428" s="8" t="str">
        <f>VLOOKUP(VLOOKUP(D428,'Customer Details'!$A$1:$F$17,5,0),'Region INfo'!$A$1:$C$52,3,0)</f>
        <v xml:space="preserve">Northern </v>
      </c>
      <c r="L428" s="8" t="str">
        <f>INDEX(Product_List,MATCH($F428,'Product List'!$B$1:$B$299,0),MATCH('Order SUmmary'!L$2,'Product List'!$A$1:$E$1,0))</f>
        <v>Xerox 1889</v>
      </c>
      <c r="M428" s="8">
        <f>INDEX(Product_List,MATCH($F428,'Product List'!$B$1:$B$299,0),MATCH('Order SUmmary'!M$2,'Product List'!$A$1:$E$1,0))</f>
        <v>4831</v>
      </c>
      <c r="N428" s="8">
        <f>INDEX(Product_List,MATCH($F428,'Product List'!$B$1:$B$299,0),MATCH('Order SUmmary'!N$2,'Product List'!$A$1:$E$1,0))</f>
        <v>2265</v>
      </c>
      <c r="O428" s="8" t="str">
        <f>INDEX(Product_List,MATCH($F428,'Product List'!$B$1:$B$299,0),MATCH('Order SUmmary'!O$2,'Product List'!$A$1:$E$1,0))</f>
        <v>Paper</v>
      </c>
      <c r="P428" s="12">
        <f>HLOOKUP(C428,'Commission Criteria'!$A$2:$I$4,3,FALSE)</f>
        <v>5</v>
      </c>
      <c r="Q428" s="8">
        <f t="shared" si="19"/>
        <v>2265</v>
      </c>
      <c r="R428" s="8">
        <f t="shared" si="20"/>
        <v>4831</v>
      </c>
      <c r="S428" s="36">
        <f>VLOOKUP(R428,'Commission Criteria'!$L$3:$M$11,2,TRUE)</f>
        <v>0.01</v>
      </c>
      <c r="T428" s="36">
        <f>IF(P428&lt;5,VLOOKUP(R428,'Commission Criteria'!$L$3:$M$11,2,1),VLOOKUP('Order SUmmary'!R428,'Commission Criteria'!$P$3:$Q$11,2,1))</f>
        <v>0.02</v>
      </c>
      <c r="U428" s="36">
        <f>VLOOKUP(R428,IF(P428&lt;5,'Commission Criteria'!$L$3:$M$11,'Commission Criteria'!$P$3:$Q$11),2,1)</f>
        <v>0.02</v>
      </c>
      <c r="V428" s="8" t="s">
        <v>32</v>
      </c>
      <c r="W428" s="36">
        <f t="shared" ca="1" si="21"/>
        <v>0</v>
      </c>
      <c r="X428" s="8" t="str">
        <f>_xlfn.XLOOKUP(F428,'Product List'!$B$1:$B$299,'Product List'!$A$1:$A$299)</f>
        <v>Xerox 1889</v>
      </c>
      <c r="Y428" s="8"/>
      <c r="Z428" s="8" t="str" cm="1">
        <f t="array" ref="Z428:AD428">_xlfn.XLOOKUP(D428,'Customer Details'!$A$1:$A$17,'Customer Details'!$B$1:$F$17,"No such customer",0,1)</f>
        <v>GMR Infrastructure Ltd.</v>
      </c>
      <c r="AA428" s="8" t="str">
        <v>P.O. Box 4421</v>
      </c>
      <c r="AB428" s="8" t="str">
        <v>Naugatuck</v>
      </c>
      <c r="AC428" s="8" t="str">
        <v>CT</v>
      </c>
      <c r="AD428" s="8" t="str">
        <v>06770</v>
      </c>
    </row>
    <row r="429" spans="1:30">
      <c r="A429" s="8" t="s">
        <v>559</v>
      </c>
      <c r="B429" s="19">
        <v>41702</v>
      </c>
      <c r="C429" s="8" t="s">
        <v>51</v>
      </c>
      <c r="D429" s="8">
        <v>10004</v>
      </c>
      <c r="E429" s="8" t="str">
        <f>VLOOKUP($D429,'Customer Details'!$A$1:$F$17,4,FALSE)</f>
        <v>New York</v>
      </c>
      <c r="F429" s="8" t="s">
        <v>269</v>
      </c>
      <c r="G429" s="8">
        <v>2</v>
      </c>
      <c r="H429" s="2" t="str">
        <f>VLOOKUP($D429,'Customer Details'!$A$1:$F$17,MATCH('Order SUmmary'!H$2,'Customer Details'!$A$1:$F$1,0),0)</f>
        <v>Lupin Ltd.</v>
      </c>
      <c r="I429" s="2" t="str">
        <f>VLOOKUP($D429,'Customer Details'!$A$1:$F$17,4,0)</f>
        <v>New York</v>
      </c>
      <c r="J429" s="2" t="str">
        <f>VLOOKUP($D429,'Customer Details'!$A$1:$F$17,6,0)</f>
        <v>10019</v>
      </c>
      <c r="K429" s="8" t="str">
        <f>VLOOKUP(VLOOKUP(D429,'Customer Details'!$A$1:$F$17,5,0),'Region INfo'!$A$1:$C$52,3,0)</f>
        <v xml:space="preserve">Northern </v>
      </c>
      <c r="L429" s="8" t="str">
        <f>INDEX(Product_List,MATCH($F429,'Product List'!$B$1:$B$299,0),MATCH('Order SUmmary'!L$2,'Product List'!$A$1:$E$1,0))</f>
        <v>Xerox 1975</v>
      </c>
      <c r="M429" s="8">
        <f>INDEX(Product_List,MATCH($F429,'Product List'!$B$1:$B$299,0),MATCH('Order SUmmary'!M$2,'Product List'!$A$1:$E$1,0))</f>
        <v>4484</v>
      </c>
      <c r="N429" s="8">
        <f>INDEX(Product_List,MATCH($F429,'Product List'!$B$1:$B$299,0),MATCH('Order SUmmary'!N$2,'Product List'!$A$1:$E$1,0))</f>
        <v>2146</v>
      </c>
      <c r="O429" s="8" t="str">
        <f>INDEX(Product_List,MATCH($F429,'Product List'!$B$1:$B$299,0),MATCH('Order SUmmary'!O$2,'Product List'!$A$1:$E$1,0))</f>
        <v>Paper</v>
      </c>
      <c r="P429" s="12">
        <f>HLOOKUP(C429,'Commission Criteria'!$A$2:$I$4,3,FALSE)</f>
        <v>10</v>
      </c>
      <c r="Q429" s="8">
        <f t="shared" si="19"/>
        <v>4292</v>
      </c>
      <c r="R429" s="8">
        <f t="shared" si="20"/>
        <v>8968</v>
      </c>
      <c r="S429" s="36">
        <f>VLOOKUP(R429,'Commission Criteria'!$L$3:$M$11,2,TRUE)</f>
        <v>0.03</v>
      </c>
      <c r="T429" s="36">
        <f>IF(P429&lt;5,VLOOKUP(R429,'Commission Criteria'!$L$3:$M$11,2,1),VLOOKUP('Order SUmmary'!R429,'Commission Criteria'!$P$3:$Q$11,2,1))</f>
        <v>0.02</v>
      </c>
      <c r="U429" s="36">
        <f>VLOOKUP(R429,IF(P429&lt;5,'Commission Criteria'!$L$3:$M$11,'Commission Criteria'!$P$3:$Q$11),2,1)</f>
        <v>0.02</v>
      </c>
      <c r="V429" s="8" t="s">
        <v>35</v>
      </c>
      <c r="W429" s="36">
        <f t="shared" ca="1" si="21"/>
        <v>0.03</v>
      </c>
      <c r="X429" s="8" t="str">
        <f>_xlfn.XLOOKUP(F429,'Product List'!$B$1:$B$299,'Product List'!$A$1:$A$299)</f>
        <v>Xerox 1975</v>
      </c>
      <c r="Y429" s="8"/>
      <c r="Z429" s="8" t="str" cm="1">
        <f t="array" ref="Z429:AD429">_xlfn.XLOOKUP(D429,'Customer Details'!$A$1:$A$17,'Customer Details'!$B$1:$F$17,"No such customer",0,1)</f>
        <v>Lupin Ltd.</v>
      </c>
      <c r="AA429" s="8" t="str">
        <v>Abbey Wood</v>
      </c>
      <c r="AB429" s="8" t="str">
        <v>New York</v>
      </c>
      <c r="AC429" s="8" t="str">
        <v>NY</v>
      </c>
      <c r="AD429" s="8" t="str">
        <v>10019</v>
      </c>
    </row>
    <row r="430" spans="1:30">
      <c r="A430" s="8" t="s">
        <v>560</v>
      </c>
      <c r="B430" s="19">
        <v>41704</v>
      </c>
      <c r="C430" s="8" t="s">
        <v>27</v>
      </c>
      <c r="D430" s="8">
        <v>10009</v>
      </c>
      <c r="E430" s="8" t="str">
        <f>VLOOKUP($D430,'Customer Details'!$A$1:$F$17,4,FALSE)</f>
        <v>Salt Lake City</v>
      </c>
      <c r="F430" s="8" t="s">
        <v>168</v>
      </c>
      <c r="G430" s="8">
        <v>3</v>
      </c>
      <c r="H430" s="2" t="str">
        <f>VLOOKUP($D430,'Customer Details'!$A$1:$F$17,MATCH('Order SUmmary'!H$2,'Customer Details'!$A$1:$F$1,0),0)</f>
        <v>Godfrey Philips India Ltd.</v>
      </c>
      <c r="I430" s="2" t="str">
        <f>VLOOKUP($D430,'Customer Details'!$A$1:$F$17,4,0)</f>
        <v>Salt Lake City</v>
      </c>
      <c r="J430" s="2" t="str">
        <f>VLOOKUP($D430,'Customer Details'!$A$1:$F$17,6,0)</f>
        <v>84118</v>
      </c>
      <c r="K430" s="8" t="str">
        <f>VLOOKUP(VLOOKUP(D430,'Customer Details'!$A$1:$F$17,5,0),'Region INfo'!$A$1:$C$52,3,0)</f>
        <v xml:space="preserve">Pacific   </v>
      </c>
      <c r="L430" s="8" t="str">
        <f>INDEX(Product_List,MATCH($F430,'Product List'!$B$1:$B$299,0),MATCH('Order SUmmary'!L$2,'Product List'!$A$1:$E$1,0))</f>
        <v>Newell 334</v>
      </c>
      <c r="M430" s="8">
        <f>INDEX(Product_List,MATCH($F430,'Product List'!$B$1:$B$299,0),MATCH('Order SUmmary'!M$2,'Product List'!$A$1:$E$1,0))</f>
        <v>4589</v>
      </c>
      <c r="N430" s="8">
        <f>INDEX(Product_List,MATCH($F430,'Product List'!$B$1:$B$299,0),MATCH('Order SUmmary'!N$2,'Product List'!$A$1:$E$1,0))</f>
        <v>1478</v>
      </c>
      <c r="O430" s="8" t="str">
        <f>INDEX(Product_List,MATCH($F430,'Product List'!$B$1:$B$299,0),MATCH('Order SUmmary'!O$2,'Product List'!$A$1:$E$1,0))</f>
        <v>Art</v>
      </c>
      <c r="P430" s="12">
        <f>HLOOKUP(C430,'Commission Criteria'!$A$2:$I$4,3,FALSE)</f>
        <v>4</v>
      </c>
      <c r="Q430" s="8">
        <f t="shared" si="19"/>
        <v>4434</v>
      </c>
      <c r="R430" s="8">
        <f t="shared" si="20"/>
        <v>13767</v>
      </c>
      <c r="S430" s="36">
        <f>VLOOKUP(R430,'Commission Criteria'!$L$3:$M$11,2,TRUE)</f>
        <v>0.03</v>
      </c>
      <c r="T430" s="36">
        <f>IF(P430&lt;5,VLOOKUP(R430,'Commission Criteria'!$L$3:$M$11,2,1),VLOOKUP('Order SUmmary'!R430,'Commission Criteria'!$P$3:$Q$11,2,1))</f>
        <v>0.03</v>
      </c>
      <c r="U430" s="36">
        <f>VLOOKUP(R430,IF(P430&lt;5,'Commission Criteria'!$L$3:$M$11,'Commission Criteria'!$P$3:$Q$11),2,1)</f>
        <v>0.03</v>
      </c>
      <c r="V430" s="8" t="s">
        <v>40</v>
      </c>
      <c r="W430" s="36">
        <f t="shared" ca="1" si="21"/>
        <v>0.05</v>
      </c>
      <c r="X430" s="8" t="str">
        <f>_xlfn.XLOOKUP(F430,'Product List'!$B$1:$B$299,'Product List'!$A$1:$A$299)</f>
        <v>Newell 334</v>
      </c>
      <c r="Y430" s="8"/>
      <c r="Z430" s="8" t="str" cm="1">
        <f t="array" ref="Z430:AD430">_xlfn.XLOOKUP(D430,'Customer Details'!$A$1:$A$17,'Customer Details'!$B$1:$F$17,"No such customer",0,1)</f>
        <v>Godfrey Philips India Ltd.</v>
      </c>
      <c r="AA430" s="8" t="str">
        <v>20501 Ania Ave #2</v>
      </c>
      <c r="AB430" s="8" t="str">
        <v>Salt Lake City</v>
      </c>
      <c r="AC430" s="8" t="str">
        <v>UT</v>
      </c>
      <c r="AD430" s="8" t="str">
        <v>84118</v>
      </c>
    </row>
    <row r="431" spans="1:30">
      <c r="A431" s="8" t="s">
        <v>561</v>
      </c>
      <c r="B431" s="19">
        <v>41705</v>
      </c>
      <c r="C431" s="8" t="s">
        <v>33</v>
      </c>
      <c r="D431" s="8">
        <v>10002</v>
      </c>
      <c r="E431" s="8" t="str">
        <f>VLOOKUP($D431,'Customer Details'!$A$1:$F$17,4,FALSE)</f>
        <v>Omaha</v>
      </c>
      <c r="F431" s="8" t="s">
        <v>485</v>
      </c>
      <c r="G431" s="8">
        <v>1</v>
      </c>
      <c r="H431" s="2" t="str">
        <f>VLOOKUP($D431,'Customer Details'!$A$1:$F$17,MATCH('Order SUmmary'!H$2,'Customer Details'!$A$1:$F$1,0),0)</f>
        <v>Elder Pharmaceuticals</v>
      </c>
      <c r="I431" s="2" t="str">
        <f>VLOOKUP($D431,'Customer Details'!$A$1:$F$17,4,0)</f>
        <v>Omaha</v>
      </c>
      <c r="J431" s="2" t="str">
        <f>VLOOKUP($D431,'Customer Details'!$A$1:$F$17,6,0)</f>
        <v>68127</v>
      </c>
      <c r="K431" s="8" t="str">
        <f>VLOOKUP(VLOOKUP(D431,'Customer Details'!$A$1:$F$17,5,0),'Region INfo'!$A$1:$C$52,3,0)</f>
        <v>Western</v>
      </c>
      <c r="L431" s="8" t="str">
        <f>INDEX(Product_List,MATCH($F431,'Product List'!$B$1:$B$299,0),MATCH('Order SUmmary'!L$2,'Product List'!$A$1:$E$1,0))</f>
        <v>Xerox 1967</v>
      </c>
      <c r="M431" s="8">
        <f>INDEX(Product_List,MATCH($F431,'Product List'!$B$1:$B$299,0),MATCH('Order SUmmary'!M$2,'Product List'!$A$1:$E$1,0))</f>
        <v>2552</v>
      </c>
      <c r="N431" s="8">
        <f>INDEX(Product_List,MATCH($F431,'Product List'!$B$1:$B$299,0),MATCH('Order SUmmary'!N$2,'Product List'!$A$1:$E$1,0))</f>
        <v>1905</v>
      </c>
      <c r="O431" s="8" t="str">
        <f>INDEX(Product_List,MATCH($F431,'Product List'!$B$1:$B$299,0),MATCH('Order SUmmary'!O$2,'Product List'!$A$1:$E$1,0))</f>
        <v>Paper</v>
      </c>
      <c r="P431" s="12">
        <f>HLOOKUP(C431,'Commission Criteria'!$A$2:$I$4,3,FALSE)</f>
        <v>1</v>
      </c>
      <c r="Q431" s="8">
        <f t="shared" si="19"/>
        <v>1905</v>
      </c>
      <c r="R431" s="8">
        <f t="shared" si="20"/>
        <v>2552</v>
      </c>
      <c r="S431" s="36">
        <f>VLOOKUP(R431,'Commission Criteria'!$L$3:$M$11,2,TRUE)</f>
        <v>0.01</v>
      </c>
      <c r="T431" s="36">
        <f>IF(P431&lt;5,VLOOKUP(R431,'Commission Criteria'!$L$3:$M$11,2,1),VLOOKUP('Order SUmmary'!R431,'Commission Criteria'!$P$3:$Q$11,2,1))</f>
        <v>0.01</v>
      </c>
      <c r="U431" s="36">
        <f>VLOOKUP(R431,IF(P431&lt;5,'Commission Criteria'!$L$3:$M$11,'Commission Criteria'!$P$3:$Q$11),2,1)</f>
        <v>0.01</v>
      </c>
      <c r="V431" s="8" t="s">
        <v>40</v>
      </c>
      <c r="W431" s="36">
        <f t="shared" ca="1" si="21"/>
        <v>0.05</v>
      </c>
      <c r="X431" s="8" t="str">
        <f>_xlfn.XLOOKUP(F431,'Product List'!$B$1:$B$299,'Product List'!$A$1:$A$299)</f>
        <v>Xerox 1967</v>
      </c>
      <c r="Y431" s="8"/>
      <c r="Z431" s="8" t="str" cm="1">
        <f t="array" ref="Z431:AD431">_xlfn.XLOOKUP(D431,'Customer Details'!$A$1:$A$17,'Customer Details'!$B$1:$F$17,"No such customer",0,1)</f>
        <v>Elder Pharmaceuticals</v>
      </c>
      <c r="AA431" s="8" t="str">
        <v>57 Neriba Cres</v>
      </c>
      <c r="AB431" s="8" t="str">
        <v>Omaha</v>
      </c>
      <c r="AC431" s="8" t="str">
        <v>NE</v>
      </c>
      <c r="AD431" s="8" t="str">
        <v>68127</v>
      </c>
    </row>
    <row r="432" spans="1:30">
      <c r="A432" s="8" t="s">
        <v>562</v>
      </c>
      <c r="B432" s="19">
        <v>41705</v>
      </c>
      <c r="C432" s="8" t="s">
        <v>46</v>
      </c>
      <c r="D432" s="8">
        <v>10007</v>
      </c>
      <c r="E432" s="8" t="str">
        <f>VLOOKUP($D432,'Customer Details'!$A$1:$F$17,4,FALSE)</f>
        <v>Richmond</v>
      </c>
      <c r="F432" s="8" t="s">
        <v>195</v>
      </c>
      <c r="G432" s="8">
        <v>1</v>
      </c>
      <c r="H432" s="2" t="str">
        <f>VLOOKUP($D432,'Customer Details'!$A$1:$F$17,MATCH('Order SUmmary'!H$2,'Customer Details'!$A$1:$F$1,0),0)</f>
        <v>GHCL Ltd.</v>
      </c>
      <c r="I432" s="2" t="str">
        <f>VLOOKUP($D432,'Customer Details'!$A$1:$F$17,4,0)</f>
        <v>Richmond</v>
      </c>
      <c r="J432" s="2" t="str">
        <f>VLOOKUP($D432,'Customer Details'!$A$1:$F$17,6,0)</f>
        <v>94805</v>
      </c>
      <c r="K432" s="8" t="str">
        <f>VLOOKUP(VLOOKUP(D432,'Customer Details'!$A$1:$F$17,5,0),'Region INfo'!$A$1:$C$52,3,0)</f>
        <v xml:space="preserve">Pacific   </v>
      </c>
      <c r="L432" s="8" t="str">
        <f>INDEX(Product_List,MATCH($F432,'Product List'!$B$1:$B$299,0),MATCH('Order SUmmary'!L$2,'Product List'!$A$1:$E$1,0))</f>
        <v>Newell 335</v>
      </c>
      <c r="M432" s="8">
        <f>INDEX(Product_List,MATCH($F432,'Product List'!$B$1:$B$299,0),MATCH('Order SUmmary'!M$2,'Product List'!$A$1:$E$1,0))</f>
        <v>3467</v>
      </c>
      <c r="N432" s="8">
        <f>INDEX(Product_List,MATCH($F432,'Product List'!$B$1:$B$299,0),MATCH('Order SUmmary'!N$2,'Product List'!$A$1:$E$1,0))</f>
        <v>1230</v>
      </c>
      <c r="O432" s="8" t="str">
        <f>INDEX(Product_List,MATCH($F432,'Product List'!$B$1:$B$299,0),MATCH('Order SUmmary'!O$2,'Product List'!$A$1:$E$1,0))</f>
        <v>Art</v>
      </c>
      <c r="P432" s="12">
        <f>HLOOKUP(C432,'Commission Criteria'!$A$2:$I$4,3,FALSE)</f>
        <v>8</v>
      </c>
      <c r="Q432" s="8">
        <f t="shared" si="19"/>
        <v>1230</v>
      </c>
      <c r="R432" s="8">
        <f t="shared" si="20"/>
        <v>3467</v>
      </c>
      <c r="S432" s="36">
        <f>VLOOKUP(R432,'Commission Criteria'!$L$3:$M$11,2,TRUE)</f>
        <v>0.01</v>
      </c>
      <c r="T432" s="36">
        <f>IF(P432&lt;5,VLOOKUP(R432,'Commission Criteria'!$L$3:$M$11,2,1),VLOOKUP('Order SUmmary'!R432,'Commission Criteria'!$P$3:$Q$11,2,1))</f>
        <v>0.02</v>
      </c>
      <c r="U432" s="36">
        <f>VLOOKUP(R432,IF(P432&lt;5,'Commission Criteria'!$L$3:$M$11,'Commission Criteria'!$P$3:$Q$11),2,1)</f>
        <v>0.02</v>
      </c>
      <c r="V432" s="8" t="s">
        <v>29</v>
      </c>
      <c r="W432" s="36">
        <f t="shared" ca="1" si="21"/>
        <v>0.04</v>
      </c>
      <c r="X432" s="8" t="str">
        <f>_xlfn.XLOOKUP(F432,'Product List'!$B$1:$B$299,'Product List'!$A$1:$A$299)</f>
        <v>Newell 335</v>
      </c>
      <c r="Y432" s="8"/>
      <c r="Z432" s="8" t="str" cm="1">
        <f t="array" ref="Z432:AD432">_xlfn.XLOOKUP(D432,'Customer Details'!$A$1:$A$17,'Customer Details'!$B$1:$F$17,"No such customer",0,1)</f>
        <v>GHCL Ltd.</v>
      </c>
      <c r="AA432" s="8" t="str">
        <v>58 Clarence St</v>
      </c>
      <c r="AB432" s="8" t="str">
        <v>Richmond</v>
      </c>
      <c r="AC432" s="8" t="str">
        <v>CA</v>
      </c>
      <c r="AD432" s="8" t="str">
        <v>94805</v>
      </c>
    </row>
    <row r="433" spans="1:30">
      <c r="A433" s="8" t="s">
        <v>563</v>
      </c>
      <c r="B433" s="19">
        <v>41705</v>
      </c>
      <c r="C433" s="8" t="s">
        <v>51</v>
      </c>
      <c r="D433" s="8">
        <v>10003</v>
      </c>
      <c r="E433" s="8" t="str">
        <f>VLOOKUP($D433,'Customer Details'!$A$1:$F$17,4,FALSE)</f>
        <v>Miami</v>
      </c>
      <c r="F433" s="8" t="s">
        <v>223</v>
      </c>
      <c r="G433" s="8">
        <v>1</v>
      </c>
      <c r="H433" s="2" t="str">
        <f>VLOOKUP($D433,'Customer Details'!$A$1:$F$17,MATCH('Order SUmmary'!H$2,'Customer Details'!$A$1:$F$1,0),0)</f>
        <v>Honeywell Automation</v>
      </c>
      <c r="I433" s="2" t="str">
        <f>VLOOKUP($D433,'Customer Details'!$A$1:$F$17,4,0)</f>
        <v>Miami</v>
      </c>
      <c r="J433" s="2" t="str">
        <f>VLOOKUP($D433,'Customer Details'!$A$1:$F$17,6,0)</f>
        <v>33732</v>
      </c>
      <c r="K433" s="8" t="str">
        <f>VLOOKUP(VLOOKUP(D433,'Customer Details'!$A$1:$F$17,5,0),'Region INfo'!$A$1:$C$52,3,0)</f>
        <v>Southern</v>
      </c>
      <c r="L433" s="8" t="str">
        <f>INDEX(Product_List,MATCH($F433,'Product List'!$B$1:$B$299,0),MATCH('Order SUmmary'!L$2,'Product List'!$A$1:$E$1,0))</f>
        <v>Avery 513</v>
      </c>
      <c r="M433" s="8">
        <f>INDEX(Product_List,MATCH($F433,'Product List'!$B$1:$B$299,0),MATCH('Order SUmmary'!M$2,'Product List'!$A$1:$E$1,0))</f>
        <v>3579</v>
      </c>
      <c r="N433" s="8">
        <f>INDEX(Product_List,MATCH($F433,'Product List'!$B$1:$B$299,0),MATCH('Order SUmmary'!N$2,'Product List'!$A$1:$E$1,0))</f>
        <v>1579</v>
      </c>
      <c r="O433" s="8" t="str">
        <f>INDEX(Product_List,MATCH($F433,'Product List'!$B$1:$B$299,0),MATCH('Order SUmmary'!O$2,'Product List'!$A$1:$E$1,0))</f>
        <v>Labels</v>
      </c>
      <c r="P433" s="12">
        <f>HLOOKUP(C433,'Commission Criteria'!$A$2:$I$4,3,FALSE)</f>
        <v>10</v>
      </c>
      <c r="Q433" s="8">
        <f t="shared" si="19"/>
        <v>1579</v>
      </c>
      <c r="R433" s="8">
        <f t="shared" si="20"/>
        <v>3579</v>
      </c>
      <c r="S433" s="36">
        <f>VLOOKUP(R433,'Commission Criteria'!$L$3:$M$11,2,TRUE)</f>
        <v>0.01</v>
      </c>
      <c r="T433" s="36">
        <f>IF(P433&lt;5,VLOOKUP(R433,'Commission Criteria'!$L$3:$M$11,2,1),VLOOKUP('Order SUmmary'!R433,'Commission Criteria'!$P$3:$Q$11,2,1))</f>
        <v>0.02</v>
      </c>
      <c r="U433" s="36">
        <f>VLOOKUP(R433,IF(P433&lt;5,'Commission Criteria'!$L$3:$M$11,'Commission Criteria'!$P$3:$Q$11),2,1)</f>
        <v>0.02</v>
      </c>
      <c r="V433" s="8" t="s">
        <v>35</v>
      </c>
      <c r="W433" s="36">
        <f t="shared" ca="1" si="21"/>
        <v>0</v>
      </c>
      <c r="X433" s="8" t="str">
        <f>_xlfn.XLOOKUP(F433,'Product List'!$B$1:$B$299,'Product List'!$A$1:$A$299)</f>
        <v>Avery 513</v>
      </c>
      <c r="Y433" s="8"/>
      <c r="Z433" s="8" t="str" cm="1">
        <f t="array" ref="Z433:AD433">_xlfn.XLOOKUP(D433,'Customer Details'!$A$1:$A$17,'Customer Details'!$B$1:$F$17,"No such customer",0,1)</f>
        <v>Honeywell Automation</v>
      </c>
      <c r="AA433" s="8" t="str">
        <v>1272 Harbor Road</v>
      </c>
      <c r="AB433" s="8" t="str">
        <v>Miami</v>
      </c>
      <c r="AC433" s="8" t="str">
        <v>FL</v>
      </c>
      <c r="AD433" s="8" t="str">
        <v>33732</v>
      </c>
    </row>
    <row r="434" spans="1:30">
      <c r="A434" s="8" t="s">
        <v>564</v>
      </c>
      <c r="B434" s="19">
        <v>41706</v>
      </c>
      <c r="C434" s="8" t="s">
        <v>33</v>
      </c>
      <c r="D434" s="8">
        <v>10015</v>
      </c>
      <c r="E434" s="8" t="str">
        <f>VLOOKUP($D434,'Customer Details'!$A$1:$F$17,4,FALSE)</f>
        <v>South Windsor</v>
      </c>
      <c r="F434" s="8" t="s">
        <v>565</v>
      </c>
      <c r="G434" s="8">
        <v>1</v>
      </c>
      <c r="H434" s="2" t="str">
        <f>VLOOKUP($D434,'Customer Details'!$A$1:$F$17,MATCH('Order SUmmary'!H$2,'Customer Details'!$A$1:$F$1,0),0)</f>
        <v>Punj Lloyd Ltd.</v>
      </c>
      <c r="I434" s="2" t="str">
        <f>VLOOKUP($D434,'Customer Details'!$A$1:$F$17,4,0)</f>
        <v>South Windsor</v>
      </c>
      <c r="J434" s="2" t="str">
        <f>VLOOKUP($D434,'Customer Details'!$A$1:$F$17,6,0)</f>
        <v>06074</v>
      </c>
      <c r="K434" s="8" t="str">
        <f>VLOOKUP(VLOOKUP(D434,'Customer Details'!$A$1:$F$17,5,0),'Region INfo'!$A$1:$C$52,3,0)</f>
        <v xml:space="preserve">Northern </v>
      </c>
      <c r="L434" s="8" t="str">
        <f>INDEX(Product_List,MATCH($F434,'Product List'!$B$1:$B$299,0),MATCH('Order SUmmary'!L$2,'Product List'!$A$1:$E$1,0))</f>
        <v>Xerox 1944</v>
      </c>
      <c r="M434" s="8">
        <f>INDEX(Product_List,MATCH($F434,'Product List'!$B$1:$B$299,0),MATCH('Order SUmmary'!M$2,'Product List'!$A$1:$E$1,0))</f>
        <v>2657</v>
      </c>
      <c r="N434" s="8">
        <f>INDEX(Product_List,MATCH($F434,'Product List'!$B$1:$B$299,0),MATCH('Order SUmmary'!N$2,'Product List'!$A$1:$E$1,0))</f>
        <v>2480</v>
      </c>
      <c r="O434" s="8" t="str">
        <f>INDEX(Product_List,MATCH($F434,'Product List'!$B$1:$B$299,0),MATCH('Order SUmmary'!O$2,'Product List'!$A$1:$E$1,0))</f>
        <v>Paper</v>
      </c>
      <c r="P434" s="12">
        <f>HLOOKUP(C434,'Commission Criteria'!$A$2:$I$4,3,FALSE)</f>
        <v>1</v>
      </c>
      <c r="Q434" s="8">
        <f t="shared" si="19"/>
        <v>2480</v>
      </c>
      <c r="R434" s="8">
        <f t="shared" si="20"/>
        <v>2657</v>
      </c>
      <c r="S434" s="36">
        <f>VLOOKUP(R434,'Commission Criteria'!$L$3:$M$11,2,TRUE)</f>
        <v>0.01</v>
      </c>
      <c r="T434" s="36">
        <f>IF(P434&lt;5,VLOOKUP(R434,'Commission Criteria'!$L$3:$M$11,2,1),VLOOKUP('Order SUmmary'!R434,'Commission Criteria'!$P$3:$Q$11,2,1))</f>
        <v>0.01</v>
      </c>
      <c r="U434" s="36">
        <f>VLOOKUP(R434,IF(P434&lt;5,'Commission Criteria'!$L$3:$M$11,'Commission Criteria'!$P$3:$Q$11),2,1)</f>
        <v>0.01</v>
      </c>
      <c r="V434" s="8" t="s">
        <v>35</v>
      </c>
      <c r="W434" s="36">
        <f t="shared" ca="1" si="21"/>
        <v>0.04</v>
      </c>
      <c r="X434" s="8" t="str">
        <f>_xlfn.XLOOKUP(F434,'Product List'!$B$1:$B$299,'Product List'!$A$1:$A$299)</f>
        <v>Xerox 1944</v>
      </c>
      <c r="Y434" s="8"/>
      <c r="Z434" s="8" t="str" cm="1">
        <f t="array" ref="Z434:AD434">_xlfn.XLOOKUP(D434,'Customer Details'!$A$1:$A$17,'Customer Details'!$B$1:$F$17,"No such customer",0,1)</f>
        <v>Punj Lloyd Ltd.</v>
      </c>
      <c r="AA434" s="8" t="str">
        <v>Box 3263</v>
      </c>
      <c r="AB434" s="8" t="str">
        <v>South Windsor</v>
      </c>
      <c r="AC434" s="8" t="str">
        <v>CT</v>
      </c>
      <c r="AD434" s="8" t="str">
        <v>06074</v>
      </c>
    </row>
    <row r="435" spans="1:30">
      <c r="A435" s="8" t="s">
        <v>566</v>
      </c>
      <c r="B435" s="19">
        <v>41706</v>
      </c>
      <c r="C435" s="8" t="s">
        <v>66</v>
      </c>
      <c r="D435" s="8">
        <v>10002</v>
      </c>
      <c r="E435" s="8" t="str">
        <f>VLOOKUP($D435,'Customer Details'!$A$1:$F$17,4,FALSE)</f>
        <v>Omaha</v>
      </c>
      <c r="F435" s="8" t="s">
        <v>91</v>
      </c>
      <c r="G435" s="8">
        <v>2</v>
      </c>
      <c r="H435" s="2" t="str">
        <f>VLOOKUP($D435,'Customer Details'!$A$1:$F$17,MATCH('Order SUmmary'!H$2,'Customer Details'!$A$1:$F$1,0),0)</f>
        <v>Elder Pharmaceuticals</v>
      </c>
      <c r="I435" s="2" t="str">
        <f>VLOOKUP($D435,'Customer Details'!$A$1:$F$17,4,0)</f>
        <v>Omaha</v>
      </c>
      <c r="J435" s="2" t="str">
        <f>VLOOKUP($D435,'Customer Details'!$A$1:$F$17,6,0)</f>
        <v>68127</v>
      </c>
      <c r="K435" s="8" t="str">
        <f>VLOOKUP(VLOOKUP(D435,'Customer Details'!$A$1:$F$17,5,0),'Region INfo'!$A$1:$C$52,3,0)</f>
        <v>Western</v>
      </c>
      <c r="L435" s="8" t="str">
        <f>INDEX(Product_List,MATCH($F435,'Product List'!$B$1:$B$299,0),MATCH('Order SUmmary'!L$2,'Product List'!$A$1:$E$1,0))</f>
        <v>Avery 475</v>
      </c>
      <c r="M435" s="8">
        <f>INDEX(Product_List,MATCH($F435,'Product List'!$B$1:$B$299,0),MATCH('Order SUmmary'!M$2,'Product List'!$A$1:$E$1,0))</f>
        <v>4711</v>
      </c>
      <c r="N435" s="8">
        <f>INDEX(Product_List,MATCH($F435,'Product List'!$B$1:$B$299,0),MATCH('Order SUmmary'!N$2,'Product List'!$A$1:$E$1,0))</f>
        <v>1267</v>
      </c>
      <c r="O435" s="8" t="str">
        <f>INDEX(Product_List,MATCH($F435,'Product List'!$B$1:$B$299,0),MATCH('Order SUmmary'!O$2,'Product List'!$A$1:$E$1,0))</f>
        <v>Labels</v>
      </c>
      <c r="P435" s="12">
        <f>HLOOKUP(C435,'Commission Criteria'!$A$2:$I$4,3,FALSE)</f>
        <v>5</v>
      </c>
      <c r="Q435" s="8">
        <f t="shared" si="19"/>
        <v>2534</v>
      </c>
      <c r="R435" s="8">
        <f t="shared" si="20"/>
        <v>9422</v>
      </c>
      <c r="S435" s="36">
        <f>VLOOKUP(R435,'Commission Criteria'!$L$3:$M$11,2,TRUE)</f>
        <v>0.03</v>
      </c>
      <c r="T435" s="36">
        <f>IF(P435&lt;5,VLOOKUP(R435,'Commission Criteria'!$L$3:$M$11,2,1),VLOOKUP('Order SUmmary'!R435,'Commission Criteria'!$P$3:$Q$11,2,1))</f>
        <v>0.02</v>
      </c>
      <c r="U435" s="36">
        <f>VLOOKUP(R435,IF(P435&lt;5,'Commission Criteria'!$L$3:$M$11,'Commission Criteria'!$P$3:$Q$11),2,1)</f>
        <v>0.02</v>
      </c>
      <c r="V435" s="8" t="s">
        <v>35</v>
      </c>
      <c r="W435" s="36">
        <f t="shared" ca="1" si="21"/>
        <v>0.05</v>
      </c>
      <c r="X435" s="8" t="str">
        <f>_xlfn.XLOOKUP(F435,'Product List'!$B$1:$B$299,'Product List'!$A$1:$A$299)</f>
        <v>Avery 475</v>
      </c>
      <c r="Y435" s="8"/>
      <c r="Z435" s="8" t="str" cm="1">
        <f t="array" ref="Z435:AD435">_xlfn.XLOOKUP(D435,'Customer Details'!$A$1:$A$17,'Customer Details'!$B$1:$F$17,"No such customer",0,1)</f>
        <v>Elder Pharmaceuticals</v>
      </c>
      <c r="AA435" s="8" t="str">
        <v>57 Neriba Cres</v>
      </c>
      <c r="AB435" s="8" t="str">
        <v>Omaha</v>
      </c>
      <c r="AC435" s="8" t="str">
        <v>NE</v>
      </c>
      <c r="AD435" s="8" t="str">
        <v>68127</v>
      </c>
    </row>
    <row r="436" spans="1:30">
      <c r="A436" s="8" t="s">
        <v>567</v>
      </c>
      <c r="B436" s="19">
        <v>41707</v>
      </c>
      <c r="C436" s="8" t="s">
        <v>46</v>
      </c>
      <c r="D436" s="8">
        <v>10003</v>
      </c>
      <c r="E436" s="8" t="str">
        <f>VLOOKUP($D436,'Customer Details'!$A$1:$F$17,4,FALSE)</f>
        <v>Miami</v>
      </c>
      <c r="F436" s="8" t="s">
        <v>98</v>
      </c>
      <c r="G436" s="8">
        <v>1</v>
      </c>
      <c r="H436" s="2" t="str">
        <f>VLOOKUP($D436,'Customer Details'!$A$1:$F$17,MATCH('Order SUmmary'!H$2,'Customer Details'!$A$1:$F$1,0),0)</f>
        <v>Honeywell Automation</v>
      </c>
      <c r="I436" s="2" t="str">
        <f>VLOOKUP($D436,'Customer Details'!$A$1:$F$17,4,0)</f>
        <v>Miami</v>
      </c>
      <c r="J436" s="2" t="str">
        <f>VLOOKUP($D436,'Customer Details'!$A$1:$F$17,6,0)</f>
        <v>33732</v>
      </c>
      <c r="K436" s="8" t="str">
        <f>VLOOKUP(VLOOKUP(D436,'Customer Details'!$A$1:$F$17,5,0),'Region INfo'!$A$1:$C$52,3,0)</f>
        <v>Southern</v>
      </c>
      <c r="L436" s="8" t="str">
        <f>INDEX(Product_List,MATCH($F436,'Product List'!$B$1:$B$299,0),MATCH('Order SUmmary'!L$2,'Product List'!$A$1:$E$1,0))</f>
        <v>Newell 349</v>
      </c>
      <c r="M436" s="8">
        <f>INDEX(Product_List,MATCH($F436,'Product List'!$B$1:$B$299,0),MATCH('Order SUmmary'!M$2,'Product List'!$A$1:$E$1,0))</f>
        <v>4342</v>
      </c>
      <c r="N436" s="8">
        <f>INDEX(Product_List,MATCH($F436,'Product List'!$B$1:$B$299,0),MATCH('Order SUmmary'!N$2,'Product List'!$A$1:$E$1,0))</f>
        <v>1689</v>
      </c>
      <c r="O436" s="8" t="str">
        <f>INDEX(Product_List,MATCH($F436,'Product List'!$B$1:$B$299,0),MATCH('Order SUmmary'!O$2,'Product List'!$A$1:$E$1,0))</f>
        <v>Art</v>
      </c>
      <c r="P436" s="12">
        <f>HLOOKUP(C436,'Commission Criteria'!$A$2:$I$4,3,FALSE)</f>
        <v>8</v>
      </c>
      <c r="Q436" s="8">
        <f t="shared" si="19"/>
        <v>1689</v>
      </c>
      <c r="R436" s="8">
        <f t="shared" si="20"/>
        <v>4342</v>
      </c>
      <c r="S436" s="36">
        <f>VLOOKUP(R436,'Commission Criteria'!$L$3:$M$11,2,TRUE)</f>
        <v>0.01</v>
      </c>
      <c r="T436" s="36">
        <f>IF(P436&lt;5,VLOOKUP(R436,'Commission Criteria'!$L$3:$M$11,2,1),VLOOKUP('Order SUmmary'!R436,'Commission Criteria'!$P$3:$Q$11,2,1))</f>
        <v>0.02</v>
      </c>
      <c r="U436" s="36">
        <f>VLOOKUP(R436,IF(P436&lt;5,'Commission Criteria'!$L$3:$M$11,'Commission Criteria'!$P$3:$Q$11),2,1)</f>
        <v>0.02</v>
      </c>
      <c r="V436" s="8" t="s">
        <v>40</v>
      </c>
      <c r="W436" s="36">
        <f t="shared" ca="1" si="21"/>
        <v>0.04</v>
      </c>
      <c r="X436" s="8" t="str">
        <f>_xlfn.XLOOKUP(F436,'Product List'!$B$1:$B$299,'Product List'!$A$1:$A$299)</f>
        <v>Newell 349</v>
      </c>
      <c r="Y436" s="8"/>
      <c r="Z436" s="8" t="str" cm="1">
        <f t="array" ref="Z436:AD436">_xlfn.XLOOKUP(D436,'Customer Details'!$A$1:$A$17,'Customer Details'!$B$1:$F$17,"No such customer",0,1)</f>
        <v>Honeywell Automation</v>
      </c>
      <c r="AA436" s="8" t="str">
        <v>1272 Harbor Road</v>
      </c>
      <c r="AB436" s="8" t="str">
        <v>Miami</v>
      </c>
      <c r="AC436" s="8" t="str">
        <v>FL</v>
      </c>
      <c r="AD436" s="8" t="str">
        <v>33732</v>
      </c>
    </row>
    <row r="437" spans="1:30">
      <c r="A437" s="8" t="s">
        <v>567</v>
      </c>
      <c r="B437" s="19">
        <v>41707</v>
      </c>
      <c r="C437" s="8" t="s">
        <v>44</v>
      </c>
      <c r="D437" s="8">
        <v>10001</v>
      </c>
      <c r="E437" s="8" t="str">
        <f>VLOOKUP($D437,'Customer Details'!$A$1:$F$17,4,FALSE)</f>
        <v>New York</v>
      </c>
      <c r="F437" s="8" t="s">
        <v>434</v>
      </c>
      <c r="G437" s="8">
        <v>2</v>
      </c>
      <c r="H437" s="2" t="str">
        <f>VLOOKUP($D437,'Customer Details'!$A$1:$F$17,MATCH('Order SUmmary'!H$2,'Customer Details'!$A$1:$F$1,0),0)</f>
        <v>Chambal Fertilisers and Chemicals Ltd.</v>
      </c>
      <c r="I437" s="2" t="str">
        <f>VLOOKUP($D437,'Customer Details'!$A$1:$F$17,4,0)</f>
        <v>New York</v>
      </c>
      <c r="J437" s="2" t="str">
        <f>VLOOKUP($D437,'Customer Details'!$A$1:$F$17,6,0)</f>
        <v>10025</v>
      </c>
      <c r="K437" s="8" t="str">
        <f>VLOOKUP(VLOOKUP(D437,'Customer Details'!$A$1:$F$17,5,0),'Region INfo'!$A$1:$C$52,3,0)</f>
        <v xml:space="preserve">Northern </v>
      </c>
      <c r="L437" s="8" t="str">
        <f>INDEX(Product_List,MATCH($F437,'Product List'!$B$1:$B$299,0),MATCH('Order SUmmary'!L$2,'Product List'!$A$1:$E$1,0))</f>
        <v>Xerox 1952</v>
      </c>
      <c r="M437" s="8">
        <f>INDEX(Product_List,MATCH($F437,'Product List'!$B$1:$B$299,0),MATCH('Order SUmmary'!M$2,'Product List'!$A$1:$E$1,0))</f>
        <v>2996</v>
      </c>
      <c r="N437" s="8">
        <f>INDEX(Product_List,MATCH($F437,'Product List'!$B$1:$B$299,0),MATCH('Order SUmmary'!N$2,'Product List'!$A$1:$E$1,0))</f>
        <v>1641</v>
      </c>
      <c r="O437" s="8" t="str">
        <f>INDEX(Product_List,MATCH($F437,'Product List'!$B$1:$B$299,0),MATCH('Order SUmmary'!O$2,'Product List'!$A$1:$E$1,0))</f>
        <v>Paper</v>
      </c>
      <c r="P437" s="12">
        <f>HLOOKUP(C437,'Commission Criteria'!$A$2:$I$4,3,FALSE)</f>
        <v>4</v>
      </c>
      <c r="Q437" s="8">
        <f t="shared" si="19"/>
        <v>3282</v>
      </c>
      <c r="R437" s="8">
        <f t="shared" si="20"/>
        <v>5992</v>
      </c>
      <c r="S437" s="36">
        <f>VLOOKUP(R437,'Commission Criteria'!$L$3:$M$11,2,TRUE)</f>
        <v>0.03</v>
      </c>
      <c r="T437" s="36">
        <f>IF(P437&lt;5,VLOOKUP(R437,'Commission Criteria'!$L$3:$M$11,2,1),VLOOKUP('Order SUmmary'!R437,'Commission Criteria'!$P$3:$Q$11,2,1))</f>
        <v>0.03</v>
      </c>
      <c r="U437" s="36">
        <f>VLOOKUP(R437,IF(P437&lt;5,'Commission Criteria'!$L$3:$M$11,'Commission Criteria'!$P$3:$Q$11),2,1)</f>
        <v>0.03</v>
      </c>
      <c r="V437" s="8" t="s">
        <v>50</v>
      </c>
      <c r="W437" s="36">
        <f t="shared" ca="1" si="21"/>
        <v>0.02</v>
      </c>
      <c r="X437" s="8" t="str">
        <f>_xlfn.XLOOKUP(F437,'Product List'!$B$1:$B$299,'Product List'!$A$1:$A$299)</f>
        <v>Xerox 1952</v>
      </c>
      <c r="Y437" s="8"/>
      <c r="Z437" s="8" t="str" cm="1">
        <f t="array" ref="Z437:AD437">_xlfn.XLOOKUP(D437,'Customer Details'!$A$1:$A$17,'Customer Details'!$B$1:$F$17,"No such customer",0,1)</f>
        <v>Chambal Fertilisers and Chemicals Ltd.</v>
      </c>
      <c r="AA437" s="8" t="str">
        <v>4951 Indiana Ave.</v>
      </c>
      <c r="AB437" s="8" t="str">
        <v>New York</v>
      </c>
      <c r="AC437" s="8" t="str">
        <v>NY</v>
      </c>
      <c r="AD437" s="8" t="str">
        <v>10025</v>
      </c>
    </row>
    <row r="438" spans="1:30">
      <c r="A438" s="8" t="s">
        <v>568</v>
      </c>
      <c r="B438" s="19">
        <v>41707</v>
      </c>
      <c r="C438" s="8" t="s">
        <v>66</v>
      </c>
      <c r="D438" s="8">
        <v>10009</v>
      </c>
      <c r="E438" s="8" t="str">
        <f>VLOOKUP($D438,'Customer Details'!$A$1:$F$17,4,FALSE)</f>
        <v>Salt Lake City</v>
      </c>
      <c r="F438" s="8" t="s">
        <v>172</v>
      </c>
      <c r="G438" s="8">
        <v>2</v>
      </c>
      <c r="H438" s="2" t="str">
        <f>VLOOKUP($D438,'Customer Details'!$A$1:$F$17,MATCH('Order SUmmary'!H$2,'Customer Details'!$A$1:$F$1,0),0)</f>
        <v>Godfrey Philips India Ltd.</v>
      </c>
      <c r="I438" s="2" t="str">
        <f>VLOOKUP($D438,'Customer Details'!$A$1:$F$17,4,0)</f>
        <v>Salt Lake City</v>
      </c>
      <c r="J438" s="2" t="str">
        <f>VLOOKUP($D438,'Customer Details'!$A$1:$F$17,6,0)</f>
        <v>84118</v>
      </c>
      <c r="K438" s="8" t="str">
        <f>VLOOKUP(VLOOKUP(D438,'Customer Details'!$A$1:$F$17,5,0),'Region INfo'!$A$1:$C$52,3,0)</f>
        <v xml:space="preserve">Pacific   </v>
      </c>
      <c r="L438" s="8" t="str">
        <f>INDEX(Product_List,MATCH($F438,'Product List'!$B$1:$B$299,0),MATCH('Order SUmmary'!L$2,'Product List'!$A$1:$E$1,0))</f>
        <v>Xerox 223</v>
      </c>
      <c r="M438" s="8">
        <f>INDEX(Product_List,MATCH($F438,'Product List'!$B$1:$B$299,0),MATCH('Order SUmmary'!M$2,'Product List'!$A$1:$E$1,0))</f>
        <v>4733</v>
      </c>
      <c r="N438" s="8">
        <f>INDEX(Product_List,MATCH($F438,'Product List'!$B$1:$B$299,0),MATCH('Order SUmmary'!N$2,'Product List'!$A$1:$E$1,0))</f>
        <v>1415</v>
      </c>
      <c r="O438" s="8" t="str">
        <f>INDEX(Product_List,MATCH($F438,'Product List'!$B$1:$B$299,0),MATCH('Order SUmmary'!O$2,'Product List'!$A$1:$E$1,0))</f>
        <v>Paper</v>
      </c>
      <c r="P438" s="12">
        <f>HLOOKUP(C438,'Commission Criteria'!$A$2:$I$4,3,FALSE)</f>
        <v>5</v>
      </c>
      <c r="Q438" s="8">
        <f t="shared" si="19"/>
        <v>2830</v>
      </c>
      <c r="R438" s="8">
        <f t="shared" si="20"/>
        <v>9466</v>
      </c>
      <c r="S438" s="36">
        <f>VLOOKUP(R438,'Commission Criteria'!$L$3:$M$11,2,TRUE)</f>
        <v>0.03</v>
      </c>
      <c r="T438" s="36">
        <f>IF(P438&lt;5,VLOOKUP(R438,'Commission Criteria'!$L$3:$M$11,2,1),VLOOKUP('Order SUmmary'!R438,'Commission Criteria'!$P$3:$Q$11,2,1))</f>
        <v>0.02</v>
      </c>
      <c r="U438" s="36">
        <f>VLOOKUP(R438,IF(P438&lt;5,'Commission Criteria'!$L$3:$M$11,'Commission Criteria'!$P$3:$Q$11),2,1)</f>
        <v>0.02</v>
      </c>
      <c r="V438" s="8" t="s">
        <v>40</v>
      </c>
      <c r="W438" s="36">
        <f t="shared" ca="1" si="21"/>
        <v>0.04</v>
      </c>
      <c r="X438" s="8" t="str">
        <f>_xlfn.XLOOKUP(F438,'Product List'!$B$1:$B$299,'Product List'!$A$1:$A$299)</f>
        <v>Xerox 223</v>
      </c>
      <c r="Y438" s="8"/>
      <c r="Z438" s="8" t="str" cm="1">
        <f t="array" ref="Z438:AD438">_xlfn.XLOOKUP(D438,'Customer Details'!$A$1:$A$17,'Customer Details'!$B$1:$F$17,"No such customer",0,1)</f>
        <v>Godfrey Philips India Ltd.</v>
      </c>
      <c r="AA438" s="8" t="str">
        <v>20501 Ania Ave #2</v>
      </c>
      <c r="AB438" s="8" t="str">
        <v>Salt Lake City</v>
      </c>
      <c r="AC438" s="8" t="str">
        <v>UT</v>
      </c>
      <c r="AD438" s="8" t="str">
        <v>84118</v>
      </c>
    </row>
    <row r="439" spans="1:30">
      <c r="A439" s="8" t="s">
        <v>567</v>
      </c>
      <c r="B439" s="19">
        <v>41707</v>
      </c>
      <c r="C439" s="8" t="s">
        <v>27</v>
      </c>
      <c r="D439" s="8">
        <v>10006</v>
      </c>
      <c r="E439" s="8" t="str">
        <f>VLOOKUP($D439,'Customer Details'!$A$1:$F$17,4,FALSE)</f>
        <v>Midland</v>
      </c>
      <c r="F439" s="8" t="s">
        <v>428</v>
      </c>
      <c r="G439" s="8">
        <v>3</v>
      </c>
      <c r="H439" s="2" t="str">
        <f>VLOOKUP($D439,'Customer Details'!$A$1:$F$17,MATCH('Order SUmmary'!H$2,'Customer Details'!$A$1:$F$1,0),0)</f>
        <v>Supreme Ind</v>
      </c>
      <c r="I439" s="2" t="str">
        <f>VLOOKUP($D439,'Customer Details'!$A$1:$F$17,4,0)</f>
        <v>Midland</v>
      </c>
      <c r="J439" s="2" t="str">
        <f>VLOOKUP($D439,'Customer Details'!$A$1:$F$17,6,0)</f>
        <v>79706</v>
      </c>
      <c r="K439" s="8" t="str">
        <f>VLOOKUP(VLOOKUP(D439,'Customer Details'!$A$1:$F$17,5,0),'Region INfo'!$A$1:$C$52,3,0)</f>
        <v>Western</v>
      </c>
      <c r="L439" s="8" t="str">
        <f>INDEX(Product_List,MATCH($F439,'Product List'!$B$1:$B$299,0),MATCH('Order SUmmary'!L$2,'Product List'!$A$1:$E$1,0))</f>
        <v>Avery 516</v>
      </c>
      <c r="M439" s="8">
        <f>INDEX(Product_List,MATCH($F439,'Product List'!$B$1:$B$299,0),MATCH('Order SUmmary'!M$2,'Product List'!$A$1:$E$1,0))</f>
        <v>3253</v>
      </c>
      <c r="N439" s="8">
        <f>INDEX(Product_List,MATCH($F439,'Product List'!$B$1:$B$299,0),MATCH('Order SUmmary'!N$2,'Product List'!$A$1:$E$1,0))</f>
        <v>2137</v>
      </c>
      <c r="O439" s="8" t="str">
        <f>INDEX(Product_List,MATCH($F439,'Product List'!$B$1:$B$299,0),MATCH('Order SUmmary'!O$2,'Product List'!$A$1:$E$1,0))</f>
        <v>Labels</v>
      </c>
      <c r="P439" s="12">
        <f>HLOOKUP(C439,'Commission Criteria'!$A$2:$I$4,3,FALSE)</f>
        <v>4</v>
      </c>
      <c r="Q439" s="8">
        <f t="shared" si="19"/>
        <v>6411</v>
      </c>
      <c r="R439" s="8">
        <f t="shared" si="20"/>
        <v>9759</v>
      </c>
      <c r="S439" s="36">
        <f>VLOOKUP(R439,'Commission Criteria'!$L$3:$M$11,2,TRUE)</f>
        <v>0.03</v>
      </c>
      <c r="T439" s="36">
        <f>IF(P439&lt;5,VLOOKUP(R439,'Commission Criteria'!$L$3:$M$11,2,1),VLOOKUP('Order SUmmary'!R439,'Commission Criteria'!$P$3:$Q$11,2,1))</f>
        <v>0.03</v>
      </c>
      <c r="U439" s="36">
        <f>VLOOKUP(R439,IF(P439&lt;5,'Commission Criteria'!$L$3:$M$11,'Commission Criteria'!$P$3:$Q$11),2,1)</f>
        <v>0.03</v>
      </c>
      <c r="V439" s="8" t="s">
        <v>40</v>
      </c>
      <c r="W439" s="36">
        <f t="shared" ca="1" si="21"/>
        <v>0.02</v>
      </c>
      <c r="X439" s="8" t="str">
        <f>_xlfn.XLOOKUP(F439,'Product List'!$B$1:$B$299,'Product List'!$A$1:$A$299)</f>
        <v>Avery 516</v>
      </c>
      <c r="Y439" s="8"/>
      <c r="Z439" s="8" t="str" cm="1">
        <f t="array" ref="Z439:AD439">_xlfn.XLOOKUP(D439,'Customer Details'!$A$1:$A$17,'Customer Details'!$B$1:$F$17,"No such customer",0,1)</f>
        <v>Supreme Ind</v>
      </c>
      <c r="AA439" s="8" t="str">
        <v>P.O. Box 1367</v>
      </c>
      <c r="AB439" s="8" t="str">
        <v>Midland</v>
      </c>
      <c r="AC439" s="8" t="str">
        <v>TX</v>
      </c>
      <c r="AD439" s="8" t="str">
        <v>79706</v>
      </c>
    </row>
    <row r="440" spans="1:30">
      <c r="A440" s="8" t="s">
        <v>569</v>
      </c>
      <c r="B440" s="19">
        <v>41709</v>
      </c>
      <c r="C440" s="8" t="s">
        <v>44</v>
      </c>
      <c r="D440" s="8">
        <v>10011</v>
      </c>
      <c r="E440" s="8" t="str">
        <f>VLOOKUP($D440,'Customer Details'!$A$1:$F$17,4,FALSE)</f>
        <v>Olympia</v>
      </c>
      <c r="F440" s="8" t="s">
        <v>368</v>
      </c>
      <c r="G440" s="8">
        <v>1</v>
      </c>
      <c r="H440" s="2" t="str">
        <f>VLOOKUP($D440,'Customer Details'!$A$1:$F$17,MATCH('Order SUmmary'!H$2,'Customer Details'!$A$1:$F$1,0),0)</f>
        <v>Sonata Software</v>
      </c>
      <c r="I440" s="2" t="str">
        <f>VLOOKUP($D440,'Customer Details'!$A$1:$F$17,4,0)</f>
        <v>Olympia</v>
      </c>
      <c r="J440" s="2" t="str">
        <f>VLOOKUP($D440,'Customer Details'!$A$1:$F$17,6,0)</f>
        <v>98502</v>
      </c>
      <c r="K440" s="8" t="str">
        <f>VLOOKUP(VLOOKUP(D440,'Customer Details'!$A$1:$F$17,5,0),'Region INfo'!$A$1:$C$52,3,0)</f>
        <v xml:space="preserve">Pacific   </v>
      </c>
      <c r="L440" s="8" t="str">
        <f>INDEX(Product_List,MATCH($F440,'Product List'!$B$1:$B$299,0),MATCH('Order SUmmary'!L$2,'Product List'!$A$1:$E$1,0))</f>
        <v>Xerox 1978</v>
      </c>
      <c r="M440" s="8">
        <f>INDEX(Product_List,MATCH($F440,'Product List'!$B$1:$B$299,0),MATCH('Order SUmmary'!M$2,'Product List'!$A$1:$E$1,0))</f>
        <v>4757</v>
      </c>
      <c r="N440" s="8">
        <f>INDEX(Product_List,MATCH($F440,'Product List'!$B$1:$B$299,0),MATCH('Order SUmmary'!N$2,'Product List'!$A$1:$E$1,0))</f>
        <v>1534</v>
      </c>
      <c r="O440" s="8" t="str">
        <f>INDEX(Product_List,MATCH($F440,'Product List'!$B$1:$B$299,0),MATCH('Order SUmmary'!O$2,'Product List'!$A$1:$E$1,0))</f>
        <v>Paper</v>
      </c>
      <c r="P440" s="12">
        <f>HLOOKUP(C440,'Commission Criteria'!$A$2:$I$4,3,FALSE)</f>
        <v>4</v>
      </c>
      <c r="Q440" s="8">
        <f t="shared" si="19"/>
        <v>1534</v>
      </c>
      <c r="R440" s="8">
        <f t="shared" si="20"/>
        <v>4757</v>
      </c>
      <c r="S440" s="36">
        <f>VLOOKUP(R440,'Commission Criteria'!$L$3:$M$11,2,TRUE)</f>
        <v>0.01</v>
      </c>
      <c r="T440" s="36">
        <f>IF(P440&lt;5,VLOOKUP(R440,'Commission Criteria'!$L$3:$M$11,2,1),VLOOKUP('Order SUmmary'!R440,'Commission Criteria'!$P$3:$Q$11,2,1))</f>
        <v>0.01</v>
      </c>
      <c r="U440" s="36">
        <f>VLOOKUP(R440,IF(P440&lt;5,'Commission Criteria'!$L$3:$M$11,'Commission Criteria'!$P$3:$Q$11),2,1)</f>
        <v>0.01</v>
      </c>
      <c r="V440" s="8" t="s">
        <v>35</v>
      </c>
      <c r="W440" s="36">
        <f t="shared" ca="1" si="21"/>
        <v>0</v>
      </c>
      <c r="X440" s="8" t="str">
        <f>_xlfn.XLOOKUP(F440,'Product List'!$B$1:$B$299,'Product List'!$A$1:$A$299)</f>
        <v>Xerox 1978</v>
      </c>
      <c r="Y440" s="8"/>
      <c r="Z440" s="8" t="str" cm="1">
        <f t="array" ref="Z440:AD440">_xlfn.XLOOKUP(D440,'Customer Details'!$A$1:$A$17,'Customer Details'!$B$1:$F$17,"No such customer",0,1)</f>
        <v>Sonata Software</v>
      </c>
      <c r="AA440" s="8" t="str">
        <v>1331 Kimberly Dr.</v>
      </c>
      <c r="AB440" s="8" t="str">
        <v>Olympia</v>
      </c>
      <c r="AC440" s="8" t="str">
        <v>WA</v>
      </c>
      <c r="AD440" s="8" t="str">
        <v>98502</v>
      </c>
    </row>
    <row r="441" spans="1:30">
      <c r="A441" s="8" t="s">
        <v>570</v>
      </c>
      <c r="B441" s="19">
        <v>41709</v>
      </c>
      <c r="C441" s="8" t="s">
        <v>27</v>
      </c>
      <c r="D441" s="8">
        <v>10002</v>
      </c>
      <c r="E441" s="8" t="str">
        <f>VLOOKUP($D441,'Customer Details'!$A$1:$F$17,4,FALSE)</f>
        <v>Omaha</v>
      </c>
      <c r="F441" s="8" t="s">
        <v>34</v>
      </c>
      <c r="G441" s="8">
        <v>3</v>
      </c>
      <c r="H441" s="2" t="str">
        <f>VLOOKUP($D441,'Customer Details'!$A$1:$F$17,MATCH('Order SUmmary'!H$2,'Customer Details'!$A$1:$F$1,0),0)</f>
        <v>Elder Pharmaceuticals</v>
      </c>
      <c r="I441" s="2" t="str">
        <f>VLOOKUP($D441,'Customer Details'!$A$1:$F$17,4,0)</f>
        <v>Omaha</v>
      </c>
      <c r="J441" s="2" t="str">
        <f>VLOOKUP($D441,'Customer Details'!$A$1:$F$17,6,0)</f>
        <v>68127</v>
      </c>
      <c r="K441" s="8" t="str">
        <f>VLOOKUP(VLOOKUP(D441,'Customer Details'!$A$1:$F$17,5,0),'Region INfo'!$A$1:$C$52,3,0)</f>
        <v>Western</v>
      </c>
      <c r="L441" s="8" t="str">
        <f>INDEX(Product_List,MATCH($F441,'Product List'!$B$1:$B$299,0),MATCH('Order SUmmary'!L$2,'Product List'!$A$1:$E$1,0))</f>
        <v>Xerox 203</v>
      </c>
      <c r="M441" s="8">
        <f>INDEX(Product_List,MATCH($F441,'Product List'!$B$1:$B$299,0),MATCH('Order SUmmary'!M$2,'Product List'!$A$1:$E$1,0))</f>
        <v>3637</v>
      </c>
      <c r="N441" s="8">
        <f>INDEX(Product_List,MATCH($F441,'Product List'!$B$1:$B$299,0),MATCH('Order SUmmary'!N$2,'Product List'!$A$1:$E$1,0))</f>
        <v>2463</v>
      </c>
      <c r="O441" s="8" t="str">
        <f>INDEX(Product_List,MATCH($F441,'Product List'!$B$1:$B$299,0),MATCH('Order SUmmary'!O$2,'Product List'!$A$1:$E$1,0))</f>
        <v>Paper</v>
      </c>
      <c r="P441" s="12">
        <f>HLOOKUP(C441,'Commission Criteria'!$A$2:$I$4,3,FALSE)</f>
        <v>4</v>
      </c>
      <c r="Q441" s="8">
        <f t="shared" si="19"/>
        <v>7389</v>
      </c>
      <c r="R441" s="8">
        <f t="shared" si="20"/>
        <v>10911</v>
      </c>
      <c r="S441" s="36">
        <f>VLOOKUP(R441,'Commission Criteria'!$L$3:$M$11,2,TRUE)</f>
        <v>0.03</v>
      </c>
      <c r="T441" s="36">
        <f>IF(P441&lt;5,VLOOKUP(R441,'Commission Criteria'!$L$3:$M$11,2,1),VLOOKUP('Order SUmmary'!R441,'Commission Criteria'!$P$3:$Q$11,2,1))</f>
        <v>0.03</v>
      </c>
      <c r="U441" s="36">
        <f>VLOOKUP(R441,IF(P441&lt;5,'Commission Criteria'!$L$3:$M$11,'Commission Criteria'!$P$3:$Q$11),2,1)</f>
        <v>0.03</v>
      </c>
      <c r="V441" s="8" t="s">
        <v>35</v>
      </c>
      <c r="W441" s="36">
        <f t="shared" ca="1" si="21"/>
        <v>0.04</v>
      </c>
      <c r="X441" s="8" t="str">
        <f>_xlfn.XLOOKUP(F441,'Product List'!$B$1:$B$299,'Product List'!$A$1:$A$299)</f>
        <v>Xerox 203</v>
      </c>
      <c r="Y441" s="8"/>
      <c r="Z441" s="8" t="str" cm="1">
        <f t="array" ref="Z441:AD441">_xlfn.XLOOKUP(D441,'Customer Details'!$A$1:$A$17,'Customer Details'!$B$1:$F$17,"No such customer",0,1)</f>
        <v>Elder Pharmaceuticals</v>
      </c>
      <c r="AA441" s="8" t="str">
        <v>57 Neriba Cres</v>
      </c>
      <c r="AB441" s="8" t="str">
        <v>Omaha</v>
      </c>
      <c r="AC441" s="8" t="str">
        <v>NE</v>
      </c>
      <c r="AD441" s="8" t="str">
        <v>68127</v>
      </c>
    </row>
    <row r="442" spans="1:30">
      <c r="A442" s="8" t="s">
        <v>571</v>
      </c>
      <c r="B442" s="19">
        <v>41710</v>
      </c>
      <c r="C442" s="8" t="s">
        <v>46</v>
      </c>
      <c r="D442" s="8">
        <v>10010</v>
      </c>
      <c r="E442" s="8" t="str">
        <f>VLOOKUP($D442,'Customer Details'!$A$1:$F$17,4,FALSE)</f>
        <v>Tracy</v>
      </c>
      <c r="F442" s="8" t="s">
        <v>107</v>
      </c>
      <c r="G442" s="8">
        <v>1</v>
      </c>
      <c r="H442" s="2" t="str">
        <f>VLOOKUP($D442,'Customer Details'!$A$1:$F$17,MATCH('Order SUmmary'!H$2,'Customer Details'!$A$1:$F$1,0),0)</f>
        <v>Suzlon Energy Ltd.</v>
      </c>
      <c r="I442" s="2" t="str">
        <f>VLOOKUP($D442,'Customer Details'!$A$1:$F$17,4,0)</f>
        <v>Tracy</v>
      </c>
      <c r="J442" s="2" t="str">
        <f>VLOOKUP($D442,'Customer Details'!$A$1:$F$17,6,0)</f>
        <v>95376</v>
      </c>
      <c r="K442" s="8" t="str">
        <f>VLOOKUP(VLOOKUP(D442,'Customer Details'!$A$1:$F$17,5,0),'Region INfo'!$A$1:$C$52,3,0)</f>
        <v xml:space="preserve">Pacific   </v>
      </c>
      <c r="L442" s="8" t="str">
        <f>INDEX(Product_List,MATCH($F442,'Product List'!$B$1:$B$299,0),MATCH('Order SUmmary'!L$2,'Product List'!$A$1:$E$1,0))</f>
        <v>Avery 493</v>
      </c>
      <c r="M442" s="8">
        <f>INDEX(Product_List,MATCH($F442,'Product List'!$B$1:$B$299,0),MATCH('Order SUmmary'!M$2,'Product List'!$A$1:$E$1,0))</f>
        <v>3457</v>
      </c>
      <c r="N442" s="8">
        <f>INDEX(Product_List,MATCH($F442,'Product List'!$B$1:$B$299,0),MATCH('Order SUmmary'!N$2,'Product List'!$A$1:$E$1,0))</f>
        <v>2070</v>
      </c>
      <c r="O442" s="8" t="str">
        <f>INDEX(Product_List,MATCH($F442,'Product List'!$B$1:$B$299,0),MATCH('Order SUmmary'!O$2,'Product List'!$A$1:$E$1,0))</f>
        <v>Labels</v>
      </c>
      <c r="P442" s="12">
        <f>HLOOKUP(C442,'Commission Criteria'!$A$2:$I$4,3,FALSE)</f>
        <v>8</v>
      </c>
      <c r="Q442" s="8">
        <f t="shared" si="19"/>
        <v>2070</v>
      </c>
      <c r="R442" s="8">
        <f t="shared" si="20"/>
        <v>3457</v>
      </c>
      <c r="S442" s="36">
        <f>VLOOKUP(R442,'Commission Criteria'!$L$3:$M$11,2,TRUE)</f>
        <v>0.01</v>
      </c>
      <c r="T442" s="36">
        <f>IF(P442&lt;5,VLOOKUP(R442,'Commission Criteria'!$L$3:$M$11,2,1),VLOOKUP('Order SUmmary'!R442,'Commission Criteria'!$P$3:$Q$11,2,1))</f>
        <v>0.02</v>
      </c>
      <c r="U442" s="36">
        <f>VLOOKUP(R442,IF(P442&lt;5,'Commission Criteria'!$L$3:$M$11,'Commission Criteria'!$P$3:$Q$11),2,1)</f>
        <v>0.02</v>
      </c>
      <c r="V442" s="8" t="s">
        <v>32</v>
      </c>
      <c r="W442" s="36">
        <f t="shared" ca="1" si="21"/>
        <v>0.02</v>
      </c>
      <c r="X442" s="8" t="str">
        <f>_xlfn.XLOOKUP(F442,'Product List'!$B$1:$B$299,'Product List'!$A$1:$A$299)</f>
        <v>Avery 493</v>
      </c>
      <c r="Y442" s="8"/>
      <c r="Z442" s="8" t="str" cm="1">
        <f t="array" ref="Z442:AD442">_xlfn.XLOOKUP(D442,'Customer Details'!$A$1:$A$17,'Customer Details'!$B$1:$F$17,"No such customer",0,1)</f>
        <v>Suzlon Energy Ltd.</v>
      </c>
      <c r="AA442" s="8" t="str">
        <v>501 Marsh Trail Circle</v>
      </c>
      <c r="AB442" s="8" t="str">
        <v>Tracy</v>
      </c>
      <c r="AC442" s="8" t="str">
        <v>CA</v>
      </c>
      <c r="AD442" s="8" t="str">
        <v>95376</v>
      </c>
    </row>
    <row r="443" spans="1:30">
      <c r="A443" s="8" t="s">
        <v>572</v>
      </c>
      <c r="B443" s="19">
        <v>41711</v>
      </c>
      <c r="C443" s="8" t="s">
        <v>44</v>
      </c>
      <c r="D443" s="8">
        <v>10007</v>
      </c>
      <c r="E443" s="8" t="str">
        <f>VLOOKUP($D443,'Customer Details'!$A$1:$F$17,4,FALSE)</f>
        <v>Richmond</v>
      </c>
      <c r="F443" s="8" t="s">
        <v>358</v>
      </c>
      <c r="G443" s="8">
        <v>2</v>
      </c>
      <c r="H443" s="2" t="str">
        <f>VLOOKUP($D443,'Customer Details'!$A$1:$F$17,MATCH('Order SUmmary'!H$2,'Customer Details'!$A$1:$F$1,0),0)</f>
        <v>GHCL Ltd.</v>
      </c>
      <c r="I443" s="2" t="str">
        <f>VLOOKUP($D443,'Customer Details'!$A$1:$F$17,4,0)</f>
        <v>Richmond</v>
      </c>
      <c r="J443" s="2" t="str">
        <f>VLOOKUP($D443,'Customer Details'!$A$1:$F$17,6,0)</f>
        <v>94805</v>
      </c>
      <c r="K443" s="8" t="str">
        <f>VLOOKUP(VLOOKUP(D443,'Customer Details'!$A$1:$F$17,5,0),'Region INfo'!$A$1:$C$52,3,0)</f>
        <v xml:space="preserve">Pacific   </v>
      </c>
      <c r="L443" s="8" t="str">
        <f>INDEX(Product_List,MATCH($F443,'Product List'!$B$1:$B$299,0),MATCH('Order SUmmary'!L$2,'Product List'!$A$1:$E$1,0))</f>
        <v>Xerox 1962</v>
      </c>
      <c r="M443" s="8">
        <f>INDEX(Product_List,MATCH($F443,'Product List'!$B$1:$B$299,0),MATCH('Order SUmmary'!M$2,'Product List'!$A$1:$E$1,0))</f>
        <v>3573</v>
      </c>
      <c r="N443" s="8">
        <f>INDEX(Product_List,MATCH($F443,'Product List'!$B$1:$B$299,0),MATCH('Order SUmmary'!N$2,'Product List'!$A$1:$E$1,0))</f>
        <v>1857</v>
      </c>
      <c r="O443" s="8" t="str">
        <f>INDEX(Product_List,MATCH($F443,'Product List'!$B$1:$B$299,0),MATCH('Order SUmmary'!O$2,'Product List'!$A$1:$E$1,0))</f>
        <v>Paper</v>
      </c>
      <c r="P443" s="12">
        <f>HLOOKUP(C443,'Commission Criteria'!$A$2:$I$4,3,FALSE)</f>
        <v>4</v>
      </c>
      <c r="Q443" s="8">
        <f t="shared" si="19"/>
        <v>3714</v>
      </c>
      <c r="R443" s="8">
        <f t="shared" si="20"/>
        <v>7146</v>
      </c>
      <c r="S443" s="36">
        <f>VLOOKUP(R443,'Commission Criteria'!$L$3:$M$11,2,TRUE)</f>
        <v>0.03</v>
      </c>
      <c r="T443" s="36">
        <f>IF(P443&lt;5,VLOOKUP(R443,'Commission Criteria'!$L$3:$M$11,2,1),VLOOKUP('Order SUmmary'!R443,'Commission Criteria'!$P$3:$Q$11,2,1))</f>
        <v>0.03</v>
      </c>
      <c r="U443" s="36">
        <f>VLOOKUP(R443,IF(P443&lt;5,'Commission Criteria'!$L$3:$M$11,'Commission Criteria'!$P$3:$Q$11),2,1)</f>
        <v>0.03</v>
      </c>
      <c r="V443" s="8" t="s">
        <v>35</v>
      </c>
      <c r="W443" s="36">
        <f t="shared" ca="1" si="21"/>
        <v>0</v>
      </c>
      <c r="X443" s="8" t="str">
        <f>_xlfn.XLOOKUP(F443,'Product List'!$B$1:$B$299,'Product List'!$A$1:$A$299)</f>
        <v>Xerox 1962</v>
      </c>
      <c r="Y443" s="8"/>
      <c r="Z443" s="8" t="str" cm="1">
        <f t="array" ref="Z443:AD443">_xlfn.XLOOKUP(D443,'Customer Details'!$A$1:$A$17,'Customer Details'!$B$1:$F$17,"No such customer",0,1)</f>
        <v>GHCL Ltd.</v>
      </c>
      <c r="AA443" s="8" t="str">
        <v>58 Clarence St</v>
      </c>
      <c r="AB443" s="8" t="str">
        <v>Richmond</v>
      </c>
      <c r="AC443" s="8" t="str">
        <v>CA</v>
      </c>
      <c r="AD443" s="8" t="str">
        <v>94805</v>
      </c>
    </row>
    <row r="444" spans="1:30">
      <c r="A444" s="8" t="s">
        <v>573</v>
      </c>
      <c r="B444" s="19">
        <v>41713</v>
      </c>
      <c r="C444" s="8" t="s">
        <v>46</v>
      </c>
      <c r="D444" s="8">
        <v>10013</v>
      </c>
      <c r="E444" s="8" t="str">
        <f>VLOOKUP($D444,'Customer Details'!$A$1:$F$17,4,FALSE)</f>
        <v>Naugatuck</v>
      </c>
      <c r="F444" s="8" t="s">
        <v>532</v>
      </c>
      <c r="G444" s="8">
        <v>1</v>
      </c>
      <c r="H444" s="2" t="str">
        <f>VLOOKUP($D444,'Customer Details'!$A$1:$F$17,MATCH('Order SUmmary'!H$2,'Customer Details'!$A$1:$F$1,0),0)</f>
        <v>GMR Infrastructure Ltd.</v>
      </c>
      <c r="I444" s="2" t="str">
        <f>VLOOKUP($D444,'Customer Details'!$A$1:$F$17,4,0)</f>
        <v>Naugatuck</v>
      </c>
      <c r="J444" s="2" t="str">
        <f>VLOOKUP($D444,'Customer Details'!$A$1:$F$17,6,0)</f>
        <v>06770</v>
      </c>
      <c r="K444" s="8" t="str">
        <f>VLOOKUP(VLOOKUP(D444,'Customer Details'!$A$1:$F$17,5,0),'Region INfo'!$A$1:$C$52,3,0)</f>
        <v xml:space="preserve">Northern </v>
      </c>
      <c r="L444" s="8" t="str">
        <f>INDEX(Product_List,MATCH($F444,'Product List'!$B$1:$B$299,0),MATCH('Order SUmmary'!L$2,'Product List'!$A$1:$E$1,0))</f>
        <v>Clarity 53712</v>
      </c>
      <c r="M444" s="8">
        <f>INDEX(Product_List,MATCH($F444,'Product List'!$B$1:$B$299,0),MATCH('Order SUmmary'!M$2,'Product List'!$A$1:$E$1,0))</f>
        <v>2586</v>
      </c>
      <c r="N444" s="8">
        <f>INDEX(Product_List,MATCH($F444,'Product List'!$B$1:$B$299,0),MATCH('Order SUmmary'!N$2,'Product List'!$A$1:$E$1,0))</f>
        <v>2432</v>
      </c>
      <c r="O444" s="8" t="str">
        <f>INDEX(Product_List,MATCH($F444,'Product List'!$B$1:$B$299,0),MATCH('Order SUmmary'!O$2,'Product List'!$A$1:$E$1,0))</f>
        <v>Phones</v>
      </c>
      <c r="P444" s="12">
        <f>HLOOKUP(C444,'Commission Criteria'!$A$2:$I$4,3,FALSE)</f>
        <v>8</v>
      </c>
      <c r="Q444" s="8">
        <f t="shared" si="19"/>
        <v>2432</v>
      </c>
      <c r="R444" s="8">
        <f t="shared" si="20"/>
        <v>2586</v>
      </c>
      <c r="S444" s="36">
        <f>VLOOKUP(R444,'Commission Criteria'!$L$3:$M$11,2,TRUE)</f>
        <v>0.01</v>
      </c>
      <c r="T444" s="36">
        <f>IF(P444&lt;5,VLOOKUP(R444,'Commission Criteria'!$L$3:$M$11,2,1),VLOOKUP('Order SUmmary'!R444,'Commission Criteria'!$P$3:$Q$11,2,1))</f>
        <v>0.02</v>
      </c>
      <c r="U444" s="36">
        <f>VLOOKUP(R444,IF(P444&lt;5,'Commission Criteria'!$L$3:$M$11,'Commission Criteria'!$P$3:$Q$11),2,1)</f>
        <v>0.02</v>
      </c>
      <c r="V444" s="8" t="s">
        <v>35</v>
      </c>
      <c r="W444" s="36">
        <f t="shared" ca="1" si="21"/>
        <v>0.05</v>
      </c>
      <c r="X444" s="8" t="str">
        <f>_xlfn.XLOOKUP(F444,'Product List'!$B$1:$B$299,'Product List'!$A$1:$A$299)</f>
        <v>Clarity 53712</v>
      </c>
      <c r="Y444" s="8"/>
      <c r="Z444" s="8" t="str" cm="1">
        <f t="array" ref="Z444:AD444">_xlfn.XLOOKUP(D444,'Customer Details'!$A$1:$A$17,'Customer Details'!$B$1:$F$17,"No such customer",0,1)</f>
        <v>GMR Infrastructure Ltd.</v>
      </c>
      <c r="AA444" s="8" t="str">
        <v>P.O. Box 4421</v>
      </c>
      <c r="AB444" s="8" t="str">
        <v>Naugatuck</v>
      </c>
      <c r="AC444" s="8" t="str">
        <v>CT</v>
      </c>
      <c r="AD444" s="8" t="str">
        <v>06770</v>
      </c>
    </row>
    <row r="445" spans="1:30">
      <c r="A445" s="8" t="s">
        <v>573</v>
      </c>
      <c r="B445" s="19">
        <v>41713</v>
      </c>
      <c r="C445" s="8" t="s">
        <v>66</v>
      </c>
      <c r="D445" s="8">
        <v>10006</v>
      </c>
      <c r="E445" s="8" t="str">
        <f>VLOOKUP($D445,'Customer Details'!$A$1:$F$17,4,FALSE)</f>
        <v>Midland</v>
      </c>
      <c r="F445" s="8" t="s">
        <v>356</v>
      </c>
      <c r="G445" s="8">
        <v>3</v>
      </c>
      <c r="H445" s="2" t="str">
        <f>VLOOKUP($D445,'Customer Details'!$A$1:$F$17,MATCH('Order SUmmary'!H$2,'Customer Details'!$A$1:$F$1,0),0)</f>
        <v>Supreme Ind</v>
      </c>
      <c r="I445" s="2" t="str">
        <f>VLOOKUP($D445,'Customer Details'!$A$1:$F$17,4,0)</f>
        <v>Midland</v>
      </c>
      <c r="J445" s="2" t="str">
        <f>VLOOKUP($D445,'Customer Details'!$A$1:$F$17,6,0)</f>
        <v>79706</v>
      </c>
      <c r="K445" s="8" t="str">
        <f>VLOOKUP(VLOOKUP(D445,'Customer Details'!$A$1:$F$17,5,0),'Region INfo'!$A$1:$C$52,3,0)</f>
        <v>Western</v>
      </c>
      <c r="L445" s="8" t="str">
        <f>INDEX(Product_List,MATCH($F445,'Product List'!$B$1:$B$299,0),MATCH('Order SUmmary'!L$2,'Product List'!$A$1:$E$1,0))</f>
        <v>Newell 32</v>
      </c>
      <c r="M445" s="8">
        <f>INDEX(Product_List,MATCH($F445,'Product List'!$B$1:$B$299,0),MATCH('Order SUmmary'!M$2,'Product List'!$A$1:$E$1,0))</f>
        <v>4051</v>
      </c>
      <c r="N445" s="8">
        <f>INDEX(Product_List,MATCH($F445,'Product List'!$B$1:$B$299,0),MATCH('Order SUmmary'!N$2,'Product List'!$A$1:$E$1,0))</f>
        <v>1962</v>
      </c>
      <c r="O445" s="8" t="str">
        <f>INDEX(Product_List,MATCH($F445,'Product List'!$B$1:$B$299,0),MATCH('Order SUmmary'!O$2,'Product List'!$A$1:$E$1,0))</f>
        <v>Art</v>
      </c>
      <c r="P445" s="12">
        <f>HLOOKUP(C445,'Commission Criteria'!$A$2:$I$4,3,FALSE)</f>
        <v>5</v>
      </c>
      <c r="Q445" s="8">
        <f t="shared" si="19"/>
        <v>5886</v>
      </c>
      <c r="R445" s="8">
        <f t="shared" si="20"/>
        <v>12153</v>
      </c>
      <c r="S445" s="36">
        <f>VLOOKUP(R445,'Commission Criteria'!$L$3:$M$11,2,TRUE)</f>
        <v>0.03</v>
      </c>
      <c r="T445" s="36">
        <f>IF(P445&lt;5,VLOOKUP(R445,'Commission Criteria'!$L$3:$M$11,2,1),VLOOKUP('Order SUmmary'!R445,'Commission Criteria'!$P$3:$Q$11,2,1))</f>
        <v>0.02</v>
      </c>
      <c r="U445" s="36">
        <f>VLOOKUP(R445,IF(P445&lt;5,'Commission Criteria'!$L$3:$M$11,'Commission Criteria'!$P$3:$Q$11),2,1)</f>
        <v>0.02</v>
      </c>
      <c r="V445" s="8" t="s">
        <v>35</v>
      </c>
      <c r="W445" s="36">
        <f t="shared" ca="1" si="21"/>
        <v>0.04</v>
      </c>
      <c r="X445" s="8" t="str">
        <f>_xlfn.XLOOKUP(F445,'Product List'!$B$1:$B$299,'Product List'!$A$1:$A$299)</f>
        <v>Newell 32</v>
      </c>
      <c r="Y445" s="8"/>
      <c r="Z445" s="8" t="str" cm="1">
        <f t="array" ref="Z445:AD445">_xlfn.XLOOKUP(D445,'Customer Details'!$A$1:$A$17,'Customer Details'!$B$1:$F$17,"No such customer",0,1)</f>
        <v>Supreme Ind</v>
      </c>
      <c r="AA445" s="8" t="str">
        <v>P.O. Box 1367</v>
      </c>
      <c r="AB445" s="8" t="str">
        <v>Midland</v>
      </c>
      <c r="AC445" s="8" t="str">
        <v>TX</v>
      </c>
      <c r="AD445" s="8" t="str">
        <v>79706</v>
      </c>
    </row>
    <row r="446" spans="1:30">
      <c r="A446" s="8" t="s">
        <v>574</v>
      </c>
      <c r="B446" s="19">
        <v>41716</v>
      </c>
      <c r="C446" s="8" t="s">
        <v>33</v>
      </c>
      <c r="D446" s="8">
        <v>10006</v>
      </c>
      <c r="E446" s="8" t="str">
        <f>VLOOKUP($D446,'Customer Details'!$A$1:$F$17,4,FALSE)</f>
        <v>Midland</v>
      </c>
      <c r="F446" s="8" t="s">
        <v>73</v>
      </c>
      <c r="G446" s="8">
        <v>1</v>
      </c>
      <c r="H446" s="2" t="str">
        <f>VLOOKUP($D446,'Customer Details'!$A$1:$F$17,MATCH('Order SUmmary'!H$2,'Customer Details'!$A$1:$F$1,0),0)</f>
        <v>Supreme Ind</v>
      </c>
      <c r="I446" s="2" t="str">
        <f>VLOOKUP($D446,'Customer Details'!$A$1:$F$17,4,0)</f>
        <v>Midland</v>
      </c>
      <c r="J446" s="2" t="str">
        <f>VLOOKUP($D446,'Customer Details'!$A$1:$F$17,6,0)</f>
        <v>79706</v>
      </c>
      <c r="K446" s="8" t="str">
        <f>VLOOKUP(VLOOKUP(D446,'Customer Details'!$A$1:$F$17,5,0),'Region INfo'!$A$1:$C$52,3,0)</f>
        <v>Western</v>
      </c>
      <c r="L446" s="8" t="str">
        <f>INDEX(Product_List,MATCH($F446,'Product List'!$B$1:$B$299,0),MATCH('Order SUmmary'!L$2,'Product List'!$A$1:$E$1,0))</f>
        <v>Xerox 1916</v>
      </c>
      <c r="M446" s="8">
        <f>INDEX(Product_List,MATCH($F446,'Product List'!$B$1:$B$299,0),MATCH('Order SUmmary'!M$2,'Product List'!$A$1:$E$1,0))</f>
        <v>3499</v>
      </c>
      <c r="N446" s="8">
        <f>INDEX(Product_List,MATCH($F446,'Product List'!$B$1:$B$299,0),MATCH('Order SUmmary'!N$2,'Product List'!$A$1:$E$1,0))</f>
        <v>2342</v>
      </c>
      <c r="O446" s="8" t="str">
        <f>INDEX(Product_List,MATCH($F446,'Product List'!$B$1:$B$299,0),MATCH('Order SUmmary'!O$2,'Product List'!$A$1:$E$1,0))</f>
        <v>Paper</v>
      </c>
      <c r="P446" s="12">
        <f>HLOOKUP(C446,'Commission Criteria'!$A$2:$I$4,3,FALSE)</f>
        <v>1</v>
      </c>
      <c r="Q446" s="8">
        <f t="shared" si="19"/>
        <v>2342</v>
      </c>
      <c r="R446" s="8">
        <f t="shared" si="20"/>
        <v>3499</v>
      </c>
      <c r="S446" s="36">
        <f>VLOOKUP(R446,'Commission Criteria'!$L$3:$M$11,2,TRUE)</f>
        <v>0.01</v>
      </c>
      <c r="T446" s="36">
        <f>IF(P446&lt;5,VLOOKUP(R446,'Commission Criteria'!$L$3:$M$11,2,1),VLOOKUP('Order SUmmary'!R446,'Commission Criteria'!$P$3:$Q$11,2,1))</f>
        <v>0.01</v>
      </c>
      <c r="U446" s="36">
        <f>VLOOKUP(R446,IF(P446&lt;5,'Commission Criteria'!$L$3:$M$11,'Commission Criteria'!$P$3:$Q$11),2,1)</f>
        <v>0.01</v>
      </c>
      <c r="V446" s="8" t="s">
        <v>29</v>
      </c>
      <c r="W446" s="36">
        <f t="shared" ca="1" si="21"/>
        <v>0.04</v>
      </c>
      <c r="X446" s="8" t="str">
        <f>_xlfn.XLOOKUP(F446,'Product List'!$B$1:$B$299,'Product List'!$A$1:$A$299)</f>
        <v>Xerox 1916</v>
      </c>
      <c r="Y446" s="8"/>
      <c r="Z446" s="8" t="str" cm="1">
        <f t="array" ref="Z446:AD446">_xlfn.XLOOKUP(D446,'Customer Details'!$A$1:$A$17,'Customer Details'!$B$1:$F$17,"No such customer",0,1)</f>
        <v>Supreme Ind</v>
      </c>
      <c r="AA446" s="8" t="str">
        <v>P.O. Box 1367</v>
      </c>
      <c r="AB446" s="8" t="str">
        <v>Midland</v>
      </c>
      <c r="AC446" s="8" t="str">
        <v>TX</v>
      </c>
      <c r="AD446" s="8" t="str">
        <v>79706</v>
      </c>
    </row>
    <row r="447" spans="1:30">
      <c r="A447" s="8" t="s">
        <v>575</v>
      </c>
      <c r="B447" s="19">
        <v>41717</v>
      </c>
      <c r="C447" s="8" t="s">
        <v>51</v>
      </c>
      <c r="D447" s="8">
        <v>10003</v>
      </c>
      <c r="E447" s="8" t="str">
        <f>VLOOKUP($D447,'Customer Details'!$A$1:$F$17,4,FALSE)</f>
        <v>Miami</v>
      </c>
      <c r="F447" s="8" t="s">
        <v>203</v>
      </c>
      <c r="G447" s="8">
        <v>1</v>
      </c>
      <c r="H447" s="2" t="str">
        <f>VLOOKUP($D447,'Customer Details'!$A$1:$F$17,MATCH('Order SUmmary'!H$2,'Customer Details'!$A$1:$F$1,0),0)</f>
        <v>Honeywell Automation</v>
      </c>
      <c r="I447" s="2" t="str">
        <f>VLOOKUP($D447,'Customer Details'!$A$1:$F$17,4,0)</f>
        <v>Miami</v>
      </c>
      <c r="J447" s="2" t="str">
        <f>VLOOKUP($D447,'Customer Details'!$A$1:$F$17,6,0)</f>
        <v>33732</v>
      </c>
      <c r="K447" s="8" t="str">
        <f>VLOOKUP(VLOOKUP(D447,'Customer Details'!$A$1:$F$17,5,0),'Region INfo'!$A$1:$C$52,3,0)</f>
        <v>Southern</v>
      </c>
      <c r="L447" s="8" t="str">
        <f>INDEX(Product_List,MATCH($F447,'Product List'!$B$1:$B$299,0),MATCH('Order SUmmary'!L$2,'Product List'!$A$1:$E$1,0))</f>
        <v>Xerox 1957</v>
      </c>
      <c r="M447" s="8">
        <f>INDEX(Product_List,MATCH($F447,'Product List'!$B$1:$B$299,0),MATCH('Order SUmmary'!M$2,'Product List'!$A$1:$E$1,0))</f>
        <v>4398</v>
      </c>
      <c r="N447" s="8">
        <f>INDEX(Product_List,MATCH($F447,'Product List'!$B$1:$B$299,0),MATCH('Order SUmmary'!N$2,'Product List'!$A$1:$E$1,0))</f>
        <v>1800</v>
      </c>
      <c r="O447" s="8" t="str">
        <f>INDEX(Product_List,MATCH($F447,'Product List'!$B$1:$B$299,0),MATCH('Order SUmmary'!O$2,'Product List'!$A$1:$E$1,0))</f>
        <v>Paper</v>
      </c>
      <c r="P447" s="12">
        <f>HLOOKUP(C447,'Commission Criteria'!$A$2:$I$4,3,FALSE)</f>
        <v>10</v>
      </c>
      <c r="Q447" s="8">
        <f t="shared" si="19"/>
        <v>1800</v>
      </c>
      <c r="R447" s="8">
        <f t="shared" si="20"/>
        <v>4398</v>
      </c>
      <c r="S447" s="36">
        <f>VLOOKUP(R447,'Commission Criteria'!$L$3:$M$11,2,TRUE)</f>
        <v>0.01</v>
      </c>
      <c r="T447" s="36">
        <f>IF(P447&lt;5,VLOOKUP(R447,'Commission Criteria'!$L$3:$M$11,2,1),VLOOKUP('Order SUmmary'!R447,'Commission Criteria'!$P$3:$Q$11,2,1))</f>
        <v>0.02</v>
      </c>
      <c r="U447" s="36">
        <f>VLOOKUP(R447,IF(P447&lt;5,'Commission Criteria'!$L$3:$M$11,'Commission Criteria'!$P$3:$Q$11),2,1)</f>
        <v>0.02</v>
      </c>
      <c r="V447" s="8" t="s">
        <v>35</v>
      </c>
      <c r="W447" s="36">
        <f t="shared" ca="1" si="21"/>
        <v>0.02</v>
      </c>
      <c r="X447" s="8" t="str">
        <f>_xlfn.XLOOKUP(F447,'Product List'!$B$1:$B$299,'Product List'!$A$1:$A$299)</f>
        <v>Xerox 1957</v>
      </c>
      <c r="Y447" s="8"/>
      <c r="Z447" s="8" t="str" cm="1">
        <f t="array" ref="Z447:AD447">_xlfn.XLOOKUP(D447,'Customer Details'!$A$1:$A$17,'Customer Details'!$B$1:$F$17,"No such customer",0,1)</f>
        <v>Honeywell Automation</v>
      </c>
      <c r="AA447" s="8" t="str">
        <v>1272 Harbor Road</v>
      </c>
      <c r="AB447" s="8" t="str">
        <v>Miami</v>
      </c>
      <c r="AC447" s="8" t="str">
        <v>FL</v>
      </c>
      <c r="AD447" s="8" t="str">
        <v>33732</v>
      </c>
    </row>
    <row r="448" spans="1:30">
      <c r="A448" s="8" t="s">
        <v>575</v>
      </c>
      <c r="B448" s="19">
        <v>41717</v>
      </c>
      <c r="C448" s="8" t="s">
        <v>44</v>
      </c>
      <c r="D448" s="8">
        <v>10015</v>
      </c>
      <c r="E448" s="8" t="str">
        <f>VLOOKUP($D448,'Customer Details'!$A$1:$F$17,4,FALSE)</f>
        <v>South Windsor</v>
      </c>
      <c r="F448" s="8" t="s">
        <v>487</v>
      </c>
      <c r="G448" s="8">
        <v>3</v>
      </c>
      <c r="H448" s="2" t="str">
        <f>VLOOKUP($D448,'Customer Details'!$A$1:$F$17,MATCH('Order SUmmary'!H$2,'Customer Details'!$A$1:$F$1,0),0)</f>
        <v>Punj Lloyd Ltd.</v>
      </c>
      <c r="I448" s="2" t="str">
        <f>VLOOKUP($D448,'Customer Details'!$A$1:$F$17,4,0)</f>
        <v>South Windsor</v>
      </c>
      <c r="J448" s="2" t="str">
        <f>VLOOKUP($D448,'Customer Details'!$A$1:$F$17,6,0)</f>
        <v>06074</v>
      </c>
      <c r="K448" s="8" t="str">
        <f>VLOOKUP(VLOOKUP(D448,'Customer Details'!$A$1:$F$17,5,0),'Region INfo'!$A$1:$C$52,3,0)</f>
        <v xml:space="preserve">Northern </v>
      </c>
      <c r="L448" s="8" t="str">
        <f>INDEX(Product_List,MATCH($F448,'Product List'!$B$1:$B$299,0),MATCH('Order SUmmary'!L$2,'Product List'!$A$1:$E$1,0))</f>
        <v>Xerox 1949</v>
      </c>
      <c r="M448" s="8">
        <f>INDEX(Product_List,MATCH($F448,'Product List'!$B$1:$B$299,0),MATCH('Order SUmmary'!M$2,'Product List'!$A$1:$E$1,0))</f>
        <v>3197</v>
      </c>
      <c r="N448" s="8">
        <f>INDEX(Product_List,MATCH($F448,'Product List'!$B$1:$B$299,0),MATCH('Order SUmmary'!N$2,'Product List'!$A$1:$E$1,0))</f>
        <v>1625</v>
      </c>
      <c r="O448" s="8" t="str">
        <f>INDEX(Product_List,MATCH($F448,'Product List'!$B$1:$B$299,0),MATCH('Order SUmmary'!O$2,'Product List'!$A$1:$E$1,0))</f>
        <v>Paper</v>
      </c>
      <c r="P448" s="12">
        <f>HLOOKUP(C448,'Commission Criteria'!$A$2:$I$4,3,FALSE)</f>
        <v>4</v>
      </c>
      <c r="Q448" s="8">
        <f t="shared" si="19"/>
        <v>4875</v>
      </c>
      <c r="R448" s="8">
        <f t="shared" si="20"/>
        <v>9591</v>
      </c>
      <c r="S448" s="36">
        <f>VLOOKUP(R448,'Commission Criteria'!$L$3:$M$11,2,TRUE)</f>
        <v>0.03</v>
      </c>
      <c r="T448" s="36">
        <f>IF(P448&lt;5,VLOOKUP(R448,'Commission Criteria'!$L$3:$M$11,2,1),VLOOKUP('Order SUmmary'!R448,'Commission Criteria'!$P$3:$Q$11,2,1))</f>
        <v>0.03</v>
      </c>
      <c r="U448" s="36">
        <f>VLOOKUP(R448,IF(P448&lt;5,'Commission Criteria'!$L$3:$M$11,'Commission Criteria'!$P$3:$Q$11),2,1)</f>
        <v>0.03</v>
      </c>
      <c r="V448" s="8" t="s">
        <v>35</v>
      </c>
      <c r="W448" s="36">
        <f t="shared" ca="1" si="21"/>
        <v>0.05</v>
      </c>
      <c r="X448" s="8" t="str">
        <f>_xlfn.XLOOKUP(F448,'Product List'!$B$1:$B$299,'Product List'!$A$1:$A$299)</f>
        <v>Xerox 1949</v>
      </c>
      <c r="Y448" s="8"/>
      <c r="Z448" s="8" t="str" cm="1">
        <f t="array" ref="Z448:AD448">_xlfn.XLOOKUP(D448,'Customer Details'!$A$1:$A$17,'Customer Details'!$B$1:$F$17,"No such customer",0,1)</f>
        <v>Punj Lloyd Ltd.</v>
      </c>
      <c r="AA448" s="8" t="str">
        <v>Box 3263</v>
      </c>
      <c r="AB448" s="8" t="str">
        <v>South Windsor</v>
      </c>
      <c r="AC448" s="8" t="str">
        <v>CT</v>
      </c>
      <c r="AD448" s="8" t="str">
        <v>06074</v>
      </c>
    </row>
    <row r="449" spans="1:30">
      <c r="A449" s="8" t="s">
        <v>576</v>
      </c>
      <c r="B449" s="19">
        <v>41718</v>
      </c>
      <c r="C449" s="8" t="s">
        <v>51</v>
      </c>
      <c r="D449" s="8">
        <v>10009</v>
      </c>
      <c r="E449" s="8" t="str">
        <f>VLOOKUP($D449,'Customer Details'!$A$1:$F$17,4,FALSE)</f>
        <v>Salt Lake City</v>
      </c>
      <c r="F449" s="8" t="s">
        <v>247</v>
      </c>
      <c r="G449" s="8">
        <v>1</v>
      </c>
      <c r="H449" s="2" t="str">
        <f>VLOOKUP($D449,'Customer Details'!$A$1:$F$17,MATCH('Order SUmmary'!H$2,'Customer Details'!$A$1:$F$1,0),0)</f>
        <v>Godfrey Philips India Ltd.</v>
      </c>
      <c r="I449" s="2" t="str">
        <f>VLOOKUP($D449,'Customer Details'!$A$1:$F$17,4,0)</f>
        <v>Salt Lake City</v>
      </c>
      <c r="J449" s="2" t="str">
        <f>VLOOKUP($D449,'Customer Details'!$A$1:$F$17,6,0)</f>
        <v>84118</v>
      </c>
      <c r="K449" s="8" t="str">
        <f>VLOOKUP(VLOOKUP(D449,'Customer Details'!$A$1:$F$17,5,0),'Region INfo'!$A$1:$C$52,3,0)</f>
        <v xml:space="preserve">Pacific   </v>
      </c>
      <c r="L449" s="8" t="str">
        <f>INDEX(Product_List,MATCH($F449,'Product List'!$B$1:$B$299,0),MATCH('Order SUmmary'!L$2,'Product List'!$A$1:$E$1,0))</f>
        <v>Newell 329</v>
      </c>
      <c r="M449" s="8">
        <f>INDEX(Product_List,MATCH($F449,'Product List'!$B$1:$B$299,0),MATCH('Order SUmmary'!M$2,'Product List'!$A$1:$E$1,0))</f>
        <v>2787</v>
      </c>
      <c r="N449" s="8">
        <f>INDEX(Product_List,MATCH($F449,'Product List'!$B$1:$B$299,0),MATCH('Order SUmmary'!N$2,'Product List'!$A$1:$E$1,0))</f>
        <v>1470</v>
      </c>
      <c r="O449" s="8" t="str">
        <f>INDEX(Product_List,MATCH($F449,'Product List'!$B$1:$B$299,0),MATCH('Order SUmmary'!O$2,'Product List'!$A$1:$E$1,0))</f>
        <v>Art</v>
      </c>
      <c r="P449" s="12">
        <f>HLOOKUP(C449,'Commission Criteria'!$A$2:$I$4,3,FALSE)</f>
        <v>10</v>
      </c>
      <c r="Q449" s="8">
        <f t="shared" si="19"/>
        <v>1470</v>
      </c>
      <c r="R449" s="8">
        <f t="shared" si="20"/>
        <v>2787</v>
      </c>
      <c r="S449" s="36">
        <f>VLOOKUP(R449,'Commission Criteria'!$L$3:$M$11,2,TRUE)</f>
        <v>0.01</v>
      </c>
      <c r="T449" s="36">
        <f>IF(P449&lt;5,VLOOKUP(R449,'Commission Criteria'!$L$3:$M$11,2,1),VLOOKUP('Order SUmmary'!R449,'Commission Criteria'!$P$3:$Q$11,2,1))</f>
        <v>0.02</v>
      </c>
      <c r="U449" s="36">
        <f>VLOOKUP(R449,IF(P449&lt;5,'Commission Criteria'!$L$3:$M$11,'Commission Criteria'!$P$3:$Q$11),2,1)</f>
        <v>0.02</v>
      </c>
      <c r="V449" s="8" t="s">
        <v>43</v>
      </c>
      <c r="W449" s="36">
        <f t="shared" ca="1" si="21"/>
        <v>0.04</v>
      </c>
      <c r="X449" s="8" t="str">
        <f>_xlfn.XLOOKUP(F449,'Product List'!$B$1:$B$299,'Product List'!$A$1:$A$299)</f>
        <v>Newell 329</v>
      </c>
      <c r="Y449" s="8"/>
      <c r="Z449" s="8" t="str" cm="1">
        <f t="array" ref="Z449:AD449">_xlfn.XLOOKUP(D449,'Customer Details'!$A$1:$A$17,'Customer Details'!$B$1:$F$17,"No such customer",0,1)</f>
        <v>Godfrey Philips India Ltd.</v>
      </c>
      <c r="AA449" s="8" t="str">
        <v>20501 Ania Ave #2</v>
      </c>
      <c r="AB449" s="8" t="str">
        <v>Salt Lake City</v>
      </c>
      <c r="AC449" s="8" t="str">
        <v>UT</v>
      </c>
      <c r="AD449" s="8" t="str">
        <v>84118</v>
      </c>
    </row>
    <row r="450" spans="1:30">
      <c r="A450" s="8" t="s">
        <v>577</v>
      </c>
      <c r="B450" s="19">
        <v>41718</v>
      </c>
      <c r="C450" s="8" t="s">
        <v>46</v>
      </c>
      <c r="D450" s="8">
        <v>10005</v>
      </c>
      <c r="E450" s="8" t="str">
        <f>VLOOKUP($D450,'Customer Details'!$A$1:$F$17,4,FALSE)</f>
        <v>Goleta</v>
      </c>
      <c r="F450" s="8" t="s">
        <v>170</v>
      </c>
      <c r="G450" s="8">
        <v>1</v>
      </c>
      <c r="H450" s="2" t="str">
        <f>VLOOKUP($D450,'Customer Details'!$A$1:$F$17,MATCH('Order SUmmary'!H$2,'Customer Details'!$A$1:$F$1,0),0)</f>
        <v>Fortis Healthcare Ltd.</v>
      </c>
      <c r="I450" s="2" t="str">
        <f>VLOOKUP($D450,'Customer Details'!$A$1:$F$17,4,0)</f>
        <v>Goleta</v>
      </c>
      <c r="J450" s="2" t="str">
        <f>VLOOKUP($D450,'Customer Details'!$A$1:$F$17,6,0)</f>
        <v>93117</v>
      </c>
      <c r="K450" s="8" t="str">
        <f>VLOOKUP(VLOOKUP(D450,'Customer Details'!$A$1:$F$17,5,0),'Region INfo'!$A$1:$C$52,3,0)</f>
        <v xml:space="preserve">Pacific   </v>
      </c>
      <c r="L450" s="8" t="str">
        <f>INDEX(Product_List,MATCH($F450,'Product List'!$B$1:$B$299,0),MATCH('Order SUmmary'!L$2,'Product List'!$A$1:$E$1,0))</f>
        <v>Xerox 1930</v>
      </c>
      <c r="M450" s="8">
        <f>INDEX(Product_List,MATCH($F450,'Product List'!$B$1:$B$299,0),MATCH('Order SUmmary'!M$2,'Product List'!$A$1:$E$1,0))</f>
        <v>2796</v>
      </c>
      <c r="N450" s="8">
        <f>INDEX(Product_List,MATCH($F450,'Product List'!$B$1:$B$299,0),MATCH('Order SUmmary'!N$2,'Product List'!$A$1:$E$1,0))</f>
        <v>2307</v>
      </c>
      <c r="O450" s="8" t="str">
        <f>INDEX(Product_List,MATCH($F450,'Product List'!$B$1:$B$299,0),MATCH('Order SUmmary'!O$2,'Product List'!$A$1:$E$1,0))</f>
        <v>Paper</v>
      </c>
      <c r="P450" s="12">
        <f>HLOOKUP(C450,'Commission Criteria'!$A$2:$I$4,3,FALSE)</f>
        <v>8</v>
      </c>
      <c r="Q450" s="8">
        <f t="shared" si="19"/>
        <v>2307</v>
      </c>
      <c r="R450" s="8">
        <f t="shared" si="20"/>
        <v>2796</v>
      </c>
      <c r="S450" s="36">
        <f>VLOOKUP(R450,'Commission Criteria'!$L$3:$M$11,2,TRUE)</f>
        <v>0.01</v>
      </c>
      <c r="T450" s="36">
        <f>IF(P450&lt;5,VLOOKUP(R450,'Commission Criteria'!$L$3:$M$11,2,1),VLOOKUP('Order SUmmary'!R450,'Commission Criteria'!$P$3:$Q$11,2,1))</f>
        <v>0.02</v>
      </c>
      <c r="U450" s="36">
        <f>VLOOKUP(R450,IF(P450&lt;5,'Commission Criteria'!$L$3:$M$11,'Commission Criteria'!$P$3:$Q$11),2,1)</f>
        <v>0.02</v>
      </c>
      <c r="V450" s="8" t="s">
        <v>29</v>
      </c>
      <c r="W450" s="36">
        <f t="shared" ca="1" si="21"/>
        <v>0</v>
      </c>
      <c r="X450" s="8" t="str">
        <f>_xlfn.XLOOKUP(F450,'Product List'!$B$1:$B$299,'Product List'!$A$1:$A$299)</f>
        <v>Xerox 1930</v>
      </c>
      <c r="Y450" s="8"/>
      <c r="Z450" s="8" t="str" cm="1">
        <f t="array" ref="Z450:AD450">_xlfn.XLOOKUP(D450,'Customer Details'!$A$1:$A$17,'Customer Details'!$B$1:$F$17,"No such customer",0,1)</f>
        <v>Fortis Healthcare Ltd.</v>
      </c>
      <c r="AA450" s="8" t="str">
        <v>14 Elsworthy Terrace</v>
      </c>
      <c r="AB450" s="8" t="str">
        <v>Goleta</v>
      </c>
      <c r="AC450" s="8" t="str">
        <v>CA</v>
      </c>
      <c r="AD450" s="8" t="str">
        <v>93117</v>
      </c>
    </row>
    <row r="451" spans="1:30">
      <c r="A451" s="8" t="s">
        <v>576</v>
      </c>
      <c r="B451" s="19">
        <v>41718</v>
      </c>
      <c r="C451" s="8" t="s">
        <v>66</v>
      </c>
      <c r="D451" s="8">
        <v>10001</v>
      </c>
      <c r="E451" s="8" t="str">
        <f>VLOOKUP($D451,'Customer Details'!$A$1:$F$17,4,FALSE)</f>
        <v>New York</v>
      </c>
      <c r="F451" s="8" t="s">
        <v>414</v>
      </c>
      <c r="G451" s="8">
        <v>1</v>
      </c>
      <c r="H451" s="2" t="str">
        <f>VLOOKUP($D451,'Customer Details'!$A$1:$F$17,MATCH('Order SUmmary'!H$2,'Customer Details'!$A$1:$F$1,0),0)</f>
        <v>Chambal Fertilisers and Chemicals Ltd.</v>
      </c>
      <c r="I451" s="2" t="str">
        <f>VLOOKUP($D451,'Customer Details'!$A$1:$F$17,4,0)</f>
        <v>New York</v>
      </c>
      <c r="J451" s="2" t="str">
        <f>VLOOKUP($D451,'Customer Details'!$A$1:$F$17,6,0)</f>
        <v>10025</v>
      </c>
      <c r="K451" s="8" t="str">
        <f>VLOOKUP(VLOOKUP(D451,'Customer Details'!$A$1:$F$17,5,0),'Region INfo'!$A$1:$C$52,3,0)</f>
        <v xml:space="preserve">Northern </v>
      </c>
      <c r="L451" s="8" t="str">
        <f>INDEX(Product_List,MATCH($F451,'Product List'!$B$1:$B$299,0),MATCH('Order SUmmary'!L$2,'Product List'!$A$1:$E$1,0))</f>
        <v>Xerox 1985</v>
      </c>
      <c r="M451" s="8">
        <f>INDEX(Product_List,MATCH($F451,'Product List'!$B$1:$B$299,0),MATCH('Order SUmmary'!M$2,'Product List'!$A$1:$E$1,0))</f>
        <v>3139</v>
      </c>
      <c r="N451" s="8">
        <f>INDEX(Product_List,MATCH($F451,'Product List'!$B$1:$B$299,0),MATCH('Order SUmmary'!N$2,'Product List'!$A$1:$E$1,0))</f>
        <v>2147</v>
      </c>
      <c r="O451" s="8" t="str">
        <f>INDEX(Product_List,MATCH($F451,'Product List'!$B$1:$B$299,0),MATCH('Order SUmmary'!O$2,'Product List'!$A$1:$E$1,0))</f>
        <v>Paper</v>
      </c>
      <c r="P451" s="12">
        <f>HLOOKUP(C451,'Commission Criteria'!$A$2:$I$4,3,FALSE)</f>
        <v>5</v>
      </c>
      <c r="Q451" s="8">
        <f t="shared" si="19"/>
        <v>2147</v>
      </c>
      <c r="R451" s="8">
        <f t="shared" si="20"/>
        <v>3139</v>
      </c>
      <c r="S451" s="36">
        <f>VLOOKUP(R451,'Commission Criteria'!$L$3:$M$11,2,TRUE)</f>
        <v>0.01</v>
      </c>
      <c r="T451" s="36">
        <f>IF(P451&lt;5,VLOOKUP(R451,'Commission Criteria'!$L$3:$M$11,2,1),VLOOKUP('Order SUmmary'!R451,'Commission Criteria'!$P$3:$Q$11,2,1))</f>
        <v>0.02</v>
      </c>
      <c r="U451" s="36">
        <f>VLOOKUP(R451,IF(P451&lt;5,'Commission Criteria'!$L$3:$M$11,'Commission Criteria'!$P$3:$Q$11),2,1)</f>
        <v>0.02</v>
      </c>
      <c r="V451" s="8" t="s">
        <v>50</v>
      </c>
      <c r="W451" s="36">
        <f t="shared" ca="1" si="21"/>
        <v>0.02</v>
      </c>
      <c r="X451" s="8" t="str">
        <f>_xlfn.XLOOKUP(F451,'Product List'!$B$1:$B$299,'Product List'!$A$1:$A$299)</f>
        <v>Xerox 1985</v>
      </c>
      <c r="Y451" s="8"/>
      <c r="Z451" s="8" t="str" cm="1">
        <f t="array" ref="Z451:AD451">_xlfn.XLOOKUP(D451,'Customer Details'!$A$1:$A$17,'Customer Details'!$B$1:$F$17,"No such customer",0,1)</f>
        <v>Chambal Fertilisers and Chemicals Ltd.</v>
      </c>
      <c r="AA451" s="8" t="str">
        <v>4951 Indiana Ave.</v>
      </c>
      <c r="AB451" s="8" t="str">
        <v>New York</v>
      </c>
      <c r="AC451" s="8" t="str">
        <v>NY</v>
      </c>
      <c r="AD451" s="8" t="str">
        <v>10025</v>
      </c>
    </row>
    <row r="452" spans="1:30">
      <c r="A452" s="8" t="s">
        <v>576</v>
      </c>
      <c r="B452" s="19">
        <v>41718</v>
      </c>
      <c r="C452" s="8" t="s">
        <v>66</v>
      </c>
      <c r="D452" s="8">
        <v>10004</v>
      </c>
      <c r="E452" s="8" t="str">
        <f>VLOOKUP($D452,'Customer Details'!$A$1:$F$17,4,FALSE)</f>
        <v>New York</v>
      </c>
      <c r="F452" s="8" t="s">
        <v>578</v>
      </c>
      <c r="G452" s="8">
        <v>2</v>
      </c>
      <c r="H452" s="2" t="str">
        <f>VLOOKUP($D452,'Customer Details'!$A$1:$F$17,MATCH('Order SUmmary'!H$2,'Customer Details'!$A$1:$F$1,0),0)</f>
        <v>Lupin Ltd.</v>
      </c>
      <c r="I452" s="2" t="str">
        <f>VLOOKUP($D452,'Customer Details'!$A$1:$F$17,4,0)</f>
        <v>New York</v>
      </c>
      <c r="J452" s="2" t="str">
        <f>VLOOKUP($D452,'Customer Details'!$A$1:$F$17,6,0)</f>
        <v>10019</v>
      </c>
      <c r="K452" s="8" t="str">
        <f>VLOOKUP(VLOOKUP(D452,'Customer Details'!$A$1:$F$17,5,0),'Region INfo'!$A$1:$C$52,3,0)</f>
        <v xml:space="preserve">Northern </v>
      </c>
      <c r="L452" s="8" t="str">
        <f>INDEX(Product_List,MATCH($F452,'Product List'!$B$1:$B$299,0),MATCH('Order SUmmary'!L$2,'Product List'!$A$1:$E$1,0))</f>
        <v>Xerox 1948</v>
      </c>
      <c r="M452" s="8">
        <f>INDEX(Product_List,MATCH($F452,'Product List'!$B$1:$B$299,0),MATCH('Order SUmmary'!M$2,'Product List'!$A$1:$E$1,0))</f>
        <v>4910</v>
      </c>
      <c r="N452" s="8">
        <f>INDEX(Product_List,MATCH($F452,'Product List'!$B$1:$B$299,0),MATCH('Order SUmmary'!N$2,'Product List'!$A$1:$E$1,0))</f>
        <v>2108</v>
      </c>
      <c r="O452" s="8" t="str">
        <f>INDEX(Product_List,MATCH($F452,'Product List'!$B$1:$B$299,0),MATCH('Order SUmmary'!O$2,'Product List'!$A$1:$E$1,0))</f>
        <v>Paper</v>
      </c>
      <c r="P452" s="12">
        <f>HLOOKUP(C452,'Commission Criteria'!$A$2:$I$4,3,FALSE)</f>
        <v>5</v>
      </c>
      <c r="Q452" s="8">
        <f t="shared" ref="Q452:Q515" si="22">N452*G452</f>
        <v>4216</v>
      </c>
      <c r="R452" s="8">
        <f t="shared" ref="R452:R515" si="23">M452*G452</f>
        <v>9820</v>
      </c>
      <c r="S452" s="36">
        <f>VLOOKUP(R452,'Commission Criteria'!$L$3:$M$11,2,TRUE)</f>
        <v>0.03</v>
      </c>
      <c r="T452" s="36">
        <f>IF(P452&lt;5,VLOOKUP(R452,'Commission Criteria'!$L$3:$M$11,2,1),VLOOKUP('Order SUmmary'!R452,'Commission Criteria'!$P$3:$Q$11,2,1))</f>
        <v>0.02</v>
      </c>
      <c r="U452" s="36">
        <f>VLOOKUP(R452,IF(P452&lt;5,'Commission Criteria'!$L$3:$M$11,'Commission Criteria'!$P$3:$Q$11),2,1)</f>
        <v>0.02</v>
      </c>
      <c r="V452" s="8" t="s">
        <v>29</v>
      </c>
      <c r="W452" s="36">
        <f t="shared" ref="W452:W515" ca="1" si="24">VLOOKUP(F452,INDIRECT(V452&amp;"!$A$1:$B$296"),2,0)</f>
        <v>0.02</v>
      </c>
      <c r="X452" s="8" t="str">
        <f>_xlfn.XLOOKUP(F452,'Product List'!$B$1:$B$299,'Product List'!$A$1:$A$299)</f>
        <v>Xerox 1948</v>
      </c>
      <c r="Y452" s="8"/>
      <c r="Z452" s="8" t="str" cm="1">
        <f t="array" ref="Z452:AD452">_xlfn.XLOOKUP(D452,'Customer Details'!$A$1:$A$17,'Customer Details'!$B$1:$F$17,"No such customer",0,1)</f>
        <v>Lupin Ltd.</v>
      </c>
      <c r="AA452" s="8" t="str">
        <v>Abbey Wood</v>
      </c>
      <c r="AB452" s="8" t="str">
        <v>New York</v>
      </c>
      <c r="AC452" s="8" t="str">
        <v>NY</v>
      </c>
      <c r="AD452" s="8" t="str">
        <v>10019</v>
      </c>
    </row>
    <row r="453" spans="1:30">
      <c r="A453" s="8" t="s">
        <v>579</v>
      </c>
      <c r="B453" s="19">
        <v>41719</v>
      </c>
      <c r="C453" s="8" t="s">
        <v>27</v>
      </c>
      <c r="D453" s="8">
        <v>10008</v>
      </c>
      <c r="E453" s="8" t="str">
        <f>VLOOKUP($D453,'Customer Details'!$A$1:$F$17,4,FALSE)</f>
        <v>Chestnut Ridge</v>
      </c>
      <c r="F453" s="8" t="s">
        <v>94</v>
      </c>
      <c r="G453" s="8">
        <v>3</v>
      </c>
      <c r="H453" s="2" t="str">
        <f>VLOOKUP($D453,'Customer Details'!$A$1:$F$17,MATCH('Order SUmmary'!H$2,'Customer Details'!$A$1:$F$1,0),0)</f>
        <v>Reliance Industries Limited</v>
      </c>
      <c r="I453" s="2" t="str">
        <f>VLOOKUP($D453,'Customer Details'!$A$1:$F$17,4,0)</f>
        <v>Chestnut Ridge</v>
      </c>
      <c r="J453" s="2" t="str">
        <f>VLOOKUP($D453,'Customer Details'!$A$1:$F$17,6,0)</f>
        <v>10977</v>
      </c>
      <c r="K453" s="8" t="str">
        <f>VLOOKUP(VLOOKUP(D453,'Customer Details'!$A$1:$F$17,5,0),'Region INfo'!$A$1:$C$52,3,0)</f>
        <v xml:space="preserve">Northern </v>
      </c>
      <c r="L453" s="8" t="str">
        <f>INDEX(Product_List,MATCH($F453,'Product List'!$B$1:$B$299,0),MATCH('Order SUmmary'!L$2,'Product List'!$A$1:$E$1,0))</f>
        <v>Xerox 191</v>
      </c>
      <c r="M453" s="8">
        <f>INDEX(Product_List,MATCH($F453,'Product List'!$B$1:$B$299,0),MATCH('Order SUmmary'!M$2,'Product List'!$A$1:$E$1,0))</f>
        <v>3768</v>
      </c>
      <c r="N453" s="8">
        <f>INDEX(Product_List,MATCH($F453,'Product List'!$B$1:$B$299,0),MATCH('Order SUmmary'!N$2,'Product List'!$A$1:$E$1,0))</f>
        <v>1353</v>
      </c>
      <c r="O453" s="8" t="str">
        <f>INDEX(Product_List,MATCH($F453,'Product List'!$B$1:$B$299,0),MATCH('Order SUmmary'!O$2,'Product List'!$A$1:$E$1,0))</f>
        <v>Paper</v>
      </c>
      <c r="P453" s="12">
        <f>HLOOKUP(C453,'Commission Criteria'!$A$2:$I$4,3,FALSE)</f>
        <v>4</v>
      </c>
      <c r="Q453" s="8">
        <f t="shared" si="22"/>
        <v>4059</v>
      </c>
      <c r="R453" s="8">
        <f t="shared" si="23"/>
        <v>11304</v>
      </c>
      <c r="S453" s="36">
        <f>VLOOKUP(R453,'Commission Criteria'!$L$3:$M$11,2,TRUE)</f>
        <v>0.03</v>
      </c>
      <c r="T453" s="36">
        <f>IF(P453&lt;5,VLOOKUP(R453,'Commission Criteria'!$L$3:$M$11,2,1),VLOOKUP('Order SUmmary'!R453,'Commission Criteria'!$P$3:$Q$11,2,1))</f>
        <v>0.03</v>
      </c>
      <c r="U453" s="36">
        <f>VLOOKUP(R453,IF(P453&lt;5,'Commission Criteria'!$L$3:$M$11,'Commission Criteria'!$P$3:$Q$11),2,1)</f>
        <v>0.03</v>
      </c>
      <c r="V453" s="8" t="s">
        <v>43</v>
      </c>
      <c r="W453" s="36">
        <f t="shared" ca="1" si="24"/>
        <v>0.04</v>
      </c>
      <c r="X453" s="8" t="str">
        <f>_xlfn.XLOOKUP(F453,'Product List'!$B$1:$B$299,'Product List'!$A$1:$A$299)</f>
        <v>Xerox 191</v>
      </c>
      <c r="Y453" s="8"/>
      <c r="Z453" s="8" t="str" cm="1">
        <f t="array" ref="Z453:AD453">_xlfn.XLOOKUP(D453,'Customer Details'!$A$1:$A$17,'Customer Details'!$B$1:$F$17,"No such customer",0,1)</f>
        <v>Reliance Industries Limited</v>
      </c>
      <c r="AA453" s="8" t="str">
        <v>12020 Shamrock Rd., Suite 333</v>
      </c>
      <c r="AB453" s="8" t="str">
        <v>Chestnut Ridge</v>
      </c>
      <c r="AC453" s="8" t="str">
        <v>NY</v>
      </c>
      <c r="AD453" s="8" t="str">
        <v>10977</v>
      </c>
    </row>
    <row r="454" spans="1:30">
      <c r="A454" s="8" t="s">
        <v>580</v>
      </c>
      <c r="B454" s="19">
        <v>41720</v>
      </c>
      <c r="C454" s="8" t="s">
        <v>33</v>
      </c>
      <c r="D454" s="8">
        <v>10012</v>
      </c>
      <c r="E454" s="8" t="str">
        <f>VLOOKUP($D454,'Customer Details'!$A$1:$F$17,4,FALSE)</f>
        <v>Santa Barbara</v>
      </c>
      <c r="F454" s="8" t="s">
        <v>160</v>
      </c>
      <c r="G454" s="8">
        <v>1</v>
      </c>
      <c r="H454" s="2" t="str">
        <f>VLOOKUP($D454,'Customer Details'!$A$1:$F$17,MATCH('Order SUmmary'!H$2,'Customer Details'!$A$1:$F$1,0),0)</f>
        <v>Dynamatic Technologies Ltd.</v>
      </c>
      <c r="I454" s="2" t="str">
        <f>VLOOKUP($D454,'Customer Details'!$A$1:$F$17,4,0)</f>
        <v>Santa Barbara</v>
      </c>
      <c r="J454" s="2" t="str">
        <f>VLOOKUP($D454,'Customer Details'!$A$1:$F$17,6,0)</f>
        <v>93110</v>
      </c>
      <c r="K454" s="8" t="str">
        <f>VLOOKUP(VLOOKUP(D454,'Customer Details'!$A$1:$F$17,5,0),'Region INfo'!$A$1:$C$52,3,0)</f>
        <v xml:space="preserve">Pacific   </v>
      </c>
      <c r="L454" s="8" t="str">
        <f>INDEX(Product_List,MATCH($F454,'Product List'!$B$1:$B$299,0),MATCH('Order SUmmary'!L$2,'Product List'!$A$1:$E$1,0))</f>
        <v>Newell 34</v>
      </c>
      <c r="M454" s="8">
        <f>INDEX(Product_List,MATCH($F454,'Product List'!$B$1:$B$299,0),MATCH('Order SUmmary'!M$2,'Product List'!$A$1:$E$1,0))</f>
        <v>2616</v>
      </c>
      <c r="N454" s="8">
        <f>INDEX(Product_List,MATCH($F454,'Product List'!$B$1:$B$299,0),MATCH('Order SUmmary'!N$2,'Product List'!$A$1:$E$1,0))</f>
        <v>1965</v>
      </c>
      <c r="O454" s="8" t="str">
        <f>INDEX(Product_List,MATCH($F454,'Product List'!$B$1:$B$299,0),MATCH('Order SUmmary'!O$2,'Product List'!$A$1:$E$1,0))</f>
        <v>Art</v>
      </c>
      <c r="P454" s="12">
        <f>HLOOKUP(C454,'Commission Criteria'!$A$2:$I$4,3,FALSE)</f>
        <v>1</v>
      </c>
      <c r="Q454" s="8">
        <f t="shared" si="22"/>
        <v>1965</v>
      </c>
      <c r="R454" s="8">
        <f t="shared" si="23"/>
        <v>2616</v>
      </c>
      <c r="S454" s="36">
        <f>VLOOKUP(R454,'Commission Criteria'!$L$3:$M$11,2,TRUE)</f>
        <v>0.01</v>
      </c>
      <c r="T454" s="36">
        <f>IF(P454&lt;5,VLOOKUP(R454,'Commission Criteria'!$L$3:$M$11,2,1),VLOOKUP('Order SUmmary'!R454,'Commission Criteria'!$P$3:$Q$11,2,1))</f>
        <v>0.01</v>
      </c>
      <c r="U454" s="36">
        <f>VLOOKUP(R454,IF(P454&lt;5,'Commission Criteria'!$L$3:$M$11,'Commission Criteria'!$P$3:$Q$11),2,1)</f>
        <v>0.01</v>
      </c>
      <c r="V454" s="8" t="s">
        <v>32</v>
      </c>
      <c r="W454" s="36">
        <f t="shared" ca="1" si="24"/>
        <v>0</v>
      </c>
      <c r="X454" s="8" t="str">
        <f>_xlfn.XLOOKUP(F454,'Product List'!$B$1:$B$299,'Product List'!$A$1:$A$299)</f>
        <v>Newell 34</v>
      </c>
      <c r="Y454" s="8"/>
      <c r="Z454" s="8" t="str" cm="1">
        <f t="array" ref="Z454:AD454">_xlfn.XLOOKUP(D454,'Customer Details'!$A$1:$A$17,'Customer Details'!$B$1:$F$17,"No such customer",0,1)</f>
        <v>Dynamatic Technologies Ltd.</v>
      </c>
      <c r="AA454" s="8" t="str">
        <v>402 Pinkster Lane</v>
      </c>
      <c r="AB454" s="8" t="str">
        <v>Santa Barbara</v>
      </c>
      <c r="AC454" s="8" t="str">
        <v>CA</v>
      </c>
      <c r="AD454" s="8" t="str">
        <v>93110</v>
      </c>
    </row>
    <row r="455" spans="1:30">
      <c r="A455" s="8" t="s">
        <v>581</v>
      </c>
      <c r="B455" s="19">
        <v>41720</v>
      </c>
      <c r="C455" s="8" t="s">
        <v>44</v>
      </c>
      <c r="D455" s="8">
        <v>10010</v>
      </c>
      <c r="E455" s="8" t="str">
        <f>VLOOKUP($D455,'Customer Details'!$A$1:$F$17,4,FALSE)</f>
        <v>Tracy</v>
      </c>
      <c r="F455" s="8" t="s">
        <v>355</v>
      </c>
      <c r="G455" s="8">
        <v>1</v>
      </c>
      <c r="H455" s="2" t="str">
        <f>VLOOKUP($D455,'Customer Details'!$A$1:$F$17,MATCH('Order SUmmary'!H$2,'Customer Details'!$A$1:$F$1,0),0)</f>
        <v>Suzlon Energy Ltd.</v>
      </c>
      <c r="I455" s="2" t="str">
        <f>VLOOKUP($D455,'Customer Details'!$A$1:$F$17,4,0)</f>
        <v>Tracy</v>
      </c>
      <c r="J455" s="2" t="str">
        <f>VLOOKUP($D455,'Customer Details'!$A$1:$F$17,6,0)</f>
        <v>95376</v>
      </c>
      <c r="K455" s="8" t="str">
        <f>VLOOKUP(VLOOKUP(D455,'Customer Details'!$A$1:$F$17,5,0),'Region INfo'!$A$1:$C$52,3,0)</f>
        <v xml:space="preserve">Pacific   </v>
      </c>
      <c r="L455" s="8" t="str">
        <f>INDEX(Product_List,MATCH($F455,'Product List'!$B$1:$B$299,0),MATCH('Order SUmmary'!L$2,'Product List'!$A$1:$E$1,0))</f>
        <v>Avery 51</v>
      </c>
      <c r="M455" s="8">
        <f>INDEX(Product_List,MATCH($F455,'Product List'!$B$1:$B$299,0),MATCH('Order SUmmary'!M$2,'Product List'!$A$1:$E$1,0))</f>
        <v>3717</v>
      </c>
      <c r="N455" s="8">
        <f>INDEX(Product_List,MATCH($F455,'Product List'!$B$1:$B$299,0),MATCH('Order SUmmary'!N$2,'Product List'!$A$1:$E$1,0))</f>
        <v>2146</v>
      </c>
      <c r="O455" s="8" t="str">
        <f>INDEX(Product_List,MATCH($F455,'Product List'!$B$1:$B$299,0),MATCH('Order SUmmary'!O$2,'Product List'!$A$1:$E$1,0))</f>
        <v>Labels</v>
      </c>
      <c r="P455" s="12">
        <f>HLOOKUP(C455,'Commission Criteria'!$A$2:$I$4,3,FALSE)</f>
        <v>4</v>
      </c>
      <c r="Q455" s="8">
        <f t="shared" si="22"/>
        <v>2146</v>
      </c>
      <c r="R455" s="8">
        <f t="shared" si="23"/>
        <v>3717</v>
      </c>
      <c r="S455" s="36">
        <f>VLOOKUP(R455,'Commission Criteria'!$L$3:$M$11,2,TRUE)</f>
        <v>0.01</v>
      </c>
      <c r="T455" s="36">
        <f>IF(P455&lt;5,VLOOKUP(R455,'Commission Criteria'!$L$3:$M$11,2,1),VLOOKUP('Order SUmmary'!R455,'Commission Criteria'!$P$3:$Q$11,2,1))</f>
        <v>0.01</v>
      </c>
      <c r="U455" s="36">
        <f>VLOOKUP(R455,IF(P455&lt;5,'Commission Criteria'!$L$3:$M$11,'Commission Criteria'!$P$3:$Q$11),2,1)</f>
        <v>0.01</v>
      </c>
      <c r="V455" s="8" t="s">
        <v>40</v>
      </c>
      <c r="W455" s="36">
        <f t="shared" ca="1" si="24"/>
        <v>0.04</v>
      </c>
      <c r="X455" s="8" t="str">
        <f>_xlfn.XLOOKUP(F455,'Product List'!$B$1:$B$299,'Product List'!$A$1:$A$299)</f>
        <v>Avery 51</v>
      </c>
      <c r="Y455" s="8"/>
      <c r="Z455" s="8" t="str" cm="1">
        <f t="array" ref="Z455:AD455">_xlfn.XLOOKUP(D455,'Customer Details'!$A$1:$A$17,'Customer Details'!$B$1:$F$17,"No such customer",0,1)</f>
        <v>Suzlon Energy Ltd.</v>
      </c>
      <c r="AA455" s="8" t="str">
        <v>501 Marsh Trail Circle</v>
      </c>
      <c r="AB455" s="8" t="str">
        <v>Tracy</v>
      </c>
      <c r="AC455" s="8" t="str">
        <v>CA</v>
      </c>
      <c r="AD455" s="8" t="str">
        <v>95376</v>
      </c>
    </row>
    <row r="456" spans="1:30">
      <c r="A456" s="8" t="s">
        <v>582</v>
      </c>
      <c r="B456" s="19">
        <v>41721</v>
      </c>
      <c r="C456" s="8" t="s">
        <v>54</v>
      </c>
      <c r="D456" s="8">
        <v>10006</v>
      </c>
      <c r="E456" s="8" t="str">
        <f>VLOOKUP($D456,'Customer Details'!$A$1:$F$17,4,FALSE)</f>
        <v>Midland</v>
      </c>
      <c r="F456" s="8" t="s">
        <v>420</v>
      </c>
      <c r="G456" s="8">
        <v>1</v>
      </c>
      <c r="H456" s="2" t="str">
        <f>VLOOKUP($D456,'Customer Details'!$A$1:$F$17,MATCH('Order SUmmary'!H$2,'Customer Details'!$A$1:$F$1,0),0)</f>
        <v>Supreme Ind</v>
      </c>
      <c r="I456" s="2" t="str">
        <f>VLOOKUP($D456,'Customer Details'!$A$1:$F$17,4,0)</f>
        <v>Midland</v>
      </c>
      <c r="J456" s="2" t="str">
        <f>VLOOKUP($D456,'Customer Details'!$A$1:$F$17,6,0)</f>
        <v>79706</v>
      </c>
      <c r="K456" s="8" t="str">
        <f>VLOOKUP(VLOOKUP(D456,'Customer Details'!$A$1:$F$17,5,0),'Region INfo'!$A$1:$C$52,3,0)</f>
        <v>Western</v>
      </c>
      <c r="L456" s="8" t="str">
        <f>INDEX(Product_List,MATCH($F456,'Product List'!$B$1:$B$299,0),MATCH('Order SUmmary'!L$2,'Product List'!$A$1:$E$1,0))</f>
        <v>Xerox 1972</v>
      </c>
      <c r="M456" s="8">
        <f>INDEX(Product_List,MATCH($F456,'Product List'!$B$1:$B$299,0),MATCH('Order SUmmary'!M$2,'Product List'!$A$1:$E$1,0))</f>
        <v>3566</v>
      </c>
      <c r="N456" s="8">
        <f>INDEX(Product_List,MATCH($F456,'Product List'!$B$1:$B$299,0),MATCH('Order SUmmary'!N$2,'Product List'!$A$1:$E$1,0))</f>
        <v>2276</v>
      </c>
      <c r="O456" s="8" t="str">
        <f>INDEX(Product_List,MATCH($F456,'Product List'!$B$1:$B$299,0),MATCH('Order SUmmary'!O$2,'Product List'!$A$1:$E$1,0))</f>
        <v>Paper</v>
      </c>
      <c r="P456" s="12">
        <f>HLOOKUP(C456,'Commission Criteria'!$A$2:$I$4,3,FALSE)</f>
        <v>3</v>
      </c>
      <c r="Q456" s="8">
        <f t="shared" si="22"/>
        <v>2276</v>
      </c>
      <c r="R456" s="8">
        <f t="shared" si="23"/>
        <v>3566</v>
      </c>
      <c r="S456" s="36">
        <f>VLOOKUP(R456,'Commission Criteria'!$L$3:$M$11,2,TRUE)</f>
        <v>0.01</v>
      </c>
      <c r="T456" s="36">
        <f>IF(P456&lt;5,VLOOKUP(R456,'Commission Criteria'!$L$3:$M$11,2,1),VLOOKUP('Order SUmmary'!R456,'Commission Criteria'!$P$3:$Q$11,2,1))</f>
        <v>0.01</v>
      </c>
      <c r="U456" s="36">
        <f>VLOOKUP(R456,IF(P456&lt;5,'Commission Criteria'!$L$3:$M$11,'Commission Criteria'!$P$3:$Q$11),2,1)</f>
        <v>0.01</v>
      </c>
      <c r="V456" s="8" t="s">
        <v>32</v>
      </c>
      <c r="W456" s="36">
        <f t="shared" ca="1" si="24"/>
        <v>0.02</v>
      </c>
      <c r="X456" s="8" t="str">
        <f>_xlfn.XLOOKUP(F456,'Product List'!$B$1:$B$299,'Product List'!$A$1:$A$299)</f>
        <v>Xerox 1972</v>
      </c>
      <c r="Y456" s="8"/>
      <c r="Z456" s="8" t="str" cm="1">
        <f t="array" ref="Z456:AD456">_xlfn.XLOOKUP(D456,'Customer Details'!$A$1:$A$17,'Customer Details'!$B$1:$F$17,"No such customer",0,1)</f>
        <v>Supreme Ind</v>
      </c>
      <c r="AA456" s="8" t="str">
        <v>P.O. Box 1367</v>
      </c>
      <c r="AB456" s="8" t="str">
        <v>Midland</v>
      </c>
      <c r="AC456" s="8" t="str">
        <v>TX</v>
      </c>
      <c r="AD456" s="8" t="str">
        <v>79706</v>
      </c>
    </row>
    <row r="457" spans="1:30">
      <c r="A457" s="8" t="s">
        <v>582</v>
      </c>
      <c r="B457" s="19">
        <v>41721</v>
      </c>
      <c r="C457" s="8" t="s">
        <v>66</v>
      </c>
      <c r="D457" s="8">
        <v>10006</v>
      </c>
      <c r="E457" s="8" t="str">
        <f>VLOOKUP($D457,'Customer Details'!$A$1:$F$17,4,FALSE)</f>
        <v>Midland</v>
      </c>
      <c r="F457" s="8" t="s">
        <v>583</v>
      </c>
      <c r="G457" s="8">
        <v>2</v>
      </c>
      <c r="H457" s="2" t="str">
        <f>VLOOKUP($D457,'Customer Details'!$A$1:$F$17,MATCH('Order SUmmary'!H$2,'Customer Details'!$A$1:$F$1,0),0)</f>
        <v>Supreme Ind</v>
      </c>
      <c r="I457" s="2" t="str">
        <f>VLOOKUP($D457,'Customer Details'!$A$1:$F$17,4,0)</f>
        <v>Midland</v>
      </c>
      <c r="J457" s="2" t="str">
        <f>VLOOKUP($D457,'Customer Details'!$A$1:$F$17,6,0)</f>
        <v>79706</v>
      </c>
      <c r="K457" s="8" t="str">
        <f>VLOOKUP(VLOOKUP(D457,'Customer Details'!$A$1:$F$17,5,0),'Region INfo'!$A$1:$C$52,3,0)</f>
        <v>Western</v>
      </c>
      <c r="L457" s="8" t="str">
        <f>INDEX(Product_List,MATCH($F457,'Product List'!$B$1:$B$299,0),MATCH('Order SUmmary'!L$2,'Product List'!$A$1:$E$1,0))</f>
        <v>Cisco SPA508G</v>
      </c>
      <c r="M457" s="8">
        <f>INDEX(Product_List,MATCH($F457,'Product List'!$B$1:$B$299,0),MATCH('Order SUmmary'!M$2,'Product List'!$A$1:$E$1,0))</f>
        <v>4466</v>
      </c>
      <c r="N457" s="8">
        <f>INDEX(Product_List,MATCH($F457,'Product List'!$B$1:$B$299,0),MATCH('Order SUmmary'!N$2,'Product List'!$A$1:$E$1,0))</f>
        <v>1984</v>
      </c>
      <c r="O457" s="8" t="str">
        <f>INDEX(Product_List,MATCH($F457,'Product List'!$B$1:$B$299,0),MATCH('Order SUmmary'!O$2,'Product List'!$A$1:$E$1,0))</f>
        <v>Phones</v>
      </c>
      <c r="P457" s="12">
        <f>HLOOKUP(C457,'Commission Criteria'!$A$2:$I$4,3,FALSE)</f>
        <v>5</v>
      </c>
      <c r="Q457" s="8">
        <f t="shared" si="22"/>
        <v>3968</v>
      </c>
      <c r="R457" s="8">
        <f t="shared" si="23"/>
        <v>8932</v>
      </c>
      <c r="S457" s="36">
        <f>VLOOKUP(R457,'Commission Criteria'!$L$3:$M$11,2,TRUE)</f>
        <v>0.03</v>
      </c>
      <c r="T457" s="36">
        <f>IF(P457&lt;5,VLOOKUP(R457,'Commission Criteria'!$L$3:$M$11,2,1),VLOOKUP('Order SUmmary'!R457,'Commission Criteria'!$P$3:$Q$11,2,1))</f>
        <v>0.02</v>
      </c>
      <c r="U457" s="36">
        <f>VLOOKUP(R457,IF(P457&lt;5,'Commission Criteria'!$L$3:$M$11,'Commission Criteria'!$P$3:$Q$11),2,1)</f>
        <v>0.02</v>
      </c>
      <c r="V457" s="8" t="s">
        <v>50</v>
      </c>
      <c r="W457" s="36">
        <f t="shared" ca="1" si="24"/>
        <v>0</v>
      </c>
      <c r="X457" s="8" t="str">
        <f>_xlfn.XLOOKUP(F457,'Product List'!$B$1:$B$299,'Product List'!$A$1:$A$299)</f>
        <v>Cisco SPA508G</v>
      </c>
      <c r="Y457" s="8"/>
      <c r="Z457" s="8" t="str" cm="1">
        <f t="array" ref="Z457:AD457">_xlfn.XLOOKUP(D457,'Customer Details'!$A$1:$A$17,'Customer Details'!$B$1:$F$17,"No such customer",0,1)</f>
        <v>Supreme Ind</v>
      </c>
      <c r="AA457" s="8" t="str">
        <v>P.O. Box 1367</v>
      </c>
      <c r="AB457" s="8" t="str">
        <v>Midland</v>
      </c>
      <c r="AC457" s="8" t="str">
        <v>TX</v>
      </c>
      <c r="AD457" s="8" t="str">
        <v>79706</v>
      </c>
    </row>
    <row r="458" spans="1:30">
      <c r="A458" s="8" t="s">
        <v>582</v>
      </c>
      <c r="B458" s="19">
        <v>41721</v>
      </c>
      <c r="C458" s="8" t="s">
        <v>36</v>
      </c>
      <c r="D458" s="8">
        <v>10012</v>
      </c>
      <c r="E458" s="8" t="str">
        <f>VLOOKUP($D458,'Customer Details'!$A$1:$F$17,4,FALSE)</f>
        <v>Santa Barbara</v>
      </c>
      <c r="F458" s="8" t="s">
        <v>584</v>
      </c>
      <c r="G458" s="8">
        <v>3</v>
      </c>
      <c r="H458" s="2" t="str">
        <f>VLOOKUP($D458,'Customer Details'!$A$1:$F$17,MATCH('Order SUmmary'!H$2,'Customer Details'!$A$1:$F$1,0),0)</f>
        <v>Dynamatic Technologies Ltd.</v>
      </c>
      <c r="I458" s="2" t="str">
        <f>VLOOKUP($D458,'Customer Details'!$A$1:$F$17,4,0)</f>
        <v>Santa Barbara</v>
      </c>
      <c r="J458" s="2" t="str">
        <f>VLOOKUP($D458,'Customer Details'!$A$1:$F$17,6,0)</f>
        <v>93110</v>
      </c>
      <c r="K458" s="8" t="str">
        <f>VLOOKUP(VLOOKUP(D458,'Customer Details'!$A$1:$F$17,5,0),'Region INfo'!$A$1:$C$52,3,0)</f>
        <v xml:space="preserve">Pacific   </v>
      </c>
      <c r="L458" s="8" t="str">
        <f>INDEX(Product_List,MATCH($F458,'Product List'!$B$1:$B$299,0),MATCH('Order SUmmary'!L$2,'Product List'!$A$1:$E$1,0))</f>
        <v>Xerox 1894</v>
      </c>
      <c r="M458" s="8">
        <f>INDEX(Product_List,MATCH($F458,'Product List'!$B$1:$B$299,0),MATCH('Order SUmmary'!M$2,'Product List'!$A$1:$E$1,0))</f>
        <v>4369</v>
      </c>
      <c r="N458" s="8">
        <f>INDEX(Product_List,MATCH($F458,'Product List'!$B$1:$B$299,0),MATCH('Order SUmmary'!N$2,'Product List'!$A$1:$E$1,0))</f>
        <v>1245</v>
      </c>
      <c r="O458" s="8" t="str">
        <f>INDEX(Product_List,MATCH($F458,'Product List'!$B$1:$B$299,0),MATCH('Order SUmmary'!O$2,'Product List'!$A$1:$E$1,0))</f>
        <v>Paper</v>
      </c>
      <c r="P458" s="12">
        <f>HLOOKUP(C458,'Commission Criteria'!$A$2:$I$4,3,FALSE)</f>
        <v>6</v>
      </c>
      <c r="Q458" s="8">
        <f t="shared" si="22"/>
        <v>3735</v>
      </c>
      <c r="R458" s="8">
        <f t="shared" si="23"/>
        <v>13107</v>
      </c>
      <c r="S458" s="36">
        <f>VLOOKUP(R458,'Commission Criteria'!$L$3:$M$11,2,TRUE)</f>
        <v>0.03</v>
      </c>
      <c r="T458" s="36">
        <f>IF(P458&lt;5,VLOOKUP(R458,'Commission Criteria'!$L$3:$M$11,2,1),VLOOKUP('Order SUmmary'!R458,'Commission Criteria'!$P$3:$Q$11,2,1))</f>
        <v>0.02</v>
      </c>
      <c r="U458" s="36">
        <f>VLOOKUP(R458,IF(P458&lt;5,'Commission Criteria'!$L$3:$M$11,'Commission Criteria'!$P$3:$Q$11),2,1)</f>
        <v>0.02</v>
      </c>
      <c r="V458" s="8" t="s">
        <v>32</v>
      </c>
      <c r="W458" s="36">
        <f t="shared" ca="1" si="24"/>
        <v>0.01</v>
      </c>
      <c r="X458" s="8" t="str">
        <f>_xlfn.XLOOKUP(F458,'Product List'!$B$1:$B$299,'Product List'!$A$1:$A$299)</f>
        <v>Xerox 1894</v>
      </c>
      <c r="Y458" s="8"/>
      <c r="Z458" s="8" t="str" cm="1">
        <f t="array" ref="Z458:AD458">_xlfn.XLOOKUP(D458,'Customer Details'!$A$1:$A$17,'Customer Details'!$B$1:$F$17,"No such customer",0,1)</f>
        <v>Dynamatic Technologies Ltd.</v>
      </c>
      <c r="AA458" s="8" t="str">
        <v>402 Pinkster Lane</v>
      </c>
      <c r="AB458" s="8" t="str">
        <v>Santa Barbara</v>
      </c>
      <c r="AC458" s="8" t="str">
        <v>CA</v>
      </c>
      <c r="AD458" s="8" t="str">
        <v>93110</v>
      </c>
    </row>
    <row r="459" spans="1:30">
      <c r="A459" s="8" t="s">
        <v>585</v>
      </c>
      <c r="B459" s="19">
        <v>41722</v>
      </c>
      <c r="C459" s="8" t="s">
        <v>27</v>
      </c>
      <c r="D459" s="8">
        <v>10010</v>
      </c>
      <c r="E459" s="8" t="str">
        <f>VLOOKUP($D459,'Customer Details'!$A$1:$F$17,4,FALSE)</f>
        <v>Tracy</v>
      </c>
      <c r="F459" s="8" t="s">
        <v>103</v>
      </c>
      <c r="G459" s="8">
        <v>1</v>
      </c>
      <c r="H459" s="2" t="str">
        <f>VLOOKUP($D459,'Customer Details'!$A$1:$F$17,MATCH('Order SUmmary'!H$2,'Customer Details'!$A$1:$F$1,0),0)</f>
        <v>Suzlon Energy Ltd.</v>
      </c>
      <c r="I459" s="2" t="str">
        <f>VLOOKUP($D459,'Customer Details'!$A$1:$F$17,4,0)</f>
        <v>Tracy</v>
      </c>
      <c r="J459" s="2" t="str">
        <f>VLOOKUP($D459,'Customer Details'!$A$1:$F$17,6,0)</f>
        <v>95376</v>
      </c>
      <c r="K459" s="8" t="str">
        <f>VLOOKUP(VLOOKUP(D459,'Customer Details'!$A$1:$F$17,5,0),'Region INfo'!$A$1:$C$52,3,0)</f>
        <v xml:space="preserve">Pacific   </v>
      </c>
      <c r="L459" s="8" t="str">
        <f>INDEX(Product_List,MATCH($F459,'Product List'!$B$1:$B$299,0),MATCH('Order SUmmary'!L$2,'Product List'!$A$1:$E$1,0))</f>
        <v>Xerox 1981</v>
      </c>
      <c r="M459" s="8">
        <f>INDEX(Product_List,MATCH($F459,'Product List'!$B$1:$B$299,0),MATCH('Order SUmmary'!M$2,'Product List'!$A$1:$E$1,0))</f>
        <v>2658</v>
      </c>
      <c r="N459" s="8">
        <f>INDEX(Product_List,MATCH($F459,'Product List'!$B$1:$B$299,0),MATCH('Order SUmmary'!N$2,'Product List'!$A$1:$E$1,0))</f>
        <v>1274</v>
      </c>
      <c r="O459" s="8" t="str">
        <f>INDEX(Product_List,MATCH($F459,'Product List'!$B$1:$B$299,0),MATCH('Order SUmmary'!O$2,'Product List'!$A$1:$E$1,0))</f>
        <v>Paper</v>
      </c>
      <c r="P459" s="12">
        <f>HLOOKUP(C459,'Commission Criteria'!$A$2:$I$4,3,FALSE)</f>
        <v>4</v>
      </c>
      <c r="Q459" s="8">
        <f t="shared" si="22"/>
        <v>1274</v>
      </c>
      <c r="R459" s="8">
        <f t="shared" si="23"/>
        <v>2658</v>
      </c>
      <c r="S459" s="36">
        <f>VLOOKUP(R459,'Commission Criteria'!$L$3:$M$11,2,TRUE)</f>
        <v>0.01</v>
      </c>
      <c r="T459" s="36">
        <f>IF(P459&lt;5,VLOOKUP(R459,'Commission Criteria'!$L$3:$M$11,2,1),VLOOKUP('Order SUmmary'!R459,'Commission Criteria'!$P$3:$Q$11,2,1))</f>
        <v>0.01</v>
      </c>
      <c r="U459" s="36">
        <f>VLOOKUP(R459,IF(P459&lt;5,'Commission Criteria'!$L$3:$M$11,'Commission Criteria'!$P$3:$Q$11),2,1)</f>
        <v>0.01</v>
      </c>
      <c r="V459" s="8" t="s">
        <v>29</v>
      </c>
      <c r="W459" s="36">
        <f t="shared" ca="1" si="24"/>
        <v>0.03</v>
      </c>
      <c r="X459" s="8" t="str">
        <f>_xlfn.XLOOKUP(F459,'Product List'!$B$1:$B$299,'Product List'!$A$1:$A$299)</f>
        <v>Xerox 1981</v>
      </c>
      <c r="Y459" s="8"/>
      <c r="Z459" s="8" t="str" cm="1">
        <f t="array" ref="Z459:AD459">_xlfn.XLOOKUP(D459,'Customer Details'!$A$1:$A$17,'Customer Details'!$B$1:$F$17,"No such customer",0,1)</f>
        <v>Suzlon Energy Ltd.</v>
      </c>
      <c r="AA459" s="8" t="str">
        <v>501 Marsh Trail Circle</v>
      </c>
      <c r="AB459" s="8" t="str">
        <v>Tracy</v>
      </c>
      <c r="AC459" s="8" t="str">
        <v>CA</v>
      </c>
      <c r="AD459" s="8" t="str">
        <v>95376</v>
      </c>
    </row>
    <row r="460" spans="1:30">
      <c r="A460" s="8" t="s">
        <v>585</v>
      </c>
      <c r="B460" s="19">
        <v>41722</v>
      </c>
      <c r="C460" s="8" t="s">
        <v>66</v>
      </c>
      <c r="D460" s="8">
        <v>10003</v>
      </c>
      <c r="E460" s="8" t="str">
        <f>VLOOKUP($D460,'Customer Details'!$A$1:$F$17,4,FALSE)</f>
        <v>Miami</v>
      </c>
      <c r="F460" s="8" t="s">
        <v>586</v>
      </c>
      <c r="G460" s="8">
        <v>2</v>
      </c>
      <c r="H460" s="2" t="str">
        <f>VLOOKUP($D460,'Customer Details'!$A$1:$F$17,MATCH('Order SUmmary'!H$2,'Customer Details'!$A$1:$F$1,0),0)</f>
        <v>Honeywell Automation</v>
      </c>
      <c r="I460" s="2" t="str">
        <f>VLOOKUP($D460,'Customer Details'!$A$1:$F$17,4,0)</f>
        <v>Miami</v>
      </c>
      <c r="J460" s="2" t="str">
        <f>VLOOKUP($D460,'Customer Details'!$A$1:$F$17,6,0)</f>
        <v>33732</v>
      </c>
      <c r="K460" s="8" t="str">
        <f>VLOOKUP(VLOOKUP(D460,'Customer Details'!$A$1:$F$17,5,0),'Region INfo'!$A$1:$C$52,3,0)</f>
        <v>Southern</v>
      </c>
      <c r="L460" s="8" t="str">
        <f>INDEX(Product_List,MATCH($F460,'Product List'!$B$1:$B$299,0),MATCH('Order SUmmary'!L$2,'Product List'!$A$1:$E$1,0))</f>
        <v>Xerox 222</v>
      </c>
      <c r="M460" s="8">
        <f>INDEX(Product_List,MATCH($F460,'Product List'!$B$1:$B$299,0),MATCH('Order SUmmary'!M$2,'Product List'!$A$1:$E$1,0))</f>
        <v>4952</v>
      </c>
      <c r="N460" s="8">
        <f>INDEX(Product_List,MATCH($F460,'Product List'!$B$1:$B$299,0),MATCH('Order SUmmary'!N$2,'Product List'!$A$1:$E$1,0))</f>
        <v>1567</v>
      </c>
      <c r="O460" s="8" t="str">
        <f>INDEX(Product_List,MATCH($F460,'Product List'!$B$1:$B$299,0),MATCH('Order SUmmary'!O$2,'Product List'!$A$1:$E$1,0))</f>
        <v>Paper</v>
      </c>
      <c r="P460" s="12">
        <f>HLOOKUP(C460,'Commission Criteria'!$A$2:$I$4,3,FALSE)</f>
        <v>5</v>
      </c>
      <c r="Q460" s="8">
        <f t="shared" si="22"/>
        <v>3134</v>
      </c>
      <c r="R460" s="8">
        <f t="shared" si="23"/>
        <v>9904</v>
      </c>
      <c r="S460" s="36">
        <f>VLOOKUP(R460,'Commission Criteria'!$L$3:$M$11,2,TRUE)</f>
        <v>0.03</v>
      </c>
      <c r="T460" s="36">
        <f>IF(P460&lt;5,VLOOKUP(R460,'Commission Criteria'!$L$3:$M$11,2,1),VLOOKUP('Order SUmmary'!R460,'Commission Criteria'!$P$3:$Q$11,2,1))</f>
        <v>0.02</v>
      </c>
      <c r="U460" s="36">
        <f>VLOOKUP(R460,IF(P460&lt;5,'Commission Criteria'!$L$3:$M$11,'Commission Criteria'!$P$3:$Q$11),2,1)</f>
        <v>0.02</v>
      </c>
      <c r="V460" s="8" t="s">
        <v>40</v>
      </c>
      <c r="W460" s="36">
        <f t="shared" ca="1" si="24"/>
        <v>0.05</v>
      </c>
      <c r="X460" s="8" t="str">
        <f>_xlfn.XLOOKUP(F460,'Product List'!$B$1:$B$299,'Product List'!$A$1:$A$299)</f>
        <v>Xerox 222</v>
      </c>
      <c r="Y460" s="8"/>
      <c r="Z460" s="8" t="str" cm="1">
        <f t="array" ref="Z460:AD460">_xlfn.XLOOKUP(D460,'Customer Details'!$A$1:$A$17,'Customer Details'!$B$1:$F$17,"No such customer",0,1)</f>
        <v>Honeywell Automation</v>
      </c>
      <c r="AA460" s="8" t="str">
        <v>1272 Harbor Road</v>
      </c>
      <c r="AB460" s="8" t="str">
        <v>Miami</v>
      </c>
      <c r="AC460" s="8" t="str">
        <v>FL</v>
      </c>
      <c r="AD460" s="8" t="str">
        <v>33732</v>
      </c>
    </row>
    <row r="461" spans="1:30">
      <c r="A461" s="8" t="s">
        <v>587</v>
      </c>
      <c r="B461" s="19">
        <v>41728</v>
      </c>
      <c r="C461" s="8" t="s">
        <v>54</v>
      </c>
      <c r="D461" s="8">
        <v>10014</v>
      </c>
      <c r="E461" s="8" t="str">
        <f>VLOOKUP($D461,'Customer Details'!$A$1:$F$17,4,FALSE)</f>
        <v>Honolulu</v>
      </c>
      <c r="F461" s="8" t="s">
        <v>588</v>
      </c>
      <c r="G461" s="8">
        <v>1</v>
      </c>
      <c r="H461" s="2" t="str">
        <f>VLOOKUP($D461,'Customer Details'!$A$1:$F$17,MATCH('Order SUmmary'!H$2,'Customer Details'!$A$1:$F$1,0),0)</f>
        <v>Hindusthan National Glass &amp; Industries Ltd.</v>
      </c>
      <c r="I461" s="2" t="str">
        <f>VLOOKUP($D461,'Customer Details'!$A$1:$F$17,4,0)</f>
        <v>Honolulu</v>
      </c>
      <c r="J461" s="2" t="str">
        <f>VLOOKUP($D461,'Customer Details'!$A$1:$F$17,6,0)</f>
        <v>96825</v>
      </c>
      <c r="K461" s="8" t="str">
        <f>VLOOKUP(VLOOKUP(D461,'Customer Details'!$A$1:$F$17,5,0),'Region INfo'!$A$1:$C$52,3,0)</f>
        <v xml:space="preserve">Pacific   </v>
      </c>
      <c r="L461" s="8" t="str">
        <f>INDEX(Product_List,MATCH($F461,'Product List'!$B$1:$B$299,0),MATCH('Order SUmmary'!L$2,'Product List'!$A$1:$E$1,0))</f>
        <v>Xerox 1947</v>
      </c>
      <c r="M461" s="8">
        <f>INDEX(Product_List,MATCH($F461,'Product List'!$B$1:$B$299,0),MATCH('Order SUmmary'!M$2,'Product List'!$A$1:$E$1,0))</f>
        <v>3994</v>
      </c>
      <c r="N461" s="8">
        <f>INDEX(Product_List,MATCH($F461,'Product List'!$B$1:$B$299,0),MATCH('Order SUmmary'!N$2,'Product List'!$A$1:$E$1,0))</f>
        <v>1799</v>
      </c>
      <c r="O461" s="8" t="str">
        <f>INDEX(Product_List,MATCH($F461,'Product List'!$B$1:$B$299,0),MATCH('Order SUmmary'!O$2,'Product List'!$A$1:$E$1,0))</f>
        <v>Paper</v>
      </c>
      <c r="P461" s="12">
        <f>HLOOKUP(C461,'Commission Criteria'!$A$2:$I$4,3,FALSE)</f>
        <v>3</v>
      </c>
      <c r="Q461" s="8">
        <f t="shared" si="22"/>
        <v>1799</v>
      </c>
      <c r="R461" s="8">
        <f t="shared" si="23"/>
        <v>3994</v>
      </c>
      <c r="S461" s="36">
        <f>VLOOKUP(R461,'Commission Criteria'!$L$3:$M$11,2,TRUE)</f>
        <v>0.01</v>
      </c>
      <c r="T461" s="36">
        <f>IF(P461&lt;5,VLOOKUP(R461,'Commission Criteria'!$L$3:$M$11,2,1),VLOOKUP('Order SUmmary'!R461,'Commission Criteria'!$P$3:$Q$11,2,1))</f>
        <v>0.01</v>
      </c>
      <c r="U461" s="36">
        <f>VLOOKUP(R461,IF(P461&lt;5,'Commission Criteria'!$L$3:$M$11,'Commission Criteria'!$P$3:$Q$11),2,1)</f>
        <v>0.01</v>
      </c>
      <c r="V461" s="8" t="s">
        <v>43</v>
      </c>
      <c r="W461" s="36">
        <f t="shared" ca="1" si="24"/>
        <v>0.02</v>
      </c>
      <c r="X461" s="8" t="str">
        <f>_xlfn.XLOOKUP(F461,'Product List'!$B$1:$B$299,'Product List'!$A$1:$A$299)</f>
        <v>Xerox 1947</v>
      </c>
      <c r="Y461" s="8"/>
      <c r="Z461" s="8" t="str" cm="1">
        <f t="array" ref="Z461:AD461">_xlfn.XLOOKUP(D461,'Customer Details'!$A$1:$A$17,'Customer Details'!$B$1:$F$17,"No such customer",0,1)</f>
        <v>Hindusthan National Glass &amp; Industries Ltd.</v>
      </c>
      <c r="AA461" s="8" t="str">
        <v>11 Cathy St.</v>
      </c>
      <c r="AB461" s="8" t="str">
        <v>Honolulu</v>
      </c>
      <c r="AC461" s="8" t="str">
        <v>HI</v>
      </c>
      <c r="AD461" s="8" t="str">
        <v>96825</v>
      </c>
    </row>
    <row r="462" spans="1:30">
      <c r="A462" s="8" t="s">
        <v>589</v>
      </c>
      <c r="B462" s="19">
        <v>41729</v>
      </c>
      <c r="C462" s="8" t="s">
        <v>36</v>
      </c>
      <c r="D462" s="8">
        <v>10008</v>
      </c>
      <c r="E462" s="8" t="str">
        <f>VLOOKUP($D462,'Customer Details'!$A$1:$F$17,4,FALSE)</f>
        <v>Chestnut Ridge</v>
      </c>
      <c r="F462" s="8" t="s">
        <v>141</v>
      </c>
      <c r="G462" s="8">
        <v>1</v>
      </c>
      <c r="H462" s="2" t="str">
        <f>VLOOKUP($D462,'Customer Details'!$A$1:$F$17,MATCH('Order SUmmary'!H$2,'Customer Details'!$A$1:$F$1,0),0)</f>
        <v>Reliance Industries Limited</v>
      </c>
      <c r="I462" s="2" t="str">
        <f>VLOOKUP($D462,'Customer Details'!$A$1:$F$17,4,0)</f>
        <v>Chestnut Ridge</v>
      </c>
      <c r="J462" s="2" t="str">
        <f>VLOOKUP($D462,'Customer Details'!$A$1:$F$17,6,0)</f>
        <v>10977</v>
      </c>
      <c r="K462" s="8" t="str">
        <f>VLOOKUP(VLOOKUP(D462,'Customer Details'!$A$1:$F$17,5,0),'Region INfo'!$A$1:$C$52,3,0)</f>
        <v xml:space="preserve">Northern </v>
      </c>
      <c r="L462" s="8" t="str">
        <f>INDEX(Product_List,MATCH($F462,'Product List'!$B$1:$B$299,0),MATCH('Order SUmmary'!L$2,'Product List'!$A$1:$E$1,0))</f>
        <v>Xerox 1994</v>
      </c>
      <c r="M462" s="8">
        <f>INDEX(Product_List,MATCH($F462,'Product List'!$B$1:$B$299,0),MATCH('Order SUmmary'!M$2,'Product List'!$A$1:$E$1,0))</f>
        <v>4901</v>
      </c>
      <c r="N462" s="8">
        <f>INDEX(Product_List,MATCH($F462,'Product List'!$B$1:$B$299,0),MATCH('Order SUmmary'!N$2,'Product List'!$A$1:$E$1,0))</f>
        <v>1789</v>
      </c>
      <c r="O462" s="8" t="str">
        <f>INDEX(Product_List,MATCH($F462,'Product List'!$B$1:$B$299,0),MATCH('Order SUmmary'!O$2,'Product List'!$A$1:$E$1,0))</f>
        <v>Paper</v>
      </c>
      <c r="P462" s="12">
        <f>HLOOKUP(C462,'Commission Criteria'!$A$2:$I$4,3,FALSE)</f>
        <v>6</v>
      </c>
      <c r="Q462" s="8">
        <f t="shared" si="22"/>
        <v>1789</v>
      </c>
      <c r="R462" s="8">
        <f t="shared" si="23"/>
        <v>4901</v>
      </c>
      <c r="S462" s="36">
        <f>VLOOKUP(R462,'Commission Criteria'!$L$3:$M$11,2,TRUE)</f>
        <v>0.01</v>
      </c>
      <c r="T462" s="36">
        <f>IF(P462&lt;5,VLOOKUP(R462,'Commission Criteria'!$L$3:$M$11,2,1),VLOOKUP('Order SUmmary'!R462,'Commission Criteria'!$P$3:$Q$11,2,1))</f>
        <v>0.02</v>
      </c>
      <c r="U462" s="36">
        <f>VLOOKUP(R462,IF(P462&lt;5,'Commission Criteria'!$L$3:$M$11,'Commission Criteria'!$P$3:$Q$11),2,1)</f>
        <v>0.02</v>
      </c>
      <c r="V462" s="8" t="s">
        <v>40</v>
      </c>
      <c r="W462" s="36">
        <f t="shared" ca="1" si="24"/>
        <v>0.03</v>
      </c>
      <c r="X462" s="8" t="str">
        <f>_xlfn.XLOOKUP(F462,'Product List'!$B$1:$B$299,'Product List'!$A$1:$A$299)</f>
        <v>Xerox 1994</v>
      </c>
      <c r="Y462" s="8"/>
      <c r="Z462" s="8" t="str" cm="1">
        <f t="array" ref="Z462:AD462">_xlfn.XLOOKUP(D462,'Customer Details'!$A$1:$A$17,'Customer Details'!$B$1:$F$17,"No such customer",0,1)</f>
        <v>Reliance Industries Limited</v>
      </c>
      <c r="AA462" s="8" t="str">
        <v>12020 Shamrock Rd., Suite 333</v>
      </c>
      <c r="AB462" s="8" t="str">
        <v>Chestnut Ridge</v>
      </c>
      <c r="AC462" s="8" t="str">
        <v>NY</v>
      </c>
      <c r="AD462" s="8" t="str">
        <v>10977</v>
      </c>
    </row>
    <row r="463" spans="1:30">
      <c r="A463" s="8" t="s">
        <v>590</v>
      </c>
      <c r="B463" s="19">
        <v>41729</v>
      </c>
      <c r="C463" s="8" t="s">
        <v>54</v>
      </c>
      <c r="D463" s="8">
        <v>10002</v>
      </c>
      <c r="E463" s="8" t="str">
        <f>VLOOKUP($D463,'Customer Details'!$A$1:$F$17,4,FALSE)</f>
        <v>Omaha</v>
      </c>
      <c r="F463" s="8" t="s">
        <v>69</v>
      </c>
      <c r="G463" s="8">
        <v>2</v>
      </c>
      <c r="H463" s="2" t="str">
        <f>VLOOKUP($D463,'Customer Details'!$A$1:$F$17,MATCH('Order SUmmary'!H$2,'Customer Details'!$A$1:$F$1,0),0)</f>
        <v>Elder Pharmaceuticals</v>
      </c>
      <c r="I463" s="2" t="str">
        <f>VLOOKUP($D463,'Customer Details'!$A$1:$F$17,4,0)</f>
        <v>Omaha</v>
      </c>
      <c r="J463" s="2" t="str">
        <f>VLOOKUP($D463,'Customer Details'!$A$1:$F$17,6,0)</f>
        <v>68127</v>
      </c>
      <c r="K463" s="8" t="str">
        <f>VLOOKUP(VLOOKUP(D463,'Customer Details'!$A$1:$F$17,5,0),'Region INfo'!$A$1:$C$52,3,0)</f>
        <v>Western</v>
      </c>
      <c r="L463" s="8" t="str">
        <f>INDEX(Product_List,MATCH($F463,'Product List'!$B$1:$B$299,0),MATCH('Order SUmmary'!L$2,'Product List'!$A$1:$E$1,0))</f>
        <v>Newell 330</v>
      </c>
      <c r="M463" s="8">
        <f>INDEX(Product_List,MATCH($F463,'Product List'!$B$1:$B$299,0),MATCH('Order SUmmary'!M$2,'Product List'!$A$1:$E$1,0))</f>
        <v>2895</v>
      </c>
      <c r="N463" s="8">
        <f>INDEX(Product_List,MATCH($F463,'Product List'!$B$1:$B$299,0),MATCH('Order SUmmary'!N$2,'Product List'!$A$1:$E$1,0))</f>
        <v>1871</v>
      </c>
      <c r="O463" s="8" t="str">
        <f>INDEX(Product_List,MATCH($F463,'Product List'!$B$1:$B$299,0),MATCH('Order SUmmary'!O$2,'Product List'!$A$1:$E$1,0))</f>
        <v>Art</v>
      </c>
      <c r="P463" s="12">
        <f>HLOOKUP(C463,'Commission Criteria'!$A$2:$I$4,3,FALSE)</f>
        <v>3</v>
      </c>
      <c r="Q463" s="8">
        <f t="shared" si="22"/>
        <v>3742</v>
      </c>
      <c r="R463" s="8">
        <f t="shared" si="23"/>
        <v>5790</v>
      </c>
      <c r="S463" s="36">
        <f>VLOOKUP(R463,'Commission Criteria'!$L$3:$M$11,2,TRUE)</f>
        <v>0.03</v>
      </c>
      <c r="T463" s="36">
        <f>IF(P463&lt;5,VLOOKUP(R463,'Commission Criteria'!$L$3:$M$11,2,1),VLOOKUP('Order SUmmary'!R463,'Commission Criteria'!$P$3:$Q$11,2,1))</f>
        <v>0.03</v>
      </c>
      <c r="U463" s="36">
        <f>VLOOKUP(R463,IF(P463&lt;5,'Commission Criteria'!$L$3:$M$11,'Commission Criteria'!$P$3:$Q$11),2,1)</f>
        <v>0.03</v>
      </c>
      <c r="V463" s="8" t="s">
        <v>29</v>
      </c>
      <c r="W463" s="36">
        <f t="shared" ca="1" si="24"/>
        <v>0.02</v>
      </c>
      <c r="X463" s="8" t="str">
        <f>_xlfn.XLOOKUP(F463,'Product List'!$B$1:$B$299,'Product List'!$A$1:$A$299)</f>
        <v>Newell 330</v>
      </c>
      <c r="Y463" s="8"/>
      <c r="Z463" s="8" t="str" cm="1">
        <f t="array" ref="Z463:AD463">_xlfn.XLOOKUP(D463,'Customer Details'!$A$1:$A$17,'Customer Details'!$B$1:$F$17,"No such customer",0,1)</f>
        <v>Elder Pharmaceuticals</v>
      </c>
      <c r="AA463" s="8" t="str">
        <v>57 Neriba Cres</v>
      </c>
      <c r="AB463" s="8" t="str">
        <v>Omaha</v>
      </c>
      <c r="AC463" s="8" t="str">
        <v>NE</v>
      </c>
      <c r="AD463" s="8" t="str">
        <v>68127</v>
      </c>
    </row>
    <row r="464" spans="1:30">
      <c r="A464" s="8" t="s">
        <v>591</v>
      </c>
      <c r="B464" s="19">
        <v>41729</v>
      </c>
      <c r="C464" s="8" t="s">
        <v>46</v>
      </c>
      <c r="D464" s="8">
        <v>10009</v>
      </c>
      <c r="E464" s="8" t="str">
        <f>VLOOKUP($D464,'Customer Details'!$A$1:$F$17,4,FALSE)</f>
        <v>Salt Lake City</v>
      </c>
      <c r="F464" s="8" t="s">
        <v>592</v>
      </c>
      <c r="G464" s="8">
        <v>2</v>
      </c>
      <c r="H464" s="2" t="str">
        <f>VLOOKUP($D464,'Customer Details'!$A$1:$F$17,MATCH('Order SUmmary'!H$2,'Customer Details'!$A$1:$F$1,0),0)</f>
        <v>Godfrey Philips India Ltd.</v>
      </c>
      <c r="I464" s="2" t="str">
        <f>VLOOKUP($D464,'Customer Details'!$A$1:$F$17,4,0)</f>
        <v>Salt Lake City</v>
      </c>
      <c r="J464" s="2" t="str">
        <f>VLOOKUP($D464,'Customer Details'!$A$1:$F$17,6,0)</f>
        <v>84118</v>
      </c>
      <c r="K464" s="8" t="str">
        <f>VLOOKUP(VLOOKUP(D464,'Customer Details'!$A$1:$F$17,5,0),'Region INfo'!$A$1:$C$52,3,0)</f>
        <v xml:space="preserve">Pacific   </v>
      </c>
      <c r="L464" s="8" t="str">
        <f>INDEX(Product_List,MATCH($F464,'Product List'!$B$1:$B$299,0),MATCH('Order SUmmary'!L$2,'Product List'!$A$1:$E$1,0))</f>
        <v>Avery 5</v>
      </c>
      <c r="M464" s="8">
        <f>INDEX(Product_List,MATCH($F464,'Product List'!$B$1:$B$299,0),MATCH('Order SUmmary'!M$2,'Product List'!$A$1:$E$1,0))</f>
        <v>3388</v>
      </c>
      <c r="N464" s="8">
        <f>INDEX(Product_List,MATCH($F464,'Product List'!$B$1:$B$299,0),MATCH('Order SUmmary'!N$2,'Product List'!$A$1:$E$1,0))</f>
        <v>1454</v>
      </c>
      <c r="O464" s="8" t="str">
        <f>INDEX(Product_List,MATCH($F464,'Product List'!$B$1:$B$299,0),MATCH('Order SUmmary'!O$2,'Product List'!$A$1:$E$1,0))</f>
        <v>Labels</v>
      </c>
      <c r="P464" s="12">
        <f>HLOOKUP(C464,'Commission Criteria'!$A$2:$I$4,3,FALSE)</f>
        <v>8</v>
      </c>
      <c r="Q464" s="8">
        <f t="shared" si="22"/>
        <v>2908</v>
      </c>
      <c r="R464" s="8">
        <f t="shared" si="23"/>
        <v>6776</v>
      </c>
      <c r="S464" s="36">
        <f>VLOOKUP(R464,'Commission Criteria'!$L$3:$M$11,2,TRUE)</f>
        <v>0.03</v>
      </c>
      <c r="T464" s="36">
        <f>IF(P464&lt;5,VLOOKUP(R464,'Commission Criteria'!$L$3:$M$11,2,1),VLOOKUP('Order SUmmary'!R464,'Commission Criteria'!$P$3:$Q$11,2,1))</f>
        <v>0.02</v>
      </c>
      <c r="U464" s="36">
        <f>VLOOKUP(R464,IF(P464&lt;5,'Commission Criteria'!$L$3:$M$11,'Commission Criteria'!$P$3:$Q$11),2,1)</f>
        <v>0.02</v>
      </c>
      <c r="V464" s="8" t="s">
        <v>43</v>
      </c>
      <c r="W464" s="36">
        <f t="shared" ca="1" si="24"/>
        <v>0</v>
      </c>
      <c r="X464" s="8" t="str">
        <f>_xlfn.XLOOKUP(F464,'Product List'!$B$1:$B$299,'Product List'!$A$1:$A$299)</f>
        <v>Avery 5</v>
      </c>
      <c r="Y464" s="8"/>
      <c r="Z464" s="8" t="str" cm="1">
        <f t="array" ref="Z464:AD464">_xlfn.XLOOKUP(D464,'Customer Details'!$A$1:$A$17,'Customer Details'!$B$1:$F$17,"No such customer",0,1)</f>
        <v>Godfrey Philips India Ltd.</v>
      </c>
      <c r="AA464" s="8" t="str">
        <v>20501 Ania Ave #2</v>
      </c>
      <c r="AB464" s="8" t="str">
        <v>Salt Lake City</v>
      </c>
      <c r="AC464" s="8" t="str">
        <v>UT</v>
      </c>
      <c r="AD464" s="8" t="str">
        <v>84118</v>
      </c>
    </row>
    <row r="465" spans="1:30">
      <c r="A465" s="8" t="s">
        <v>590</v>
      </c>
      <c r="B465" s="19">
        <v>41729</v>
      </c>
      <c r="C465" s="8" t="s">
        <v>36</v>
      </c>
      <c r="D465" s="8">
        <v>10013</v>
      </c>
      <c r="E465" s="8" t="str">
        <f>VLOOKUP($D465,'Customer Details'!$A$1:$F$17,4,FALSE)</f>
        <v>Naugatuck</v>
      </c>
      <c r="F465" s="8" t="s">
        <v>143</v>
      </c>
      <c r="G465" s="8">
        <v>2</v>
      </c>
      <c r="H465" s="2" t="str">
        <f>VLOOKUP($D465,'Customer Details'!$A$1:$F$17,MATCH('Order SUmmary'!H$2,'Customer Details'!$A$1:$F$1,0),0)</f>
        <v>GMR Infrastructure Ltd.</v>
      </c>
      <c r="I465" s="2" t="str">
        <f>VLOOKUP($D465,'Customer Details'!$A$1:$F$17,4,0)</f>
        <v>Naugatuck</v>
      </c>
      <c r="J465" s="2" t="str">
        <f>VLOOKUP($D465,'Customer Details'!$A$1:$F$17,6,0)</f>
        <v>06770</v>
      </c>
      <c r="K465" s="8" t="str">
        <f>VLOOKUP(VLOOKUP(D465,'Customer Details'!$A$1:$F$17,5,0),'Region INfo'!$A$1:$C$52,3,0)</f>
        <v xml:space="preserve">Northern </v>
      </c>
      <c r="L465" s="8" t="str">
        <f>INDEX(Product_List,MATCH($F465,'Product List'!$B$1:$B$299,0),MATCH('Order SUmmary'!L$2,'Product List'!$A$1:$E$1,0))</f>
        <v>Xerox 1932</v>
      </c>
      <c r="M465" s="8">
        <f>INDEX(Product_List,MATCH($F465,'Product List'!$B$1:$B$299,0),MATCH('Order SUmmary'!M$2,'Product List'!$A$1:$E$1,0))</f>
        <v>4309</v>
      </c>
      <c r="N465" s="8">
        <f>INDEX(Product_List,MATCH($F465,'Product List'!$B$1:$B$299,0),MATCH('Order SUmmary'!N$2,'Product List'!$A$1:$E$1,0))</f>
        <v>1779</v>
      </c>
      <c r="O465" s="8" t="str">
        <f>INDEX(Product_List,MATCH($F465,'Product List'!$B$1:$B$299,0),MATCH('Order SUmmary'!O$2,'Product List'!$A$1:$E$1,0))</f>
        <v>Paper</v>
      </c>
      <c r="P465" s="12">
        <f>HLOOKUP(C465,'Commission Criteria'!$A$2:$I$4,3,FALSE)</f>
        <v>6</v>
      </c>
      <c r="Q465" s="8">
        <f t="shared" si="22"/>
        <v>3558</v>
      </c>
      <c r="R465" s="8">
        <f t="shared" si="23"/>
        <v>8618</v>
      </c>
      <c r="S465" s="36">
        <f>VLOOKUP(R465,'Commission Criteria'!$L$3:$M$11,2,TRUE)</f>
        <v>0.03</v>
      </c>
      <c r="T465" s="36">
        <f>IF(P465&lt;5,VLOOKUP(R465,'Commission Criteria'!$L$3:$M$11,2,1),VLOOKUP('Order SUmmary'!R465,'Commission Criteria'!$P$3:$Q$11,2,1))</f>
        <v>0.02</v>
      </c>
      <c r="U465" s="36">
        <f>VLOOKUP(R465,IF(P465&lt;5,'Commission Criteria'!$L$3:$M$11,'Commission Criteria'!$P$3:$Q$11),2,1)</f>
        <v>0.02</v>
      </c>
      <c r="V465" s="8" t="s">
        <v>32</v>
      </c>
      <c r="W465" s="36">
        <f t="shared" ca="1" si="24"/>
        <v>0</v>
      </c>
      <c r="X465" s="8" t="str">
        <f>_xlfn.XLOOKUP(F465,'Product List'!$B$1:$B$299,'Product List'!$A$1:$A$299)</f>
        <v>Xerox 1932</v>
      </c>
      <c r="Y465" s="8"/>
      <c r="Z465" s="8" t="str" cm="1">
        <f t="array" ref="Z465:AD465">_xlfn.XLOOKUP(D465,'Customer Details'!$A$1:$A$17,'Customer Details'!$B$1:$F$17,"No such customer",0,1)</f>
        <v>GMR Infrastructure Ltd.</v>
      </c>
      <c r="AA465" s="8" t="str">
        <v>P.O. Box 4421</v>
      </c>
      <c r="AB465" s="8" t="str">
        <v>Naugatuck</v>
      </c>
      <c r="AC465" s="8" t="str">
        <v>CT</v>
      </c>
      <c r="AD465" s="8" t="str">
        <v>06770</v>
      </c>
    </row>
    <row r="466" spans="1:30">
      <c r="A466" s="8" t="s">
        <v>591</v>
      </c>
      <c r="B466" s="19">
        <v>41729</v>
      </c>
      <c r="C466" s="8" t="s">
        <v>66</v>
      </c>
      <c r="D466" s="8">
        <v>10012</v>
      </c>
      <c r="E466" s="8" t="str">
        <f>VLOOKUP($D466,'Customer Details'!$A$1:$F$17,4,FALSE)</f>
        <v>Santa Barbara</v>
      </c>
      <c r="F466" s="8" t="s">
        <v>479</v>
      </c>
      <c r="G466" s="8">
        <v>12</v>
      </c>
      <c r="H466" s="2" t="str">
        <f>VLOOKUP($D466,'Customer Details'!$A$1:$F$17,MATCH('Order SUmmary'!H$2,'Customer Details'!$A$1:$F$1,0),0)</f>
        <v>Dynamatic Technologies Ltd.</v>
      </c>
      <c r="I466" s="2" t="str">
        <f>VLOOKUP($D466,'Customer Details'!$A$1:$F$17,4,0)</f>
        <v>Santa Barbara</v>
      </c>
      <c r="J466" s="2" t="str">
        <f>VLOOKUP($D466,'Customer Details'!$A$1:$F$17,6,0)</f>
        <v>93110</v>
      </c>
      <c r="K466" s="8" t="str">
        <f>VLOOKUP(VLOOKUP(D466,'Customer Details'!$A$1:$F$17,5,0),'Region INfo'!$A$1:$C$52,3,0)</f>
        <v xml:space="preserve">Pacific   </v>
      </c>
      <c r="L466" s="8" t="str">
        <f>INDEX(Product_List,MATCH($F466,'Product List'!$B$1:$B$299,0),MATCH('Order SUmmary'!L$2,'Product List'!$A$1:$E$1,0))</f>
        <v>Xerox 23</v>
      </c>
      <c r="M466" s="8">
        <f>INDEX(Product_List,MATCH($F466,'Product List'!$B$1:$B$299,0),MATCH('Order SUmmary'!M$2,'Product List'!$A$1:$E$1,0))</f>
        <v>4643</v>
      </c>
      <c r="N466" s="8">
        <f>INDEX(Product_List,MATCH($F466,'Product List'!$B$1:$B$299,0),MATCH('Order SUmmary'!N$2,'Product List'!$A$1:$E$1,0))</f>
        <v>1549</v>
      </c>
      <c r="O466" s="8" t="str">
        <f>INDEX(Product_List,MATCH($F466,'Product List'!$B$1:$B$299,0),MATCH('Order SUmmary'!O$2,'Product List'!$A$1:$E$1,0))</f>
        <v>Paper</v>
      </c>
      <c r="P466" s="12">
        <f>HLOOKUP(C466,'Commission Criteria'!$A$2:$I$4,3,FALSE)</f>
        <v>5</v>
      </c>
      <c r="Q466" s="8">
        <f t="shared" si="22"/>
        <v>18588</v>
      </c>
      <c r="R466" s="8">
        <f t="shared" si="23"/>
        <v>55716</v>
      </c>
      <c r="S466" s="36">
        <f>VLOOKUP(R466,'Commission Criteria'!$L$3:$M$11,2,TRUE)</f>
        <v>0.05</v>
      </c>
      <c r="T466" s="36">
        <f>IF(P466&lt;5,VLOOKUP(R466,'Commission Criteria'!$L$3:$M$11,2,1),VLOOKUP('Order SUmmary'!R466,'Commission Criteria'!$P$3:$Q$11,2,1))</f>
        <v>0.06</v>
      </c>
      <c r="U466" s="36">
        <f>VLOOKUP(R466,IF(P466&lt;5,'Commission Criteria'!$L$3:$M$11,'Commission Criteria'!$P$3:$Q$11),2,1)</f>
        <v>0.06</v>
      </c>
      <c r="V466" s="8" t="s">
        <v>50</v>
      </c>
      <c r="W466" s="36">
        <f t="shared" ca="1" si="24"/>
        <v>0.01</v>
      </c>
      <c r="X466" s="8" t="str">
        <f>_xlfn.XLOOKUP(F466,'Product List'!$B$1:$B$299,'Product List'!$A$1:$A$299)</f>
        <v>Xerox 23</v>
      </c>
      <c r="Y466" s="8"/>
      <c r="Z466" s="8" t="str" cm="1">
        <f t="array" ref="Z466:AD466">_xlfn.XLOOKUP(D466,'Customer Details'!$A$1:$A$17,'Customer Details'!$B$1:$F$17,"No such customer",0,1)</f>
        <v>Dynamatic Technologies Ltd.</v>
      </c>
      <c r="AA466" s="8" t="str">
        <v>402 Pinkster Lane</v>
      </c>
      <c r="AB466" s="8" t="str">
        <v>Santa Barbara</v>
      </c>
      <c r="AC466" s="8" t="str">
        <v>CA</v>
      </c>
      <c r="AD466" s="8" t="str">
        <v>93110</v>
      </c>
    </row>
    <row r="467" spans="1:30">
      <c r="A467" s="8" t="s">
        <v>593</v>
      </c>
      <c r="B467" s="19">
        <v>41733</v>
      </c>
      <c r="C467" s="8" t="s">
        <v>54</v>
      </c>
      <c r="D467" s="8">
        <v>10002</v>
      </c>
      <c r="E467" s="8" t="str">
        <f>VLOOKUP($D467,'Customer Details'!$A$1:$F$17,4,FALSE)</f>
        <v>Omaha</v>
      </c>
      <c r="F467" s="8" t="s">
        <v>594</v>
      </c>
      <c r="G467" s="8">
        <v>3</v>
      </c>
      <c r="H467" s="2" t="str">
        <f>VLOOKUP($D467,'Customer Details'!$A$1:$F$17,MATCH('Order SUmmary'!H$2,'Customer Details'!$A$1:$F$1,0),0)</f>
        <v>Elder Pharmaceuticals</v>
      </c>
      <c r="I467" s="2" t="str">
        <f>VLOOKUP($D467,'Customer Details'!$A$1:$F$17,4,0)</f>
        <v>Omaha</v>
      </c>
      <c r="J467" s="2" t="str">
        <f>VLOOKUP($D467,'Customer Details'!$A$1:$F$17,6,0)</f>
        <v>68127</v>
      </c>
      <c r="K467" s="8" t="str">
        <f>VLOOKUP(VLOOKUP(D467,'Customer Details'!$A$1:$F$17,5,0),'Region INfo'!$A$1:$C$52,3,0)</f>
        <v>Western</v>
      </c>
      <c r="L467" s="8" t="str">
        <f>INDEX(Product_List,MATCH($F467,'Product List'!$B$1:$B$299,0),MATCH('Order SUmmary'!L$2,'Product List'!$A$1:$E$1,0))</f>
        <v>Xerox 217</v>
      </c>
      <c r="M467" s="8">
        <f>INDEX(Product_List,MATCH($F467,'Product List'!$B$1:$B$299,0),MATCH('Order SUmmary'!M$2,'Product List'!$A$1:$E$1,0))</f>
        <v>3574</v>
      </c>
      <c r="N467" s="8">
        <f>INDEX(Product_List,MATCH($F467,'Product List'!$B$1:$B$299,0),MATCH('Order SUmmary'!N$2,'Product List'!$A$1:$E$1,0))</f>
        <v>1747</v>
      </c>
      <c r="O467" s="8" t="str">
        <f>INDEX(Product_List,MATCH($F467,'Product List'!$B$1:$B$299,0),MATCH('Order SUmmary'!O$2,'Product List'!$A$1:$E$1,0))</f>
        <v>Paper</v>
      </c>
      <c r="P467" s="12">
        <f>HLOOKUP(C467,'Commission Criteria'!$A$2:$I$4,3,FALSE)</f>
        <v>3</v>
      </c>
      <c r="Q467" s="8">
        <f t="shared" si="22"/>
        <v>5241</v>
      </c>
      <c r="R467" s="8">
        <f t="shared" si="23"/>
        <v>10722</v>
      </c>
      <c r="S467" s="36">
        <f>VLOOKUP(R467,'Commission Criteria'!$L$3:$M$11,2,TRUE)</f>
        <v>0.03</v>
      </c>
      <c r="T467" s="36">
        <f>IF(P467&lt;5,VLOOKUP(R467,'Commission Criteria'!$L$3:$M$11,2,1),VLOOKUP('Order SUmmary'!R467,'Commission Criteria'!$P$3:$Q$11,2,1))</f>
        <v>0.03</v>
      </c>
      <c r="U467" s="36">
        <f>VLOOKUP(R467,IF(P467&lt;5,'Commission Criteria'!$L$3:$M$11,'Commission Criteria'!$P$3:$Q$11),2,1)</f>
        <v>0.03</v>
      </c>
      <c r="V467" s="8" t="s">
        <v>32</v>
      </c>
      <c r="W467" s="36">
        <f t="shared" ca="1" si="24"/>
        <v>0.03</v>
      </c>
      <c r="X467" s="8" t="str">
        <f>_xlfn.XLOOKUP(F467,'Product List'!$B$1:$B$299,'Product List'!$A$1:$A$299)</f>
        <v>Xerox 217</v>
      </c>
      <c r="Y467" s="8"/>
      <c r="Z467" s="8" t="str" cm="1">
        <f t="array" ref="Z467:AD467">_xlfn.XLOOKUP(D467,'Customer Details'!$A$1:$A$17,'Customer Details'!$B$1:$F$17,"No such customer",0,1)</f>
        <v>Elder Pharmaceuticals</v>
      </c>
      <c r="AA467" s="8" t="str">
        <v>57 Neriba Cres</v>
      </c>
      <c r="AB467" s="8" t="str">
        <v>Omaha</v>
      </c>
      <c r="AC467" s="8" t="str">
        <v>NE</v>
      </c>
      <c r="AD467" s="8" t="str">
        <v>68127</v>
      </c>
    </row>
    <row r="468" spans="1:30">
      <c r="A468" s="8" t="s">
        <v>595</v>
      </c>
      <c r="B468" s="19">
        <v>41734</v>
      </c>
      <c r="C468" s="8" t="s">
        <v>54</v>
      </c>
      <c r="D468" s="8">
        <v>10011</v>
      </c>
      <c r="E468" s="8" t="str">
        <f>VLOOKUP($D468,'Customer Details'!$A$1:$F$17,4,FALSE)</f>
        <v>Olympia</v>
      </c>
      <c r="F468" s="8" t="s">
        <v>71</v>
      </c>
      <c r="G468" s="8">
        <v>2</v>
      </c>
      <c r="H468" s="2" t="str">
        <f>VLOOKUP($D468,'Customer Details'!$A$1:$F$17,MATCH('Order SUmmary'!H$2,'Customer Details'!$A$1:$F$1,0),0)</f>
        <v>Sonata Software</v>
      </c>
      <c r="I468" s="2" t="str">
        <f>VLOOKUP($D468,'Customer Details'!$A$1:$F$17,4,0)</f>
        <v>Olympia</v>
      </c>
      <c r="J468" s="2" t="str">
        <f>VLOOKUP($D468,'Customer Details'!$A$1:$F$17,6,0)</f>
        <v>98502</v>
      </c>
      <c r="K468" s="8" t="str">
        <f>VLOOKUP(VLOOKUP(D468,'Customer Details'!$A$1:$F$17,5,0),'Region INfo'!$A$1:$C$52,3,0)</f>
        <v xml:space="preserve">Pacific   </v>
      </c>
      <c r="L468" s="8" t="str">
        <f>INDEX(Product_List,MATCH($F468,'Product List'!$B$1:$B$299,0),MATCH('Order SUmmary'!L$2,'Product List'!$A$1:$E$1,0))</f>
        <v>GE 30522EE2</v>
      </c>
      <c r="M468" s="8">
        <f>INDEX(Product_List,MATCH($F468,'Product List'!$B$1:$B$299,0),MATCH('Order SUmmary'!M$2,'Product List'!$A$1:$E$1,0))</f>
        <v>3055</v>
      </c>
      <c r="N468" s="8">
        <f>INDEX(Product_List,MATCH($F468,'Product List'!$B$1:$B$299,0),MATCH('Order SUmmary'!N$2,'Product List'!$A$1:$E$1,0))</f>
        <v>2269</v>
      </c>
      <c r="O468" s="8" t="str">
        <f>INDEX(Product_List,MATCH($F468,'Product List'!$B$1:$B$299,0),MATCH('Order SUmmary'!O$2,'Product List'!$A$1:$E$1,0))</f>
        <v>Phones</v>
      </c>
      <c r="P468" s="12">
        <f>HLOOKUP(C468,'Commission Criteria'!$A$2:$I$4,3,FALSE)</f>
        <v>3</v>
      </c>
      <c r="Q468" s="8">
        <f t="shared" si="22"/>
        <v>4538</v>
      </c>
      <c r="R468" s="8">
        <f t="shared" si="23"/>
        <v>6110</v>
      </c>
      <c r="S468" s="36">
        <f>VLOOKUP(R468,'Commission Criteria'!$L$3:$M$11,2,TRUE)</f>
        <v>0.03</v>
      </c>
      <c r="T468" s="36">
        <f>IF(P468&lt;5,VLOOKUP(R468,'Commission Criteria'!$L$3:$M$11,2,1),VLOOKUP('Order SUmmary'!R468,'Commission Criteria'!$P$3:$Q$11,2,1))</f>
        <v>0.03</v>
      </c>
      <c r="U468" s="36">
        <f>VLOOKUP(R468,IF(P468&lt;5,'Commission Criteria'!$L$3:$M$11,'Commission Criteria'!$P$3:$Q$11),2,1)</f>
        <v>0.03</v>
      </c>
      <c r="V468" s="8" t="s">
        <v>32</v>
      </c>
      <c r="W468" s="36">
        <f t="shared" ca="1" si="24"/>
        <v>0.02</v>
      </c>
      <c r="X468" s="8" t="str">
        <f>_xlfn.XLOOKUP(F468,'Product List'!$B$1:$B$299,'Product List'!$A$1:$A$299)</f>
        <v>GE 30522EE2</v>
      </c>
      <c r="Y468" s="8"/>
      <c r="Z468" s="8" t="str" cm="1">
        <f t="array" ref="Z468:AD468">_xlfn.XLOOKUP(D468,'Customer Details'!$A$1:$A$17,'Customer Details'!$B$1:$F$17,"No such customer",0,1)</f>
        <v>Sonata Software</v>
      </c>
      <c r="AA468" s="8" t="str">
        <v>1331 Kimberly Dr.</v>
      </c>
      <c r="AB468" s="8" t="str">
        <v>Olympia</v>
      </c>
      <c r="AC468" s="8" t="str">
        <v>WA</v>
      </c>
      <c r="AD468" s="8" t="str">
        <v>98502</v>
      </c>
    </row>
    <row r="469" spans="1:30">
      <c r="A469" s="8" t="s">
        <v>596</v>
      </c>
      <c r="B469" s="19">
        <v>41734</v>
      </c>
      <c r="C469" s="8" t="s">
        <v>27</v>
      </c>
      <c r="D469" s="8">
        <v>10008</v>
      </c>
      <c r="E469" s="8" t="str">
        <f>VLOOKUP($D469,'Customer Details'!$A$1:$F$17,4,FALSE)</f>
        <v>Chestnut Ridge</v>
      </c>
      <c r="F469" s="8" t="s">
        <v>597</v>
      </c>
      <c r="G469" s="8">
        <v>2</v>
      </c>
      <c r="H469" s="2" t="str">
        <f>VLOOKUP($D469,'Customer Details'!$A$1:$F$17,MATCH('Order SUmmary'!H$2,'Customer Details'!$A$1:$F$1,0),0)</f>
        <v>Reliance Industries Limited</v>
      </c>
      <c r="I469" s="2" t="str">
        <f>VLOOKUP($D469,'Customer Details'!$A$1:$F$17,4,0)</f>
        <v>Chestnut Ridge</v>
      </c>
      <c r="J469" s="2" t="str">
        <f>VLOOKUP($D469,'Customer Details'!$A$1:$F$17,6,0)</f>
        <v>10977</v>
      </c>
      <c r="K469" s="8" t="str">
        <f>VLOOKUP(VLOOKUP(D469,'Customer Details'!$A$1:$F$17,5,0),'Region INfo'!$A$1:$C$52,3,0)</f>
        <v xml:space="preserve">Northern </v>
      </c>
      <c r="L469" s="8" t="str">
        <f>INDEX(Product_List,MATCH($F469,'Product List'!$B$1:$B$299,0),MATCH('Order SUmmary'!L$2,'Product List'!$A$1:$E$1,0))</f>
        <v>Xerox 1959</v>
      </c>
      <c r="M469" s="8">
        <f>INDEX(Product_List,MATCH($F469,'Product List'!$B$1:$B$299,0),MATCH('Order SUmmary'!M$2,'Product List'!$A$1:$E$1,0))</f>
        <v>4861</v>
      </c>
      <c r="N469" s="8">
        <f>INDEX(Product_List,MATCH($F469,'Product List'!$B$1:$B$299,0),MATCH('Order SUmmary'!N$2,'Product List'!$A$1:$E$1,0))</f>
        <v>1633</v>
      </c>
      <c r="O469" s="8" t="str">
        <f>INDEX(Product_List,MATCH($F469,'Product List'!$B$1:$B$299,0),MATCH('Order SUmmary'!O$2,'Product List'!$A$1:$E$1,0))</f>
        <v>Paper</v>
      </c>
      <c r="P469" s="12">
        <f>HLOOKUP(C469,'Commission Criteria'!$A$2:$I$4,3,FALSE)</f>
        <v>4</v>
      </c>
      <c r="Q469" s="8">
        <f t="shared" si="22"/>
        <v>3266</v>
      </c>
      <c r="R469" s="8">
        <f t="shared" si="23"/>
        <v>9722</v>
      </c>
      <c r="S469" s="36">
        <f>VLOOKUP(R469,'Commission Criteria'!$L$3:$M$11,2,TRUE)</f>
        <v>0.03</v>
      </c>
      <c r="T469" s="36">
        <f>IF(P469&lt;5,VLOOKUP(R469,'Commission Criteria'!$L$3:$M$11,2,1),VLOOKUP('Order SUmmary'!R469,'Commission Criteria'!$P$3:$Q$11,2,1))</f>
        <v>0.03</v>
      </c>
      <c r="U469" s="36">
        <f>VLOOKUP(R469,IF(P469&lt;5,'Commission Criteria'!$L$3:$M$11,'Commission Criteria'!$P$3:$Q$11),2,1)</f>
        <v>0.03</v>
      </c>
      <c r="V469" s="8" t="s">
        <v>50</v>
      </c>
      <c r="W469" s="36">
        <f t="shared" ca="1" si="24"/>
        <v>0.03</v>
      </c>
      <c r="X469" s="8" t="str">
        <f>_xlfn.XLOOKUP(F469,'Product List'!$B$1:$B$299,'Product List'!$A$1:$A$299)</f>
        <v>Xerox 1959</v>
      </c>
      <c r="Y469" s="8"/>
      <c r="Z469" s="8" t="str" cm="1">
        <f t="array" ref="Z469:AD469">_xlfn.XLOOKUP(D469,'Customer Details'!$A$1:$A$17,'Customer Details'!$B$1:$F$17,"No such customer",0,1)</f>
        <v>Reliance Industries Limited</v>
      </c>
      <c r="AA469" s="8" t="str">
        <v>12020 Shamrock Rd., Suite 333</v>
      </c>
      <c r="AB469" s="8" t="str">
        <v>Chestnut Ridge</v>
      </c>
      <c r="AC469" s="8" t="str">
        <v>NY</v>
      </c>
      <c r="AD469" s="8" t="str">
        <v>10977</v>
      </c>
    </row>
    <row r="470" spans="1:30">
      <c r="A470" s="8" t="s">
        <v>598</v>
      </c>
      <c r="B470" s="19">
        <v>41740</v>
      </c>
      <c r="C470" s="8" t="s">
        <v>66</v>
      </c>
      <c r="D470" s="8">
        <v>10005</v>
      </c>
      <c r="E470" s="8" t="str">
        <f>VLOOKUP($D470,'Customer Details'!$A$1:$F$17,4,FALSE)</f>
        <v>Goleta</v>
      </c>
      <c r="F470" s="8" t="s">
        <v>102</v>
      </c>
      <c r="G470" s="8">
        <v>1</v>
      </c>
      <c r="H470" s="2" t="str">
        <f>VLOOKUP($D470,'Customer Details'!$A$1:$F$17,MATCH('Order SUmmary'!H$2,'Customer Details'!$A$1:$F$1,0),0)</f>
        <v>Fortis Healthcare Ltd.</v>
      </c>
      <c r="I470" s="2" t="str">
        <f>VLOOKUP($D470,'Customer Details'!$A$1:$F$17,4,0)</f>
        <v>Goleta</v>
      </c>
      <c r="J470" s="2" t="str">
        <f>VLOOKUP($D470,'Customer Details'!$A$1:$F$17,6,0)</f>
        <v>93117</v>
      </c>
      <c r="K470" s="8" t="str">
        <f>VLOOKUP(VLOOKUP(D470,'Customer Details'!$A$1:$F$17,5,0),'Region INfo'!$A$1:$C$52,3,0)</f>
        <v xml:space="preserve">Pacific   </v>
      </c>
      <c r="L470" s="8" t="str">
        <f>INDEX(Product_List,MATCH($F470,'Product List'!$B$1:$B$299,0),MATCH('Order SUmmary'!L$2,'Product List'!$A$1:$E$1,0))</f>
        <v>Xerox 1997</v>
      </c>
      <c r="M470" s="8">
        <f>INDEX(Product_List,MATCH($F470,'Product List'!$B$1:$B$299,0),MATCH('Order SUmmary'!M$2,'Product List'!$A$1:$E$1,0))</f>
        <v>3844</v>
      </c>
      <c r="N470" s="8">
        <f>INDEX(Product_List,MATCH($F470,'Product List'!$B$1:$B$299,0),MATCH('Order SUmmary'!N$2,'Product List'!$A$1:$E$1,0))</f>
        <v>2157</v>
      </c>
      <c r="O470" s="8" t="str">
        <f>INDEX(Product_List,MATCH($F470,'Product List'!$B$1:$B$299,0),MATCH('Order SUmmary'!O$2,'Product List'!$A$1:$E$1,0))</f>
        <v>Paper</v>
      </c>
      <c r="P470" s="12">
        <f>HLOOKUP(C470,'Commission Criteria'!$A$2:$I$4,3,FALSE)</f>
        <v>5</v>
      </c>
      <c r="Q470" s="8">
        <f t="shared" si="22"/>
        <v>2157</v>
      </c>
      <c r="R470" s="8">
        <f t="shared" si="23"/>
        <v>3844</v>
      </c>
      <c r="S470" s="36">
        <f>VLOOKUP(R470,'Commission Criteria'!$L$3:$M$11,2,TRUE)</f>
        <v>0.01</v>
      </c>
      <c r="T470" s="36">
        <f>IF(P470&lt;5,VLOOKUP(R470,'Commission Criteria'!$L$3:$M$11,2,1),VLOOKUP('Order SUmmary'!R470,'Commission Criteria'!$P$3:$Q$11,2,1))</f>
        <v>0.02</v>
      </c>
      <c r="U470" s="36">
        <f>VLOOKUP(R470,IF(P470&lt;5,'Commission Criteria'!$L$3:$M$11,'Commission Criteria'!$P$3:$Q$11),2,1)</f>
        <v>0.02</v>
      </c>
      <c r="V470" s="8" t="s">
        <v>40</v>
      </c>
      <c r="W470" s="36">
        <f t="shared" ca="1" si="24"/>
        <v>0.01</v>
      </c>
      <c r="X470" s="8" t="str">
        <f>_xlfn.XLOOKUP(F470,'Product List'!$B$1:$B$299,'Product List'!$A$1:$A$299)</f>
        <v>Xerox 1997</v>
      </c>
      <c r="Y470" s="8"/>
      <c r="Z470" s="8" t="str" cm="1">
        <f t="array" ref="Z470:AD470">_xlfn.XLOOKUP(D470,'Customer Details'!$A$1:$A$17,'Customer Details'!$B$1:$F$17,"No such customer",0,1)</f>
        <v>Fortis Healthcare Ltd.</v>
      </c>
      <c r="AA470" s="8" t="str">
        <v>14 Elsworthy Terrace</v>
      </c>
      <c r="AB470" s="8" t="str">
        <v>Goleta</v>
      </c>
      <c r="AC470" s="8" t="str">
        <v>CA</v>
      </c>
      <c r="AD470" s="8" t="str">
        <v>93117</v>
      </c>
    </row>
    <row r="471" spans="1:30">
      <c r="A471" s="8" t="s">
        <v>599</v>
      </c>
      <c r="B471" s="19">
        <v>41740</v>
      </c>
      <c r="C471" s="8" t="s">
        <v>46</v>
      </c>
      <c r="D471" s="8">
        <v>10010</v>
      </c>
      <c r="E471" s="8" t="str">
        <f>VLOOKUP($D471,'Customer Details'!$A$1:$F$17,4,FALSE)</f>
        <v>Tracy</v>
      </c>
      <c r="F471" s="8" t="s">
        <v>600</v>
      </c>
      <c r="G471" s="8">
        <v>1</v>
      </c>
      <c r="H471" s="2" t="str">
        <f>VLOOKUP($D471,'Customer Details'!$A$1:$F$17,MATCH('Order SUmmary'!H$2,'Customer Details'!$A$1:$F$1,0),0)</f>
        <v>Suzlon Energy Ltd.</v>
      </c>
      <c r="I471" s="2" t="str">
        <f>VLOOKUP($D471,'Customer Details'!$A$1:$F$17,4,0)</f>
        <v>Tracy</v>
      </c>
      <c r="J471" s="2" t="str">
        <f>VLOOKUP($D471,'Customer Details'!$A$1:$F$17,6,0)</f>
        <v>95376</v>
      </c>
      <c r="K471" s="8" t="str">
        <f>VLOOKUP(VLOOKUP(D471,'Customer Details'!$A$1:$F$17,5,0),'Region INfo'!$A$1:$C$52,3,0)</f>
        <v xml:space="preserve">Pacific   </v>
      </c>
      <c r="L471" s="8" t="str">
        <f>INDEX(Product_List,MATCH($F471,'Product List'!$B$1:$B$299,0),MATCH('Order SUmmary'!L$2,'Product List'!$A$1:$E$1,0))</f>
        <v>Xerox 189</v>
      </c>
      <c r="M471" s="8">
        <f>INDEX(Product_List,MATCH($F471,'Product List'!$B$1:$B$299,0),MATCH('Order SUmmary'!M$2,'Product List'!$A$1:$E$1,0))</f>
        <v>4295</v>
      </c>
      <c r="N471" s="8">
        <f>INDEX(Product_List,MATCH($F471,'Product List'!$B$1:$B$299,0),MATCH('Order SUmmary'!N$2,'Product List'!$A$1:$E$1,0))</f>
        <v>2280</v>
      </c>
      <c r="O471" s="8" t="str">
        <f>INDEX(Product_List,MATCH($F471,'Product List'!$B$1:$B$299,0),MATCH('Order SUmmary'!O$2,'Product List'!$A$1:$E$1,0))</f>
        <v>Paper</v>
      </c>
      <c r="P471" s="12">
        <f>HLOOKUP(C471,'Commission Criteria'!$A$2:$I$4,3,FALSE)</f>
        <v>8</v>
      </c>
      <c r="Q471" s="8">
        <f t="shared" si="22"/>
        <v>2280</v>
      </c>
      <c r="R471" s="8">
        <f t="shared" si="23"/>
        <v>4295</v>
      </c>
      <c r="S471" s="36">
        <f>VLOOKUP(R471,'Commission Criteria'!$L$3:$M$11,2,TRUE)</f>
        <v>0.01</v>
      </c>
      <c r="T471" s="36">
        <f>IF(P471&lt;5,VLOOKUP(R471,'Commission Criteria'!$L$3:$M$11,2,1),VLOOKUP('Order SUmmary'!R471,'Commission Criteria'!$P$3:$Q$11,2,1))</f>
        <v>0.02</v>
      </c>
      <c r="U471" s="36">
        <f>VLOOKUP(R471,IF(P471&lt;5,'Commission Criteria'!$L$3:$M$11,'Commission Criteria'!$P$3:$Q$11),2,1)</f>
        <v>0.02</v>
      </c>
      <c r="V471" s="8" t="s">
        <v>32</v>
      </c>
      <c r="W471" s="36">
        <f t="shared" ca="1" si="24"/>
        <v>0.04</v>
      </c>
      <c r="X471" s="8" t="str">
        <f>_xlfn.XLOOKUP(F471,'Product List'!$B$1:$B$299,'Product List'!$A$1:$A$299)</f>
        <v>Xerox 189</v>
      </c>
      <c r="Y471" s="8"/>
      <c r="Z471" s="8" t="str" cm="1">
        <f t="array" ref="Z471:AD471">_xlfn.XLOOKUP(D471,'Customer Details'!$A$1:$A$17,'Customer Details'!$B$1:$F$17,"No such customer",0,1)</f>
        <v>Suzlon Energy Ltd.</v>
      </c>
      <c r="AA471" s="8" t="str">
        <v>501 Marsh Trail Circle</v>
      </c>
      <c r="AB471" s="8" t="str">
        <v>Tracy</v>
      </c>
      <c r="AC471" s="8" t="str">
        <v>CA</v>
      </c>
      <c r="AD471" s="8" t="str">
        <v>95376</v>
      </c>
    </row>
    <row r="472" spans="1:30">
      <c r="A472" s="8" t="s">
        <v>598</v>
      </c>
      <c r="B472" s="19">
        <v>41740</v>
      </c>
      <c r="C472" s="8" t="s">
        <v>27</v>
      </c>
      <c r="D472" s="8">
        <v>10013</v>
      </c>
      <c r="E472" s="8" t="str">
        <f>VLOOKUP($D472,'Customer Details'!$A$1:$F$17,4,FALSE)</f>
        <v>Naugatuck</v>
      </c>
      <c r="F472" s="8" t="s">
        <v>312</v>
      </c>
      <c r="G472" s="8">
        <v>2</v>
      </c>
      <c r="H472" s="2" t="str">
        <f>VLOOKUP($D472,'Customer Details'!$A$1:$F$17,MATCH('Order SUmmary'!H$2,'Customer Details'!$A$1:$F$1,0),0)</f>
        <v>GMR Infrastructure Ltd.</v>
      </c>
      <c r="I472" s="2" t="str">
        <f>VLOOKUP($D472,'Customer Details'!$A$1:$F$17,4,0)</f>
        <v>Naugatuck</v>
      </c>
      <c r="J472" s="2" t="str">
        <f>VLOOKUP($D472,'Customer Details'!$A$1:$F$17,6,0)</f>
        <v>06770</v>
      </c>
      <c r="K472" s="8" t="str">
        <f>VLOOKUP(VLOOKUP(D472,'Customer Details'!$A$1:$F$17,5,0),'Region INfo'!$A$1:$C$52,3,0)</f>
        <v xml:space="preserve">Northern </v>
      </c>
      <c r="L472" s="8" t="str">
        <f>INDEX(Product_List,MATCH($F472,'Product List'!$B$1:$B$299,0),MATCH('Order SUmmary'!L$2,'Product List'!$A$1:$E$1,0))</f>
        <v>Avery 492</v>
      </c>
      <c r="M472" s="8">
        <f>INDEX(Product_List,MATCH($F472,'Product List'!$B$1:$B$299,0),MATCH('Order SUmmary'!M$2,'Product List'!$A$1:$E$1,0))</f>
        <v>4685</v>
      </c>
      <c r="N472" s="8">
        <f>INDEX(Product_List,MATCH($F472,'Product List'!$B$1:$B$299,0),MATCH('Order SUmmary'!N$2,'Product List'!$A$1:$E$1,0))</f>
        <v>2036</v>
      </c>
      <c r="O472" s="8" t="str">
        <f>INDEX(Product_List,MATCH($F472,'Product List'!$B$1:$B$299,0),MATCH('Order SUmmary'!O$2,'Product List'!$A$1:$E$1,0))</f>
        <v>Labels</v>
      </c>
      <c r="P472" s="12">
        <f>HLOOKUP(C472,'Commission Criteria'!$A$2:$I$4,3,FALSE)</f>
        <v>4</v>
      </c>
      <c r="Q472" s="8">
        <f t="shared" si="22"/>
        <v>4072</v>
      </c>
      <c r="R472" s="8">
        <f t="shared" si="23"/>
        <v>9370</v>
      </c>
      <c r="S472" s="36">
        <f>VLOOKUP(R472,'Commission Criteria'!$L$3:$M$11,2,TRUE)</f>
        <v>0.03</v>
      </c>
      <c r="T472" s="36">
        <f>IF(P472&lt;5,VLOOKUP(R472,'Commission Criteria'!$L$3:$M$11,2,1),VLOOKUP('Order SUmmary'!R472,'Commission Criteria'!$P$3:$Q$11,2,1))</f>
        <v>0.03</v>
      </c>
      <c r="U472" s="36">
        <f>VLOOKUP(R472,IF(P472&lt;5,'Commission Criteria'!$L$3:$M$11,'Commission Criteria'!$P$3:$Q$11),2,1)</f>
        <v>0.03</v>
      </c>
      <c r="V472" s="8" t="s">
        <v>50</v>
      </c>
      <c r="W472" s="36">
        <f t="shared" ca="1" si="24"/>
        <v>0</v>
      </c>
      <c r="X472" s="8" t="str">
        <f>_xlfn.XLOOKUP(F472,'Product List'!$B$1:$B$299,'Product List'!$A$1:$A$299)</f>
        <v>Avery 492</v>
      </c>
      <c r="Y472" s="8"/>
      <c r="Z472" s="8" t="str" cm="1">
        <f t="array" ref="Z472:AD472">_xlfn.XLOOKUP(D472,'Customer Details'!$A$1:$A$17,'Customer Details'!$B$1:$F$17,"No such customer",0,1)</f>
        <v>GMR Infrastructure Ltd.</v>
      </c>
      <c r="AA472" s="8" t="str">
        <v>P.O. Box 4421</v>
      </c>
      <c r="AB472" s="8" t="str">
        <v>Naugatuck</v>
      </c>
      <c r="AC472" s="8" t="str">
        <v>CT</v>
      </c>
      <c r="AD472" s="8" t="str">
        <v>06770</v>
      </c>
    </row>
    <row r="473" spans="1:30">
      <c r="A473" s="8" t="s">
        <v>599</v>
      </c>
      <c r="B473" s="19">
        <v>41740</v>
      </c>
      <c r="C473" s="8" t="s">
        <v>54</v>
      </c>
      <c r="D473" s="8">
        <v>10009</v>
      </c>
      <c r="E473" s="8" t="str">
        <f>VLOOKUP($D473,'Customer Details'!$A$1:$F$17,4,FALSE)</f>
        <v>Salt Lake City</v>
      </c>
      <c r="F473" s="8" t="s">
        <v>309</v>
      </c>
      <c r="G473" s="8">
        <v>12</v>
      </c>
      <c r="H473" s="2" t="str">
        <f>VLOOKUP($D473,'Customer Details'!$A$1:$F$17,MATCH('Order SUmmary'!H$2,'Customer Details'!$A$1:$F$1,0),0)</f>
        <v>Godfrey Philips India Ltd.</v>
      </c>
      <c r="I473" s="2" t="str">
        <f>VLOOKUP($D473,'Customer Details'!$A$1:$F$17,4,0)</f>
        <v>Salt Lake City</v>
      </c>
      <c r="J473" s="2" t="str">
        <f>VLOOKUP($D473,'Customer Details'!$A$1:$F$17,6,0)</f>
        <v>84118</v>
      </c>
      <c r="K473" s="8" t="str">
        <f>VLOOKUP(VLOOKUP(D473,'Customer Details'!$A$1:$F$17,5,0),'Region INfo'!$A$1:$C$52,3,0)</f>
        <v xml:space="preserve">Pacific   </v>
      </c>
      <c r="L473" s="8" t="str">
        <f>INDEX(Product_List,MATCH($F473,'Product List'!$B$1:$B$299,0),MATCH('Order SUmmary'!L$2,'Product List'!$A$1:$E$1,0))</f>
        <v>Xerox 1996</v>
      </c>
      <c r="M473" s="8">
        <f>INDEX(Product_List,MATCH($F473,'Product List'!$B$1:$B$299,0),MATCH('Order SUmmary'!M$2,'Product List'!$A$1:$E$1,0))</f>
        <v>4220</v>
      </c>
      <c r="N473" s="8">
        <f>INDEX(Product_List,MATCH($F473,'Product List'!$B$1:$B$299,0),MATCH('Order SUmmary'!N$2,'Product List'!$A$1:$E$1,0))</f>
        <v>1635</v>
      </c>
      <c r="O473" s="8" t="str">
        <f>INDEX(Product_List,MATCH($F473,'Product List'!$B$1:$B$299,0),MATCH('Order SUmmary'!O$2,'Product List'!$A$1:$E$1,0))</f>
        <v>Paper</v>
      </c>
      <c r="P473" s="12">
        <f>HLOOKUP(C473,'Commission Criteria'!$A$2:$I$4,3,FALSE)</f>
        <v>3</v>
      </c>
      <c r="Q473" s="8">
        <f t="shared" si="22"/>
        <v>19620</v>
      </c>
      <c r="R473" s="8">
        <f t="shared" si="23"/>
        <v>50640</v>
      </c>
      <c r="S473" s="36">
        <f>VLOOKUP(R473,'Commission Criteria'!$L$3:$M$11,2,TRUE)</f>
        <v>0.05</v>
      </c>
      <c r="T473" s="36">
        <f>IF(P473&lt;5,VLOOKUP(R473,'Commission Criteria'!$L$3:$M$11,2,1),VLOOKUP('Order SUmmary'!R473,'Commission Criteria'!$P$3:$Q$11,2,1))</f>
        <v>0.05</v>
      </c>
      <c r="U473" s="36">
        <f>VLOOKUP(R473,IF(P473&lt;5,'Commission Criteria'!$L$3:$M$11,'Commission Criteria'!$P$3:$Q$11),2,1)</f>
        <v>0.05</v>
      </c>
      <c r="V473" s="8" t="s">
        <v>40</v>
      </c>
      <c r="W473" s="36">
        <f t="shared" ca="1" si="24"/>
        <v>0.04</v>
      </c>
      <c r="X473" s="8" t="str">
        <f>_xlfn.XLOOKUP(F473,'Product List'!$B$1:$B$299,'Product List'!$A$1:$A$299)</f>
        <v>Xerox 1996</v>
      </c>
      <c r="Y473" s="8"/>
      <c r="Z473" s="8" t="str" cm="1">
        <f t="array" ref="Z473:AD473">_xlfn.XLOOKUP(D473,'Customer Details'!$A$1:$A$17,'Customer Details'!$B$1:$F$17,"No such customer",0,1)</f>
        <v>Godfrey Philips India Ltd.</v>
      </c>
      <c r="AA473" s="8" t="str">
        <v>20501 Ania Ave #2</v>
      </c>
      <c r="AB473" s="8" t="str">
        <v>Salt Lake City</v>
      </c>
      <c r="AC473" s="8" t="str">
        <v>UT</v>
      </c>
      <c r="AD473" s="8" t="str">
        <v>84118</v>
      </c>
    </row>
    <row r="474" spans="1:30">
      <c r="A474" s="8" t="s">
        <v>601</v>
      </c>
      <c r="B474" s="19">
        <v>41741</v>
      </c>
      <c r="C474" s="8" t="s">
        <v>36</v>
      </c>
      <c r="D474" s="8">
        <v>10003</v>
      </c>
      <c r="E474" s="8" t="str">
        <f>VLOOKUP($D474,'Customer Details'!$A$1:$F$17,4,FALSE)</f>
        <v>Miami</v>
      </c>
      <c r="F474" s="8" t="s">
        <v>90</v>
      </c>
      <c r="G474" s="8">
        <v>12</v>
      </c>
      <c r="H474" s="2" t="str">
        <f>VLOOKUP($D474,'Customer Details'!$A$1:$F$17,MATCH('Order SUmmary'!H$2,'Customer Details'!$A$1:$F$1,0),0)</f>
        <v>Honeywell Automation</v>
      </c>
      <c r="I474" s="2" t="str">
        <f>VLOOKUP($D474,'Customer Details'!$A$1:$F$17,4,0)</f>
        <v>Miami</v>
      </c>
      <c r="J474" s="2" t="str">
        <f>VLOOKUP($D474,'Customer Details'!$A$1:$F$17,6,0)</f>
        <v>33732</v>
      </c>
      <c r="K474" s="8" t="str">
        <f>VLOOKUP(VLOOKUP(D474,'Customer Details'!$A$1:$F$17,5,0),'Region INfo'!$A$1:$C$52,3,0)</f>
        <v>Southern</v>
      </c>
      <c r="L474" s="8" t="str">
        <f>INDEX(Product_List,MATCH($F474,'Product List'!$B$1:$B$299,0),MATCH('Order SUmmary'!L$2,'Product List'!$A$1:$E$1,0))</f>
        <v>Xerox 1974</v>
      </c>
      <c r="M474" s="8">
        <f>INDEX(Product_List,MATCH($F474,'Product List'!$B$1:$B$299,0),MATCH('Order SUmmary'!M$2,'Product List'!$A$1:$E$1,0))</f>
        <v>2734</v>
      </c>
      <c r="N474" s="8">
        <f>INDEX(Product_List,MATCH($F474,'Product List'!$B$1:$B$299,0),MATCH('Order SUmmary'!N$2,'Product List'!$A$1:$E$1,0))</f>
        <v>1596</v>
      </c>
      <c r="O474" s="8" t="str">
        <f>INDEX(Product_List,MATCH($F474,'Product List'!$B$1:$B$299,0),MATCH('Order SUmmary'!O$2,'Product List'!$A$1:$E$1,0))</f>
        <v>Paper</v>
      </c>
      <c r="P474" s="12">
        <f>HLOOKUP(C474,'Commission Criteria'!$A$2:$I$4,3,FALSE)</f>
        <v>6</v>
      </c>
      <c r="Q474" s="8">
        <f t="shared" si="22"/>
        <v>19152</v>
      </c>
      <c r="R474" s="8">
        <f t="shared" si="23"/>
        <v>32808</v>
      </c>
      <c r="S474" s="36">
        <f>VLOOKUP(R474,'Commission Criteria'!$L$3:$M$11,2,TRUE)</f>
        <v>0.05</v>
      </c>
      <c r="T474" s="36">
        <f>IF(P474&lt;5,VLOOKUP(R474,'Commission Criteria'!$L$3:$M$11,2,1),VLOOKUP('Order SUmmary'!R474,'Commission Criteria'!$P$3:$Q$11,2,1))</f>
        <v>0.04</v>
      </c>
      <c r="U474" s="36">
        <f>VLOOKUP(R474,IF(P474&lt;5,'Commission Criteria'!$L$3:$M$11,'Commission Criteria'!$P$3:$Q$11),2,1)</f>
        <v>0.04</v>
      </c>
      <c r="V474" s="8" t="s">
        <v>35</v>
      </c>
      <c r="W474" s="36">
        <f t="shared" ca="1" si="24"/>
        <v>0</v>
      </c>
      <c r="X474" s="8" t="str">
        <f>_xlfn.XLOOKUP(F474,'Product List'!$B$1:$B$299,'Product List'!$A$1:$A$299)</f>
        <v>Xerox 1974</v>
      </c>
      <c r="Y474" s="8"/>
      <c r="Z474" s="8" t="str" cm="1">
        <f t="array" ref="Z474:AD474">_xlfn.XLOOKUP(D474,'Customer Details'!$A$1:$A$17,'Customer Details'!$B$1:$F$17,"No such customer",0,1)</f>
        <v>Honeywell Automation</v>
      </c>
      <c r="AA474" s="8" t="str">
        <v>1272 Harbor Road</v>
      </c>
      <c r="AB474" s="8" t="str">
        <v>Miami</v>
      </c>
      <c r="AC474" s="8" t="str">
        <v>FL</v>
      </c>
      <c r="AD474" s="8" t="str">
        <v>33732</v>
      </c>
    </row>
    <row r="475" spans="1:30">
      <c r="A475" s="8" t="s">
        <v>602</v>
      </c>
      <c r="B475" s="19">
        <v>41742</v>
      </c>
      <c r="C475" s="8" t="s">
        <v>66</v>
      </c>
      <c r="D475" s="8">
        <v>10011</v>
      </c>
      <c r="E475" s="8" t="str">
        <f>VLOOKUP($D475,'Customer Details'!$A$1:$F$17,4,FALSE)</f>
        <v>Olympia</v>
      </c>
      <c r="F475" s="8" t="s">
        <v>603</v>
      </c>
      <c r="G475" s="8">
        <v>1</v>
      </c>
      <c r="H475" s="2" t="str">
        <f>VLOOKUP($D475,'Customer Details'!$A$1:$F$17,MATCH('Order SUmmary'!H$2,'Customer Details'!$A$1:$F$1,0),0)</f>
        <v>Sonata Software</v>
      </c>
      <c r="I475" s="2" t="str">
        <f>VLOOKUP($D475,'Customer Details'!$A$1:$F$17,4,0)</f>
        <v>Olympia</v>
      </c>
      <c r="J475" s="2" t="str">
        <f>VLOOKUP($D475,'Customer Details'!$A$1:$F$17,6,0)</f>
        <v>98502</v>
      </c>
      <c r="K475" s="8" t="str">
        <f>VLOOKUP(VLOOKUP(D475,'Customer Details'!$A$1:$F$17,5,0),'Region INfo'!$A$1:$C$52,3,0)</f>
        <v xml:space="preserve">Pacific   </v>
      </c>
      <c r="L475" s="8" t="str">
        <f>INDEX(Product_List,MATCH($F475,'Product List'!$B$1:$B$299,0),MATCH('Order SUmmary'!L$2,'Product List'!$A$1:$E$1,0))</f>
        <v>Xerox 1945</v>
      </c>
      <c r="M475" s="8">
        <f>INDEX(Product_List,MATCH($F475,'Product List'!$B$1:$B$299,0),MATCH('Order SUmmary'!M$2,'Product List'!$A$1:$E$1,0))</f>
        <v>2941</v>
      </c>
      <c r="N475" s="8">
        <f>INDEX(Product_List,MATCH($F475,'Product List'!$B$1:$B$299,0),MATCH('Order SUmmary'!N$2,'Product List'!$A$1:$E$1,0))</f>
        <v>1567</v>
      </c>
      <c r="O475" s="8" t="str">
        <f>INDEX(Product_List,MATCH($F475,'Product List'!$B$1:$B$299,0),MATCH('Order SUmmary'!O$2,'Product List'!$A$1:$E$1,0))</f>
        <v>Paper</v>
      </c>
      <c r="P475" s="12">
        <f>HLOOKUP(C475,'Commission Criteria'!$A$2:$I$4,3,FALSE)</f>
        <v>5</v>
      </c>
      <c r="Q475" s="8">
        <f t="shared" si="22"/>
        <v>1567</v>
      </c>
      <c r="R475" s="8">
        <f t="shared" si="23"/>
        <v>2941</v>
      </c>
      <c r="S475" s="36">
        <f>VLOOKUP(R475,'Commission Criteria'!$L$3:$M$11,2,TRUE)</f>
        <v>0.01</v>
      </c>
      <c r="T475" s="36">
        <f>IF(P475&lt;5,VLOOKUP(R475,'Commission Criteria'!$L$3:$M$11,2,1),VLOOKUP('Order SUmmary'!R475,'Commission Criteria'!$P$3:$Q$11,2,1))</f>
        <v>0.02</v>
      </c>
      <c r="U475" s="36">
        <f>VLOOKUP(R475,IF(P475&lt;5,'Commission Criteria'!$L$3:$M$11,'Commission Criteria'!$P$3:$Q$11),2,1)</f>
        <v>0.02</v>
      </c>
      <c r="V475" s="8" t="s">
        <v>35</v>
      </c>
      <c r="W475" s="36">
        <f t="shared" ca="1" si="24"/>
        <v>0.02</v>
      </c>
      <c r="X475" s="8" t="str">
        <f>_xlfn.XLOOKUP(F475,'Product List'!$B$1:$B$299,'Product List'!$A$1:$A$299)</f>
        <v>Xerox 1945</v>
      </c>
      <c r="Y475" s="8"/>
      <c r="Z475" s="8" t="str" cm="1">
        <f t="array" ref="Z475:AD475">_xlfn.XLOOKUP(D475,'Customer Details'!$A$1:$A$17,'Customer Details'!$B$1:$F$17,"No such customer",0,1)</f>
        <v>Sonata Software</v>
      </c>
      <c r="AA475" s="8" t="str">
        <v>1331 Kimberly Dr.</v>
      </c>
      <c r="AB475" s="8" t="str">
        <v>Olympia</v>
      </c>
      <c r="AC475" s="8" t="str">
        <v>WA</v>
      </c>
      <c r="AD475" s="8" t="str">
        <v>98502</v>
      </c>
    </row>
    <row r="476" spans="1:30">
      <c r="A476" s="8" t="s">
        <v>602</v>
      </c>
      <c r="B476" s="19">
        <v>41742</v>
      </c>
      <c r="C476" s="8" t="s">
        <v>51</v>
      </c>
      <c r="D476" s="8">
        <v>10009</v>
      </c>
      <c r="E476" s="8" t="str">
        <f>VLOOKUP($D476,'Customer Details'!$A$1:$F$17,4,FALSE)</f>
        <v>Salt Lake City</v>
      </c>
      <c r="F476" s="8" t="s">
        <v>390</v>
      </c>
      <c r="G476" s="8">
        <v>2</v>
      </c>
      <c r="H476" s="2" t="str">
        <f>VLOOKUP($D476,'Customer Details'!$A$1:$F$17,MATCH('Order SUmmary'!H$2,'Customer Details'!$A$1:$F$1,0),0)</f>
        <v>Godfrey Philips India Ltd.</v>
      </c>
      <c r="I476" s="2" t="str">
        <f>VLOOKUP($D476,'Customer Details'!$A$1:$F$17,4,0)</f>
        <v>Salt Lake City</v>
      </c>
      <c r="J476" s="2" t="str">
        <f>VLOOKUP($D476,'Customer Details'!$A$1:$F$17,6,0)</f>
        <v>84118</v>
      </c>
      <c r="K476" s="8" t="str">
        <f>VLOOKUP(VLOOKUP(D476,'Customer Details'!$A$1:$F$17,5,0),'Region INfo'!$A$1:$C$52,3,0)</f>
        <v xml:space="preserve">Pacific   </v>
      </c>
      <c r="L476" s="8" t="str">
        <f>INDEX(Product_List,MATCH($F476,'Product List'!$B$1:$B$299,0),MATCH('Order SUmmary'!L$2,'Product List'!$A$1:$E$1,0))</f>
        <v>Avery 502</v>
      </c>
      <c r="M476" s="8">
        <f>INDEX(Product_List,MATCH($F476,'Product List'!$B$1:$B$299,0),MATCH('Order SUmmary'!M$2,'Product List'!$A$1:$E$1,0))</f>
        <v>2645</v>
      </c>
      <c r="N476" s="8">
        <f>INDEX(Product_List,MATCH($F476,'Product List'!$B$1:$B$299,0),MATCH('Order SUmmary'!N$2,'Product List'!$A$1:$E$1,0))</f>
        <v>1547</v>
      </c>
      <c r="O476" s="8" t="str">
        <f>INDEX(Product_List,MATCH($F476,'Product List'!$B$1:$B$299,0),MATCH('Order SUmmary'!O$2,'Product List'!$A$1:$E$1,0))</f>
        <v>Labels</v>
      </c>
      <c r="P476" s="12">
        <f>HLOOKUP(C476,'Commission Criteria'!$A$2:$I$4,3,FALSE)</f>
        <v>10</v>
      </c>
      <c r="Q476" s="8">
        <f t="shared" si="22"/>
        <v>3094</v>
      </c>
      <c r="R476" s="8">
        <f t="shared" si="23"/>
        <v>5290</v>
      </c>
      <c r="S476" s="36">
        <f>VLOOKUP(R476,'Commission Criteria'!$L$3:$M$11,2,TRUE)</f>
        <v>0.03</v>
      </c>
      <c r="T476" s="36">
        <f>IF(P476&lt;5,VLOOKUP(R476,'Commission Criteria'!$L$3:$M$11,2,1),VLOOKUP('Order SUmmary'!R476,'Commission Criteria'!$P$3:$Q$11,2,1))</f>
        <v>0.02</v>
      </c>
      <c r="U476" s="36">
        <f>VLOOKUP(R476,IF(P476&lt;5,'Commission Criteria'!$L$3:$M$11,'Commission Criteria'!$P$3:$Q$11),2,1)</f>
        <v>0.02</v>
      </c>
      <c r="V476" s="8" t="s">
        <v>43</v>
      </c>
      <c r="W476" s="36">
        <f t="shared" ca="1" si="24"/>
        <v>0.05</v>
      </c>
      <c r="X476" s="8" t="str">
        <f>_xlfn.XLOOKUP(F476,'Product List'!$B$1:$B$299,'Product List'!$A$1:$A$299)</f>
        <v>Avery 502</v>
      </c>
      <c r="Y476" s="8"/>
      <c r="Z476" s="8" t="str" cm="1">
        <f t="array" ref="Z476:AD476">_xlfn.XLOOKUP(D476,'Customer Details'!$A$1:$A$17,'Customer Details'!$B$1:$F$17,"No such customer",0,1)</f>
        <v>Godfrey Philips India Ltd.</v>
      </c>
      <c r="AA476" s="8" t="str">
        <v>20501 Ania Ave #2</v>
      </c>
      <c r="AB476" s="8" t="str">
        <v>Salt Lake City</v>
      </c>
      <c r="AC476" s="8" t="str">
        <v>UT</v>
      </c>
      <c r="AD476" s="8" t="str">
        <v>84118</v>
      </c>
    </row>
    <row r="477" spans="1:30">
      <c r="A477" s="8" t="s">
        <v>604</v>
      </c>
      <c r="B477" s="19">
        <v>41743</v>
      </c>
      <c r="C477" s="8" t="s">
        <v>51</v>
      </c>
      <c r="D477" s="8">
        <v>10013</v>
      </c>
      <c r="E477" s="8" t="str">
        <f>VLOOKUP($D477,'Customer Details'!$A$1:$F$17,4,FALSE)</f>
        <v>Naugatuck</v>
      </c>
      <c r="F477" s="8" t="s">
        <v>605</v>
      </c>
      <c r="G477" s="8">
        <v>1</v>
      </c>
      <c r="H477" s="2" t="str">
        <f>VLOOKUP($D477,'Customer Details'!$A$1:$F$17,MATCH('Order SUmmary'!H$2,'Customer Details'!$A$1:$F$1,0),0)</f>
        <v>GMR Infrastructure Ltd.</v>
      </c>
      <c r="I477" s="2" t="str">
        <f>VLOOKUP($D477,'Customer Details'!$A$1:$F$17,4,0)</f>
        <v>Naugatuck</v>
      </c>
      <c r="J477" s="2" t="str">
        <f>VLOOKUP($D477,'Customer Details'!$A$1:$F$17,6,0)</f>
        <v>06770</v>
      </c>
      <c r="K477" s="8" t="str">
        <f>VLOOKUP(VLOOKUP(D477,'Customer Details'!$A$1:$F$17,5,0),'Region INfo'!$A$1:$C$52,3,0)</f>
        <v xml:space="preserve">Northern </v>
      </c>
      <c r="L477" s="8" t="str">
        <f>INDEX(Product_List,MATCH($F477,'Product List'!$B$1:$B$299,0),MATCH('Order SUmmary'!L$2,'Product List'!$A$1:$E$1,0))</f>
        <v>Pyle PMP37LED</v>
      </c>
      <c r="M477" s="8">
        <f>INDEX(Product_List,MATCH($F477,'Product List'!$B$1:$B$299,0),MATCH('Order SUmmary'!M$2,'Product List'!$A$1:$E$1,0))</f>
        <v>2808</v>
      </c>
      <c r="N477" s="8">
        <f>INDEX(Product_List,MATCH($F477,'Product List'!$B$1:$B$299,0),MATCH('Order SUmmary'!N$2,'Product List'!$A$1:$E$1,0))</f>
        <v>1759</v>
      </c>
      <c r="O477" s="8" t="str">
        <f>INDEX(Product_List,MATCH($F477,'Product List'!$B$1:$B$299,0),MATCH('Order SUmmary'!O$2,'Product List'!$A$1:$E$1,0))</f>
        <v>Phones</v>
      </c>
      <c r="P477" s="12">
        <f>HLOOKUP(C477,'Commission Criteria'!$A$2:$I$4,3,FALSE)</f>
        <v>10</v>
      </c>
      <c r="Q477" s="8">
        <f t="shared" si="22"/>
        <v>1759</v>
      </c>
      <c r="R477" s="8">
        <f t="shared" si="23"/>
        <v>2808</v>
      </c>
      <c r="S477" s="36">
        <f>VLOOKUP(R477,'Commission Criteria'!$L$3:$M$11,2,TRUE)</f>
        <v>0.01</v>
      </c>
      <c r="T477" s="36">
        <f>IF(P477&lt;5,VLOOKUP(R477,'Commission Criteria'!$L$3:$M$11,2,1),VLOOKUP('Order SUmmary'!R477,'Commission Criteria'!$P$3:$Q$11,2,1))</f>
        <v>0.02</v>
      </c>
      <c r="U477" s="36">
        <f>VLOOKUP(R477,IF(P477&lt;5,'Commission Criteria'!$L$3:$M$11,'Commission Criteria'!$P$3:$Q$11),2,1)</f>
        <v>0.02</v>
      </c>
      <c r="V477" s="8" t="s">
        <v>40</v>
      </c>
      <c r="W477" s="36">
        <f t="shared" ca="1" si="24"/>
        <v>0.04</v>
      </c>
      <c r="X477" s="8" t="str">
        <f>_xlfn.XLOOKUP(F477,'Product List'!$B$1:$B$299,'Product List'!$A$1:$A$299)</f>
        <v>Pyle PMP37LED</v>
      </c>
      <c r="Y477" s="8"/>
      <c r="Z477" s="8" t="str" cm="1">
        <f t="array" ref="Z477:AD477">_xlfn.XLOOKUP(D477,'Customer Details'!$A$1:$A$17,'Customer Details'!$B$1:$F$17,"No such customer",0,1)</f>
        <v>GMR Infrastructure Ltd.</v>
      </c>
      <c r="AA477" s="8" t="str">
        <v>P.O. Box 4421</v>
      </c>
      <c r="AB477" s="8" t="str">
        <v>Naugatuck</v>
      </c>
      <c r="AC477" s="8" t="str">
        <v>CT</v>
      </c>
      <c r="AD477" s="8" t="str">
        <v>06770</v>
      </c>
    </row>
    <row r="478" spans="1:30">
      <c r="A478" s="8" t="s">
        <v>606</v>
      </c>
      <c r="B478" s="19">
        <v>41743</v>
      </c>
      <c r="C478" s="8" t="s">
        <v>54</v>
      </c>
      <c r="D478" s="8">
        <v>10010</v>
      </c>
      <c r="E478" s="8" t="str">
        <f>VLOOKUP($D478,'Customer Details'!$A$1:$F$17,4,FALSE)</f>
        <v>Tracy</v>
      </c>
      <c r="F478" s="8" t="s">
        <v>592</v>
      </c>
      <c r="G478" s="8">
        <v>3</v>
      </c>
      <c r="H478" s="2" t="str">
        <f>VLOOKUP($D478,'Customer Details'!$A$1:$F$17,MATCH('Order SUmmary'!H$2,'Customer Details'!$A$1:$F$1,0),0)</f>
        <v>Suzlon Energy Ltd.</v>
      </c>
      <c r="I478" s="2" t="str">
        <f>VLOOKUP($D478,'Customer Details'!$A$1:$F$17,4,0)</f>
        <v>Tracy</v>
      </c>
      <c r="J478" s="2" t="str">
        <f>VLOOKUP($D478,'Customer Details'!$A$1:$F$17,6,0)</f>
        <v>95376</v>
      </c>
      <c r="K478" s="8" t="str">
        <f>VLOOKUP(VLOOKUP(D478,'Customer Details'!$A$1:$F$17,5,0),'Region INfo'!$A$1:$C$52,3,0)</f>
        <v xml:space="preserve">Pacific   </v>
      </c>
      <c r="L478" s="8" t="str">
        <f>INDEX(Product_List,MATCH($F478,'Product List'!$B$1:$B$299,0),MATCH('Order SUmmary'!L$2,'Product List'!$A$1:$E$1,0))</f>
        <v>Avery 5</v>
      </c>
      <c r="M478" s="8">
        <f>INDEX(Product_List,MATCH($F478,'Product List'!$B$1:$B$299,0),MATCH('Order SUmmary'!M$2,'Product List'!$A$1:$E$1,0))</f>
        <v>3388</v>
      </c>
      <c r="N478" s="8">
        <f>INDEX(Product_List,MATCH($F478,'Product List'!$B$1:$B$299,0),MATCH('Order SUmmary'!N$2,'Product List'!$A$1:$E$1,0))</f>
        <v>1454</v>
      </c>
      <c r="O478" s="8" t="str">
        <f>INDEX(Product_List,MATCH($F478,'Product List'!$B$1:$B$299,0),MATCH('Order SUmmary'!O$2,'Product List'!$A$1:$E$1,0))</f>
        <v>Labels</v>
      </c>
      <c r="P478" s="12">
        <f>HLOOKUP(C478,'Commission Criteria'!$A$2:$I$4,3,FALSE)</f>
        <v>3</v>
      </c>
      <c r="Q478" s="8">
        <f t="shared" si="22"/>
        <v>4362</v>
      </c>
      <c r="R478" s="8">
        <f t="shared" si="23"/>
        <v>10164</v>
      </c>
      <c r="S478" s="36">
        <f>VLOOKUP(R478,'Commission Criteria'!$L$3:$M$11,2,TRUE)</f>
        <v>0.03</v>
      </c>
      <c r="T478" s="36">
        <f>IF(P478&lt;5,VLOOKUP(R478,'Commission Criteria'!$L$3:$M$11,2,1),VLOOKUP('Order SUmmary'!R478,'Commission Criteria'!$P$3:$Q$11,2,1))</f>
        <v>0.03</v>
      </c>
      <c r="U478" s="36">
        <f>VLOOKUP(R478,IF(P478&lt;5,'Commission Criteria'!$L$3:$M$11,'Commission Criteria'!$P$3:$Q$11),2,1)</f>
        <v>0.03</v>
      </c>
      <c r="V478" s="8" t="s">
        <v>50</v>
      </c>
      <c r="W478" s="36">
        <f t="shared" ca="1" si="24"/>
        <v>0.04</v>
      </c>
      <c r="X478" s="8" t="str">
        <f>_xlfn.XLOOKUP(F478,'Product List'!$B$1:$B$299,'Product List'!$A$1:$A$299)</f>
        <v>Avery 5</v>
      </c>
      <c r="Y478" s="8"/>
      <c r="Z478" s="8" t="str" cm="1">
        <f t="array" ref="Z478:AD478">_xlfn.XLOOKUP(D478,'Customer Details'!$A$1:$A$17,'Customer Details'!$B$1:$F$17,"No such customer",0,1)</f>
        <v>Suzlon Energy Ltd.</v>
      </c>
      <c r="AA478" s="8" t="str">
        <v>501 Marsh Trail Circle</v>
      </c>
      <c r="AB478" s="8" t="str">
        <v>Tracy</v>
      </c>
      <c r="AC478" s="8" t="str">
        <v>CA</v>
      </c>
      <c r="AD478" s="8" t="str">
        <v>95376</v>
      </c>
    </row>
    <row r="479" spans="1:30">
      <c r="A479" s="8" t="s">
        <v>607</v>
      </c>
      <c r="B479" s="19">
        <v>41743</v>
      </c>
      <c r="C479" s="8" t="s">
        <v>44</v>
      </c>
      <c r="D479" s="8">
        <v>10002</v>
      </c>
      <c r="E479" s="8" t="str">
        <f>VLOOKUP($D479,'Customer Details'!$A$1:$F$17,4,FALSE)</f>
        <v>Omaha</v>
      </c>
      <c r="F479" s="8" t="s">
        <v>184</v>
      </c>
      <c r="G479" s="8">
        <v>3</v>
      </c>
      <c r="H479" s="2" t="str">
        <f>VLOOKUP($D479,'Customer Details'!$A$1:$F$17,MATCH('Order SUmmary'!H$2,'Customer Details'!$A$1:$F$1,0),0)</f>
        <v>Elder Pharmaceuticals</v>
      </c>
      <c r="I479" s="2" t="str">
        <f>VLOOKUP($D479,'Customer Details'!$A$1:$F$17,4,0)</f>
        <v>Omaha</v>
      </c>
      <c r="J479" s="2" t="str">
        <f>VLOOKUP($D479,'Customer Details'!$A$1:$F$17,6,0)</f>
        <v>68127</v>
      </c>
      <c r="K479" s="8" t="str">
        <f>VLOOKUP(VLOOKUP(D479,'Customer Details'!$A$1:$F$17,5,0),'Region INfo'!$A$1:$C$52,3,0)</f>
        <v>Western</v>
      </c>
      <c r="L479" s="8" t="str">
        <f>INDEX(Product_List,MATCH($F479,'Product List'!$B$1:$B$299,0),MATCH('Order SUmmary'!L$2,'Product List'!$A$1:$E$1,0))</f>
        <v>Xerox 1983</v>
      </c>
      <c r="M479" s="8">
        <f>INDEX(Product_List,MATCH($F479,'Product List'!$B$1:$B$299,0),MATCH('Order SUmmary'!M$2,'Product List'!$A$1:$E$1,0))</f>
        <v>3514</v>
      </c>
      <c r="N479" s="8">
        <f>INDEX(Product_List,MATCH($F479,'Product List'!$B$1:$B$299,0),MATCH('Order SUmmary'!N$2,'Product List'!$A$1:$E$1,0))</f>
        <v>1257</v>
      </c>
      <c r="O479" s="8" t="str">
        <f>INDEX(Product_List,MATCH($F479,'Product List'!$B$1:$B$299,0),MATCH('Order SUmmary'!O$2,'Product List'!$A$1:$E$1,0))</f>
        <v>Paper</v>
      </c>
      <c r="P479" s="12">
        <f>HLOOKUP(C479,'Commission Criteria'!$A$2:$I$4,3,FALSE)</f>
        <v>4</v>
      </c>
      <c r="Q479" s="8">
        <f t="shared" si="22"/>
        <v>3771</v>
      </c>
      <c r="R479" s="8">
        <f t="shared" si="23"/>
        <v>10542</v>
      </c>
      <c r="S479" s="36">
        <f>VLOOKUP(R479,'Commission Criteria'!$L$3:$M$11,2,TRUE)</f>
        <v>0.03</v>
      </c>
      <c r="T479" s="36">
        <f>IF(P479&lt;5,VLOOKUP(R479,'Commission Criteria'!$L$3:$M$11,2,1),VLOOKUP('Order SUmmary'!R479,'Commission Criteria'!$P$3:$Q$11,2,1))</f>
        <v>0.03</v>
      </c>
      <c r="U479" s="36">
        <f>VLOOKUP(R479,IF(P479&lt;5,'Commission Criteria'!$L$3:$M$11,'Commission Criteria'!$P$3:$Q$11),2,1)</f>
        <v>0.03</v>
      </c>
      <c r="V479" s="8" t="s">
        <v>29</v>
      </c>
      <c r="W479" s="36">
        <f t="shared" ca="1" si="24"/>
        <v>0.02</v>
      </c>
      <c r="X479" s="8" t="str">
        <f>_xlfn.XLOOKUP(F479,'Product List'!$B$1:$B$299,'Product List'!$A$1:$A$299)</f>
        <v>Xerox 1983</v>
      </c>
      <c r="Y479" s="8"/>
      <c r="Z479" s="8" t="str" cm="1">
        <f t="array" ref="Z479:AD479">_xlfn.XLOOKUP(D479,'Customer Details'!$A$1:$A$17,'Customer Details'!$B$1:$F$17,"No such customer",0,1)</f>
        <v>Elder Pharmaceuticals</v>
      </c>
      <c r="AA479" s="8" t="str">
        <v>57 Neriba Cres</v>
      </c>
      <c r="AB479" s="8" t="str">
        <v>Omaha</v>
      </c>
      <c r="AC479" s="8" t="str">
        <v>NE</v>
      </c>
      <c r="AD479" s="8" t="str">
        <v>68127</v>
      </c>
    </row>
    <row r="480" spans="1:30">
      <c r="A480" s="8" t="s">
        <v>608</v>
      </c>
      <c r="B480" s="19">
        <v>41744</v>
      </c>
      <c r="C480" s="8" t="s">
        <v>46</v>
      </c>
      <c r="D480" s="8">
        <v>10007</v>
      </c>
      <c r="E480" s="8" t="str">
        <f>VLOOKUP($D480,'Customer Details'!$A$1:$F$17,4,FALSE)</f>
        <v>Richmond</v>
      </c>
      <c r="F480" s="8" t="s">
        <v>348</v>
      </c>
      <c r="G480" s="8">
        <v>1</v>
      </c>
      <c r="H480" s="2" t="str">
        <f>VLOOKUP($D480,'Customer Details'!$A$1:$F$17,MATCH('Order SUmmary'!H$2,'Customer Details'!$A$1:$F$1,0),0)</f>
        <v>GHCL Ltd.</v>
      </c>
      <c r="I480" s="2" t="str">
        <f>VLOOKUP($D480,'Customer Details'!$A$1:$F$17,4,0)</f>
        <v>Richmond</v>
      </c>
      <c r="J480" s="2" t="str">
        <f>VLOOKUP($D480,'Customer Details'!$A$1:$F$17,6,0)</f>
        <v>94805</v>
      </c>
      <c r="K480" s="8" t="str">
        <f>VLOOKUP(VLOOKUP(D480,'Customer Details'!$A$1:$F$17,5,0),'Region INfo'!$A$1:$C$52,3,0)</f>
        <v xml:space="preserve">Pacific   </v>
      </c>
      <c r="L480" s="8" t="str">
        <f>INDEX(Product_List,MATCH($F480,'Product List'!$B$1:$B$299,0),MATCH('Order SUmmary'!L$2,'Product List'!$A$1:$E$1,0))</f>
        <v>Avery 512</v>
      </c>
      <c r="M480" s="8">
        <f>INDEX(Product_List,MATCH($F480,'Product List'!$B$1:$B$299,0),MATCH('Order SUmmary'!M$2,'Product List'!$A$1:$E$1,0))</f>
        <v>3507</v>
      </c>
      <c r="N480" s="8">
        <f>INDEX(Product_List,MATCH($F480,'Product List'!$B$1:$B$299,0),MATCH('Order SUmmary'!N$2,'Product List'!$A$1:$E$1,0))</f>
        <v>1643</v>
      </c>
      <c r="O480" s="8" t="str">
        <f>INDEX(Product_List,MATCH($F480,'Product List'!$B$1:$B$299,0),MATCH('Order SUmmary'!O$2,'Product List'!$A$1:$E$1,0))</f>
        <v>Labels</v>
      </c>
      <c r="P480" s="12">
        <f>HLOOKUP(C480,'Commission Criteria'!$A$2:$I$4,3,FALSE)</f>
        <v>8</v>
      </c>
      <c r="Q480" s="8">
        <f t="shared" si="22"/>
        <v>1643</v>
      </c>
      <c r="R480" s="8">
        <f t="shared" si="23"/>
        <v>3507</v>
      </c>
      <c r="S480" s="36">
        <f>VLOOKUP(R480,'Commission Criteria'!$L$3:$M$11,2,TRUE)</f>
        <v>0.01</v>
      </c>
      <c r="T480" s="36">
        <f>IF(P480&lt;5,VLOOKUP(R480,'Commission Criteria'!$L$3:$M$11,2,1),VLOOKUP('Order SUmmary'!R480,'Commission Criteria'!$P$3:$Q$11,2,1))</f>
        <v>0.02</v>
      </c>
      <c r="U480" s="36">
        <f>VLOOKUP(R480,IF(P480&lt;5,'Commission Criteria'!$L$3:$M$11,'Commission Criteria'!$P$3:$Q$11),2,1)</f>
        <v>0.02</v>
      </c>
      <c r="V480" s="8" t="s">
        <v>35</v>
      </c>
      <c r="W480" s="36">
        <f t="shared" ca="1" si="24"/>
        <v>0.02</v>
      </c>
      <c r="X480" s="8" t="str">
        <f>_xlfn.XLOOKUP(F480,'Product List'!$B$1:$B$299,'Product List'!$A$1:$A$299)</f>
        <v>Avery 512</v>
      </c>
      <c r="Y480" s="8"/>
      <c r="Z480" s="8" t="str" cm="1">
        <f t="array" ref="Z480:AD480">_xlfn.XLOOKUP(D480,'Customer Details'!$A$1:$A$17,'Customer Details'!$B$1:$F$17,"No such customer",0,1)</f>
        <v>GHCL Ltd.</v>
      </c>
      <c r="AA480" s="8" t="str">
        <v>58 Clarence St</v>
      </c>
      <c r="AB480" s="8" t="str">
        <v>Richmond</v>
      </c>
      <c r="AC480" s="8" t="str">
        <v>CA</v>
      </c>
      <c r="AD480" s="8" t="str">
        <v>94805</v>
      </c>
    </row>
    <row r="481" spans="1:30">
      <c r="A481" s="8" t="s">
        <v>608</v>
      </c>
      <c r="B481" s="19">
        <v>41744</v>
      </c>
      <c r="C481" s="8" t="s">
        <v>54</v>
      </c>
      <c r="D481" s="8">
        <v>10006</v>
      </c>
      <c r="E481" s="8" t="str">
        <f>VLOOKUP($D481,'Customer Details'!$A$1:$F$17,4,FALSE)</f>
        <v>Midland</v>
      </c>
      <c r="F481" s="8" t="s">
        <v>588</v>
      </c>
      <c r="G481" s="8">
        <v>2</v>
      </c>
      <c r="H481" s="2" t="str">
        <f>VLOOKUP($D481,'Customer Details'!$A$1:$F$17,MATCH('Order SUmmary'!H$2,'Customer Details'!$A$1:$F$1,0),0)</f>
        <v>Supreme Ind</v>
      </c>
      <c r="I481" s="2" t="str">
        <f>VLOOKUP($D481,'Customer Details'!$A$1:$F$17,4,0)</f>
        <v>Midland</v>
      </c>
      <c r="J481" s="2" t="str">
        <f>VLOOKUP($D481,'Customer Details'!$A$1:$F$17,6,0)</f>
        <v>79706</v>
      </c>
      <c r="K481" s="8" t="str">
        <f>VLOOKUP(VLOOKUP(D481,'Customer Details'!$A$1:$F$17,5,0),'Region INfo'!$A$1:$C$52,3,0)</f>
        <v>Western</v>
      </c>
      <c r="L481" s="8" t="str">
        <f>INDEX(Product_List,MATCH($F481,'Product List'!$B$1:$B$299,0),MATCH('Order SUmmary'!L$2,'Product List'!$A$1:$E$1,0))</f>
        <v>Xerox 1947</v>
      </c>
      <c r="M481" s="8">
        <f>INDEX(Product_List,MATCH($F481,'Product List'!$B$1:$B$299,0),MATCH('Order SUmmary'!M$2,'Product List'!$A$1:$E$1,0))</f>
        <v>3994</v>
      </c>
      <c r="N481" s="8">
        <f>INDEX(Product_List,MATCH($F481,'Product List'!$B$1:$B$299,0),MATCH('Order SUmmary'!N$2,'Product List'!$A$1:$E$1,0))</f>
        <v>1799</v>
      </c>
      <c r="O481" s="8" t="str">
        <f>INDEX(Product_List,MATCH($F481,'Product List'!$B$1:$B$299,0),MATCH('Order SUmmary'!O$2,'Product List'!$A$1:$E$1,0))</f>
        <v>Paper</v>
      </c>
      <c r="P481" s="12">
        <f>HLOOKUP(C481,'Commission Criteria'!$A$2:$I$4,3,FALSE)</f>
        <v>3</v>
      </c>
      <c r="Q481" s="8">
        <f t="shared" si="22"/>
        <v>3598</v>
      </c>
      <c r="R481" s="8">
        <f t="shared" si="23"/>
        <v>7988</v>
      </c>
      <c r="S481" s="36">
        <f>VLOOKUP(R481,'Commission Criteria'!$L$3:$M$11,2,TRUE)</f>
        <v>0.03</v>
      </c>
      <c r="T481" s="36">
        <f>IF(P481&lt;5,VLOOKUP(R481,'Commission Criteria'!$L$3:$M$11,2,1),VLOOKUP('Order SUmmary'!R481,'Commission Criteria'!$P$3:$Q$11,2,1))</f>
        <v>0.03</v>
      </c>
      <c r="U481" s="36">
        <f>VLOOKUP(R481,IF(P481&lt;5,'Commission Criteria'!$L$3:$M$11,'Commission Criteria'!$P$3:$Q$11),2,1)</f>
        <v>0.03</v>
      </c>
      <c r="V481" s="8" t="s">
        <v>35</v>
      </c>
      <c r="W481" s="36">
        <f t="shared" ca="1" si="24"/>
        <v>0.05</v>
      </c>
      <c r="X481" s="8" t="str">
        <f>_xlfn.XLOOKUP(F481,'Product List'!$B$1:$B$299,'Product List'!$A$1:$A$299)</f>
        <v>Xerox 1947</v>
      </c>
      <c r="Y481" s="8"/>
      <c r="Z481" s="8" t="str" cm="1">
        <f t="array" ref="Z481:AD481">_xlfn.XLOOKUP(D481,'Customer Details'!$A$1:$A$17,'Customer Details'!$B$1:$F$17,"No such customer",0,1)</f>
        <v>Supreme Ind</v>
      </c>
      <c r="AA481" s="8" t="str">
        <v>P.O. Box 1367</v>
      </c>
      <c r="AB481" s="8" t="str">
        <v>Midland</v>
      </c>
      <c r="AC481" s="8" t="str">
        <v>TX</v>
      </c>
      <c r="AD481" s="8" t="str">
        <v>79706</v>
      </c>
    </row>
    <row r="482" spans="1:30">
      <c r="A482" s="8" t="s">
        <v>609</v>
      </c>
      <c r="B482" s="19">
        <v>41747</v>
      </c>
      <c r="C482" s="8" t="s">
        <v>33</v>
      </c>
      <c r="D482" s="8">
        <v>10001</v>
      </c>
      <c r="E482" s="8" t="str">
        <f>VLOOKUP($D482,'Customer Details'!$A$1:$F$17,4,FALSE)</f>
        <v>New York</v>
      </c>
      <c r="F482" s="8" t="s">
        <v>162</v>
      </c>
      <c r="G482" s="8">
        <v>1</v>
      </c>
      <c r="H482" s="2" t="str">
        <f>VLOOKUP($D482,'Customer Details'!$A$1:$F$17,MATCH('Order SUmmary'!H$2,'Customer Details'!$A$1:$F$1,0),0)</f>
        <v>Chambal Fertilisers and Chemicals Ltd.</v>
      </c>
      <c r="I482" s="2" t="str">
        <f>VLOOKUP($D482,'Customer Details'!$A$1:$F$17,4,0)</f>
        <v>New York</v>
      </c>
      <c r="J482" s="2" t="str">
        <f>VLOOKUP($D482,'Customer Details'!$A$1:$F$17,6,0)</f>
        <v>10025</v>
      </c>
      <c r="K482" s="8" t="str">
        <f>VLOOKUP(VLOOKUP(D482,'Customer Details'!$A$1:$F$17,5,0),'Region INfo'!$A$1:$C$52,3,0)</f>
        <v xml:space="preserve">Northern </v>
      </c>
      <c r="L482" s="8" t="str">
        <f>INDEX(Product_List,MATCH($F482,'Product List'!$B$1:$B$299,0),MATCH('Order SUmmary'!L$2,'Product List'!$A$1:$E$1,0))</f>
        <v>Avery 483</v>
      </c>
      <c r="M482" s="8">
        <f>INDEX(Product_List,MATCH($F482,'Product List'!$B$1:$B$299,0),MATCH('Order SUmmary'!M$2,'Product List'!$A$1:$E$1,0))</f>
        <v>3694</v>
      </c>
      <c r="N482" s="8">
        <f>INDEX(Product_List,MATCH($F482,'Product List'!$B$1:$B$299,0),MATCH('Order SUmmary'!N$2,'Product List'!$A$1:$E$1,0))</f>
        <v>1616</v>
      </c>
      <c r="O482" s="8" t="str">
        <f>INDEX(Product_List,MATCH($F482,'Product List'!$B$1:$B$299,0),MATCH('Order SUmmary'!O$2,'Product List'!$A$1:$E$1,0))</f>
        <v>Labels</v>
      </c>
      <c r="P482" s="12">
        <f>HLOOKUP(C482,'Commission Criteria'!$A$2:$I$4,3,FALSE)</f>
        <v>1</v>
      </c>
      <c r="Q482" s="8">
        <f t="shared" si="22"/>
        <v>1616</v>
      </c>
      <c r="R482" s="8">
        <f t="shared" si="23"/>
        <v>3694</v>
      </c>
      <c r="S482" s="36">
        <f>VLOOKUP(R482,'Commission Criteria'!$L$3:$M$11,2,TRUE)</f>
        <v>0.01</v>
      </c>
      <c r="T482" s="36">
        <f>IF(P482&lt;5,VLOOKUP(R482,'Commission Criteria'!$L$3:$M$11,2,1),VLOOKUP('Order SUmmary'!R482,'Commission Criteria'!$P$3:$Q$11,2,1))</f>
        <v>0.01</v>
      </c>
      <c r="U482" s="36">
        <f>VLOOKUP(R482,IF(P482&lt;5,'Commission Criteria'!$L$3:$M$11,'Commission Criteria'!$P$3:$Q$11),2,1)</f>
        <v>0.01</v>
      </c>
      <c r="V482" s="8" t="s">
        <v>50</v>
      </c>
      <c r="W482" s="36">
        <f t="shared" ca="1" si="24"/>
        <v>0.04</v>
      </c>
      <c r="X482" s="8" t="str">
        <f>_xlfn.XLOOKUP(F482,'Product List'!$B$1:$B$299,'Product List'!$A$1:$A$299)</f>
        <v>Avery 483</v>
      </c>
      <c r="Y482" s="8"/>
      <c r="Z482" s="8" t="str" cm="1">
        <f t="array" ref="Z482:AD482">_xlfn.XLOOKUP(D482,'Customer Details'!$A$1:$A$17,'Customer Details'!$B$1:$F$17,"No such customer",0,1)</f>
        <v>Chambal Fertilisers and Chemicals Ltd.</v>
      </c>
      <c r="AA482" s="8" t="str">
        <v>4951 Indiana Ave.</v>
      </c>
      <c r="AB482" s="8" t="str">
        <v>New York</v>
      </c>
      <c r="AC482" s="8" t="str">
        <v>NY</v>
      </c>
      <c r="AD482" s="8" t="str">
        <v>10025</v>
      </c>
    </row>
    <row r="483" spans="1:30">
      <c r="A483" s="8" t="s">
        <v>609</v>
      </c>
      <c r="B483" s="19">
        <v>41747</v>
      </c>
      <c r="C483" s="8" t="s">
        <v>27</v>
      </c>
      <c r="D483" s="8">
        <v>10013</v>
      </c>
      <c r="E483" s="8" t="str">
        <f>VLOOKUP($D483,'Customer Details'!$A$1:$F$17,4,FALSE)</f>
        <v>Naugatuck</v>
      </c>
      <c r="F483" s="8" t="s">
        <v>610</v>
      </c>
      <c r="G483" s="8">
        <v>1</v>
      </c>
      <c r="H483" s="2" t="str">
        <f>VLOOKUP($D483,'Customer Details'!$A$1:$F$17,MATCH('Order SUmmary'!H$2,'Customer Details'!$A$1:$F$1,0),0)</f>
        <v>GMR Infrastructure Ltd.</v>
      </c>
      <c r="I483" s="2" t="str">
        <f>VLOOKUP($D483,'Customer Details'!$A$1:$F$17,4,0)</f>
        <v>Naugatuck</v>
      </c>
      <c r="J483" s="2" t="str">
        <f>VLOOKUP($D483,'Customer Details'!$A$1:$F$17,6,0)</f>
        <v>06770</v>
      </c>
      <c r="K483" s="8" t="str">
        <f>VLOOKUP(VLOOKUP(D483,'Customer Details'!$A$1:$F$17,5,0),'Region INfo'!$A$1:$C$52,3,0)</f>
        <v xml:space="preserve">Northern </v>
      </c>
      <c r="L483" s="8" t="str">
        <f>INDEX(Product_List,MATCH($F483,'Product List'!$B$1:$B$299,0),MATCH('Order SUmmary'!L$2,'Product List'!$A$1:$E$1,0))</f>
        <v>Newell 311</v>
      </c>
      <c r="M483" s="8">
        <f>INDEX(Product_List,MATCH($F483,'Product List'!$B$1:$B$299,0),MATCH('Order SUmmary'!M$2,'Product List'!$A$1:$E$1,0))</f>
        <v>4689</v>
      </c>
      <c r="N483" s="8">
        <f>INDEX(Product_List,MATCH($F483,'Product List'!$B$1:$B$299,0),MATCH('Order SUmmary'!N$2,'Product List'!$A$1:$E$1,0))</f>
        <v>1796</v>
      </c>
      <c r="O483" s="8" t="str">
        <f>INDEX(Product_List,MATCH($F483,'Product List'!$B$1:$B$299,0),MATCH('Order SUmmary'!O$2,'Product List'!$A$1:$E$1,0))</f>
        <v>Art</v>
      </c>
      <c r="P483" s="12">
        <f>HLOOKUP(C483,'Commission Criteria'!$A$2:$I$4,3,FALSE)</f>
        <v>4</v>
      </c>
      <c r="Q483" s="8">
        <f t="shared" si="22"/>
        <v>1796</v>
      </c>
      <c r="R483" s="8">
        <f t="shared" si="23"/>
        <v>4689</v>
      </c>
      <c r="S483" s="36">
        <f>VLOOKUP(R483,'Commission Criteria'!$L$3:$M$11,2,TRUE)</f>
        <v>0.01</v>
      </c>
      <c r="T483" s="36">
        <f>IF(P483&lt;5,VLOOKUP(R483,'Commission Criteria'!$L$3:$M$11,2,1),VLOOKUP('Order SUmmary'!R483,'Commission Criteria'!$P$3:$Q$11,2,1))</f>
        <v>0.01</v>
      </c>
      <c r="U483" s="36">
        <f>VLOOKUP(R483,IF(P483&lt;5,'Commission Criteria'!$L$3:$M$11,'Commission Criteria'!$P$3:$Q$11),2,1)</f>
        <v>0.01</v>
      </c>
      <c r="V483" s="8" t="s">
        <v>43</v>
      </c>
      <c r="W483" s="36">
        <f t="shared" ca="1" si="24"/>
        <v>0.02</v>
      </c>
      <c r="X483" s="8" t="str">
        <f>_xlfn.XLOOKUP(F483,'Product List'!$B$1:$B$299,'Product List'!$A$1:$A$299)</f>
        <v>Newell 311</v>
      </c>
      <c r="Y483" s="8"/>
      <c r="Z483" s="8" t="str" cm="1">
        <f t="array" ref="Z483:AD483">_xlfn.XLOOKUP(D483,'Customer Details'!$A$1:$A$17,'Customer Details'!$B$1:$F$17,"No such customer",0,1)</f>
        <v>GMR Infrastructure Ltd.</v>
      </c>
      <c r="AA483" s="8" t="str">
        <v>P.O. Box 4421</v>
      </c>
      <c r="AB483" s="8" t="str">
        <v>Naugatuck</v>
      </c>
      <c r="AC483" s="8" t="str">
        <v>CT</v>
      </c>
      <c r="AD483" s="8" t="str">
        <v>06770</v>
      </c>
    </row>
    <row r="484" spans="1:30">
      <c r="A484" s="8" t="s">
        <v>609</v>
      </c>
      <c r="B484" s="19">
        <v>41747</v>
      </c>
      <c r="C484" s="8" t="s">
        <v>36</v>
      </c>
      <c r="D484" s="8">
        <v>10004</v>
      </c>
      <c r="E484" s="8" t="str">
        <f>VLOOKUP($D484,'Customer Details'!$A$1:$F$17,4,FALSE)</f>
        <v>New York</v>
      </c>
      <c r="F484" s="8" t="s">
        <v>510</v>
      </c>
      <c r="G484" s="8">
        <v>3</v>
      </c>
      <c r="H484" s="2" t="str">
        <f>VLOOKUP($D484,'Customer Details'!$A$1:$F$17,MATCH('Order SUmmary'!H$2,'Customer Details'!$A$1:$F$1,0),0)</f>
        <v>Lupin Ltd.</v>
      </c>
      <c r="I484" s="2" t="str">
        <f>VLOOKUP($D484,'Customer Details'!$A$1:$F$17,4,0)</f>
        <v>New York</v>
      </c>
      <c r="J484" s="2" t="str">
        <f>VLOOKUP($D484,'Customer Details'!$A$1:$F$17,6,0)</f>
        <v>10019</v>
      </c>
      <c r="K484" s="8" t="str">
        <f>VLOOKUP(VLOOKUP(D484,'Customer Details'!$A$1:$F$17,5,0),'Region INfo'!$A$1:$C$52,3,0)</f>
        <v xml:space="preserve">Northern </v>
      </c>
      <c r="L484" s="8" t="str">
        <f>INDEX(Product_List,MATCH($F484,'Product List'!$B$1:$B$299,0),MATCH('Order SUmmary'!L$2,'Product List'!$A$1:$E$1,0))</f>
        <v>Avery 507</v>
      </c>
      <c r="M484" s="8">
        <f>INDEX(Product_List,MATCH($F484,'Product List'!$B$1:$B$299,0),MATCH('Order SUmmary'!M$2,'Product List'!$A$1:$E$1,0))</f>
        <v>3473</v>
      </c>
      <c r="N484" s="8">
        <f>INDEX(Product_List,MATCH($F484,'Product List'!$B$1:$B$299,0),MATCH('Order SUmmary'!N$2,'Product List'!$A$1:$E$1,0))</f>
        <v>1493</v>
      </c>
      <c r="O484" s="8" t="str">
        <f>INDEX(Product_List,MATCH($F484,'Product List'!$B$1:$B$299,0),MATCH('Order SUmmary'!O$2,'Product List'!$A$1:$E$1,0))</f>
        <v>Labels</v>
      </c>
      <c r="P484" s="12">
        <f>HLOOKUP(C484,'Commission Criteria'!$A$2:$I$4,3,FALSE)</f>
        <v>6</v>
      </c>
      <c r="Q484" s="8">
        <f t="shared" si="22"/>
        <v>4479</v>
      </c>
      <c r="R484" s="8">
        <f t="shared" si="23"/>
        <v>10419</v>
      </c>
      <c r="S484" s="36">
        <f>VLOOKUP(R484,'Commission Criteria'!$L$3:$M$11,2,TRUE)</f>
        <v>0.03</v>
      </c>
      <c r="T484" s="36">
        <f>IF(P484&lt;5,VLOOKUP(R484,'Commission Criteria'!$L$3:$M$11,2,1),VLOOKUP('Order SUmmary'!R484,'Commission Criteria'!$P$3:$Q$11,2,1))</f>
        <v>0.02</v>
      </c>
      <c r="U484" s="36">
        <f>VLOOKUP(R484,IF(P484&lt;5,'Commission Criteria'!$L$3:$M$11,'Commission Criteria'!$P$3:$Q$11),2,1)</f>
        <v>0.02</v>
      </c>
      <c r="V484" s="8" t="s">
        <v>32</v>
      </c>
      <c r="W484" s="36">
        <f t="shared" ca="1" si="24"/>
        <v>0.04</v>
      </c>
      <c r="X484" s="8" t="str">
        <f>_xlfn.XLOOKUP(F484,'Product List'!$B$1:$B$299,'Product List'!$A$1:$A$299)</f>
        <v>Avery 507</v>
      </c>
      <c r="Y484" s="8"/>
      <c r="Z484" s="8" t="str" cm="1">
        <f t="array" ref="Z484:AD484">_xlfn.XLOOKUP(D484,'Customer Details'!$A$1:$A$17,'Customer Details'!$B$1:$F$17,"No such customer",0,1)</f>
        <v>Lupin Ltd.</v>
      </c>
      <c r="AA484" s="8" t="str">
        <v>Abbey Wood</v>
      </c>
      <c r="AB484" s="8" t="str">
        <v>New York</v>
      </c>
      <c r="AC484" s="8" t="str">
        <v>NY</v>
      </c>
      <c r="AD484" s="8" t="str">
        <v>10019</v>
      </c>
    </row>
    <row r="485" spans="1:30">
      <c r="A485" s="8" t="s">
        <v>611</v>
      </c>
      <c r="B485" s="19">
        <v>41749</v>
      </c>
      <c r="C485" s="8" t="s">
        <v>36</v>
      </c>
      <c r="D485" s="8">
        <v>10002</v>
      </c>
      <c r="E485" s="8" t="str">
        <f>VLOOKUP($D485,'Customer Details'!$A$1:$F$17,4,FALSE)</f>
        <v>Omaha</v>
      </c>
      <c r="F485" s="8" t="s">
        <v>515</v>
      </c>
      <c r="G485" s="8">
        <v>1</v>
      </c>
      <c r="H485" s="2" t="str">
        <f>VLOOKUP($D485,'Customer Details'!$A$1:$F$17,MATCH('Order SUmmary'!H$2,'Customer Details'!$A$1:$F$1,0),0)</f>
        <v>Elder Pharmaceuticals</v>
      </c>
      <c r="I485" s="2" t="str">
        <f>VLOOKUP($D485,'Customer Details'!$A$1:$F$17,4,0)</f>
        <v>Omaha</v>
      </c>
      <c r="J485" s="2" t="str">
        <f>VLOOKUP($D485,'Customer Details'!$A$1:$F$17,6,0)</f>
        <v>68127</v>
      </c>
      <c r="K485" s="8" t="str">
        <f>VLOOKUP(VLOOKUP(D485,'Customer Details'!$A$1:$F$17,5,0),'Region INfo'!$A$1:$C$52,3,0)</f>
        <v>Western</v>
      </c>
      <c r="L485" s="8" t="str">
        <f>INDEX(Product_List,MATCH($F485,'Product List'!$B$1:$B$299,0),MATCH('Order SUmmary'!L$2,'Product List'!$A$1:$E$1,0))</f>
        <v>Staple holder</v>
      </c>
      <c r="M485" s="8">
        <f>INDEX(Product_List,MATCH($F485,'Product List'!$B$1:$B$299,0),MATCH('Order SUmmary'!M$2,'Product List'!$A$1:$E$1,0))</f>
        <v>2500</v>
      </c>
      <c r="N485" s="8">
        <f>INDEX(Product_List,MATCH($F485,'Product List'!$B$1:$B$299,0),MATCH('Order SUmmary'!N$2,'Product List'!$A$1:$E$1,0))</f>
        <v>1914</v>
      </c>
      <c r="O485" s="8" t="str">
        <f>INDEX(Product_List,MATCH($F485,'Product List'!$B$1:$B$299,0),MATCH('Order SUmmary'!O$2,'Product List'!$A$1:$E$1,0))</f>
        <v>Appliances</v>
      </c>
      <c r="P485" s="12">
        <f>HLOOKUP(C485,'Commission Criteria'!$A$2:$I$4,3,FALSE)</f>
        <v>6</v>
      </c>
      <c r="Q485" s="8">
        <f t="shared" si="22"/>
        <v>1914</v>
      </c>
      <c r="R485" s="8">
        <f t="shared" si="23"/>
        <v>2500</v>
      </c>
      <c r="S485" s="36">
        <f>VLOOKUP(R485,'Commission Criteria'!$L$3:$M$11,2,TRUE)</f>
        <v>0.01</v>
      </c>
      <c r="T485" s="36">
        <f>IF(P485&lt;5,VLOOKUP(R485,'Commission Criteria'!$L$3:$M$11,2,1),VLOOKUP('Order SUmmary'!R485,'Commission Criteria'!$P$3:$Q$11,2,1))</f>
        <v>0.02</v>
      </c>
      <c r="U485" s="36">
        <f>VLOOKUP(R485,IF(P485&lt;5,'Commission Criteria'!$L$3:$M$11,'Commission Criteria'!$P$3:$Q$11),2,1)</f>
        <v>0.02</v>
      </c>
      <c r="V485" s="8" t="s">
        <v>35</v>
      </c>
      <c r="W485" s="36">
        <f t="shared" ca="1" si="24"/>
        <v>0.05</v>
      </c>
      <c r="X485" s="8" t="str">
        <f>_xlfn.XLOOKUP(F485,'Product List'!$B$1:$B$299,'Product List'!$A$1:$A$299)</f>
        <v>Staple holder</v>
      </c>
      <c r="Y485" s="8"/>
      <c r="Z485" s="8" t="str" cm="1">
        <f t="array" ref="Z485:AD485">_xlfn.XLOOKUP(D485,'Customer Details'!$A$1:$A$17,'Customer Details'!$B$1:$F$17,"No such customer",0,1)</f>
        <v>Elder Pharmaceuticals</v>
      </c>
      <c r="AA485" s="8" t="str">
        <v>57 Neriba Cres</v>
      </c>
      <c r="AB485" s="8" t="str">
        <v>Omaha</v>
      </c>
      <c r="AC485" s="8" t="str">
        <v>NE</v>
      </c>
      <c r="AD485" s="8" t="str">
        <v>68127</v>
      </c>
    </row>
    <row r="486" spans="1:30">
      <c r="A486" s="8" t="s">
        <v>612</v>
      </c>
      <c r="B486" s="19">
        <v>41749</v>
      </c>
      <c r="C486" s="8" t="s">
        <v>51</v>
      </c>
      <c r="D486" s="8">
        <v>10001</v>
      </c>
      <c r="E486" s="8" t="str">
        <f>VLOOKUP($D486,'Customer Details'!$A$1:$F$17,4,FALSE)</f>
        <v>New York</v>
      </c>
      <c r="F486" s="8" t="s">
        <v>164</v>
      </c>
      <c r="G486" s="8">
        <v>1</v>
      </c>
      <c r="H486" s="2" t="str">
        <f>VLOOKUP($D486,'Customer Details'!$A$1:$F$17,MATCH('Order SUmmary'!H$2,'Customer Details'!$A$1:$F$1,0),0)</f>
        <v>Chambal Fertilisers and Chemicals Ltd.</v>
      </c>
      <c r="I486" s="2" t="str">
        <f>VLOOKUP($D486,'Customer Details'!$A$1:$F$17,4,0)</f>
        <v>New York</v>
      </c>
      <c r="J486" s="2" t="str">
        <f>VLOOKUP($D486,'Customer Details'!$A$1:$F$17,6,0)</f>
        <v>10025</v>
      </c>
      <c r="K486" s="8" t="str">
        <f>VLOOKUP(VLOOKUP(D486,'Customer Details'!$A$1:$F$17,5,0),'Region INfo'!$A$1:$C$52,3,0)</f>
        <v xml:space="preserve">Northern </v>
      </c>
      <c r="L486" s="8" t="str">
        <f>INDEX(Product_List,MATCH($F486,'Product List'!$B$1:$B$299,0),MATCH('Order SUmmary'!L$2,'Product List'!$A$1:$E$1,0))</f>
        <v>Avery 52</v>
      </c>
      <c r="M486" s="8">
        <f>INDEX(Product_List,MATCH($F486,'Product List'!$B$1:$B$299,0),MATCH('Order SUmmary'!M$2,'Product List'!$A$1:$E$1,0))</f>
        <v>4744</v>
      </c>
      <c r="N486" s="8">
        <f>INDEX(Product_List,MATCH($F486,'Product List'!$B$1:$B$299,0),MATCH('Order SUmmary'!N$2,'Product List'!$A$1:$E$1,0))</f>
        <v>1465</v>
      </c>
      <c r="O486" s="8" t="str">
        <f>INDEX(Product_List,MATCH($F486,'Product List'!$B$1:$B$299,0),MATCH('Order SUmmary'!O$2,'Product List'!$A$1:$E$1,0))</f>
        <v>Labels</v>
      </c>
      <c r="P486" s="12">
        <f>HLOOKUP(C486,'Commission Criteria'!$A$2:$I$4,3,FALSE)</f>
        <v>10</v>
      </c>
      <c r="Q486" s="8">
        <f t="shared" si="22"/>
        <v>1465</v>
      </c>
      <c r="R486" s="8">
        <f t="shared" si="23"/>
        <v>4744</v>
      </c>
      <c r="S486" s="36">
        <f>VLOOKUP(R486,'Commission Criteria'!$L$3:$M$11,2,TRUE)</f>
        <v>0.01</v>
      </c>
      <c r="T486" s="36">
        <f>IF(P486&lt;5,VLOOKUP(R486,'Commission Criteria'!$L$3:$M$11,2,1),VLOOKUP('Order SUmmary'!R486,'Commission Criteria'!$P$3:$Q$11,2,1))</f>
        <v>0.02</v>
      </c>
      <c r="U486" s="36">
        <f>VLOOKUP(R486,IF(P486&lt;5,'Commission Criteria'!$L$3:$M$11,'Commission Criteria'!$P$3:$Q$11),2,1)</f>
        <v>0.02</v>
      </c>
      <c r="V486" s="8" t="s">
        <v>43</v>
      </c>
      <c r="W486" s="36">
        <f t="shared" ca="1" si="24"/>
        <v>0.05</v>
      </c>
      <c r="X486" s="8" t="str">
        <f>_xlfn.XLOOKUP(F486,'Product List'!$B$1:$B$299,'Product List'!$A$1:$A$299)</f>
        <v>Avery 52</v>
      </c>
      <c r="Y486" s="8"/>
      <c r="Z486" s="8" t="str" cm="1">
        <f t="array" ref="Z486:AD486">_xlfn.XLOOKUP(D486,'Customer Details'!$A$1:$A$17,'Customer Details'!$B$1:$F$17,"No such customer",0,1)</f>
        <v>Chambal Fertilisers and Chemicals Ltd.</v>
      </c>
      <c r="AA486" s="8" t="str">
        <v>4951 Indiana Ave.</v>
      </c>
      <c r="AB486" s="8" t="str">
        <v>New York</v>
      </c>
      <c r="AC486" s="8" t="str">
        <v>NY</v>
      </c>
      <c r="AD486" s="8" t="str">
        <v>10025</v>
      </c>
    </row>
    <row r="487" spans="1:30">
      <c r="A487" s="8" t="s">
        <v>611</v>
      </c>
      <c r="B487" s="19">
        <v>41749</v>
      </c>
      <c r="C487" s="8" t="s">
        <v>66</v>
      </c>
      <c r="D487" s="8">
        <v>10001</v>
      </c>
      <c r="E487" s="8" t="str">
        <f>VLOOKUP($D487,'Customer Details'!$A$1:$F$17,4,FALSE)</f>
        <v>New York</v>
      </c>
      <c r="F487" s="8" t="s">
        <v>613</v>
      </c>
      <c r="G487" s="8">
        <v>2</v>
      </c>
      <c r="H487" s="2" t="str">
        <f>VLOOKUP($D487,'Customer Details'!$A$1:$F$17,MATCH('Order SUmmary'!H$2,'Customer Details'!$A$1:$F$1,0),0)</f>
        <v>Chambal Fertilisers and Chemicals Ltd.</v>
      </c>
      <c r="I487" s="2" t="str">
        <f>VLOOKUP($D487,'Customer Details'!$A$1:$F$17,4,0)</f>
        <v>New York</v>
      </c>
      <c r="J487" s="2" t="str">
        <f>VLOOKUP($D487,'Customer Details'!$A$1:$F$17,6,0)</f>
        <v>10025</v>
      </c>
      <c r="K487" s="8" t="str">
        <f>VLOOKUP(VLOOKUP(D487,'Customer Details'!$A$1:$F$17,5,0),'Region INfo'!$A$1:$C$52,3,0)</f>
        <v xml:space="preserve">Northern </v>
      </c>
      <c r="L487" s="8" t="str">
        <f>INDEX(Product_List,MATCH($F487,'Product List'!$B$1:$B$299,0),MATCH('Order SUmmary'!L$2,'Product List'!$A$1:$E$1,0))</f>
        <v>Xerox 194</v>
      </c>
      <c r="M487" s="8">
        <f>INDEX(Product_List,MATCH($F487,'Product List'!$B$1:$B$299,0),MATCH('Order SUmmary'!M$2,'Product List'!$A$1:$E$1,0))</f>
        <v>2874</v>
      </c>
      <c r="N487" s="8">
        <f>INDEX(Product_List,MATCH($F487,'Product List'!$B$1:$B$299,0),MATCH('Order SUmmary'!N$2,'Product List'!$A$1:$E$1,0))</f>
        <v>1919</v>
      </c>
      <c r="O487" s="8" t="str">
        <f>INDEX(Product_List,MATCH($F487,'Product List'!$B$1:$B$299,0),MATCH('Order SUmmary'!O$2,'Product List'!$A$1:$E$1,0))</f>
        <v>Paper</v>
      </c>
      <c r="P487" s="12">
        <f>HLOOKUP(C487,'Commission Criteria'!$A$2:$I$4,3,FALSE)</f>
        <v>5</v>
      </c>
      <c r="Q487" s="8">
        <f t="shared" si="22"/>
        <v>3838</v>
      </c>
      <c r="R487" s="8">
        <f t="shared" si="23"/>
        <v>5748</v>
      </c>
      <c r="S487" s="36">
        <f>VLOOKUP(R487,'Commission Criteria'!$L$3:$M$11,2,TRUE)</f>
        <v>0.03</v>
      </c>
      <c r="T487" s="36">
        <f>IF(P487&lt;5,VLOOKUP(R487,'Commission Criteria'!$L$3:$M$11,2,1),VLOOKUP('Order SUmmary'!R487,'Commission Criteria'!$P$3:$Q$11,2,1))</f>
        <v>0.02</v>
      </c>
      <c r="U487" s="36">
        <f>VLOOKUP(R487,IF(P487&lt;5,'Commission Criteria'!$L$3:$M$11,'Commission Criteria'!$P$3:$Q$11),2,1)</f>
        <v>0.02</v>
      </c>
      <c r="V487" s="8" t="s">
        <v>35</v>
      </c>
      <c r="W487" s="36">
        <f t="shared" ca="1" si="24"/>
        <v>0.01</v>
      </c>
      <c r="X487" s="8" t="str">
        <f>_xlfn.XLOOKUP(F487,'Product List'!$B$1:$B$299,'Product List'!$A$1:$A$299)</f>
        <v>Xerox 194</v>
      </c>
      <c r="Y487" s="8"/>
      <c r="Z487" s="8" t="str" cm="1">
        <f t="array" ref="Z487:AD487">_xlfn.XLOOKUP(D487,'Customer Details'!$A$1:$A$17,'Customer Details'!$B$1:$F$17,"No such customer",0,1)</f>
        <v>Chambal Fertilisers and Chemicals Ltd.</v>
      </c>
      <c r="AA487" s="8" t="str">
        <v>4951 Indiana Ave.</v>
      </c>
      <c r="AB487" s="8" t="str">
        <v>New York</v>
      </c>
      <c r="AC487" s="8" t="str">
        <v>NY</v>
      </c>
      <c r="AD487" s="8" t="str">
        <v>10025</v>
      </c>
    </row>
    <row r="488" spans="1:30">
      <c r="A488" s="8" t="s">
        <v>611</v>
      </c>
      <c r="B488" s="19">
        <v>41749</v>
      </c>
      <c r="C488" s="8" t="s">
        <v>36</v>
      </c>
      <c r="D488" s="8">
        <v>10015</v>
      </c>
      <c r="E488" s="8" t="str">
        <f>VLOOKUP($D488,'Customer Details'!$A$1:$F$17,4,FALSE)</f>
        <v>South Windsor</v>
      </c>
      <c r="F488" s="8" t="s">
        <v>88</v>
      </c>
      <c r="G488" s="8">
        <v>2</v>
      </c>
      <c r="H488" s="2" t="str">
        <f>VLOOKUP($D488,'Customer Details'!$A$1:$F$17,MATCH('Order SUmmary'!H$2,'Customer Details'!$A$1:$F$1,0),0)</f>
        <v>Punj Lloyd Ltd.</v>
      </c>
      <c r="I488" s="2" t="str">
        <f>VLOOKUP($D488,'Customer Details'!$A$1:$F$17,4,0)</f>
        <v>South Windsor</v>
      </c>
      <c r="J488" s="2" t="str">
        <f>VLOOKUP($D488,'Customer Details'!$A$1:$F$17,6,0)</f>
        <v>06074</v>
      </c>
      <c r="K488" s="8" t="str">
        <f>VLOOKUP(VLOOKUP(D488,'Customer Details'!$A$1:$F$17,5,0),'Region INfo'!$A$1:$C$52,3,0)</f>
        <v xml:space="preserve">Northern </v>
      </c>
      <c r="L488" s="8" t="str">
        <f>INDEX(Product_List,MATCH($F488,'Product List'!$B$1:$B$299,0),MATCH('Order SUmmary'!L$2,'Product List'!$A$1:$E$1,0))</f>
        <v>Xerox 1922</v>
      </c>
      <c r="M488" s="8">
        <f>INDEX(Product_List,MATCH($F488,'Product List'!$B$1:$B$299,0),MATCH('Order SUmmary'!M$2,'Product List'!$A$1:$E$1,0))</f>
        <v>3493</v>
      </c>
      <c r="N488" s="8">
        <f>INDEX(Product_List,MATCH($F488,'Product List'!$B$1:$B$299,0),MATCH('Order SUmmary'!N$2,'Product List'!$A$1:$E$1,0))</f>
        <v>2180</v>
      </c>
      <c r="O488" s="8" t="str">
        <f>INDEX(Product_List,MATCH($F488,'Product List'!$B$1:$B$299,0),MATCH('Order SUmmary'!O$2,'Product List'!$A$1:$E$1,0))</f>
        <v>Paper</v>
      </c>
      <c r="P488" s="12">
        <f>HLOOKUP(C488,'Commission Criteria'!$A$2:$I$4,3,FALSE)</f>
        <v>6</v>
      </c>
      <c r="Q488" s="8">
        <f t="shared" si="22"/>
        <v>4360</v>
      </c>
      <c r="R488" s="8">
        <f t="shared" si="23"/>
        <v>6986</v>
      </c>
      <c r="S488" s="36">
        <f>VLOOKUP(R488,'Commission Criteria'!$L$3:$M$11,2,TRUE)</f>
        <v>0.03</v>
      </c>
      <c r="T488" s="36">
        <f>IF(P488&lt;5,VLOOKUP(R488,'Commission Criteria'!$L$3:$M$11,2,1),VLOOKUP('Order SUmmary'!R488,'Commission Criteria'!$P$3:$Q$11,2,1))</f>
        <v>0.02</v>
      </c>
      <c r="U488" s="36">
        <f>VLOOKUP(R488,IF(P488&lt;5,'Commission Criteria'!$L$3:$M$11,'Commission Criteria'!$P$3:$Q$11),2,1)</f>
        <v>0.02</v>
      </c>
      <c r="V488" s="8" t="s">
        <v>50</v>
      </c>
      <c r="W488" s="36">
        <f t="shared" ca="1" si="24"/>
        <v>0</v>
      </c>
      <c r="X488" s="8" t="str">
        <f>_xlfn.XLOOKUP(F488,'Product List'!$B$1:$B$299,'Product List'!$A$1:$A$299)</f>
        <v>Xerox 1922</v>
      </c>
      <c r="Y488" s="8"/>
      <c r="Z488" s="8" t="str" cm="1">
        <f t="array" ref="Z488:AD488">_xlfn.XLOOKUP(D488,'Customer Details'!$A$1:$A$17,'Customer Details'!$B$1:$F$17,"No such customer",0,1)</f>
        <v>Punj Lloyd Ltd.</v>
      </c>
      <c r="AA488" s="8" t="str">
        <v>Box 3263</v>
      </c>
      <c r="AB488" s="8" t="str">
        <v>South Windsor</v>
      </c>
      <c r="AC488" s="8" t="str">
        <v>CT</v>
      </c>
      <c r="AD488" s="8" t="str">
        <v>06074</v>
      </c>
    </row>
    <row r="489" spans="1:30">
      <c r="A489" s="8" t="s">
        <v>614</v>
      </c>
      <c r="B489" s="19">
        <v>41749</v>
      </c>
      <c r="C489" s="8" t="s">
        <v>27</v>
      </c>
      <c r="D489" s="8">
        <v>10009</v>
      </c>
      <c r="E489" s="8" t="str">
        <f>VLOOKUP($D489,'Customer Details'!$A$1:$F$17,4,FALSE)</f>
        <v>Salt Lake City</v>
      </c>
      <c r="F489" s="8" t="s">
        <v>98</v>
      </c>
      <c r="G489" s="8">
        <v>2</v>
      </c>
      <c r="H489" s="2" t="str">
        <f>VLOOKUP($D489,'Customer Details'!$A$1:$F$17,MATCH('Order SUmmary'!H$2,'Customer Details'!$A$1:$F$1,0),0)</f>
        <v>Godfrey Philips India Ltd.</v>
      </c>
      <c r="I489" s="2" t="str">
        <f>VLOOKUP($D489,'Customer Details'!$A$1:$F$17,4,0)</f>
        <v>Salt Lake City</v>
      </c>
      <c r="J489" s="2" t="str">
        <f>VLOOKUP($D489,'Customer Details'!$A$1:$F$17,6,0)</f>
        <v>84118</v>
      </c>
      <c r="K489" s="8" t="str">
        <f>VLOOKUP(VLOOKUP(D489,'Customer Details'!$A$1:$F$17,5,0),'Region INfo'!$A$1:$C$52,3,0)</f>
        <v xml:space="preserve">Pacific   </v>
      </c>
      <c r="L489" s="8" t="str">
        <f>INDEX(Product_List,MATCH($F489,'Product List'!$B$1:$B$299,0),MATCH('Order SUmmary'!L$2,'Product List'!$A$1:$E$1,0))</f>
        <v>Newell 349</v>
      </c>
      <c r="M489" s="8">
        <f>INDEX(Product_List,MATCH($F489,'Product List'!$B$1:$B$299,0),MATCH('Order SUmmary'!M$2,'Product List'!$A$1:$E$1,0))</f>
        <v>4342</v>
      </c>
      <c r="N489" s="8">
        <f>INDEX(Product_List,MATCH($F489,'Product List'!$B$1:$B$299,0),MATCH('Order SUmmary'!N$2,'Product List'!$A$1:$E$1,0))</f>
        <v>1689</v>
      </c>
      <c r="O489" s="8" t="str">
        <f>INDEX(Product_List,MATCH($F489,'Product List'!$B$1:$B$299,0),MATCH('Order SUmmary'!O$2,'Product List'!$A$1:$E$1,0))</f>
        <v>Art</v>
      </c>
      <c r="P489" s="12">
        <f>HLOOKUP(C489,'Commission Criteria'!$A$2:$I$4,3,FALSE)</f>
        <v>4</v>
      </c>
      <c r="Q489" s="8">
        <f t="shared" si="22"/>
        <v>3378</v>
      </c>
      <c r="R489" s="8">
        <f t="shared" si="23"/>
        <v>8684</v>
      </c>
      <c r="S489" s="36">
        <f>VLOOKUP(R489,'Commission Criteria'!$L$3:$M$11,2,TRUE)</f>
        <v>0.03</v>
      </c>
      <c r="T489" s="36">
        <f>IF(P489&lt;5,VLOOKUP(R489,'Commission Criteria'!$L$3:$M$11,2,1),VLOOKUP('Order SUmmary'!R489,'Commission Criteria'!$P$3:$Q$11,2,1))</f>
        <v>0.03</v>
      </c>
      <c r="U489" s="36">
        <f>VLOOKUP(R489,IF(P489&lt;5,'Commission Criteria'!$L$3:$M$11,'Commission Criteria'!$P$3:$Q$11),2,1)</f>
        <v>0.03</v>
      </c>
      <c r="V489" s="8" t="s">
        <v>40</v>
      </c>
      <c r="W489" s="36">
        <f t="shared" ca="1" si="24"/>
        <v>0.04</v>
      </c>
      <c r="X489" s="8" t="str">
        <f>_xlfn.XLOOKUP(F489,'Product List'!$B$1:$B$299,'Product List'!$A$1:$A$299)</f>
        <v>Newell 349</v>
      </c>
      <c r="Y489" s="8"/>
      <c r="Z489" s="8" t="str" cm="1">
        <f t="array" ref="Z489:AD489">_xlfn.XLOOKUP(D489,'Customer Details'!$A$1:$A$17,'Customer Details'!$B$1:$F$17,"No such customer",0,1)</f>
        <v>Godfrey Philips India Ltd.</v>
      </c>
      <c r="AA489" s="8" t="str">
        <v>20501 Ania Ave #2</v>
      </c>
      <c r="AB489" s="8" t="str">
        <v>Salt Lake City</v>
      </c>
      <c r="AC489" s="8" t="str">
        <v>UT</v>
      </c>
      <c r="AD489" s="8" t="str">
        <v>84118</v>
      </c>
    </row>
    <row r="490" spans="1:30">
      <c r="A490" s="8" t="s">
        <v>615</v>
      </c>
      <c r="B490" s="19">
        <v>41751</v>
      </c>
      <c r="C490" s="8" t="s">
        <v>66</v>
      </c>
      <c r="D490" s="8">
        <v>10001</v>
      </c>
      <c r="E490" s="8" t="str">
        <f>VLOOKUP($D490,'Customer Details'!$A$1:$F$17,4,FALSE)</f>
        <v>New York</v>
      </c>
      <c r="F490" s="8" t="s">
        <v>143</v>
      </c>
      <c r="G490" s="8">
        <v>2</v>
      </c>
      <c r="H490" s="2" t="str">
        <f>VLOOKUP($D490,'Customer Details'!$A$1:$F$17,MATCH('Order SUmmary'!H$2,'Customer Details'!$A$1:$F$1,0),0)</f>
        <v>Chambal Fertilisers and Chemicals Ltd.</v>
      </c>
      <c r="I490" s="2" t="str">
        <f>VLOOKUP($D490,'Customer Details'!$A$1:$F$17,4,0)</f>
        <v>New York</v>
      </c>
      <c r="J490" s="2" t="str">
        <f>VLOOKUP($D490,'Customer Details'!$A$1:$F$17,6,0)</f>
        <v>10025</v>
      </c>
      <c r="K490" s="8" t="str">
        <f>VLOOKUP(VLOOKUP(D490,'Customer Details'!$A$1:$F$17,5,0),'Region INfo'!$A$1:$C$52,3,0)</f>
        <v xml:space="preserve">Northern </v>
      </c>
      <c r="L490" s="8" t="str">
        <f>INDEX(Product_List,MATCH($F490,'Product List'!$B$1:$B$299,0),MATCH('Order SUmmary'!L$2,'Product List'!$A$1:$E$1,0))</f>
        <v>Xerox 1932</v>
      </c>
      <c r="M490" s="8">
        <f>INDEX(Product_List,MATCH($F490,'Product List'!$B$1:$B$299,0),MATCH('Order SUmmary'!M$2,'Product List'!$A$1:$E$1,0))</f>
        <v>4309</v>
      </c>
      <c r="N490" s="8">
        <f>INDEX(Product_List,MATCH($F490,'Product List'!$B$1:$B$299,0),MATCH('Order SUmmary'!N$2,'Product List'!$A$1:$E$1,0))</f>
        <v>1779</v>
      </c>
      <c r="O490" s="8" t="str">
        <f>INDEX(Product_List,MATCH($F490,'Product List'!$B$1:$B$299,0),MATCH('Order SUmmary'!O$2,'Product List'!$A$1:$E$1,0))</f>
        <v>Paper</v>
      </c>
      <c r="P490" s="12">
        <f>HLOOKUP(C490,'Commission Criteria'!$A$2:$I$4,3,FALSE)</f>
        <v>5</v>
      </c>
      <c r="Q490" s="8">
        <f t="shared" si="22"/>
        <v>3558</v>
      </c>
      <c r="R490" s="8">
        <f t="shared" si="23"/>
        <v>8618</v>
      </c>
      <c r="S490" s="36">
        <f>VLOOKUP(R490,'Commission Criteria'!$L$3:$M$11,2,TRUE)</f>
        <v>0.03</v>
      </c>
      <c r="T490" s="36">
        <f>IF(P490&lt;5,VLOOKUP(R490,'Commission Criteria'!$L$3:$M$11,2,1),VLOOKUP('Order SUmmary'!R490,'Commission Criteria'!$P$3:$Q$11,2,1))</f>
        <v>0.02</v>
      </c>
      <c r="U490" s="36">
        <f>VLOOKUP(R490,IF(P490&lt;5,'Commission Criteria'!$L$3:$M$11,'Commission Criteria'!$P$3:$Q$11),2,1)</f>
        <v>0.02</v>
      </c>
      <c r="V490" s="8" t="s">
        <v>29</v>
      </c>
      <c r="W490" s="36">
        <f t="shared" ca="1" si="24"/>
        <v>0.03</v>
      </c>
      <c r="X490" s="8" t="str">
        <f>_xlfn.XLOOKUP(F490,'Product List'!$B$1:$B$299,'Product List'!$A$1:$A$299)</f>
        <v>Xerox 1932</v>
      </c>
      <c r="Y490" s="8"/>
      <c r="Z490" s="8" t="str" cm="1">
        <f t="array" ref="Z490:AD490">_xlfn.XLOOKUP(D490,'Customer Details'!$A$1:$A$17,'Customer Details'!$B$1:$F$17,"No such customer",0,1)</f>
        <v>Chambal Fertilisers and Chemicals Ltd.</v>
      </c>
      <c r="AA490" s="8" t="str">
        <v>4951 Indiana Ave.</v>
      </c>
      <c r="AB490" s="8" t="str">
        <v>New York</v>
      </c>
      <c r="AC490" s="8" t="str">
        <v>NY</v>
      </c>
      <c r="AD490" s="8" t="str">
        <v>10025</v>
      </c>
    </row>
    <row r="491" spans="1:30">
      <c r="A491" s="8" t="s">
        <v>616</v>
      </c>
      <c r="B491" s="19">
        <v>41751</v>
      </c>
      <c r="C491" s="8" t="s">
        <v>36</v>
      </c>
      <c r="D491" s="8">
        <v>10011</v>
      </c>
      <c r="E491" s="8" t="str">
        <f>VLOOKUP($D491,'Customer Details'!$A$1:$F$17,4,FALSE)</f>
        <v>Olympia</v>
      </c>
      <c r="F491" s="8" t="s">
        <v>62</v>
      </c>
      <c r="G491" s="8">
        <v>2</v>
      </c>
      <c r="H491" s="2" t="str">
        <f>VLOOKUP($D491,'Customer Details'!$A$1:$F$17,MATCH('Order SUmmary'!H$2,'Customer Details'!$A$1:$F$1,0),0)</f>
        <v>Sonata Software</v>
      </c>
      <c r="I491" s="2" t="str">
        <f>VLOOKUP($D491,'Customer Details'!$A$1:$F$17,4,0)</f>
        <v>Olympia</v>
      </c>
      <c r="J491" s="2" t="str">
        <f>VLOOKUP($D491,'Customer Details'!$A$1:$F$17,6,0)</f>
        <v>98502</v>
      </c>
      <c r="K491" s="8" t="str">
        <f>VLOOKUP(VLOOKUP(D491,'Customer Details'!$A$1:$F$17,5,0),'Region INfo'!$A$1:$C$52,3,0)</f>
        <v xml:space="preserve">Pacific   </v>
      </c>
      <c r="L491" s="8" t="str">
        <f>INDEX(Product_List,MATCH($F491,'Product List'!$B$1:$B$299,0),MATCH('Order SUmmary'!L$2,'Product List'!$A$1:$E$1,0))</f>
        <v>Newell 308</v>
      </c>
      <c r="M491" s="8">
        <f>INDEX(Product_List,MATCH($F491,'Product List'!$B$1:$B$299,0),MATCH('Order SUmmary'!M$2,'Product List'!$A$1:$E$1,0))</f>
        <v>4515</v>
      </c>
      <c r="N491" s="8">
        <f>INDEX(Product_List,MATCH($F491,'Product List'!$B$1:$B$299,0),MATCH('Order SUmmary'!N$2,'Product List'!$A$1:$E$1,0))</f>
        <v>1550</v>
      </c>
      <c r="O491" s="8" t="str">
        <f>INDEX(Product_List,MATCH($F491,'Product List'!$B$1:$B$299,0),MATCH('Order SUmmary'!O$2,'Product List'!$A$1:$E$1,0))</f>
        <v>Art</v>
      </c>
      <c r="P491" s="12">
        <f>HLOOKUP(C491,'Commission Criteria'!$A$2:$I$4,3,FALSE)</f>
        <v>6</v>
      </c>
      <c r="Q491" s="8">
        <f t="shared" si="22"/>
        <v>3100</v>
      </c>
      <c r="R491" s="8">
        <f t="shared" si="23"/>
        <v>9030</v>
      </c>
      <c r="S491" s="36">
        <f>VLOOKUP(R491,'Commission Criteria'!$L$3:$M$11,2,TRUE)</f>
        <v>0.03</v>
      </c>
      <c r="T491" s="36">
        <f>IF(P491&lt;5,VLOOKUP(R491,'Commission Criteria'!$L$3:$M$11,2,1),VLOOKUP('Order SUmmary'!R491,'Commission Criteria'!$P$3:$Q$11,2,1))</f>
        <v>0.02</v>
      </c>
      <c r="U491" s="36">
        <f>VLOOKUP(R491,IF(P491&lt;5,'Commission Criteria'!$L$3:$M$11,'Commission Criteria'!$P$3:$Q$11),2,1)</f>
        <v>0.02</v>
      </c>
      <c r="V491" s="8" t="s">
        <v>40</v>
      </c>
      <c r="W491" s="36">
        <f t="shared" ca="1" si="24"/>
        <v>0</v>
      </c>
      <c r="X491" s="8" t="str">
        <f>_xlfn.XLOOKUP(F491,'Product List'!$B$1:$B$299,'Product List'!$A$1:$A$299)</f>
        <v>Newell 308</v>
      </c>
      <c r="Y491" s="8"/>
      <c r="Z491" s="8" t="str" cm="1">
        <f t="array" ref="Z491:AD491">_xlfn.XLOOKUP(D491,'Customer Details'!$A$1:$A$17,'Customer Details'!$B$1:$F$17,"No such customer",0,1)</f>
        <v>Sonata Software</v>
      </c>
      <c r="AA491" s="8" t="str">
        <v>1331 Kimberly Dr.</v>
      </c>
      <c r="AB491" s="8" t="str">
        <v>Olympia</v>
      </c>
      <c r="AC491" s="8" t="str">
        <v>WA</v>
      </c>
      <c r="AD491" s="8" t="str">
        <v>98502</v>
      </c>
    </row>
    <row r="492" spans="1:30">
      <c r="A492" s="8" t="s">
        <v>615</v>
      </c>
      <c r="B492" s="19">
        <v>41751</v>
      </c>
      <c r="C492" s="8" t="s">
        <v>54</v>
      </c>
      <c r="D492" s="8">
        <v>10007</v>
      </c>
      <c r="E492" s="8" t="str">
        <f>VLOOKUP($D492,'Customer Details'!$A$1:$F$17,4,FALSE)</f>
        <v>Richmond</v>
      </c>
      <c r="F492" s="8" t="s">
        <v>617</v>
      </c>
      <c r="G492" s="8">
        <v>3</v>
      </c>
      <c r="H492" s="2" t="str">
        <f>VLOOKUP($D492,'Customer Details'!$A$1:$F$17,MATCH('Order SUmmary'!H$2,'Customer Details'!$A$1:$F$1,0),0)</f>
        <v>GHCL Ltd.</v>
      </c>
      <c r="I492" s="2" t="str">
        <f>VLOOKUP($D492,'Customer Details'!$A$1:$F$17,4,0)</f>
        <v>Richmond</v>
      </c>
      <c r="J492" s="2" t="str">
        <f>VLOOKUP($D492,'Customer Details'!$A$1:$F$17,6,0)</f>
        <v>94805</v>
      </c>
      <c r="K492" s="8" t="str">
        <f>VLOOKUP(VLOOKUP(D492,'Customer Details'!$A$1:$F$17,5,0),'Region INfo'!$A$1:$C$52,3,0)</f>
        <v xml:space="preserve">Pacific   </v>
      </c>
      <c r="L492" s="8" t="str">
        <f>INDEX(Product_List,MATCH($F492,'Product List'!$B$1:$B$299,0),MATCH('Order SUmmary'!L$2,'Product List'!$A$1:$E$1,0))</f>
        <v>Xerox 1915</v>
      </c>
      <c r="M492" s="8">
        <f>INDEX(Product_List,MATCH($F492,'Product List'!$B$1:$B$299,0),MATCH('Order SUmmary'!M$2,'Product List'!$A$1:$E$1,0))</f>
        <v>3340</v>
      </c>
      <c r="N492" s="8">
        <f>INDEX(Product_List,MATCH($F492,'Product List'!$B$1:$B$299,0),MATCH('Order SUmmary'!N$2,'Product List'!$A$1:$E$1,0))</f>
        <v>1355</v>
      </c>
      <c r="O492" s="8" t="str">
        <f>INDEX(Product_List,MATCH($F492,'Product List'!$B$1:$B$299,0),MATCH('Order SUmmary'!O$2,'Product List'!$A$1:$E$1,0))</f>
        <v>Paper</v>
      </c>
      <c r="P492" s="12">
        <f>HLOOKUP(C492,'Commission Criteria'!$A$2:$I$4,3,FALSE)</f>
        <v>3</v>
      </c>
      <c r="Q492" s="8">
        <f t="shared" si="22"/>
        <v>4065</v>
      </c>
      <c r="R492" s="8">
        <f t="shared" si="23"/>
        <v>10020</v>
      </c>
      <c r="S492" s="36">
        <f>VLOOKUP(R492,'Commission Criteria'!$L$3:$M$11,2,TRUE)</f>
        <v>0.03</v>
      </c>
      <c r="T492" s="36">
        <f>IF(P492&lt;5,VLOOKUP(R492,'Commission Criteria'!$L$3:$M$11,2,1),VLOOKUP('Order SUmmary'!R492,'Commission Criteria'!$P$3:$Q$11,2,1))</f>
        <v>0.03</v>
      </c>
      <c r="U492" s="36">
        <f>VLOOKUP(R492,IF(P492&lt;5,'Commission Criteria'!$L$3:$M$11,'Commission Criteria'!$P$3:$Q$11),2,1)</f>
        <v>0.03</v>
      </c>
      <c r="V492" s="8" t="s">
        <v>32</v>
      </c>
      <c r="W492" s="36">
        <f t="shared" ca="1" si="24"/>
        <v>0</v>
      </c>
      <c r="X492" s="8" t="str">
        <f>_xlfn.XLOOKUP(F492,'Product List'!$B$1:$B$299,'Product List'!$A$1:$A$299)</f>
        <v>Xerox 1915</v>
      </c>
      <c r="Y492" s="8"/>
      <c r="Z492" s="8" t="str" cm="1">
        <f t="array" ref="Z492:AD492">_xlfn.XLOOKUP(D492,'Customer Details'!$A$1:$A$17,'Customer Details'!$B$1:$F$17,"No such customer",0,1)</f>
        <v>GHCL Ltd.</v>
      </c>
      <c r="AA492" s="8" t="str">
        <v>58 Clarence St</v>
      </c>
      <c r="AB492" s="8" t="str">
        <v>Richmond</v>
      </c>
      <c r="AC492" s="8" t="str">
        <v>CA</v>
      </c>
      <c r="AD492" s="8" t="str">
        <v>94805</v>
      </c>
    </row>
    <row r="493" spans="1:30">
      <c r="A493" s="8" t="s">
        <v>618</v>
      </c>
      <c r="B493" s="19">
        <v>41751</v>
      </c>
      <c r="C493" s="8" t="s">
        <v>54</v>
      </c>
      <c r="D493" s="8">
        <v>10004</v>
      </c>
      <c r="E493" s="8" t="str">
        <f>VLOOKUP($D493,'Customer Details'!$A$1:$F$17,4,FALSE)</f>
        <v>New York</v>
      </c>
      <c r="F493" s="8" t="s">
        <v>298</v>
      </c>
      <c r="G493" s="8">
        <v>3</v>
      </c>
      <c r="H493" s="2" t="str">
        <f>VLOOKUP($D493,'Customer Details'!$A$1:$F$17,MATCH('Order SUmmary'!H$2,'Customer Details'!$A$1:$F$1,0),0)</f>
        <v>Lupin Ltd.</v>
      </c>
      <c r="I493" s="2" t="str">
        <f>VLOOKUP($D493,'Customer Details'!$A$1:$F$17,4,0)</f>
        <v>New York</v>
      </c>
      <c r="J493" s="2" t="str">
        <f>VLOOKUP($D493,'Customer Details'!$A$1:$F$17,6,0)</f>
        <v>10019</v>
      </c>
      <c r="K493" s="8" t="str">
        <f>VLOOKUP(VLOOKUP(D493,'Customer Details'!$A$1:$F$17,5,0),'Region INfo'!$A$1:$C$52,3,0)</f>
        <v xml:space="preserve">Northern </v>
      </c>
      <c r="L493" s="8" t="str">
        <f>INDEX(Product_List,MATCH($F493,'Product List'!$B$1:$B$299,0),MATCH('Order SUmmary'!L$2,'Product List'!$A$1:$E$1,0))</f>
        <v>Xerox 216</v>
      </c>
      <c r="M493" s="8">
        <f>INDEX(Product_List,MATCH($F493,'Product List'!$B$1:$B$299,0),MATCH('Order SUmmary'!M$2,'Product List'!$A$1:$E$1,0))</f>
        <v>4719</v>
      </c>
      <c r="N493" s="8">
        <f>INDEX(Product_List,MATCH($F493,'Product List'!$B$1:$B$299,0),MATCH('Order SUmmary'!N$2,'Product List'!$A$1:$E$1,0))</f>
        <v>2043</v>
      </c>
      <c r="O493" s="8" t="str">
        <f>INDEX(Product_List,MATCH($F493,'Product List'!$B$1:$B$299,0),MATCH('Order SUmmary'!O$2,'Product List'!$A$1:$E$1,0))</f>
        <v>Paper</v>
      </c>
      <c r="P493" s="12">
        <f>HLOOKUP(C493,'Commission Criteria'!$A$2:$I$4,3,FALSE)</f>
        <v>3</v>
      </c>
      <c r="Q493" s="8">
        <f t="shared" si="22"/>
        <v>6129</v>
      </c>
      <c r="R493" s="8">
        <f t="shared" si="23"/>
        <v>14157</v>
      </c>
      <c r="S493" s="36">
        <f>VLOOKUP(R493,'Commission Criteria'!$L$3:$M$11,2,TRUE)</f>
        <v>0.03</v>
      </c>
      <c r="T493" s="36">
        <f>IF(P493&lt;5,VLOOKUP(R493,'Commission Criteria'!$L$3:$M$11,2,1),VLOOKUP('Order SUmmary'!R493,'Commission Criteria'!$P$3:$Q$11,2,1))</f>
        <v>0.03</v>
      </c>
      <c r="U493" s="36">
        <f>VLOOKUP(R493,IF(P493&lt;5,'Commission Criteria'!$L$3:$M$11,'Commission Criteria'!$P$3:$Q$11),2,1)</f>
        <v>0.03</v>
      </c>
      <c r="V493" s="8" t="s">
        <v>32</v>
      </c>
      <c r="W493" s="36">
        <f t="shared" ca="1" si="24"/>
        <v>0</v>
      </c>
      <c r="X493" s="8" t="str">
        <f>_xlfn.XLOOKUP(F493,'Product List'!$B$1:$B$299,'Product List'!$A$1:$A$299)</f>
        <v>Xerox 216</v>
      </c>
      <c r="Y493" s="8"/>
      <c r="Z493" s="8" t="str" cm="1">
        <f t="array" ref="Z493:AD493">_xlfn.XLOOKUP(D493,'Customer Details'!$A$1:$A$17,'Customer Details'!$B$1:$F$17,"No such customer",0,1)</f>
        <v>Lupin Ltd.</v>
      </c>
      <c r="AA493" s="8" t="str">
        <v>Abbey Wood</v>
      </c>
      <c r="AB493" s="8" t="str">
        <v>New York</v>
      </c>
      <c r="AC493" s="8" t="str">
        <v>NY</v>
      </c>
      <c r="AD493" s="8" t="str">
        <v>10019</v>
      </c>
    </row>
    <row r="494" spans="1:30">
      <c r="A494" s="8" t="s">
        <v>619</v>
      </c>
      <c r="B494" s="19">
        <v>41752</v>
      </c>
      <c r="C494" s="8" t="s">
        <v>51</v>
      </c>
      <c r="D494" s="8">
        <v>10006</v>
      </c>
      <c r="E494" s="8" t="str">
        <f>VLOOKUP($D494,'Customer Details'!$A$1:$F$17,4,FALSE)</f>
        <v>Midland</v>
      </c>
      <c r="F494" s="8" t="s">
        <v>445</v>
      </c>
      <c r="G494" s="8">
        <v>2</v>
      </c>
      <c r="H494" s="2" t="str">
        <f>VLOOKUP($D494,'Customer Details'!$A$1:$F$17,MATCH('Order SUmmary'!H$2,'Customer Details'!$A$1:$F$1,0),0)</f>
        <v>Supreme Ind</v>
      </c>
      <c r="I494" s="2" t="str">
        <f>VLOOKUP($D494,'Customer Details'!$A$1:$F$17,4,0)</f>
        <v>Midland</v>
      </c>
      <c r="J494" s="2" t="str">
        <f>VLOOKUP($D494,'Customer Details'!$A$1:$F$17,6,0)</f>
        <v>79706</v>
      </c>
      <c r="K494" s="8" t="str">
        <f>VLOOKUP(VLOOKUP(D494,'Customer Details'!$A$1:$F$17,5,0),'Region INfo'!$A$1:$C$52,3,0)</f>
        <v>Western</v>
      </c>
      <c r="L494" s="8" t="str">
        <f>INDEX(Product_List,MATCH($F494,'Product List'!$B$1:$B$299,0),MATCH('Order SUmmary'!L$2,'Product List'!$A$1:$E$1,0))</f>
        <v>Xerox 1882</v>
      </c>
      <c r="M494" s="8">
        <f>INDEX(Product_List,MATCH($F494,'Product List'!$B$1:$B$299,0),MATCH('Order SUmmary'!M$2,'Product List'!$A$1:$E$1,0))</f>
        <v>4206</v>
      </c>
      <c r="N494" s="8">
        <f>INDEX(Product_List,MATCH($F494,'Product List'!$B$1:$B$299,0),MATCH('Order SUmmary'!N$2,'Product List'!$A$1:$E$1,0))</f>
        <v>1201</v>
      </c>
      <c r="O494" s="8" t="str">
        <f>INDEX(Product_List,MATCH($F494,'Product List'!$B$1:$B$299,0),MATCH('Order SUmmary'!O$2,'Product List'!$A$1:$E$1,0))</f>
        <v>Paper</v>
      </c>
      <c r="P494" s="12">
        <f>HLOOKUP(C494,'Commission Criteria'!$A$2:$I$4,3,FALSE)</f>
        <v>10</v>
      </c>
      <c r="Q494" s="8">
        <f t="shared" si="22"/>
        <v>2402</v>
      </c>
      <c r="R494" s="8">
        <f t="shared" si="23"/>
        <v>8412</v>
      </c>
      <c r="S494" s="36">
        <f>VLOOKUP(R494,'Commission Criteria'!$L$3:$M$11,2,TRUE)</f>
        <v>0.03</v>
      </c>
      <c r="T494" s="36">
        <f>IF(P494&lt;5,VLOOKUP(R494,'Commission Criteria'!$L$3:$M$11,2,1),VLOOKUP('Order SUmmary'!R494,'Commission Criteria'!$P$3:$Q$11,2,1))</f>
        <v>0.02</v>
      </c>
      <c r="U494" s="36">
        <f>VLOOKUP(R494,IF(P494&lt;5,'Commission Criteria'!$L$3:$M$11,'Commission Criteria'!$P$3:$Q$11),2,1)</f>
        <v>0.02</v>
      </c>
      <c r="V494" s="8" t="s">
        <v>50</v>
      </c>
      <c r="W494" s="36">
        <f t="shared" ca="1" si="24"/>
        <v>0.01</v>
      </c>
      <c r="X494" s="8" t="str">
        <f>_xlfn.XLOOKUP(F494,'Product List'!$B$1:$B$299,'Product List'!$A$1:$A$299)</f>
        <v>Xerox 1882</v>
      </c>
      <c r="Y494" s="8"/>
      <c r="Z494" s="8" t="str" cm="1">
        <f t="array" ref="Z494:AD494">_xlfn.XLOOKUP(D494,'Customer Details'!$A$1:$A$17,'Customer Details'!$B$1:$F$17,"No such customer",0,1)</f>
        <v>Supreme Ind</v>
      </c>
      <c r="AA494" s="8" t="str">
        <v>P.O. Box 1367</v>
      </c>
      <c r="AB494" s="8" t="str">
        <v>Midland</v>
      </c>
      <c r="AC494" s="8" t="str">
        <v>TX</v>
      </c>
      <c r="AD494" s="8" t="str">
        <v>79706</v>
      </c>
    </row>
    <row r="495" spans="1:30">
      <c r="A495" s="8" t="s">
        <v>620</v>
      </c>
      <c r="B495" s="19">
        <v>41753</v>
      </c>
      <c r="C495" s="8" t="s">
        <v>27</v>
      </c>
      <c r="D495" s="8">
        <v>10006</v>
      </c>
      <c r="E495" s="8" t="str">
        <f>VLOOKUP($D495,'Customer Details'!$A$1:$F$17,4,FALSE)</f>
        <v>Midland</v>
      </c>
      <c r="F495" s="8" t="s">
        <v>84</v>
      </c>
      <c r="G495" s="8">
        <v>1</v>
      </c>
      <c r="H495" s="2" t="str">
        <f>VLOOKUP($D495,'Customer Details'!$A$1:$F$17,MATCH('Order SUmmary'!H$2,'Customer Details'!$A$1:$F$1,0),0)</f>
        <v>Supreme Ind</v>
      </c>
      <c r="I495" s="2" t="str">
        <f>VLOOKUP($D495,'Customer Details'!$A$1:$F$17,4,0)</f>
        <v>Midland</v>
      </c>
      <c r="J495" s="2" t="str">
        <f>VLOOKUP($D495,'Customer Details'!$A$1:$F$17,6,0)</f>
        <v>79706</v>
      </c>
      <c r="K495" s="8" t="str">
        <f>VLOOKUP(VLOOKUP(D495,'Customer Details'!$A$1:$F$17,5,0),'Region INfo'!$A$1:$C$52,3,0)</f>
        <v>Western</v>
      </c>
      <c r="L495" s="8" t="str">
        <f>INDEX(Product_List,MATCH($F495,'Product List'!$B$1:$B$299,0),MATCH('Order SUmmary'!L$2,'Product List'!$A$1:$E$1,0))</f>
        <v>Xerox 1979</v>
      </c>
      <c r="M495" s="8">
        <f>INDEX(Product_List,MATCH($F495,'Product List'!$B$1:$B$299,0),MATCH('Order SUmmary'!M$2,'Product List'!$A$1:$E$1,0))</f>
        <v>4731</v>
      </c>
      <c r="N495" s="8">
        <f>INDEX(Product_List,MATCH($F495,'Product List'!$B$1:$B$299,0),MATCH('Order SUmmary'!N$2,'Product List'!$A$1:$E$1,0))</f>
        <v>1858</v>
      </c>
      <c r="O495" s="8" t="str">
        <f>INDEX(Product_List,MATCH($F495,'Product List'!$B$1:$B$299,0),MATCH('Order SUmmary'!O$2,'Product List'!$A$1:$E$1,0))</f>
        <v>Paper</v>
      </c>
      <c r="P495" s="12">
        <f>HLOOKUP(C495,'Commission Criteria'!$A$2:$I$4,3,FALSE)</f>
        <v>4</v>
      </c>
      <c r="Q495" s="8">
        <f t="shared" si="22"/>
        <v>1858</v>
      </c>
      <c r="R495" s="8">
        <f t="shared" si="23"/>
        <v>4731</v>
      </c>
      <c r="S495" s="36">
        <f>VLOOKUP(R495,'Commission Criteria'!$L$3:$M$11,2,TRUE)</f>
        <v>0.01</v>
      </c>
      <c r="T495" s="36">
        <f>IF(P495&lt;5,VLOOKUP(R495,'Commission Criteria'!$L$3:$M$11,2,1),VLOOKUP('Order SUmmary'!R495,'Commission Criteria'!$P$3:$Q$11,2,1))</f>
        <v>0.01</v>
      </c>
      <c r="U495" s="36">
        <f>VLOOKUP(R495,IF(P495&lt;5,'Commission Criteria'!$L$3:$M$11,'Commission Criteria'!$P$3:$Q$11),2,1)</f>
        <v>0.01</v>
      </c>
      <c r="V495" s="8" t="s">
        <v>43</v>
      </c>
      <c r="W495" s="36">
        <f t="shared" ca="1" si="24"/>
        <v>0</v>
      </c>
      <c r="X495" s="8" t="str">
        <f>_xlfn.XLOOKUP(F495,'Product List'!$B$1:$B$299,'Product List'!$A$1:$A$299)</f>
        <v>Xerox 1979</v>
      </c>
      <c r="Y495" s="8"/>
      <c r="Z495" s="8" t="str" cm="1">
        <f t="array" ref="Z495:AD495">_xlfn.XLOOKUP(D495,'Customer Details'!$A$1:$A$17,'Customer Details'!$B$1:$F$17,"No such customer",0,1)</f>
        <v>Supreme Ind</v>
      </c>
      <c r="AA495" s="8" t="str">
        <v>P.O. Box 1367</v>
      </c>
      <c r="AB495" s="8" t="str">
        <v>Midland</v>
      </c>
      <c r="AC495" s="8" t="str">
        <v>TX</v>
      </c>
      <c r="AD495" s="8" t="str">
        <v>79706</v>
      </c>
    </row>
    <row r="496" spans="1:30">
      <c r="A496" s="8" t="s">
        <v>621</v>
      </c>
      <c r="B496" s="19">
        <v>41753</v>
      </c>
      <c r="C496" s="8" t="s">
        <v>51</v>
      </c>
      <c r="D496" s="8">
        <v>10001</v>
      </c>
      <c r="E496" s="8" t="str">
        <f>VLOOKUP($D496,'Customer Details'!$A$1:$F$17,4,FALSE)</f>
        <v>New York</v>
      </c>
      <c r="F496" s="8" t="s">
        <v>622</v>
      </c>
      <c r="G496" s="8">
        <v>2</v>
      </c>
      <c r="H496" s="2" t="str">
        <f>VLOOKUP($D496,'Customer Details'!$A$1:$F$17,MATCH('Order SUmmary'!H$2,'Customer Details'!$A$1:$F$1,0),0)</f>
        <v>Chambal Fertilisers and Chemicals Ltd.</v>
      </c>
      <c r="I496" s="2" t="str">
        <f>VLOOKUP($D496,'Customer Details'!$A$1:$F$17,4,0)</f>
        <v>New York</v>
      </c>
      <c r="J496" s="2" t="str">
        <f>VLOOKUP($D496,'Customer Details'!$A$1:$F$17,6,0)</f>
        <v>10025</v>
      </c>
      <c r="K496" s="8" t="str">
        <f>VLOOKUP(VLOOKUP(D496,'Customer Details'!$A$1:$F$17,5,0),'Region INfo'!$A$1:$C$52,3,0)</f>
        <v xml:space="preserve">Northern </v>
      </c>
      <c r="L496" s="8" t="str">
        <f>INDEX(Product_List,MATCH($F496,'Product List'!$B$1:$B$299,0),MATCH('Order SUmmary'!L$2,'Product List'!$A$1:$E$1,0))</f>
        <v>Xerox 1995</v>
      </c>
      <c r="M496" s="8">
        <f>INDEX(Product_List,MATCH($F496,'Product List'!$B$1:$B$299,0),MATCH('Order SUmmary'!M$2,'Product List'!$A$1:$E$1,0))</f>
        <v>3454</v>
      </c>
      <c r="N496" s="8">
        <f>INDEX(Product_List,MATCH($F496,'Product List'!$B$1:$B$299,0),MATCH('Order SUmmary'!N$2,'Product List'!$A$1:$E$1,0))</f>
        <v>1525</v>
      </c>
      <c r="O496" s="8" t="str">
        <f>INDEX(Product_List,MATCH($F496,'Product List'!$B$1:$B$299,0),MATCH('Order SUmmary'!O$2,'Product List'!$A$1:$E$1,0))</f>
        <v>Paper</v>
      </c>
      <c r="P496" s="12">
        <f>HLOOKUP(C496,'Commission Criteria'!$A$2:$I$4,3,FALSE)</f>
        <v>10</v>
      </c>
      <c r="Q496" s="8">
        <f t="shared" si="22"/>
        <v>3050</v>
      </c>
      <c r="R496" s="8">
        <f t="shared" si="23"/>
        <v>6908</v>
      </c>
      <c r="S496" s="36">
        <f>VLOOKUP(R496,'Commission Criteria'!$L$3:$M$11,2,TRUE)</f>
        <v>0.03</v>
      </c>
      <c r="T496" s="36">
        <f>IF(P496&lt;5,VLOOKUP(R496,'Commission Criteria'!$L$3:$M$11,2,1),VLOOKUP('Order SUmmary'!R496,'Commission Criteria'!$P$3:$Q$11,2,1))</f>
        <v>0.02</v>
      </c>
      <c r="U496" s="36">
        <f>VLOOKUP(R496,IF(P496&lt;5,'Commission Criteria'!$L$3:$M$11,'Commission Criteria'!$P$3:$Q$11),2,1)</f>
        <v>0.02</v>
      </c>
      <c r="V496" s="8" t="s">
        <v>43</v>
      </c>
      <c r="W496" s="36">
        <f t="shared" ca="1" si="24"/>
        <v>0.01</v>
      </c>
      <c r="X496" s="8" t="str">
        <f>_xlfn.XLOOKUP(F496,'Product List'!$B$1:$B$299,'Product List'!$A$1:$A$299)</f>
        <v>Xerox 1995</v>
      </c>
      <c r="Y496" s="8"/>
      <c r="Z496" s="8" t="str" cm="1">
        <f t="array" ref="Z496:AD496">_xlfn.XLOOKUP(D496,'Customer Details'!$A$1:$A$17,'Customer Details'!$B$1:$F$17,"No such customer",0,1)</f>
        <v>Chambal Fertilisers and Chemicals Ltd.</v>
      </c>
      <c r="AA496" s="8" t="str">
        <v>4951 Indiana Ave.</v>
      </c>
      <c r="AB496" s="8" t="str">
        <v>New York</v>
      </c>
      <c r="AC496" s="8" t="str">
        <v>NY</v>
      </c>
      <c r="AD496" s="8" t="str">
        <v>10025</v>
      </c>
    </row>
    <row r="497" spans="1:30">
      <c r="A497" s="8" t="s">
        <v>620</v>
      </c>
      <c r="B497" s="19">
        <v>41753</v>
      </c>
      <c r="C497" s="8" t="s">
        <v>44</v>
      </c>
      <c r="D497" s="8">
        <v>10003</v>
      </c>
      <c r="E497" s="8" t="str">
        <f>VLOOKUP($D497,'Customer Details'!$A$1:$F$17,4,FALSE)</f>
        <v>Miami</v>
      </c>
      <c r="F497" s="8" t="s">
        <v>451</v>
      </c>
      <c r="G497" s="8">
        <v>3</v>
      </c>
      <c r="H497" s="2" t="str">
        <f>VLOOKUP($D497,'Customer Details'!$A$1:$F$17,MATCH('Order SUmmary'!H$2,'Customer Details'!$A$1:$F$1,0),0)</f>
        <v>Honeywell Automation</v>
      </c>
      <c r="I497" s="2" t="str">
        <f>VLOOKUP($D497,'Customer Details'!$A$1:$F$17,4,0)</f>
        <v>Miami</v>
      </c>
      <c r="J497" s="2" t="str">
        <f>VLOOKUP($D497,'Customer Details'!$A$1:$F$17,6,0)</f>
        <v>33732</v>
      </c>
      <c r="K497" s="8" t="str">
        <f>VLOOKUP(VLOOKUP(D497,'Customer Details'!$A$1:$F$17,5,0),'Region INfo'!$A$1:$C$52,3,0)</f>
        <v>Southern</v>
      </c>
      <c r="L497" s="8" t="str">
        <f>INDEX(Product_List,MATCH($F497,'Product List'!$B$1:$B$299,0),MATCH('Order SUmmary'!L$2,'Product List'!$A$1:$E$1,0))</f>
        <v>Xerox 1903</v>
      </c>
      <c r="M497" s="8">
        <f>INDEX(Product_List,MATCH($F497,'Product List'!$B$1:$B$299,0),MATCH('Order SUmmary'!M$2,'Product List'!$A$1:$E$1,0))</f>
        <v>4758</v>
      </c>
      <c r="N497" s="8">
        <f>INDEX(Product_List,MATCH($F497,'Product List'!$B$1:$B$299,0),MATCH('Order SUmmary'!N$2,'Product List'!$A$1:$E$1,0))</f>
        <v>1946</v>
      </c>
      <c r="O497" s="8" t="str">
        <f>INDEX(Product_List,MATCH($F497,'Product List'!$B$1:$B$299,0),MATCH('Order SUmmary'!O$2,'Product List'!$A$1:$E$1,0))</f>
        <v>Paper</v>
      </c>
      <c r="P497" s="12">
        <f>HLOOKUP(C497,'Commission Criteria'!$A$2:$I$4,3,FALSE)</f>
        <v>4</v>
      </c>
      <c r="Q497" s="8">
        <f t="shared" si="22"/>
        <v>5838</v>
      </c>
      <c r="R497" s="8">
        <f t="shared" si="23"/>
        <v>14274</v>
      </c>
      <c r="S497" s="36">
        <f>VLOOKUP(R497,'Commission Criteria'!$L$3:$M$11,2,TRUE)</f>
        <v>0.03</v>
      </c>
      <c r="T497" s="36">
        <f>IF(P497&lt;5,VLOOKUP(R497,'Commission Criteria'!$L$3:$M$11,2,1),VLOOKUP('Order SUmmary'!R497,'Commission Criteria'!$P$3:$Q$11,2,1))</f>
        <v>0.03</v>
      </c>
      <c r="U497" s="36">
        <f>VLOOKUP(R497,IF(P497&lt;5,'Commission Criteria'!$L$3:$M$11,'Commission Criteria'!$P$3:$Q$11),2,1)</f>
        <v>0.03</v>
      </c>
      <c r="V497" s="8" t="s">
        <v>40</v>
      </c>
      <c r="W497" s="36">
        <f t="shared" ca="1" si="24"/>
        <v>0.02</v>
      </c>
      <c r="X497" s="8" t="str">
        <f>_xlfn.XLOOKUP(F497,'Product List'!$B$1:$B$299,'Product List'!$A$1:$A$299)</f>
        <v>Xerox 1903</v>
      </c>
      <c r="Y497" s="8"/>
      <c r="Z497" s="8" t="str" cm="1">
        <f t="array" ref="Z497:AD497">_xlfn.XLOOKUP(D497,'Customer Details'!$A$1:$A$17,'Customer Details'!$B$1:$F$17,"No such customer",0,1)</f>
        <v>Honeywell Automation</v>
      </c>
      <c r="AA497" s="8" t="str">
        <v>1272 Harbor Road</v>
      </c>
      <c r="AB497" s="8" t="str">
        <v>Miami</v>
      </c>
      <c r="AC497" s="8" t="str">
        <v>FL</v>
      </c>
      <c r="AD497" s="8" t="str">
        <v>33732</v>
      </c>
    </row>
    <row r="498" spans="1:30">
      <c r="A498" s="8" t="s">
        <v>623</v>
      </c>
      <c r="B498" s="19">
        <v>41756</v>
      </c>
      <c r="C498" s="8" t="s">
        <v>44</v>
      </c>
      <c r="D498" s="8">
        <v>10010</v>
      </c>
      <c r="E498" s="8" t="str">
        <f>VLOOKUP($D498,'Customer Details'!$A$1:$F$17,4,FALSE)</f>
        <v>Tracy</v>
      </c>
      <c r="F498" s="8" t="s">
        <v>311</v>
      </c>
      <c r="G498" s="8">
        <v>1</v>
      </c>
      <c r="H498" s="2" t="str">
        <f>VLOOKUP($D498,'Customer Details'!$A$1:$F$17,MATCH('Order SUmmary'!H$2,'Customer Details'!$A$1:$F$1,0),0)</f>
        <v>Suzlon Energy Ltd.</v>
      </c>
      <c r="I498" s="2" t="str">
        <f>VLOOKUP($D498,'Customer Details'!$A$1:$F$17,4,0)</f>
        <v>Tracy</v>
      </c>
      <c r="J498" s="2" t="str">
        <f>VLOOKUP($D498,'Customer Details'!$A$1:$F$17,6,0)</f>
        <v>95376</v>
      </c>
      <c r="K498" s="8" t="str">
        <f>VLOOKUP(VLOOKUP(D498,'Customer Details'!$A$1:$F$17,5,0),'Region INfo'!$A$1:$C$52,3,0)</f>
        <v xml:space="preserve">Pacific   </v>
      </c>
      <c r="L498" s="8" t="str">
        <f>INDEX(Product_List,MATCH($F498,'Product List'!$B$1:$B$299,0),MATCH('Order SUmmary'!L$2,'Product List'!$A$1:$E$1,0))</f>
        <v>Xerox 1923</v>
      </c>
      <c r="M498" s="8">
        <f>INDEX(Product_List,MATCH($F498,'Product List'!$B$1:$B$299,0),MATCH('Order SUmmary'!M$2,'Product List'!$A$1:$E$1,0))</f>
        <v>3039</v>
      </c>
      <c r="N498" s="8">
        <f>INDEX(Product_List,MATCH($F498,'Product List'!$B$1:$B$299,0),MATCH('Order SUmmary'!N$2,'Product List'!$A$1:$E$1,0))</f>
        <v>1730</v>
      </c>
      <c r="O498" s="8" t="str">
        <f>INDEX(Product_List,MATCH($F498,'Product List'!$B$1:$B$299,0),MATCH('Order SUmmary'!O$2,'Product List'!$A$1:$E$1,0))</f>
        <v>Paper</v>
      </c>
      <c r="P498" s="12">
        <f>HLOOKUP(C498,'Commission Criteria'!$A$2:$I$4,3,FALSE)</f>
        <v>4</v>
      </c>
      <c r="Q498" s="8">
        <f t="shared" si="22"/>
        <v>1730</v>
      </c>
      <c r="R498" s="8">
        <f t="shared" si="23"/>
        <v>3039</v>
      </c>
      <c r="S498" s="36">
        <f>VLOOKUP(R498,'Commission Criteria'!$L$3:$M$11,2,TRUE)</f>
        <v>0.01</v>
      </c>
      <c r="T498" s="36">
        <f>IF(P498&lt;5,VLOOKUP(R498,'Commission Criteria'!$L$3:$M$11,2,1),VLOOKUP('Order SUmmary'!R498,'Commission Criteria'!$P$3:$Q$11,2,1))</f>
        <v>0.01</v>
      </c>
      <c r="U498" s="36">
        <f>VLOOKUP(R498,IF(P498&lt;5,'Commission Criteria'!$L$3:$M$11,'Commission Criteria'!$P$3:$Q$11),2,1)</f>
        <v>0.01</v>
      </c>
      <c r="V498" s="8" t="s">
        <v>32</v>
      </c>
      <c r="W498" s="36">
        <f t="shared" ca="1" si="24"/>
        <v>0.04</v>
      </c>
      <c r="X498" s="8" t="str">
        <f>_xlfn.XLOOKUP(F498,'Product List'!$B$1:$B$299,'Product List'!$A$1:$A$299)</f>
        <v>Xerox 1923</v>
      </c>
      <c r="Y498" s="8"/>
      <c r="Z498" s="8" t="str" cm="1">
        <f t="array" ref="Z498:AD498">_xlfn.XLOOKUP(D498,'Customer Details'!$A$1:$A$17,'Customer Details'!$B$1:$F$17,"No such customer",0,1)</f>
        <v>Suzlon Energy Ltd.</v>
      </c>
      <c r="AA498" s="8" t="str">
        <v>501 Marsh Trail Circle</v>
      </c>
      <c r="AB498" s="8" t="str">
        <v>Tracy</v>
      </c>
      <c r="AC498" s="8" t="str">
        <v>CA</v>
      </c>
      <c r="AD498" s="8" t="str">
        <v>95376</v>
      </c>
    </row>
    <row r="499" spans="1:30">
      <c r="A499" s="8" t="s">
        <v>624</v>
      </c>
      <c r="B499" s="19">
        <v>41759</v>
      </c>
      <c r="C499" s="8" t="s">
        <v>54</v>
      </c>
      <c r="D499" s="8">
        <v>10004</v>
      </c>
      <c r="E499" s="8" t="str">
        <f>VLOOKUP($D499,'Customer Details'!$A$1:$F$17,4,FALSE)</f>
        <v>New York</v>
      </c>
      <c r="F499" s="8" t="s">
        <v>583</v>
      </c>
      <c r="G499" s="8">
        <v>1</v>
      </c>
      <c r="H499" s="2" t="str">
        <f>VLOOKUP($D499,'Customer Details'!$A$1:$F$17,MATCH('Order SUmmary'!H$2,'Customer Details'!$A$1:$F$1,0),0)</f>
        <v>Lupin Ltd.</v>
      </c>
      <c r="I499" s="2" t="str">
        <f>VLOOKUP($D499,'Customer Details'!$A$1:$F$17,4,0)</f>
        <v>New York</v>
      </c>
      <c r="J499" s="2" t="str">
        <f>VLOOKUP($D499,'Customer Details'!$A$1:$F$17,6,0)</f>
        <v>10019</v>
      </c>
      <c r="K499" s="8" t="str">
        <f>VLOOKUP(VLOOKUP(D499,'Customer Details'!$A$1:$F$17,5,0),'Region INfo'!$A$1:$C$52,3,0)</f>
        <v xml:space="preserve">Northern </v>
      </c>
      <c r="L499" s="8" t="str">
        <f>INDEX(Product_List,MATCH($F499,'Product List'!$B$1:$B$299,0),MATCH('Order SUmmary'!L$2,'Product List'!$A$1:$E$1,0))</f>
        <v>Cisco SPA508G</v>
      </c>
      <c r="M499" s="8">
        <f>INDEX(Product_List,MATCH($F499,'Product List'!$B$1:$B$299,0),MATCH('Order SUmmary'!M$2,'Product List'!$A$1:$E$1,0))</f>
        <v>4466</v>
      </c>
      <c r="N499" s="8">
        <f>INDEX(Product_List,MATCH($F499,'Product List'!$B$1:$B$299,0),MATCH('Order SUmmary'!N$2,'Product List'!$A$1:$E$1,0))</f>
        <v>1984</v>
      </c>
      <c r="O499" s="8" t="str">
        <f>INDEX(Product_List,MATCH($F499,'Product List'!$B$1:$B$299,0),MATCH('Order SUmmary'!O$2,'Product List'!$A$1:$E$1,0))</f>
        <v>Phones</v>
      </c>
      <c r="P499" s="12">
        <f>HLOOKUP(C499,'Commission Criteria'!$A$2:$I$4,3,FALSE)</f>
        <v>3</v>
      </c>
      <c r="Q499" s="8">
        <f t="shared" si="22"/>
        <v>1984</v>
      </c>
      <c r="R499" s="8">
        <f t="shared" si="23"/>
        <v>4466</v>
      </c>
      <c r="S499" s="36">
        <f>VLOOKUP(R499,'Commission Criteria'!$L$3:$M$11,2,TRUE)</f>
        <v>0.01</v>
      </c>
      <c r="T499" s="36">
        <f>IF(P499&lt;5,VLOOKUP(R499,'Commission Criteria'!$L$3:$M$11,2,1),VLOOKUP('Order SUmmary'!R499,'Commission Criteria'!$P$3:$Q$11,2,1))</f>
        <v>0.01</v>
      </c>
      <c r="U499" s="36">
        <f>VLOOKUP(R499,IF(P499&lt;5,'Commission Criteria'!$L$3:$M$11,'Commission Criteria'!$P$3:$Q$11),2,1)</f>
        <v>0.01</v>
      </c>
      <c r="V499" s="8" t="s">
        <v>40</v>
      </c>
      <c r="W499" s="36">
        <f t="shared" ca="1" si="24"/>
        <v>0.01</v>
      </c>
      <c r="X499" s="8" t="str">
        <f>_xlfn.XLOOKUP(F499,'Product List'!$B$1:$B$299,'Product List'!$A$1:$A$299)</f>
        <v>Cisco SPA508G</v>
      </c>
      <c r="Y499" s="8"/>
      <c r="Z499" s="8" t="str" cm="1">
        <f t="array" ref="Z499:AD499">_xlfn.XLOOKUP(D499,'Customer Details'!$A$1:$A$17,'Customer Details'!$B$1:$F$17,"No such customer",0,1)</f>
        <v>Lupin Ltd.</v>
      </c>
      <c r="AA499" s="8" t="str">
        <v>Abbey Wood</v>
      </c>
      <c r="AB499" s="8" t="str">
        <v>New York</v>
      </c>
      <c r="AC499" s="8" t="str">
        <v>NY</v>
      </c>
      <c r="AD499" s="8" t="str">
        <v>10019</v>
      </c>
    </row>
    <row r="500" spans="1:30">
      <c r="A500" s="8" t="s">
        <v>625</v>
      </c>
      <c r="B500" s="19">
        <v>41760</v>
      </c>
      <c r="C500" s="8" t="s">
        <v>33</v>
      </c>
      <c r="D500" s="8">
        <v>10001</v>
      </c>
      <c r="E500" s="8" t="str">
        <f>VLOOKUP($D500,'Customer Details'!$A$1:$F$17,4,FALSE)</f>
        <v>New York</v>
      </c>
      <c r="F500" s="8" t="s">
        <v>321</v>
      </c>
      <c r="G500" s="8">
        <v>1</v>
      </c>
      <c r="H500" s="2" t="str">
        <f>VLOOKUP($D500,'Customer Details'!$A$1:$F$17,MATCH('Order SUmmary'!H$2,'Customer Details'!$A$1:$F$1,0),0)</f>
        <v>Chambal Fertilisers and Chemicals Ltd.</v>
      </c>
      <c r="I500" s="2" t="str">
        <f>VLOOKUP($D500,'Customer Details'!$A$1:$F$17,4,0)</f>
        <v>New York</v>
      </c>
      <c r="J500" s="2" t="str">
        <f>VLOOKUP($D500,'Customer Details'!$A$1:$F$17,6,0)</f>
        <v>10025</v>
      </c>
      <c r="K500" s="8" t="str">
        <f>VLOOKUP(VLOOKUP(D500,'Customer Details'!$A$1:$F$17,5,0),'Region INfo'!$A$1:$C$52,3,0)</f>
        <v xml:space="preserve">Northern </v>
      </c>
      <c r="L500" s="8" t="str">
        <f>INDEX(Product_List,MATCH($F500,'Product List'!$B$1:$B$299,0),MATCH('Order SUmmary'!L$2,'Product List'!$A$1:$E$1,0))</f>
        <v>Xerox 1938</v>
      </c>
      <c r="M500" s="8">
        <f>INDEX(Product_List,MATCH($F500,'Product List'!$B$1:$B$299,0),MATCH('Order SUmmary'!M$2,'Product List'!$A$1:$E$1,0))</f>
        <v>3626</v>
      </c>
      <c r="N500" s="8">
        <f>INDEX(Product_List,MATCH($F500,'Product List'!$B$1:$B$299,0),MATCH('Order SUmmary'!N$2,'Product List'!$A$1:$E$1,0))</f>
        <v>1590</v>
      </c>
      <c r="O500" s="8" t="str">
        <f>INDEX(Product_List,MATCH($F500,'Product List'!$B$1:$B$299,0),MATCH('Order SUmmary'!O$2,'Product List'!$A$1:$E$1,0))</f>
        <v>Paper</v>
      </c>
      <c r="P500" s="12">
        <f>HLOOKUP(C500,'Commission Criteria'!$A$2:$I$4,3,FALSE)</f>
        <v>1</v>
      </c>
      <c r="Q500" s="8">
        <f t="shared" si="22"/>
        <v>1590</v>
      </c>
      <c r="R500" s="8">
        <f t="shared" si="23"/>
        <v>3626</v>
      </c>
      <c r="S500" s="36">
        <f>VLOOKUP(R500,'Commission Criteria'!$L$3:$M$11,2,TRUE)</f>
        <v>0.01</v>
      </c>
      <c r="T500" s="36">
        <f>IF(P500&lt;5,VLOOKUP(R500,'Commission Criteria'!$L$3:$M$11,2,1),VLOOKUP('Order SUmmary'!R500,'Commission Criteria'!$P$3:$Q$11,2,1))</f>
        <v>0.01</v>
      </c>
      <c r="U500" s="36">
        <f>VLOOKUP(R500,IF(P500&lt;5,'Commission Criteria'!$L$3:$M$11,'Commission Criteria'!$P$3:$Q$11),2,1)</f>
        <v>0.01</v>
      </c>
      <c r="V500" s="8" t="s">
        <v>40</v>
      </c>
      <c r="W500" s="36">
        <f t="shared" ca="1" si="24"/>
        <v>0</v>
      </c>
      <c r="X500" s="8" t="str">
        <f>_xlfn.XLOOKUP(F500,'Product List'!$B$1:$B$299,'Product List'!$A$1:$A$299)</f>
        <v>Xerox 1938</v>
      </c>
      <c r="Y500" s="8"/>
      <c r="Z500" s="8" t="str" cm="1">
        <f t="array" ref="Z500:AD500">_xlfn.XLOOKUP(D500,'Customer Details'!$A$1:$A$17,'Customer Details'!$B$1:$F$17,"No such customer",0,1)</f>
        <v>Chambal Fertilisers and Chemicals Ltd.</v>
      </c>
      <c r="AA500" s="8" t="str">
        <v>4951 Indiana Ave.</v>
      </c>
      <c r="AB500" s="8" t="str">
        <v>New York</v>
      </c>
      <c r="AC500" s="8" t="str">
        <v>NY</v>
      </c>
      <c r="AD500" s="8" t="str">
        <v>10025</v>
      </c>
    </row>
    <row r="501" spans="1:30">
      <c r="A501" s="8" t="s">
        <v>626</v>
      </c>
      <c r="B501" s="19">
        <v>41761</v>
      </c>
      <c r="C501" s="8" t="s">
        <v>27</v>
      </c>
      <c r="D501" s="8">
        <v>10008</v>
      </c>
      <c r="E501" s="8" t="str">
        <f>VLOOKUP($D501,'Customer Details'!$A$1:$F$17,4,FALSE)</f>
        <v>Chestnut Ridge</v>
      </c>
      <c r="F501" s="8" t="s">
        <v>394</v>
      </c>
      <c r="G501" s="8">
        <v>1</v>
      </c>
      <c r="H501" s="2" t="str">
        <f>VLOOKUP($D501,'Customer Details'!$A$1:$F$17,MATCH('Order SUmmary'!H$2,'Customer Details'!$A$1:$F$1,0),0)</f>
        <v>Reliance Industries Limited</v>
      </c>
      <c r="I501" s="2" t="str">
        <f>VLOOKUP($D501,'Customer Details'!$A$1:$F$17,4,0)</f>
        <v>Chestnut Ridge</v>
      </c>
      <c r="J501" s="2" t="str">
        <f>VLOOKUP($D501,'Customer Details'!$A$1:$F$17,6,0)</f>
        <v>10977</v>
      </c>
      <c r="K501" s="8" t="str">
        <f>VLOOKUP(VLOOKUP(D501,'Customer Details'!$A$1:$F$17,5,0),'Region INfo'!$A$1:$C$52,3,0)</f>
        <v xml:space="preserve">Northern </v>
      </c>
      <c r="L501" s="8" t="str">
        <f>INDEX(Product_List,MATCH($F501,'Product List'!$B$1:$B$299,0),MATCH('Order SUmmary'!L$2,'Product List'!$A$1:$E$1,0))</f>
        <v>GE 30524EE4</v>
      </c>
      <c r="M501" s="8">
        <f>INDEX(Product_List,MATCH($F501,'Product List'!$B$1:$B$299,0),MATCH('Order SUmmary'!M$2,'Product List'!$A$1:$E$1,0))</f>
        <v>2553</v>
      </c>
      <c r="N501" s="8">
        <f>INDEX(Product_List,MATCH($F501,'Product List'!$B$1:$B$299,0),MATCH('Order SUmmary'!N$2,'Product List'!$A$1:$E$1,0))</f>
        <v>1638</v>
      </c>
      <c r="O501" s="8" t="str">
        <f>INDEX(Product_List,MATCH($F501,'Product List'!$B$1:$B$299,0),MATCH('Order SUmmary'!O$2,'Product List'!$A$1:$E$1,0))</f>
        <v>Phones</v>
      </c>
      <c r="P501" s="12">
        <f>HLOOKUP(C501,'Commission Criteria'!$A$2:$I$4,3,FALSE)</f>
        <v>4</v>
      </c>
      <c r="Q501" s="8">
        <f t="shared" si="22"/>
        <v>1638</v>
      </c>
      <c r="R501" s="8">
        <f t="shared" si="23"/>
        <v>2553</v>
      </c>
      <c r="S501" s="36">
        <f>VLOOKUP(R501,'Commission Criteria'!$L$3:$M$11,2,TRUE)</f>
        <v>0.01</v>
      </c>
      <c r="T501" s="36">
        <f>IF(P501&lt;5,VLOOKUP(R501,'Commission Criteria'!$L$3:$M$11,2,1),VLOOKUP('Order SUmmary'!R501,'Commission Criteria'!$P$3:$Q$11,2,1))</f>
        <v>0.01</v>
      </c>
      <c r="U501" s="36">
        <f>VLOOKUP(R501,IF(P501&lt;5,'Commission Criteria'!$L$3:$M$11,'Commission Criteria'!$P$3:$Q$11),2,1)</f>
        <v>0.01</v>
      </c>
      <c r="V501" s="8" t="s">
        <v>32</v>
      </c>
      <c r="W501" s="36">
        <f t="shared" ca="1" si="24"/>
        <v>0</v>
      </c>
      <c r="X501" s="8" t="str">
        <f>_xlfn.XLOOKUP(F501,'Product List'!$B$1:$B$299,'Product List'!$A$1:$A$299)</f>
        <v>GE 30524EE4</v>
      </c>
      <c r="Y501" s="8"/>
      <c r="Z501" s="8" t="str" cm="1">
        <f t="array" ref="Z501:AD501">_xlfn.XLOOKUP(D501,'Customer Details'!$A$1:$A$17,'Customer Details'!$B$1:$F$17,"No such customer",0,1)</f>
        <v>Reliance Industries Limited</v>
      </c>
      <c r="AA501" s="8" t="str">
        <v>12020 Shamrock Rd., Suite 333</v>
      </c>
      <c r="AB501" s="8" t="str">
        <v>Chestnut Ridge</v>
      </c>
      <c r="AC501" s="8" t="str">
        <v>NY</v>
      </c>
      <c r="AD501" s="8" t="str">
        <v>10977</v>
      </c>
    </row>
    <row r="502" spans="1:30">
      <c r="A502" s="8" t="s">
        <v>626</v>
      </c>
      <c r="B502" s="19">
        <v>41761</v>
      </c>
      <c r="C502" s="8" t="s">
        <v>27</v>
      </c>
      <c r="D502" s="8">
        <v>10005</v>
      </c>
      <c r="E502" s="8" t="str">
        <f>VLOOKUP($D502,'Customer Details'!$A$1:$F$17,4,FALSE)</f>
        <v>Goleta</v>
      </c>
      <c r="F502" s="8" t="s">
        <v>356</v>
      </c>
      <c r="G502" s="8">
        <v>1</v>
      </c>
      <c r="H502" s="2" t="str">
        <f>VLOOKUP($D502,'Customer Details'!$A$1:$F$17,MATCH('Order SUmmary'!H$2,'Customer Details'!$A$1:$F$1,0),0)</f>
        <v>Fortis Healthcare Ltd.</v>
      </c>
      <c r="I502" s="2" t="str">
        <f>VLOOKUP($D502,'Customer Details'!$A$1:$F$17,4,0)</f>
        <v>Goleta</v>
      </c>
      <c r="J502" s="2" t="str">
        <f>VLOOKUP($D502,'Customer Details'!$A$1:$F$17,6,0)</f>
        <v>93117</v>
      </c>
      <c r="K502" s="8" t="str">
        <f>VLOOKUP(VLOOKUP(D502,'Customer Details'!$A$1:$F$17,5,0),'Region INfo'!$A$1:$C$52,3,0)</f>
        <v xml:space="preserve">Pacific   </v>
      </c>
      <c r="L502" s="8" t="str">
        <f>INDEX(Product_List,MATCH($F502,'Product List'!$B$1:$B$299,0),MATCH('Order SUmmary'!L$2,'Product List'!$A$1:$E$1,0))</f>
        <v>Newell 32</v>
      </c>
      <c r="M502" s="8">
        <f>INDEX(Product_List,MATCH($F502,'Product List'!$B$1:$B$299,0),MATCH('Order SUmmary'!M$2,'Product List'!$A$1:$E$1,0))</f>
        <v>4051</v>
      </c>
      <c r="N502" s="8">
        <f>INDEX(Product_List,MATCH($F502,'Product List'!$B$1:$B$299,0),MATCH('Order SUmmary'!N$2,'Product List'!$A$1:$E$1,0))</f>
        <v>1962</v>
      </c>
      <c r="O502" s="8" t="str">
        <f>INDEX(Product_List,MATCH($F502,'Product List'!$B$1:$B$299,0),MATCH('Order SUmmary'!O$2,'Product List'!$A$1:$E$1,0))</f>
        <v>Art</v>
      </c>
      <c r="P502" s="12">
        <f>HLOOKUP(C502,'Commission Criteria'!$A$2:$I$4,3,FALSE)</f>
        <v>4</v>
      </c>
      <c r="Q502" s="8">
        <f t="shared" si="22"/>
        <v>1962</v>
      </c>
      <c r="R502" s="8">
        <f t="shared" si="23"/>
        <v>4051</v>
      </c>
      <c r="S502" s="36">
        <f>VLOOKUP(R502,'Commission Criteria'!$L$3:$M$11,2,TRUE)</f>
        <v>0.01</v>
      </c>
      <c r="T502" s="36">
        <f>IF(P502&lt;5,VLOOKUP(R502,'Commission Criteria'!$L$3:$M$11,2,1),VLOOKUP('Order SUmmary'!R502,'Commission Criteria'!$P$3:$Q$11,2,1))</f>
        <v>0.01</v>
      </c>
      <c r="U502" s="36">
        <f>VLOOKUP(R502,IF(P502&lt;5,'Commission Criteria'!$L$3:$M$11,'Commission Criteria'!$P$3:$Q$11),2,1)</f>
        <v>0.01</v>
      </c>
      <c r="V502" s="8" t="s">
        <v>50</v>
      </c>
      <c r="W502" s="36">
        <f t="shared" ca="1" si="24"/>
        <v>0.02</v>
      </c>
      <c r="X502" s="8" t="str">
        <f>_xlfn.XLOOKUP(F502,'Product List'!$B$1:$B$299,'Product List'!$A$1:$A$299)</f>
        <v>Newell 32</v>
      </c>
      <c r="Y502" s="8"/>
      <c r="Z502" s="8" t="str" cm="1">
        <f t="array" ref="Z502:AD502">_xlfn.XLOOKUP(D502,'Customer Details'!$A$1:$A$17,'Customer Details'!$B$1:$F$17,"No such customer",0,1)</f>
        <v>Fortis Healthcare Ltd.</v>
      </c>
      <c r="AA502" s="8" t="str">
        <v>14 Elsworthy Terrace</v>
      </c>
      <c r="AB502" s="8" t="str">
        <v>Goleta</v>
      </c>
      <c r="AC502" s="8" t="str">
        <v>CA</v>
      </c>
      <c r="AD502" s="8" t="str">
        <v>93117</v>
      </c>
    </row>
    <row r="503" spans="1:30">
      <c r="A503" s="8" t="s">
        <v>626</v>
      </c>
      <c r="B503" s="19">
        <v>41761</v>
      </c>
      <c r="C503" s="8" t="s">
        <v>27</v>
      </c>
      <c r="D503" s="8">
        <v>10010</v>
      </c>
      <c r="E503" s="8" t="str">
        <f>VLOOKUP($D503,'Customer Details'!$A$1:$F$17,4,FALSE)</f>
        <v>Tracy</v>
      </c>
      <c r="F503" s="8" t="s">
        <v>186</v>
      </c>
      <c r="G503" s="8">
        <v>2</v>
      </c>
      <c r="H503" s="2" t="str">
        <f>VLOOKUP($D503,'Customer Details'!$A$1:$F$17,MATCH('Order SUmmary'!H$2,'Customer Details'!$A$1:$F$1,0),0)</f>
        <v>Suzlon Energy Ltd.</v>
      </c>
      <c r="I503" s="2" t="str">
        <f>VLOOKUP($D503,'Customer Details'!$A$1:$F$17,4,0)</f>
        <v>Tracy</v>
      </c>
      <c r="J503" s="2" t="str">
        <f>VLOOKUP($D503,'Customer Details'!$A$1:$F$17,6,0)</f>
        <v>95376</v>
      </c>
      <c r="K503" s="8" t="str">
        <f>VLOOKUP(VLOOKUP(D503,'Customer Details'!$A$1:$F$17,5,0),'Region INfo'!$A$1:$C$52,3,0)</f>
        <v xml:space="preserve">Pacific   </v>
      </c>
      <c r="L503" s="8" t="str">
        <f>INDEX(Product_List,MATCH($F503,'Product List'!$B$1:$B$299,0),MATCH('Order SUmmary'!L$2,'Product List'!$A$1:$E$1,0))</f>
        <v>Avery 478</v>
      </c>
      <c r="M503" s="8">
        <f>INDEX(Product_List,MATCH($F503,'Product List'!$B$1:$B$299,0),MATCH('Order SUmmary'!M$2,'Product List'!$A$1:$E$1,0))</f>
        <v>4224</v>
      </c>
      <c r="N503" s="8">
        <f>INDEX(Product_List,MATCH($F503,'Product List'!$B$1:$B$299,0),MATCH('Order SUmmary'!N$2,'Product List'!$A$1:$E$1,0))</f>
        <v>2048</v>
      </c>
      <c r="O503" s="8" t="str">
        <f>INDEX(Product_List,MATCH($F503,'Product List'!$B$1:$B$299,0),MATCH('Order SUmmary'!O$2,'Product List'!$A$1:$E$1,0))</f>
        <v>Labels</v>
      </c>
      <c r="P503" s="12">
        <f>HLOOKUP(C503,'Commission Criteria'!$A$2:$I$4,3,FALSE)</f>
        <v>4</v>
      </c>
      <c r="Q503" s="8">
        <f t="shared" si="22"/>
        <v>4096</v>
      </c>
      <c r="R503" s="8">
        <f t="shared" si="23"/>
        <v>8448</v>
      </c>
      <c r="S503" s="36">
        <f>VLOOKUP(R503,'Commission Criteria'!$L$3:$M$11,2,TRUE)</f>
        <v>0.03</v>
      </c>
      <c r="T503" s="36">
        <f>IF(P503&lt;5,VLOOKUP(R503,'Commission Criteria'!$L$3:$M$11,2,1),VLOOKUP('Order SUmmary'!R503,'Commission Criteria'!$P$3:$Q$11,2,1))</f>
        <v>0.03</v>
      </c>
      <c r="U503" s="36">
        <f>VLOOKUP(R503,IF(P503&lt;5,'Commission Criteria'!$L$3:$M$11,'Commission Criteria'!$P$3:$Q$11),2,1)</f>
        <v>0.03</v>
      </c>
      <c r="V503" s="8" t="s">
        <v>35</v>
      </c>
      <c r="W503" s="36">
        <f t="shared" ca="1" si="24"/>
        <v>0</v>
      </c>
      <c r="X503" s="8" t="str">
        <f>_xlfn.XLOOKUP(F503,'Product List'!$B$1:$B$299,'Product List'!$A$1:$A$299)</f>
        <v>Avery 478</v>
      </c>
      <c r="Y503" s="8"/>
      <c r="Z503" s="8" t="str" cm="1">
        <f t="array" ref="Z503:AD503">_xlfn.XLOOKUP(D503,'Customer Details'!$A$1:$A$17,'Customer Details'!$B$1:$F$17,"No such customer",0,1)</f>
        <v>Suzlon Energy Ltd.</v>
      </c>
      <c r="AA503" s="8" t="str">
        <v>501 Marsh Trail Circle</v>
      </c>
      <c r="AB503" s="8" t="str">
        <v>Tracy</v>
      </c>
      <c r="AC503" s="8" t="str">
        <v>CA</v>
      </c>
      <c r="AD503" s="8" t="str">
        <v>95376</v>
      </c>
    </row>
    <row r="504" spans="1:30">
      <c r="A504" s="8" t="s">
        <v>627</v>
      </c>
      <c r="B504" s="19">
        <v>41762</v>
      </c>
      <c r="C504" s="8" t="s">
        <v>44</v>
      </c>
      <c r="D504" s="8">
        <v>10014</v>
      </c>
      <c r="E504" s="8" t="str">
        <f>VLOOKUP($D504,'Customer Details'!$A$1:$F$17,4,FALSE)</f>
        <v>Honolulu</v>
      </c>
      <c r="F504" s="8" t="s">
        <v>420</v>
      </c>
      <c r="G504" s="8">
        <v>2</v>
      </c>
      <c r="H504" s="2" t="str">
        <f>VLOOKUP($D504,'Customer Details'!$A$1:$F$17,MATCH('Order SUmmary'!H$2,'Customer Details'!$A$1:$F$1,0),0)</f>
        <v>Hindusthan National Glass &amp; Industries Ltd.</v>
      </c>
      <c r="I504" s="2" t="str">
        <f>VLOOKUP($D504,'Customer Details'!$A$1:$F$17,4,0)</f>
        <v>Honolulu</v>
      </c>
      <c r="J504" s="2" t="str">
        <f>VLOOKUP($D504,'Customer Details'!$A$1:$F$17,6,0)</f>
        <v>96825</v>
      </c>
      <c r="K504" s="8" t="str">
        <f>VLOOKUP(VLOOKUP(D504,'Customer Details'!$A$1:$F$17,5,0),'Region INfo'!$A$1:$C$52,3,0)</f>
        <v xml:space="preserve">Pacific   </v>
      </c>
      <c r="L504" s="8" t="str">
        <f>INDEX(Product_List,MATCH($F504,'Product List'!$B$1:$B$299,0),MATCH('Order SUmmary'!L$2,'Product List'!$A$1:$E$1,0))</f>
        <v>Xerox 1972</v>
      </c>
      <c r="M504" s="8">
        <f>INDEX(Product_List,MATCH($F504,'Product List'!$B$1:$B$299,0),MATCH('Order SUmmary'!M$2,'Product List'!$A$1:$E$1,0))</f>
        <v>3566</v>
      </c>
      <c r="N504" s="8">
        <f>INDEX(Product_List,MATCH($F504,'Product List'!$B$1:$B$299,0),MATCH('Order SUmmary'!N$2,'Product List'!$A$1:$E$1,0))</f>
        <v>2276</v>
      </c>
      <c r="O504" s="8" t="str">
        <f>INDEX(Product_List,MATCH($F504,'Product List'!$B$1:$B$299,0),MATCH('Order SUmmary'!O$2,'Product List'!$A$1:$E$1,0))</f>
        <v>Paper</v>
      </c>
      <c r="P504" s="12">
        <f>HLOOKUP(C504,'Commission Criteria'!$A$2:$I$4,3,FALSE)</f>
        <v>4</v>
      </c>
      <c r="Q504" s="8">
        <f t="shared" si="22"/>
        <v>4552</v>
      </c>
      <c r="R504" s="8">
        <f t="shared" si="23"/>
        <v>7132</v>
      </c>
      <c r="S504" s="36">
        <f>VLOOKUP(R504,'Commission Criteria'!$L$3:$M$11,2,TRUE)</f>
        <v>0.03</v>
      </c>
      <c r="T504" s="36">
        <f>IF(P504&lt;5,VLOOKUP(R504,'Commission Criteria'!$L$3:$M$11,2,1),VLOOKUP('Order SUmmary'!R504,'Commission Criteria'!$P$3:$Q$11,2,1))</f>
        <v>0.03</v>
      </c>
      <c r="U504" s="36">
        <f>VLOOKUP(R504,IF(P504&lt;5,'Commission Criteria'!$L$3:$M$11,'Commission Criteria'!$P$3:$Q$11),2,1)</f>
        <v>0.03</v>
      </c>
      <c r="V504" s="8" t="s">
        <v>29</v>
      </c>
      <c r="W504" s="36">
        <f t="shared" ca="1" si="24"/>
        <v>0.04</v>
      </c>
      <c r="X504" s="8" t="str">
        <f>_xlfn.XLOOKUP(F504,'Product List'!$B$1:$B$299,'Product List'!$A$1:$A$299)</f>
        <v>Xerox 1972</v>
      </c>
      <c r="Y504" s="8"/>
      <c r="Z504" s="8" t="str" cm="1">
        <f t="array" ref="Z504:AD504">_xlfn.XLOOKUP(D504,'Customer Details'!$A$1:$A$17,'Customer Details'!$B$1:$F$17,"No such customer",0,1)</f>
        <v>Hindusthan National Glass &amp; Industries Ltd.</v>
      </c>
      <c r="AA504" s="8" t="str">
        <v>11 Cathy St.</v>
      </c>
      <c r="AB504" s="8" t="str">
        <v>Honolulu</v>
      </c>
      <c r="AC504" s="8" t="str">
        <v>HI</v>
      </c>
      <c r="AD504" s="8" t="str">
        <v>96825</v>
      </c>
    </row>
    <row r="505" spans="1:30">
      <c r="A505" s="8" t="s">
        <v>628</v>
      </c>
      <c r="B505" s="19">
        <v>41763</v>
      </c>
      <c r="C505" s="8" t="s">
        <v>36</v>
      </c>
      <c r="D505" s="8">
        <v>10010</v>
      </c>
      <c r="E505" s="8" t="str">
        <f>VLOOKUP($D505,'Customer Details'!$A$1:$F$17,4,FALSE)</f>
        <v>Tracy</v>
      </c>
      <c r="F505" s="8" t="s">
        <v>195</v>
      </c>
      <c r="G505" s="8">
        <v>1</v>
      </c>
      <c r="H505" s="2" t="str">
        <f>VLOOKUP($D505,'Customer Details'!$A$1:$F$17,MATCH('Order SUmmary'!H$2,'Customer Details'!$A$1:$F$1,0),0)</f>
        <v>Suzlon Energy Ltd.</v>
      </c>
      <c r="I505" s="2" t="str">
        <f>VLOOKUP($D505,'Customer Details'!$A$1:$F$17,4,0)</f>
        <v>Tracy</v>
      </c>
      <c r="J505" s="2" t="str">
        <f>VLOOKUP($D505,'Customer Details'!$A$1:$F$17,6,0)</f>
        <v>95376</v>
      </c>
      <c r="K505" s="8" t="str">
        <f>VLOOKUP(VLOOKUP(D505,'Customer Details'!$A$1:$F$17,5,0),'Region INfo'!$A$1:$C$52,3,0)</f>
        <v xml:space="preserve">Pacific   </v>
      </c>
      <c r="L505" s="8" t="str">
        <f>INDEX(Product_List,MATCH($F505,'Product List'!$B$1:$B$299,0),MATCH('Order SUmmary'!L$2,'Product List'!$A$1:$E$1,0))</f>
        <v>Newell 335</v>
      </c>
      <c r="M505" s="8">
        <f>INDEX(Product_List,MATCH($F505,'Product List'!$B$1:$B$299,0),MATCH('Order SUmmary'!M$2,'Product List'!$A$1:$E$1,0))</f>
        <v>3467</v>
      </c>
      <c r="N505" s="8">
        <f>INDEX(Product_List,MATCH($F505,'Product List'!$B$1:$B$299,0),MATCH('Order SUmmary'!N$2,'Product List'!$A$1:$E$1,0))</f>
        <v>1230</v>
      </c>
      <c r="O505" s="8" t="str">
        <f>INDEX(Product_List,MATCH($F505,'Product List'!$B$1:$B$299,0),MATCH('Order SUmmary'!O$2,'Product List'!$A$1:$E$1,0))</f>
        <v>Art</v>
      </c>
      <c r="P505" s="12">
        <f>HLOOKUP(C505,'Commission Criteria'!$A$2:$I$4,3,FALSE)</f>
        <v>6</v>
      </c>
      <c r="Q505" s="8">
        <f t="shared" si="22"/>
        <v>1230</v>
      </c>
      <c r="R505" s="8">
        <f t="shared" si="23"/>
        <v>3467</v>
      </c>
      <c r="S505" s="36">
        <f>VLOOKUP(R505,'Commission Criteria'!$L$3:$M$11,2,TRUE)</f>
        <v>0.01</v>
      </c>
      <c r="T505" s="36">
        <f>IF(P505&lt;5,VLOOKUP(R505,'Commission Criteria'!$L$3:$M$11,2,1),VLOOKUP('Order SUmmary'!R505,'Commission Criteria'!$P$3:$Q$11,2,1))</f>
        <v>0.02</v>
      </c>
      <c r="U505" s="36">
        <f>VLOOKUP(R505,IF(P505&lt;5,'Commission Criteria'!$L$3:$M$11,'Commission Criteria'!$P$3:$Q$11),2,1)</f>
        <v>0.02</v>
      </c>
      <c r="V505" s="8" t="s">
        <v>35</v>
      </c>
      <c r="W505" s="36">
        <f t="shared" ca="1" si="24"/>
        <v>0.02</v>
      </c>
      <c r="X505" s="8" t="str">
        <f>_xlfn.XLOOKUP(F505,'Product List'!$B$1:$B$299,'Product List'!$A$1:$A$299)</f>
        <v>Newell 335</v>
      </c>
      <c r="Y505" s="8"/>
      <c r="Z505" s="8" t="str" cm="1">
        <f t="array" ref="Z505:AD505">_xlfn.XLOOKUP(D505,'Customer Details'!$A$1:$A$17,'Customer Details'!$B$1:$F$17,"No such customer",0,1)</f>
        <v>Suzlon Energy Ltd.</v>
      </c>
      <c r="AA505" s="8" t="str">
        <v>501 Marsh Trail Circle</v>
      </c>
      <c r="AB505" s="8" t="str">
        <v>Tracy</v>
      </c>
      <c r="AC505" s="8" t="str">
        <v>CA</v>
      </c>
      <c r="AD505" s="8" t="str">
        <v>95376</v>
      </c>
    </row>
    <row r="506" spans="1:30">
      <c r="A506" s="8" t="s">
        <v>628</v>
      </c>
      <c r="B506" s="19">
        <v>41763</v>
      </c>
      <c r="C506" s="8" t="s">
        <v>27</v>
      </c>
      <c r="D506" s="8">
        <v>10003</v>
      </c>
      <c r="E506" s="8" t="str">
        <f>VLOOKUP($D506,'Customer Details'!$A$1:$F$17,4,FALSE)</f>
        <v>Miami</v>
      </c>
      <c r="F506" s="8" t="s">
        <v>337</v>
      </c>
      <c r="G506" s="8">
        <v>3</v>
      </c>
      <c r="H506" s="2" t="str">
        <f>VLOOKUP($D506,'Customer Details'!$A$1:$F$17,MATCH('Order SUmmary'!H$2,'Customer Details'!$A$1:$F$1,0),0)</f>
        <v>Honeywell Automation</v>
      </c>
      <c r="I506" s="2" t="str">
        <f>VLOOKUP($D506,'Customer Details'!$A$1:$F$17,4,0)</f>
        <v>Miami</v>
      </c>
      <c r="J506" s="2" t="str">
        <f>VLOOKUP($D506,'Customer Details'!$A$1:$F$17,6,0)</f>
        <v>33732</v>
      </c>
      <c r="K506" s="8" t="str">
        <f>VLOOKUP(VLOOKUP(D506,'Customer Details'!$A$1:$F$17,5,0),'Region INfo'!$A$1:$C$52,3,0)</f>
        <v>Southern</v>
      </c>
      <c r="L506" s="8" t="str">
        <f>INDEX(Product_List,MATCH($F506,'Product List'!$B$1:$B$299,0),MATCH('Order SUmmary'!L$2,'Product List'!$A$1:$E$1,0))</f>
        <v>Avery 487</v>
      </c>
      <c r="M506" s="8">
        <f>INDEX(Product_List,MATCH($F506,'Product List'!$B$1:$B$299,0),MATCH('Order SUmmary'!M$2,'Product List'!$A$1:$E$1,0))</f>
        <v>2775</v>
      </c>
      <c r="N506" s="8">
        <f>INDEX(Product_List,MATCH($F506,'Product List'!$B$1:$B$299,0),MATCH('Order SUmmary'!N$2,'Product List'!$A$1:$E$1,0))</f>
        <v>1946</v>
      </c>
      <c r="O506" s="8" t="str">
        <f>INDEX(Product_List,MATCH($F506,'Product List'!$B$1:$B$299,0),MATCH('Order SUmmary'!O$2,'Product List'!$A$1:$E$1,0))</f>
        <v>Labels</v>
      </c>
      <c r="P506" s="12">
        <f>HLOOKUP(C506,'Commission Criteria'!$A$2:$I$4,3,FALSE)</f>
        <v>4</v>
      </c>
      <c r="Q506" s="8">
        <f t="shared" si="22"/>
        <v>5838</v>
      </c>
      <c r="R506" s="8">
        <f t="shared" si="23"/>
        <v>8325</v>
      </c>
      <c r="S506" s="36">
        <f>VLOOKUP(R506,'Commission Criteria'!$L$3:$M$11,2,TRUE)</f>
        <v>0.03</v>
      </c>
      <c r="T506" s="36">
        <f>IF(P506&lt;5,VLOOKUP(R506,'Commission Criteria'!$L$3:$M$11,2,1),VLOOKUP('Order SUmmary'!R506,'Commission Criteria'!$P$3:$Q$11,2,1))</f>
        <v>0.03</v>
      </c>
      <c r="U506" s="36">
        <f>VLOOKUP(R506,IF(P506&lt;5,'Commission Criteria'!$L$3:$M$11,'Commission Criteria'!$P$3:$Q$11),2,1)</f>
        <v>0.03</v>
      </c>
      <c r="V506" s="8" t="s">
        <v>35</v>
      </c>
      <c r="W506" s="36">
        <f t="shared" ca="1" si="24"/>
        <v>0.04</v>
      </c>
      <c r="X506" s="8" t="str">
        <f>_xlfn.XLOOKUP(F506,'Product List'!$B$1:$B$299,'Product List'!$A$1:$A$299)</f>
        <v>Avery 487</v>
      </c>
      <c r="Y506" s="8"/>
      <c r="Z506" s="8" t="str" cm="1">
        <f t="array" ref="Z506:AD506">_xlfn.XLOOKUP(D506,'Customer Details'!$A$1:$A$17,'Customer Details'!$B$1:$F$17,"No such customer",0,1)</f>
        <v>Honeywell Automation</v>
      </c>
      <c r="AA506" s="8" t="str">
        <v>1272 Harbor Road</v>
      </c>
      <c r="AB506" s="8" t="str">
        <v>Miami</v>
      </c>
      <c r="AC506" s="8" t="str">
        <v>FL</v>
      </c>
      <c r="AD506" s="8" t="str">
        <v>33732</v>
      </c>
    </row>
    <row r="507" spans="1:30">
      <c r="A507" s="8" t="s">
        <v>628</v>
      </c>
      <c r="B507" s="19">
        <v>41763</v>
      </c>
      <c r="C507" s="8" t="s">
        <v>54</v>
      </c>
      <c r="D507" s="8">
        <v>10015</v>
      </c>
      <c r="E507" s="8" t="str">
        <f>VLOOKUP($D507,'Customer Details'!$A$1:$F$17,4,FALSE)</f>
        <v>South Windsor</v>
      </c>
      <c r="F507" s="8" t="s">
        <v>312</v>
      </c>
      <c r="G507" s="8">
        <v>3</v>
      </c>
      <c r="H507" s="2" t="str">
        <f>VLOOKUP($D507,'Customer Details'!$A$1:$F$17,MATCH('Order SUmmary'!H$2,'Customer Details'!$A$1:$F$1,0),0)</f>
        <v>Punj Lloyd Ltd.</v>
      </c>
      <c r="I507" s="2" t="str">
        <f>VLOOKUP($D507,'Customer Details'!$A$1:$F$17,4,0)</f>
        <v>South Windsor</v>
      </c>
      <c r="J507" s="2" t="str">
        <f>VLOOKUP($D507,'Customer Details'!$A$1:$F$17,6,0)</f>
        <v>06074</v>
      </c>
      <c r="K507" s="8" t="str">
        <f>VLOOKUP(VLOOKUP(D507,'Customer Details'!$A$1:$F$17,5,0),'Region INfo'!$A$1:$C$52,3,0)</f>
        <v xml:space="preserve">Northern </v>
      </c>
      <c r="L507" s="8" t="str">
        <f>INDEX(Product_List,MATCH($F507,'Product List'!$B$1:$B$299,0),MATCH('Order SUmmary'!L$2,'Product List'!$A$1:$E$1,0))</f>
        <v>Avery 492</v>
      </c>
      <c r="M507" s="8">
        <f>INDEX(Product_List,MATCH($F507,'Product List'!$B$1:$B$299,0),MATCH('Order SUmmary'!M$2,'Product List'!$A$1:$E$1,0))</f>
        <v>4685</v>
      </c>
      <c r="N507" s="8">
        <f>INDEX(Product_List,MATCH($F507,'Product List'!$B$1:$B$299,0),MATCH('Order SUmmary'!N$2,'Product List'!$A$1:$E$1,0))</f>
        <v>2036</v>
      </c>
      <c r="O507" s="8" t="str">
        <f>INDEX(Product_List,MATCH($F507,'Product List'!$B$1:$B$299,0),MATCH('Order SUmmary'!O$2,'Product List'!$A$1:$E$1,0))</f>
        <v>Labels</v>
      </c>
      <c r="P507" s="12">
        <f>HLOOKUP(C507,'Commission Criteria'!$A$2:$I$4,3,FALSE)</f>
        <v>3</v>
      </c>
      <c r="Q507" s="8">
        <f t="shared" si="22"/>
        <v>6108</v>
      </c>
      <c r="R507" s="8">
        <f t="shared" si="23"/>
        <v>14055</v>
      </c>
      <c r="S507" s="36">
        <f>VLOOKUP(R507,'Commission Criteria'!$L$3:$M$11,2,TRUE)</f>
        <v>0.03</v>
      </c>
      <c r="T507" s="36">
        <f>IF(P507&lt;5,VLOOKUP(R507,'Commission Criteria'!$L$3:$M$11,2,1),VLOOKUP('Order SUmmary'!R507,'Commission Criteria'!$P$3:$Q$11,2,1))</f>
        <v>0.03</v>
      </c>
      <c r="U507" s="36">
        <f>VLOOKUP(R507,IF(P507&lt;5,'Commission Criteria'!$L$3:$M$11,'Commission Criteria'!$P$3:$Q$11),2,1)</f>
        <v>0.03</v>
      </c>
      <c r="V507" s="8" t="s">
        <v>32</v>
      </c>
      <c r="W507" s="36">
        <f t="shared" ca="1" si="24"/>
        <v>0.05</v>
      </c>
      <c r="X507" s="8" t="str">
        <f>_xlfn.XLOOKUP(F507,'Product List'!$B$1:$B$299,'Product List'!$A$1:$A$299)</f>
        <v>Avery 492</v>
      </c>
      <c r="Y507" s="8"/>
      <c r="Z507" s="8" t="str" cm="1">
        <f t="array" ref="Z507:AD507">_xlfn.XLOOKUP(D507,'Customer Details'!$A$1:$A$17,'Customer Details'!$B$1:$F$17,"No such customer",0,1)</f>
        <v>Punj Lloyd Ltd.</v>
      </c>
      <c r="AA507" s="8" t="str">
        <v>Box 3263</v>
      </c>
      <c r="AB507" s="8" t="str">
        <v>South Windsor</v>
      </c>
      <c r="AC507" s="8" t="str">
        <v>CT</v>
      </c>
      <c r="AD507" s="8" t="str">
        <v>06074</v>
      </c>
    </row>
    <row r="508" spans="1:30">
      <c r="A508" s="8" t="s">
        <v>629</v>
      </c>
      <c r="B508" s="19">
        <v>41764</v>
      </c>
      <c r="C508" s="8" t="s">
        <v>46</v>
      </c>
      <c r="D508" s="8">
        <v>10015</v>
      </c>
      <c r="E508" s="8" t="str">
        <f>VLOOKUP($D508,'Customer Details'!$A$1:$F$17,4,FALSE)</f>
        <v>South Windsor</v>
      </c>
      <c r="F508" s="8" t="s">
        <v>145</v>
      </c>
      <c r="G508" s="8">
        <v>1</v>
      </c>
      <c r="H508" s="2" t="str">
        <f>VLOOKUP($D508,'Customer Details'!$A$1:$F$17,MATCH('Order SUmmary'!H$2,'Customer Details'!$A$1:$F$1,0),0)</f>
        <v>Punj Lloyd Ltd.</v>
      </c>
      <c r="I508" s="2" t="str">
        <f>VLOOKUP($D508,'Customer Details'!$A$1:$F$17,4,0)</f>
        <v>South Windsor</v>
      </c>
      <c r="J508" s="2" t="str">
        <f>VLOOKUP($D508,'Customer Details'!$A$1:$F$17,6,0)</f>
        <v>06074</v>
      </c>
      <c r="K508" s="8" t="str">
        <f>VLOOKUP(VLOOKUP(D508,'Customer Details'!$A$1:$F$17,5,0),'Region INfo'!$A$1:$C$52,3,0)</f>
        <v xml:space="preserve">Northern </v>
      </c>
      <c r="L508" s="8" t="str">
        <f>INDEX(Product_List,MATCH($F508,'Product List'!$B$1:$B$299,0),MATCH('Order SUmmary'!L$2,'Product List'!$A$1:$E$1,0))</f>
        <v>Xerox 1913</v>
      </c>
      <c r="M508" s="8">
        <f>INDEX(Product_List,MATCH($F508,'Product List'!$B$1:$B$299,0),MATCH('Order SUmmary'!M$2,'Product List'!$A$1:$E$1,0))</f>
        <v>2547</v>
      </c>
      <c r="N508" s="8">
        <f>INDEX(Product_List,MATCH($F508,'Product List'!$B$1:$B$299,0),MATCH('Order SUmmary'!N$2,'Product List'!$A$1:$E$1,0))</f>
        <v>1419</v>
      </c>
      <c r="O508" s="8" t="str">
        <f>INDEX(Product_List,MATCH($F508,'Product List'!$B$1:$B$299,0),MATCH('Order SUmmary'!O$2,'Product List'!$A$1:$E$1,0))</f>
        <v>Paper</v>
      </c>
      <c r="P508" s="12">
        <f>HLOOKUP(C508,'Commission Criteria'!$A$2:$I$4,3,FALSE)</f>
        <v>8</v>
      </c>
      <c r="Q508" s="8">
        <f t="shared" si="22"/>
        <v>1419</v>
      </c>
      <c r="R508" s="8">
        <f t="shared" si="23"/>
        <v>2547</v>
      </c>
      <c r="S508" s="36">
        <f>VLOOKUP(R508,'Commission Criteria'!$L$3:$M$11,2,TRUE)</f>
        <v>0.01</v>
      </c>
      <c r="T508" s="36">
        <f>IF(P508&lt;5,VLOOKUP(R508,'Commission Criteria'!$L$3:$M$11,2,1),VLOOKUP('Order SUmmary'!R508,'Commission Criteria'!$P$3:$Q$11,2,1))</f>
        <v>0.02</v>
      </c>
      <c r="U508" s="36">
        <f>VLOOKUP(R508,IF(P508&lt;5,'Commission Criteria'!$L$3:$M$11,'Commission Criteria'!$P$3:$Q$11),2,1)</f>
        <v>0.02</v>
      </c>
      <c r="V508" s="8" t="s">
        <v>35</v>
      </c>
      <c r="W508" s="36">
        <f t="shared" ca="1" si="24"/>
        <v>0</v>
      </c>
      <c r="X508" s="8" t="str">
        <f>_xlfn.XLOOKUP(F508,'Product List'!$B$1:$B$299,'Product List'!$A$1:$A$299)</f>
        <v>Xerox 1913</v>
      </c>
      <c r="Y508" s="8"/>
      <c r="Z508" s="8" t="str" cm="1">
        <f t="array" ref="Z508:AD508">_xlfn.XLOOKUP(D508,'Customer Details'!$A$1:$A$17,'Customer Details'!$B$1:$F$17,"No such customer",0,1)</f>
        <v>Punj Lloyd Ltd.</v>
      </c>
      <c r="AA508" s="8" t="str">
        <v>Box 3263</v>
      </c>
      <c r="AB508" s="8" t="str">
        <v>South Windsor</v>
      </c>
      <c r="AC508" s="8" t="str">
        <v>CT</v>
      </c>
      <c r="AD508" s="8" t="str">
        <v>06074</v>
      </c>
    </row>
    <row r="509" spans="1:30">
      <c r="A509" s="8" t="s">
        <v>630</v>
      </c>
      <c r="B509" s="19">
        <v>41765</v>
      </c>
      <c r="C509" s="8" t="s">
        <v>33</v>
      </c>
      <c r="D509" s="8">
        <v>10014</v>
      </c>
      <c r="E509" s="8" t="str">
        <f>VLOOKUP($D509,'Customer Details'!$A$1:$F$17,4,FALSE)</f>
        <v>Honolulu</v>
      </c>
      <c r="F509" s="8" t="s">
        <v>57</v>
      </c>
      <c r="G509" s="8">
        <v>1</v>
      </c>
      <c r="H509" s="2" t="str">
        <f>VLOOKUP($D509,'Customer Details'!$A$1:$F$17,MATCH('Order SUmmary'!H$2,'Customer Details'!$A$1:$F$1,0),0)</f>
        <v>Hindusthan National Glass &amp; Industries Ltd.</v>
      </c>
      <c r="I509" s="2" t="str">
        <f>VLOOKUP($D509,'Customer Details'!$A$1:$F$17,4,0)</f>
        <v>Honolulu</v>
      </c>
      <c r="J509" s="2" t="str">
        <f>VLOOKUP($D509,'Customer Details'!$A$1:$F$17,6,0)</f>
        <v>96825</v>
      </c>
      <c r="K509" s="8" t="str">
        <f>VLOOKUP(VLOOKUP(D509,'Customer Details'!$A$1:$F$17,5,0),'Region INfo'!$A$1:$C$52,3,0)</f>
        <v xml:space="preserve">Pacific   </v>
      </c>
      <c r="L509" s="8" t="str">
        <f>INDEX(Product_List,MATCH($F509,'Product List'!$B$1:$B$299,0),MATCH('Order SUmmary'!L$2,'Product List'!$A$1:$E$1,0))</f>
        <v>Xerox 1886</v>
      </c>
      <c r="M509" s="8">
        <f>INDEX(Product_List,MATCH($F509,'Product List'!$B$1:$B$299,0),MATCH('Order SUmmary'!M$2,'Product List'!$A$1:$E$1,0))</f>
        <v>3757</v>
      </c>
      <c r="N509" s="8">
        <f>INDEX(Product_List,MATCH($F509,'Product List'!$B$1:$B$299,0),MATCH('Order SUmmary'!N$2,'Product List'!$A$1:$E$1,0))</f>
        <v>2156</v>
      </c>
      <c r="O509" s="8" t="str">
        <f>INDEX(Product_List,MATCH($F509,'Product List'!$B$1:$B$299,0),MATCH('Order SUmmary'!O$2,'Product List'!$A$1:$E$1,0))</f>
        <v>Paper</v>
      </c>
      <c r="P509" s="12">
        <f>HLOOKUP(C509,'Commission Criteria'!$A$2:$I$4,3,FALSE)</f>
        <v>1</v>
      </c>
      <c r="Q509" s="8">
        <f t="shared" si="22"/>
        <v>2156</v>
      </c>
      <c r="R509" s="8">
        <f t="shared" si="23"/>
        <v>3757</v>
      </c>
      <c r="S509" s="36">
        <f>VLOOKUP(R509,'Commission Criteria'!$L$3:$M$11,2,TRUE)</f>
        <v>0.01</v>
      </c>
      <c r="T509" s="36">
        <f>IF(P509&lt;5,VLOOKUP(R509,'Commission Criteria'!$L$3:$M$11,2,1),VLOOKUP('Order SUmmary'!R509,'Commission Criteria'!$P$3:$Q$11,2,1))</f>
        <v>0.01</v>
      </c>
      <c r="U509" s="36">
        <f>VLOOKUP(R509,IF(P509&lt;5,'Commission Criteria'!$L$3:$M$11,'Commission Criteria'!$P$3:$Q$11),2,1)</f>
        <v>0.01</v>
      </c>
      <c r="V509" s="8" t="s">
        <v>35</v>
      </c>
      <c r="W509" s="36">
        <f t="shared" ca="1" si="24"/>
        <v>0.01</v>
      </c>
      <c r="X509" s="8" t="str">
        <f>_xlfn.XLOOKUP(F509,'Product List'!$B$1:$B$299,'Product List'!$A$1:$A$299)</f>
        <v>Xerox 1886</v>
      </c>
      <c r="Y509" s="8"/>
      <c r="Z509" s="8" t="str" cm="1">
        <f t="array" ref="Z509:AD509">_xlfn.XLOOKUP(D509,'Customer Details'!$A$1:$A$17,'Customer Details'!$B$1:$F$17,"No such customer",0,1)</f>
        <v>Hindusthan National Glass &amp; Industries Ltd.</v>
      </c>
      <c r="AA509" s="8" t="str">
        <v>11 Cathy St.</v>
      </c>
      <c r="AB509" s="8" t="str">
        <v>Honolulu</v>
      </c>
      <c r="AC509" s="8" t="str">
        <v>HI</v>
      </c>
      <c r="AD509" s="8" t="str">
        <v>96825</v>
      </c>
    </row>
    <row r="510" spans="1:30">
      <c r="A510" s="8" t="s">
        <v>631</v>
      </c>
      <c r="B510" s="19">
        <v>41766</v>
      </c>
      <c r="C510" s="8" t="s">
        <v>36</v>
      </c>
      <c r="D510" s="8">
        <v>10005</v>
      </c>
      <c r="E510" s="8" t="str">
        <f>VLOOKUP($D510,'Customer Details'!$A$1:$F$17,4,FALSE)</f>
        <v>Goleta</v>
      </c>
      <c r="F510" s="8" t="s">
        <v>122</v>
      </c>
      <c r="G510" s="8">
        <v>2</v>
      </c>
      <c r="H510" s="2" t="str">
        <f>VLOOKUP($D510,'Customer Details'!$A$1:$F$17,MATCH('Order SUmmary'!H$2,'Customer Details'!$A$1:$F$1,0),0)</f>
        <v>Fortis Healthcare Ltd.</v>
      </c>
      <c r="I510" s="2" t="str">
        <f>VLOOKUP($D510,'Customer Details'!$A$1:$F$17,4,0)</f>
        <v>Goleta</v>
      </c>
      <c r="J510" s="2" t="str">
        <f>VLOOKUP($D510,'Customer Details'!$A$1:$F$17,6,0)</f>
        <v>93117</v>
      </c>
      <c r="K510" s="8" t="str">
        <f>VLOOKUP(VLOOKUP(D510,'Customer Details'!$A$1:$F$17,5,0),'Region INfo'!$A$1:$C$52,3,0)</f>
        <v xml:space="preserve">Pacific   </v>
      </c>
      <c r="L510" s="8" t="str">
        <f>INDEX(Product_List,MATCH($F510,'Product List'!$B$1:$B$299,0),MATCH('Order SUmmary'!L$2,'Product List'!$A$1:$E$1,0))</f>
        <v>Avery 510</v>
      </c>
      <c r="M510" s="8">
        <f>INDEX(Product_List,MATCH($F510,'Product List'!$B$1:$B$299,0),MATCH('Order SUmmary'!M$2,'Product List'!$A$1:$E$1,0))</f>
        <v>4788</v>
      </c>
      <c r="N510" s="8">
        <f>INDEX(Product_List,MATCH($F510,'Product List'!$B$1:$B$299,0),MATCH('Order SUmmary'!N$2,'Product List'!$A$1:$E$1,0))</f>
        <v>2063</v>
      </c>
      <c r="O510" s="8" t="str">
        <f>INDEX(Product_List,MATCH($F510,'Product List'!$B$1:$B$299,0),MATCH('Order SUmmary'!O$2,'Product List'!$A$1:$E$1,0))</f>
        <v>Labels</v>
      </c>
      <c r="P510" s="12">
        <f>HLOOKUP(C510,'Commission Criteria'!$A$2:$I$4,3,FALSE)</f>
        <v>6</v>
      </c>
      <c r="Q510" s="8">
        <f t="shared" si="22"/>
        <v>4126</v>
      </c>
      <c r="R510" s="8">
        <f t="shared" si="23"/>
        <v>9576</v>
      </c>
      <c r="S510" s="36">
        <f>VLOOKUP(R510,'Commission Criteria'!$L$3:$M$11,2,TRUE)</f>
        <v>0.03</v>
      </c>
      <c r="T510" s="36">
        <f>IF(P510&lt;5,VLOOKUP(R510,'Commission Criteria'!$L$3:$M$11,2,1),VLOOKUP('Order SUmmary'!R510,'Commission Criteria'!$P$3:$Q$11,2,1))</f>
        <v>0.02</v>
      </c>
      <c r="U510" s="36">
        <f>VLOOKUP(R510,IF(P510&lt;5,'Commission Criteria'!$L$3:$M$11,'Commission Criteria'!$P$3:$Q$11),2,1)</f>
        <v>0.02</v>
      </c>
      <c r="V510" s="8" t="s">
        <v>29</v>
      </c>
      <c r="W510" s="36">
        <f t="shared" ca="1" si="24"/>
        <v>0.03</v>
      </c>
      <c r="X510" s="8" t="str">
        <f>_xlfn.XLOOKUP(F510,'Product List'!$B$1:$B$299,'Product List'!$A$1:$A$299)</f>
        <v>Avery 510</v>
      </c>
      <c r="Y510" s="8"/>
      <c r="Z510" s="8" t="str" cm="1">
        <f t="array" ref="Z510:AD510">_xlfn.XLOOKUP(D510,'Customer Details'!$A$1:$A$17,'Customer Details'!$B$1:$F$17,"No such customer",0,1)</f>
        <v>Fortis Healthcare Ltd.</v>
      </c>
      <c r="AA510" s="8" t="str">
        <v>14 Elsworthy Terrace</v>
      </c>
      <c r="AB510" s="8" t="str">
        <v>Goleta</v>
      </c>
      <c r="AC510" s="8" t="str">
        <v>CA</v>
      </c>
      <c r="AD510" s="8" t="str">
        <v>93117</v>
      </c>
    </row>
    <row r="511" spans="1:30">
      <c r="A511" s="8" t="s">
        <v>632</v>
      </c>
      <c r="B511" s="19">
        <v>41770</v>
      </c>
      <c r="C511" s="8" t="s">
        <v>36</v>
      </c>
      <c r="D511" s="8">
        <v>10012</v>
      </c>
      <c r="E511" s="8" t="str">
        <f>VLOOKUP($D511,'Customer Details'!$A$1:$F$17,4,FALSE)</f>
        <v>Santa Barbara</v>
      </c>
      <c r="F511" s="8" t="s">
        <v>131</v>
      </c>
      <c r="G511" s="8">
        <v>2</v>
      </c>
      <c r="H511" s="2" t="str">
        <f>VLOOKUP($D511,'Customer Details'!$A$1:$F$17,MATCH('Order SUmmary'!H$2,'Customer Details'!$A$1:$F$1,0),0)</f>
        <v>Dynamatic Technologies Ltd.</v>
      </c>
      <c r="I511" s="2" t="str">
        <f>VLOOKUP($D511,'Customer Details'!$A$1:$F$17,4,0)</f>
        <v>Santa Barbara</v>
      </c>
      <c r="J511" s="2" t="str">
        <f>VLOOKUP($D511,'Customer Details'!$A$1:$F$17,6,0)</f>
        <v>93110</v>
      </c>
      <c r="K511" s="8" t="str">
        <f>VLOOKUP(VLOOKUP(D511,'Customer Details'!$A$1:$F$17,5,0),'Region INfo'!$A$1:$C$52,3,0)</f>
        <v xml:space="preserve">Pacific   </v>
      </c>
      <c r="L511" s="8" t="str">
        <f>INDEX(Product_List,MATCH($F511,'Product List'!$B$1:$B$299,0),MATCH('Order SUmmary'!L$2,'Product List'!$A$1:$E$1,0))</f>
        <v>Avery 490</v>
      </c>
      <c r="M511" s="8">
        <f>INDEX(Product_List,MATCH($F511,'Product List'!$B$1:$B$299,0),MATCH('Order SUmmary'!M$2,'Product List'!$A$1:$E$1,0))</f>
        <v>3303</v>
      </c>
      <c r="N511" s="8">
        <f>INDEX(Product_List,MATCH($F511,'Product List'!$B$1:$B$299,0),MATCH('Order SUmmary'!N$2,'Product List'!$A$1:$E$1,0))</f>
        <v>2271</v>
      </c>
      <c r="O511" s="8" t="str">
        <f>INDEX(Product_List,MATCH($F511,'Product List'!$B$1:$B$299,0),MATCH('Order SUmmary'!O$2,'Product List'!$A$1:$E$1,0))</f>
        <v>Labels</v>
      </c>
      <c r="P511" s="12">
        <f>HLOOKUP(C511,'Commission Criteria'!$A$2:$I$4,3,FALSE)</f>
        <v>6</v>
      </c>
      <c r="Q511" s="8">
        <f t="shared" si="22"/>
        <v>4542</v>
      </c>
      <c r="R511" s="8">
        <f t="shared" si="23"/>
        <v>6606</v>
      </c>
      <c r="S511" s="36">
        <f>VLOOKUP(R511,'Commission Criteria'!$L$3:$M$11,2,TRUE)</f>
        <v>0.03</v>
      </c>
      <c r="T511" s="36">
        <f>IF(P511&lt;5,VLOOKUP(R511,'Commission Criteria'!$L$3:$M$11,2,1),VLOOKUP('Order SUmmary'!R511,'Commission Criteria'!$P$3:$Q$11,2,1))</f>
        <v>0.02</v>
      </c>
      <c r="U511" s="36">
        <f>VLOOKUP(R511,IF(P511&lt;5,'Commission Criteria'!$L$3:$M$11,'Commission Criteria'!$P$3:$Q$11),2,1)</f>
        <v>0.02</v>
      </c>
      <c r="V511" s="8" t="s">
        <v>43</v>
      </c>
      <c r="W511" s="36">
        <f t="shared" ca="1" si="24"/>
        <v>0.01</v>
      </c>
      <c r="X511" s="8" t="str">
        <f>_xlfn.XLOOKUP(F511,'Product List'!$B$1:$B$299,'Product List'!$A$1:$A$299)</f>
        <v>Avery 490</v>
      </c>
      <c r="Y511" s="8"/>
      <c r="Z511" s="8" t="str" cm="1">
        <f t="array" ref="Z511:AD511">_xlfn.XLOOKUP(D511,'Customer Details'!$A$1:$A$17,'Customer Details'!$B$1:$F$17,"No such customer",0,1)</f>
        <v>Dynamatic Technologies Ltd.</v>
      </c>
      <c r="AA511" s="8" t="str">
        <v>402 Pinkster Lane</v>
      </c>
      <c r="AB511" s="8" t="str">
        <v>Santa Barbara</v>
      </c>
      <c r="AC511" s="8" t="str">
        <v>CA</v>
      </c>
      <c r="AD511" s="8" t="str">
        <v>93110</v>
      </c>
    </row>
    <row r="512" spans="1:30">
      <c r="A512" s="8" t="s">
        <v>633</v>
      </c>
      <c r="B512" s="19">
        <v>41774</v>
      </c>
      <c r="C512" s="8" t="s">
        <v>51</v>
      </c>
      <c r="D512" s="8">
        <v>10009</v>
      </c>
      <c r="E512" s="8" t="str">
        <f>VLOOKUP($D512,'Customer Details'!$A$1:$F$17,4,FALSE)</f>
        <v>Salt Lake City</v>
      </c>
      <c r="F512" s="8" t="s">
        <v>291</v>
      </c>
      <c r="G512" s="8">
        <v>1</v>
      </c>
      <c r="H512" s="2" t="str">
        <f>VLOOKUP($D512,'Customer Details'!$A$1:$F$17,MATCH('Order SUmmary'!H$2,'Customer Details'!$A$1:$F$1,0),0)</f>
        <v>Godfrey Philips India Ltd.</v>
      </c>
      <c r="I512" s="2" t="str">
        <f>VLOOKUP($D512,'Customer Details'!$A$1:$F$17,4,0)</f>
        <v>Salt Lake City</v>
      </c>
      <c r="J512" s="2" t="str">
        <f>VLOOKUP($D512,'Customer Details'!$A$1:$F$17,6,0)</f>
        <v>84118</v>
      </c>
      <c r="K512" s="8" t="str">
        <f>VLOOKUP(VLOOKUP(D512,'Customer Details'!$A$1:$F$17,5,0),'Region INfo'!$A$1:$C$52,3,0)</f>
        <v xml:space="preserve">Pacific   </v>
      </c>
      <c r="L512" s="8" t="str">
        <f>INDEX(Product_List,MATCH($F512,'Product List'!$B$1:$B$299,0),MATCH('Order SUmmary'!L$2,'Product List'!$A$1:$E$1,0))</f>
        <v>Xerox 1990</v>
      </c>
      <c r="M512" s="8">
        <f>INDEX(Product_List,MATCH($F512,'Product List'!$B$1:$B$299,0),MATCH('Order SUmmary'!M$2,'Product List'!$A$1:$E$1,0))</f>
        <v>3330</v>
      </c>
      <c r="N512" s="8">
        <f>INDEX(Product_List,MATCH($F512,'Product List'!$B$1:$B$299,0),MATCH('Order SUmmary'!N$2,'Product List'!$A$1:$E$1,0))</f>
        <v>2283</v>
      </c>
      <c r="O512" s="8" t="str">
        <f>INDEX(Product_List,MATCH($F512,'Product List'!$B$1:$B$299,0),MATCH('Order SUmmary'!O$2,'Product List'!$A$1:$E$1,0))</f>
        <v>Paper</v>
      </c>
      <c r="P512" s="12">
        <f>HLOOKUP(C512,'Commission Criteria'!$A$2:$I$4,3,FALSE)</f>
        <v>10</v>
      </c>
      <c r="Q512" s="8">
        <f t="shared" si="22"/>
        <v>2283</v>
      </c>
      <c r="R512" s="8">
        <f t="shared" si="23"/>
        <v>3330</v>
      </c>
      <c r="S512" s="36">
        <f>VLOOKUP(R512,'Commission Criteria'!$L$3:$M$11,2,TRUE)</f>
        <v>0.01</v>
      </c>
      <c r="T512" s="36">
        <f>IF(P512&lt;5,VLOOKUP(R512,'Commission Criteria'!$L$3:$M$11,2,1),VLOOKUP('Order SUmmary'!R512,'Commission Criteria'!$P$3:$Q$11,2,1))</f>
        <v>0.02</v>
      </c>
      <c r="U512" s="36">
        <f>VLOOKUP(R512,IF(P512&lt;5,'Commission Criteria'!$L$3:$M$11,'Commission Criteria'!$P$3:$Q$11),2,1)</f>
        <v>0.02</v>
      </c>
      <c r="V512" s="8" t="s">
        <v>40</v>
      </c>
      <c r="W512" s="36">
        <f t="shared" ca="1" si="24"/>
        <v>0.03</v>
      </c>
      <c r="X512" s="8" t="str">
        <f>_xlfn.XLOOKUP(F512,'Product List'!$B$1:$B$299,'Product List'!$A$1:$A$299)</f>
        <v>Xerox 1990</v>
      </c>
      <c r="Y512" s="8"/>
      <c r="Z512" s="8" t="str" cm="1">
        <f t="array" ref="Z512:AD512">_xlfn.XLOOKUP(D512,'Customer Details'!$A$1:$A$17,'Customer Details'!$B$1:$F$17,"No such customer",0,1)</f>
        <v>Godfrey Philips India Ltd.</v>
      </c>
      <c r="AA512" s="8" t="str">
        <v>20501 Ania Ave #2</v>
      </c>
      <c r="AB512" s="8" t="str">
        <v>Salt Lake City</v>
      </c>
      <c r="AC512" s="8" t="str">
        <v>UT</v>
      </c>
      <c r="AD512" s="8" t="str">
        <v>84118</v>
      </c>
    </row>
    <row r="513" spans="1:30">
      <c r="A513" s="8" t="s">
        <v>634</v>
      </c>
      <c r="B513" s="19">
        <v>41777</v>
      </c>
      <c r="C513" s="8" t="s">
        <v>51</v>
      </c>
      <c r="D513" s="8">
        <v>10014</v>
      </c>
      <c r="E513" s="8" t="str">
        <f>VLOOKUP($D513,'Customer Details'!$A$1:$F$17,4,FALSE)</f>
        <v>Honolulu</v>
      </c>
      <c r="F513" s="8" t="s">
        <v>145</v>
      </c>
      <c r="G513" s="8">
        <v>1</v>
      </c>
      <c r="H513" s="2" t="str">
        <f>VLOOKUP($D513,'Customer Details'!$A$1:$F$17,MATCH('Order SUmmary'!H$2,'Customer Details'!$A$1:$F$1,0),0)</f>
        <v>Hindusthan National Glass &amp; Industries Ltd.</v>
      </c>
      <c r="I513" s="2" t="str">
        <f>VLOOKUP($D513,'Customer Details'!$A$1:$F$17,4,0)</f>
        <v>Honolulu</v>
      </c>
      <c r="J513" s="2" t="str">
        <f>VLOOKUP($D513,'Customer Details'!$A$1:$F$17,6,0)</f>
        <v>96825</v>
      </c>
      <c r="K513" s="8" t="str">
        <f>VLOOKUP(VLOOKUP(D513,'Customer Details'!$A$1:$F$17,5,0),'Region INfo'!$A$1:$C$52,3,0)</f>
        <v xml:space="preserve">Pacific   </v>
      </c>
      <c r="L513" s="8" t="str">
        <f>INDEX(Product_List,MATCH($F513,'Product List'!$B$1:$B$299,0),MATCH('Order SUmmary'!L$2,'Product List'!$A$1:$E$1,0))</f>
        <v>Xerox 1913</v>
      </c>
      <c r="M513" s="8">
        <f>INDEX(Product_List,MATCH($F513,'Product List'!$B$1:$B$299,0),MATCH('Order SUmmary'!M$2,'Product List'!$A$1:$E$1,0))</f>
        <v>2547</v>
      </c>
      <c r="N513" s="8">
        <f>INDEX(Product_List,MATCH($F513,'Product List'!$B$1:$B$299,0),MATCH('Order SUmmary'!N$2,'Product List'!$A$1:$E$1,0))</f>
        <v>1419</v>
      </c>
      <c r="O513" s="8" t="str">
        <f>INDEX(Product_List,MATCH($F513,'Product List'!$B$1:$B$299,0),MATCH('Order SUmmary'!O$2,'Product List'!$A$1:$E$1,0))</f>
        <v>Paper</v>
      </c>
      <c r="P513" s="12">
        <f>HLOOKUP(C513,'Commission Criteria'!$A$2:$I$4,3,FALSE)</f>
        <v>10</v>
      </c>
      <c r="Q513" s="8">
        <f t="shared" si="22"/>
        <v>1419</v>
      </c>
      <c r="R513" s="8">
        <f t="shared" si="23"/>
        <v>2547</v>
      </c>
      <c r="S513" s="36">
        <f>VLOOKUP(R513,'Commission Criteria'!$L$3:$M$11,2,TRUE)</f>
        <v>0.01</v>
      </c>
      <c r="T513" s="36">
        <f>IF(P513&lt;5,VLOOKUP(R513,'Commission Criteria'!$L$3:$M$11,2,1),VLOOKUP('Order SUmmary'!R513,'Commission Criteria'!$P$3:$Q$11,2,1))</f>
        <v>0.02</v>
      </c>
      <c r="U513" s="36">
        <f>VLOOKUP(R513,IF(P513&lt;5,'Commission Criteria'!$L$3:$M$11,'Commission Criteria'!$P$3:$Q$11),2,1)</f>
        <v>0.02</v>
      </c>
      <c r="V513" s="8" t="s">
        <v>29</v>
      </c>
      <c r="W513" s="36">
        <f t="shared" ca="1" si="24"/>
        <v>0.05</v>
      </c>
      <c r="X513" s="8" t="str">
        <f>_xlfn.XLOOKUP(F513,'Product List'!$B$1:$B$299,'Product List'!$A$1:$A$299)</f>
        <v>Xerox 1913</v>
      </c>
      <c r="Y513" s="8"/>
      <c r="Z513" s="8" t="str" cm="1">
        <f t="array" ref="Z513:AD513">_xlfn.XLOOKUP(D513,'Customer Details'!$A$1:$A$17,'Customer Details'!$B$1:$F$17,"No such customer",0,1)</f>
        <v>Hindusthan National Glass &amp; Industries Ltd.</v>
      </c>
      <c r="AA513" s="8" t="str">
        <v>11 Cathy St.</v>
      </c>
      <c r="AB513" s="8" t="str">
        <v>Honolulu</v>
      </c>
      <c r="AC513" s="8" t="str">
        <v>HI</v>
      </c>
      <c r="AD513" s="8" t="str">
        <v>96825</v>
      </c>
    </row>
    <row r="514" spans="1:30">
      <c r="A514" s="8" t="s">
        <v>634</v>
      </c>
      <c r="B514" s="19">
        <v>41777</v>
      </c>
      <c r="C514" s="8" t="s">
        <v>51</v>
      </c>
      <c r="D514" s="8">
        <v>10005</v>
      </c>
      <c r="E514" s="8" t="str">
        <f>VLOOKUP($D514,'Customer Details'!$A$1:$F$17,4,FALSE)</f>
        <v>Goleta</v>
      </c>
      <c r="F514" s="8" t="s">
        <v>511</v>
      </c>
      <c r="G514" s="8">
        <v>1</v>
      </c>
      <c r="H514" s="2" t="str">
        <f>VLOOKUP($D514,'Customer Details'!$A$1:$F$17,MATCH('Order SUmmary'!H$2,'Customer Details'!$A$1:$F$1,0),0)</f>
        <v>Fortis Healthcare Ltd.</v>
      </c>
      <c r="I514" s="2" t="str">
        <f>VLOOKUP($D514,'Customer Details'!$A$1:$F$17,4,0)</f>
        <v>Goleta</v>
      </c>
      <c r="J514" s="2" t="str">
        <f>VLOOKUP($D514,'Customer Details'!$A$1:$F$17,6,0)</f>
        <v>93117</v>
      </c>
      <c r="K514" s="8" t="str">
        <f>VLOOKUP(VLOOKUP(D514,'Customer Details'!$A$1:$F$17,5,0),'Region INfo'!$A$1:$C$52,3,0)</f>
        <v xml:space="preserve">Pacific   </v>
      </c>
      <c r="L514" s="8" t="str">
        <f>INDEX(Product_List,MATCH($F514,'Product List'!$B$1:$B$299,0),MATCH('Order SUmmary'!L$2,'Product List'!$A$1:$E$1,0))</f>
        <v>Xerox 1999</v>
      </c>
      <c r="M514" s="8">
        <f>INDEX(Product_List,MATCH($F514,'Product List'!$B$1:$B$299,0),MATCH('Order SUmmary'!M$2,'Product List'!$A$1:$E$1,0))</f>
        <v>2612</v>
      </c>
      <c r="N514" s="8">
        <f>INDEX(Product_List,MATCH($F514,'Product List'!$B$1:$B$299,0),MATCH('Order SUmmary'!N$2,'Product List'!$A$1:$E$1,0))</f>
        <v>1994</v>
      </c>
      <c r="O514" s="8" t="str">
        <f>INDEX(Product_List,MATCH($F514,'Product List'!$B$1:$B$299,0),MATCH('Order SUmmary'!O$2,'Product List'!$A$1:$E$1,0))</f>
        <v>Paper</v>
      </c>
      <c r="P514" s="12">
        <f>HLOOKUP(C514,'Commission Criteria'!$A$2:$I$4,3,FALSE)</f>
        <v>10</v>
      </c>
      <c r="Q514" s="8">
        <f t="shared" si="22"/>
        <v>1994</v>
      </c>
      <c r="R514" s="8">
        <f t="shared" si="23"/>
        <v>2612</v>
      </c>
      <c r="S514" s="36">
        <f>VLOOKUP(R514,'Commission Criteria'!$L$3:$M$11,2,TRUE)</f>
        <v>0.01</v>
      </c>
      <c r="T514" s="36">
        <f>IF(P514&lt;5,VLOOKUP(R514,'Commission Criteria'!$L$3:$M$11,2,1),VLOOKUP('Order SUmmary'!R514,'Commission Criteria'!$P$3:$Q$11,2,1))</f>
        <v>0.02</v>
      </c>
      <c r="U514" s="36">
        <f>VLOOKUP(R514,IF(P514&lt;5,'Commission Criteria'!$L$3:$M$11,'Commission Criteria'!$P$3:$Q$11),2,1)</f>
        <v>0.02</v>
      </c>
      <c r="V514" s="8" t="s">
        <v>29</v>
      </c>
      <c r="W514" s="36">
        <f t="shared" ca="1" si="24"/>
        <v>0.03</v>
      </c>
      <c r="X514" s="8" t="str">
        <f>_xlfn.XLOOKUP(F514,'Product List'!$B$1:$B$299,'Product List'!$A$1:$A$299)</f>
        <v>Xerox 1999</v>
      </c>
      <c r="Y514" s="8"/>
      <c r="Z514" s="8" t="str" cm="1">
        <f t="array" ref="Z514:AD514">_xlfn.XLOOKUP(D514,'Customer Details'!$A$1:$A$17,'Customer Details'!$B$1:$F$17,"No such customer",0,1)</f>
        <v>Fortis Healthcare Ltd.</v>
      </c>
      <c r="AA514" s="8" t="str">
        <v>14 Elsworthy Terrace</v>
      </c>
      <c r="AB514" s="8" t="str">
        <v>Goleta</v>
      </c>
      <c r="AC514" s="8" t="str">
        <v>CA</v>
      </c>
      <c r="AD514" s="8" t="str">
        <v>93117</v>
      </c>
    </row>
    <row r="515" spans="1:30">
      <c r="A515" s="8" t="s">
        <v>635</v>
      </c>
      <c r="B515" s="19">
        <v>41777</v>
      </c>
      <c r="C515" s="8" t="s">
        <v>66</v>
      </c>
      <c r="D515" s="8">
        <v>10008</v>
      </c>
      <c r="E515" s="8" t="str">
        <f>VLOOKUP($D515,'Customer Details'!$A$1:$F$17,4,FALSE)</f>
        <v>Chestnut Ridge</v>
      </c>
      <c r="F515" s="8" t="s">
        <v>151</v>
      </c>
      <c r="G515" s="8">
        <v>1</v>
      </c>
      <c r="H515" s="2" t="str">
        <f>VLOOKUP($D515,'Customer Details'!$A$1:$F$17,MATCH('Order SUmmary'!H$2,'Customer Details'!$A$1:$F$1,0),0)</f>
        <v>Reliance Industries Limited</v>
      </c>
      <c r="I515" s="2" t="str">
        <f>VLOOKUP($D515,'Customer Details'!$A$1:$F$17,4,0)</f>
        <v>Chestnut Ridge</v>
      </c>
      <c r="J515" s="2" t="str">
        <f>VLOOKUP($D515,'Customer Details'!$A$1:$F$17,6,0)</f>
        <v>10977</v>
      </c>
      <c r="K515" s="8" t="str">
        <f>VLOOKUP(VLOOKUP(D515,'Customer Details'!$A$1:$F$17,5,0),'Region INfo'!$A$1:$C$52,3,0)</f>
        <v xml:space="preserve">Northern </v>
      </c>
      <c r="L515" s="8" t="str">
        <f>INDEX(Product_List,MATCH($F515,'Product List'!$B$1:$B$299,0),MATCH('Order SUmmary'!L$2,'Product List'!$A$1:$E$1,0))</f>
        <v>Newell 346</v>
      </c>
      <c r="M515" s="8">
        <f>INDEX(Product_List,MATCH($F515,'Product List'!$B$1:$B$299,0),MATCH('Order SUmmary'!M$2,'Product List'!$A$1:$E$1,0))</f>
        <v>3039</v>
      </c>
      <c r="N515" s="8">
        <f>INDEX(Product_List,MATCH($F515,'Product List'!$B$1:$B$299,0),MATCH('Order SUmmary'!N$2,'Product List'!$A$1:$E$1,0))</f>
        <v>2426</v>
      </c>
      <c r="O515" s="8" t="str">
        <f>INDEX(Product_List,MATCH($F515,'Product List'!$B$1:$B$299,0),MATCH('Order SUmmary'!O$2,'Product List'!$A$1:$E$1,0))</f>
        <v>Art</v>
      </c>
      <c r="P515" s="12">
        <f>HLOOKUP(C515,'Commission Criteria'!$A$2:$I$4,3,FALSE)</f>
        <v>5</v>
      </c>
      <c r="Q515" s="8">
        <f t="shared" si="22"/>
        <v>2426</v>
      </c>
      <c r="R515" s="8">
        <f t="shared" si="23"/>
        <v>3039</v>
      </c>
      <c r="S515" s="36">
        <f>VLOOKUP(R515,'Commission Criteria'!$L$3:$M$11,2,TRUE)</f>
        <v>0.01</v>
      </c>
      <c r="T515" s="36">
        <f>IF(P515&lt;5,VLOOKUP(R515,'Commission Criteria'!$L$3:$M$11,2,1),VLOOKUP('Order SUmmary'!R515,'Commission Criteria'!$P$3:$Q$11,2,1))</f>
        <v>0.02</v>
      </c>
      <c r="U515" s="36">
        <f>VLOOKUP(R515,IF(P515&lt;5,'Commission Criteria'!$L$3:$M$11,'Commission Criteria'!$P$3:$Q$11),2,1)</f>
        <v>0.02</v>
      </c>
      <c r="V515" s="8" t="s">
        <v>32</v>
      </c>
      <c r="W515" s="36">
        <f t="shared" ca="1" si="24"/>
        <v>0.03</v>
      </c>
      <c r="X515" s="8" t="str">
        <f>_xlfn.XLOOKUP(F515,'Product List'!$B$1:$B$299,'Product List'!$A$1:$A$299)</f>
        <v>Newell 346</v>
      </c>
      <c r="Y515" s="8"/>
      <c r="Z515" s="8" t="str" cm="1">
        <f t="array" ref="Z515:AD515">_xlfn.XLOOKUP(D515,'Customer Details'!$A$1:$A$17,'Customer Details'!$B$1:$F$17,"No such customer",0,1)</f>
        <v>Reliance Industries Limited</v>
      </c>
      <c r="AA515" s="8" t="str">
        <v>12020 Shamrock Rd., Suite 333</v>
      </c>
      <c r="AB515" s="8" t="str">
        <v>Chestnut Ridge</v>
      </c>
      <c r="AC515" s="8" t="str">
        <v>NY</v>
      </c>
      <c r="AD515" s="8" t="str">
        <v>10977</v>
      </c>
    </row>
    <row r="516" spans="1:30">
      <c r="A516" s="8" t="s">
        <v>634</v>
      </c>
      <c r="B516" s="19">
        <v>41777</v>
      </c>
      <c r="C516" s="8" t="s">
        <v>54</v>
      </c>
      <c r="D516" s="8">
        <v>10015</v>
      </c>
      <c r="E516" s="8" t="str">
        <f>VLOOKUP($D516,'Customer Details'!$A$1:$F$17,4,FALSE)</f>
        <v>South Windsor</v>
      </c>
      <c r="F516" s="8" t="s">
        <v>476</v>
      </c>
      <c r="G516" s="8">
        <v>3</v>
      </c>
      <c r="H516" s="2" t="str">
        <f>VLOOKUP($D516,'Customer Details'!$A$1:$F$17,MATCH('Order SUmmary'!H$2,'Customer Details'!$A$1:$F$1,0),0)</f>
        <v>Punj Lloyd Ltd.</v>
      </c>
      <c r="I516" s="2" t="str">
        <f>VLOOKUP($D516,'Customer Details'!$A$1:$F$17,4,0)</f>
        <v>South Windsor</v>
      </c>
      <c r="J516" s="2" t="str">
        <f>VLOOKUP($D516,'Customer Details'!$A$1:$F$17,6,0)</f>
        <v>06074</v>
      </c>
      <c r="K516" s="8" t="str">
        <f>VLOOKUP(VLOOKUP(D516,'Customer Details'!$A$1:$F$17,5,0),'Region INfo'!$A$1:$C$52,3,0)</f>
        <v xml:space="preserve">Northern </v>
      </c>
      <c r="L516" s="8" t="str">
        <f>INDEX(Product_List,MATCH($F516,'Product List'!$B$1:$B$299,0),MATCH('Order SUmmary'!L$2,'Product List'!$A$1:$E$1,0))</f>
        <v>Xerox 200</v>
      </c>
      <c r="M516" s="8">
        <f>INDEX(Product_List,MATCH($F516,'Product List'!$B$1:$B$299,0),MATCH('Order SUmmary'!M$2,'Product List'!$A$1:$E$1,0))</f>
        <v>3555</v>
      </c>
      <c r="N516" s="8">
        <f>INDEX(Product_List,MATCH($F516,'Product List'!$B$1:$B$299,0),MATCH('Order SUmmary'!N$2,'Product List'!$A$1:$E$1,0))</f>
        <v>1564</v>
      </c>
      <c r="O516" s="8" t="str">
        <f>INDEX(Product_List,MATCH($F516,'Product List'!$B$1:$B$299,0),MATCH('Order SUmmary'!O$2,'Product List'!$A$1:$E$1,0))</f>
        <v>Paper</v>
      </c>
      <c r="P516" s="12">
        <f>HLOOKUP(C516,'Commission Criteria'!$A$2:$I$4,3,FALSE)</f>
        <v>3</v>
      </c>
      <c r="Q516" s="8">
        <f t="shared" ref="Q516:Q579" si="25">N516*G516</f>
        <v>4692</v>
      </c>
      <c r="R516" s="8">
        <f t="shared" ref="R516:R579" si="26">M516*G516</f>
        <v>10665</v>
      </c>
      <c r="S516" s="36">
        <f>VLOOKUP(R516,'Commission Criteria'!$L$3:$M$11,2,TRUE)</f>
        <v>0.03</v>
      </c>
      <c r="T516" s="36">
        <f>IF(P516&lt;5,VLOOKUP(R516,'Commission Criteria'!$L$3:$M$11,2,1),VLOOKUP('Order SUmmary'!R516,'Commission Criteria'!$P$3:$Q$11,2,1))</f>
        <v>0.03</v>
      </c>
      <c r="U516" s="36">
        <f>VLOOKUP(R516,IF(P516&lt;5,'Commission Criteria'!$L$3:$M$11,'Commission Criteria'!$P$3:$Q$11),2,1)</f>
        <v>0.03</v>
      </c>
      <c r="V516" s="8" t="s">
        <v>29</v>
      </c>
      <c r="W516" s="36">
        <f t="shared" ref="W516:W579" ca="1" si="27">VLOOKUP(F516,INDIRECT(V516&amp;"!$A$1:$B$296"),2,0)</f>
        <v>0</v>
      </c>
      <c r="X516" s="8" t="str">
        <f>_xlfn.XLOOKUP(F516,'Product List'!$B$1:$B$299,'Product List'!$A$1:$A$299)</f>
        <v>Xerox 200</v>
      </c>
      <c r="Y516" s="8"/>
      <c r="Z516" s="8" t="str" cm="1">
        <f t="array" ref="Z516:AD516">_xlfn.XLOOKUP(D516,'Customer Details'!$A$1:$A$17,'Customer Details'!$B$1:$F$17,"No such customer",0,1)</f>
        <v>Punj Lloyd Ltd.</v>
      </c>
      <c r="AA516" s="8" t="str">
        <v>Box 3263</v>
      </c>
      <c r="AB516" s="8" t="str">
        <v>South Windsor</v>
      </c>
      <c r="AC516" s="8" t="str">
        <v>CT</v>
      </c>
      <c r="AD516" s="8" t="str">
        <v>06074</v>
      </c>
    </row>
    <row r="517" spans="1:30">
      <c r="A517" s="8" t="s">
        <v>636</v>
      </c>
      <c r="B517" s="19">
        <v>41779</v>
      </c>
      <c r="C517" s="8" t="s">
        <v>36</v>
      </c>
      <c r="D517" s="8">
        <v>10007</v>
      </c>
      <c r="E517" s="8" t="str">
        <f>VLOOKUP($D517,'Customer Details'!$A$1:$F$17,4,FALSE)</f>
        <v>Richmond</v>
      </c>
      <c r="F517" s="8" t="s">
        <v>558</v>
      </c>
      <c r="G517" s="8">
        <v>1</v>
      </c>
      <c r="H517" s="2" t="str">
        <f>VLOOKUP($D517,'Customer Details'!$A$1:$F$17,MATCH('Order SUmmary'!H$2,'Customer Details'!$A$1:$F$1,0),0)</f>
        <v>GHCL Ltd.</v>
      </c>
      <c r="I517" s="2" t="str">
        <f>VLOOKUP($D517,'Customer Details'!$A$1:$F$17,4,0)</f>
        <v>Richmond</v>
      </c>
      <c r="J517" s="2" t="str">
        <f>VLOOKUP($D517,'Customer Details'!$A$1:$F$17,6,0)</f>
        <v>94805</v>
      </c>
      <c r="K517" s="8" t="str">
        <f>VLOOKUP(VLOOKUP(D517,'Customer Details'!$A$1:$F$17,5,0),'Region INfo'!$A$1:$C$52,3,0)</f>
        <v xml:space="preserve">Pacific   </v>
      </c>
      <c r="L517" s="8" t="str">
        <f>INDEX(Product_List,MATCH($F517,'Product List'!$B$1:$B$299,0),MATCH('Order SUmmary'!L$2,'Product List'!$A$1:$E$1,0))</f>
        <v>Xerox 206</v>
      </c>
      <c r="M517" s="8">
        <f>INDEX(Product_List,MATCH($F517,'Product List'!$B$1:$B$299,0),MATCH('Order SUmmary'!M$2,'Product List'!$A$1:$E$1,0))</f>
        <v>3408</v>
      </c>
      <c r="N517" s="8">
        <f>INDEX(Product_List,MATCH($F517,'Product List'!$B$1:$B$299,0),MATCH('Order SUmmary'!N$2,'Product List'!$A$1:$E$1,0))</f>
        <v>1465</v>
      </c>
      <c r="O517" s="8" t="str">
        <f>INDEX(Product_List,MATCH($F517,'Product List'!$B$1:$B$299,0),MATCH('Order SUmmary'!O$2,'Product List'!$A$1:$E$1,0))</f>
        <v>Paper</v>
      </c>
      <c r="P517" s="12">
        <f>HLOOKUP(C517,'Commission Criteria'!$A$2:$I$4,3,FALSE)</f>
        <v>6</v>
      </c>
      <c r="Q517" s="8">
        <f t="shared" si="25"/>
        <v>1465</v>
      </c>
      <c r="R517" s="8">
        <f t="shared" si="26"/>
        <v>3408</v>
      </c>
      <c r="S517" s="36">
        <f>VLOOKUP(R517,'Commission Criteria'!$L$3:$M$11,2,TRUE)</f>
        <v>0.01</v>
      </c>
      <c r="T517" s="36">
        <f>IF(P517&lt;5,VLOOKUP(R517,'Commission Criteria'!$L$3:$M$11,2,1),VLOOKUP('Order SUmmary'!R517,'Commission Criteria'!$P$3:$Q$11,2,1))</f>
        <v>0.02</v>
      </c>
      <c r="U517" s="36">
        <f>VLOOKUP(R517,IF(P517&lt;5,'Commission Criteria'!$L$3:$M$11,'Commission Criteria'!$P$3:$Q$11),2,1)</f>
        <v>0.02</v>
      </c>
      <c r="V517" s="8" t="s">
        <v>43</v>
      </c>
      <c r="W517" s="36">
        <f t="shared" ca="1" si="27"/>
        <v>0.02</v>
      </c>
      <c r="X517" s="8" t="str">
        <f>_xlfn.XLOOKUP(F517,'Product List'!$B$1:$B$299,'Product List'!$A$1:$A$299)</f>
        <v>Xerox 206</v>
      </c>
      <c r="Y517" s="8"/>
      <c r="Z517" s="8" t="str" cm="1">
        <f t="array" ref="Z517:AD517">_xlfn.XLOOKUP(D517,'Customer Details'!$A$1:$A$17,'Customer Details'!$B$1:$F$17,"No such customer",0,1)</f>
        <v>GHCL Ltd.</v>
      </c>
      <c r="AA517" s="8" t="str">
        <v>58 Clarence St</v>
      </c>
      <c r="AB517" s="8" t="str">
        <v>Richmond</v>
      </c>
      <c r="AC517" s="8" t="str">
        <v>CA</v>
      </c>
      <c r="AD517" s="8" t="str">
        <v>94805</v>
      </c>
    </row>
    <row r="518" spans="1:30">
      <c r="A518" s="8" t="s">
        <v>637</v>
      </c>
      <c r="B518" s="19">
        <v>41779</v>
      </c>
      <c r="C518" s="8" t="s">
        <v>51</v>
      </c>
      <c r="D518" s="8">
        <v>10002</v>
      </c>
      <c r="E518" s="8" t="str">
        <f>VLOOKUP($D518,'Customer Details'!$A$1:$F$17,4,FALSE)</f>
        <v>Omaha</v>
      </c>
      <c r="F518" s="8" t="s">
        <v>459</v>
      </c>
      <c r="G518" s="8">
        <v>1</v>
      </c>
      <c r="H518" s="2" t="str">
        <f>VLOOKUP($D518,'Customer Details'!$A$1:$F$17,MATCH('Order SUmmary'!H$2,'Customer Details'!$A$1:$F$1,0),0)</f>
        <v>Elder Pharmaceuticals</v>
      </c>
      <c r="I518" s="2" t="str">
        <f>VLOOKUP($D518,'Customer Details'!$A$1:$F$17,4,0)</f>
        <v>Omaha</v>
      </c>
      <c r="J518" s="2" t="str">
        <f>VLOOKUP($D518,'Customer Details'!$A$1:$F$17,6,0)</f>
        <v>68127</v>
      </c>
      <c r="K518" s="8" t="str">
        <f>VLOOKUP(VLOOKUP(D518,'Customer Details'!$A$1:$F$17,5,0),'Region INfo'!$A$1:$C$52,3,0)</f>
        <v>Western</v>
      </c>
      <c r="L518" s="8" t="str">
        <f>INDEX(Product_List,MATCH($F518,'Product List'!$B$1:$B$299,0),MATCH('Order SUmmary'!L$2,'Product List'!$A$1:$E$1,0))</f>
        <v>Xerox 1917</v>
      </c>
      <c r="M518" s="8">
        <f>INDEX(Product_List,MATCH($F518,'Product List'!$B$1:$B$299,0),MATCH('Order SUmmary'!M$2,'Product List'!$A$1:$E$1,0))</f>
        <v>3722</v>
      </c>
      <c r="N518" s="8">
        <f>INDEX(Product_List,MATCH($F518,'Product List'!$B$1:$B$299,0),MATCH('Order SUmmary'!N$2,'Product List'!$A$1:$E$1,0))</f>
        <v>1790</v>
      </c>
      <c r="O518" s="8" t="str">
        <f>INDEX(Product_List,MATCH($F518,'Product List'!$B$1:$B$299,0),MATCH('Order SUmmary'!O$2,'Product List'!$A$1:$E$1,0))</f>
        <v>Paper</v>
      </c>
      <c r="P518" s="12">
        <f>HLOOKUP(C518,'Commission Criteria'!$A$2:$I$4,3,FALSE)</f>
        <v>10</v>
      </c>
      <c r="Q518" s="8">
        <f t="shared" si="25"/>
        <v>1790</v>
      </c>
      <c r="R518" s="8">
        <f t="shared" si="26"/>
        <v>3722</v>
      </c>
      <c r="S518" s="36">
        <f>VLOOKUP(R518,'Commission Criteria'!$L$3:$M$11,2,TRUE)</f>
        <v>0.01</v>
      </c>
      <c r="T518" s="36">
        <f>IF(P518&lt;5,VLOOKUP(R518,'Commission Criteria'!$L$3:$M$11,2,1),VLOOKUP('Order SUmmary'!R518,'Commission Criteria'!$P$3:$Q$11,2,1))</f>
        <v>0.02</v>
      </c>
      <c r="U518" s="36">
        <f>VLOOKUP(R518,IF(P518&lt;5,'Commission Criteria'!$L$3:$M$11,'Commission Criteria'!$P$3:$Q$11),2,1)</f>
        <v>0.02</v>
      </c>
      <c r="V518" s="8" t="s">
        <v>32</v>
      </c>
      <c r="W518" s="36">
        <f t="shared" ca="1" si="27"/>
        <v>0.01</v>
      </c>
      <c r="X518" s="8" t="str">
        <f>_xlfn.XLOOKUP(F518,'Product List'!$B$1:$B$299,'Product List'!$A$1:$A$299)</f>
        <v>Xerox 1917</v>
      </c>
      <c r="Y518" s="8"/>
      <c r="Z518" s="8" t="str" cm="1">
        <f t="array" ref="Z518:AD518">_xlfn.XLOOKUP(D518,'Customer Details'!$A$1:$A$17,'Customer Details'!$B$1:$F$17,"No such customer",0,1)</f>
        <v>Elder Pharmaceuticals</v>
      </c>
      <c r="AA518" s="8" t="str">
        <v>57 Neriba Cres</v>
      </c>
      <c r="AB518" s="8" t="str">
        <v>Omaha</v>
      </c>
      <c r="AC518" s="8" t="str">
        <v>NE</v>
      </c>
      <c r="AD518" s="8" t="str">
        <v>68127</v>
      </c>
    </row>
    <row r="519" spans="1:30">
      <c r="A519" s="8" t="s">
        <v>636</v>
      </c>
      <c r="B519" s="19">
        <v>41779</v>
      </c>
      <c r="C519" s="8" t="s">
        <v>27</v>
      </c>
      <c r="D519" s="8">
        <v>10014</v>
      </c>
      <c r="E519" s="8" t="str">
        <f>VLOOKUP($D519,'Customer Details'!$A$1:$F$17,4,FALSE)</f>
        <v>Honolulu</v>
      </c>
      <c r="F519" s="8" t="s">
        <v>487</v>
      </c>
      <c r="G519" s="8">
        <v>2</v>
      </c>
      <c r="H519" s="2" t="str">
        <f>VLOOKUP($D519,'Customer Details'!$A$1:$F$17,MATCH('Order SUmmary'!H$2,'Customer Details'!$A$1:$F$1,0),0)</f>
        <v>Hindusthan National Glass &amp; Industries Ltd.</v>
      </c>
      <c r="I519" s="2" t="str">
        <f>VLOOKUP($D519,'Customer Details'!$A$1:$F$17,4,0)</f>
        <v>Honolulu</v>
      </c>
      <c r="J519" s="2" t="str">
        <f>VLOOKUP($D519,'Customer Details'!$A$1:$F$17,6,0)</f>
        <v>96825</v>
      </c>
      <c r="K519" s="8" t="str">
        <f>VLOOKUP(VLOOKUP(D519,'Customer Details'!$A$1:$F$17,5,0),'Region INfo'!$A$1:$C$52,3,0)</f>
        <v xml:space="preserve">Pacific   </v>
      </c>
      <c r="L519" s="8" t="str">
        <f>INDEX(Product_List,MATCH($F519,'Product List'!$B$1:$B$299,0),MATCH('Order SUmmary'!L$2,'Product List'!$A$1:$E$1,0))</f>
        <v>Xerox 1949</v>
      </c>
      <c r="M519" s="8">
        <f>INDEX(Product_List,MATCH($F519,'Product List'!$B$1:$B$299,0),MATCH('Order SUmmary'!M$2,'Product List'!$A$1:$E$1,0))</f>
        <v>3197</v>
      </c>
      <c r="N519" s="8">
        <f>INDEX(Product_List,MATCH($F519,'Product List'!$B$1:$B$299,0),MATCH('Order SUmmary'!N$2,'Product List'!$A$1:$E$1,0))</f>
        <v>1625</v>
      </c>
      <c r="O519" s="8" t="str">
        <f>INDEX(Product_List,MATCH($F519,'Product List'!$B$1:$B$299,0),MATCH('Order SUmmary'!O$2,'Product List'!$A$1:$E$1,0))</f>
        <v>Paper</v>
      </c>
      <c r="P519" s="12">
        <f>HLOOKUP(C519,'Commission Criteria'!$A$2:$I$4,3,FALSE)</f>
        <v>4</v>
      </c>
      <c r="Q519" s="8">
        <f t="shared" si="25"/>
        <v>3250</v>
      </c>
      <c r="R519" s="8">
        <f t="shared" si="26"/>
        <v>6394</v>
      </c>
      <c r="S519" s="36">
        <f>VLOOKUP(R519,'Commission Criteria'!$L$3:$M$11,2,TRUE)</f>
        <v>0.03</v>
      </c>
      <c r="T519" s="36">
        <f>IF(P519&lt;5,VLOOKUP(R519,'Commission Criteria'!$L$3:$M$11,2,1),VLOOKUP('Order SUmmary'!R519,'Commission Criteria'!$P$3:$Q$11,2,1))</f>
        <v>0.03</v>
      </c>
      <c r="U519" s="36">
        <f>VLOOKUP(R519,IF(P519&lt;5,'Commission Criteria'!$L$3:$M$11,'Commission Criteria'!$P$3:$Q$11),2,1)</f>
        <v>0.03</v>
      </c>
      <c r="V519" s="8" t="s">
        <v>35</v>
      </c>
      <c r="W519" s="36">
        <f t="shared" ca="1" si="27"/>
        <v>0.05</v>
      </c>
      <c r="X519" s="8" t="str">
        <f>_xlfn.XLOOKUP(F519,'Product List'!$B$1:$B$299,'Product List'!$A$1:$A$299)</f>
        <v>Xerox 1949</v>
      </c>
      <c r="Y519" s="8"/>
      <c r="Z519" s="8" t="str" cm="1">
        <f t="array" ref="Z519:AD519">_xlfn.XLOOKUP(D519,'Customer Details'!$A$1:$A$17,'Customer Details'!$B$1:$F$17,"No such customer",0,1)</f>
        <v>Hindusthan National Glass &amp; Industries Ltd.</v>
      </c>
      <c r="AA519" s="8" t="str">
        <v>11 Cathy St.</v>
      </c>
      <c r="AB519" s="8" t="str">
        <v>Honolulu</v>
      </c>
      <c r="AC519" s="8" t="str">
        <v>HI</v>
      </c>
      <c r="AD519" s="8" t="str">
        <v>96825</v>
      </c>
    </row>
    <row r="520" spans="1:30">
      <c r="A520" s="8" t="s">
        <v>636</v>
      </c>
      <c r="B520" s="19">
        <v>41779</v>
      </c>
      <c r="C520" s="8" t="s">
        <v>33</v>
      </c>
      <c r="D520" s="8">
        <v>10014</v>
      </c>
      <c r="E520" s="8" t="str">
        <f>VLOOKUP($D520,'Customer Details'!$A$1:$F$17,4,FALSE)</f>
        <v>Honolulu</v>
      </c>
      <c r="F520" s="8" t="s">
        <v>84</v>
      </c>
      <c r="G520" s="8">
        <v>3</v>
      </c>
      <c r="H520" s="2" t="str">
        <f>VLOOKUP($D520,'Customer Details'!$A$1:$F$17,MATCH('Order SUmmary'!H$2,'Customer Details'!$A$1:$F$1,0),0)</f>
        <v>Hindusthan National Glass &amp; Industries Ltd.</v>
      </c>
      <c r="I520" s="2" t="str">
        <f>VLOOKUP($D520,'Customer Details'!$A$1:$F$17,4,0)</f>
        <v>Honolulu</v>
      </c>
      <c r="J520" s="2" t="str">
        <f>VLOOKUP($D520,'Customer Details'!$A$1:$F$17,6,0)</f>
        <v>96825</v>
      </c>
      <c r="K520" s="8" t="str">
        <f>VLOOKUP(VLOOKUP(D520,'Customer Details'!$A$1:$F$17,5,0),'Region INfo'!$A$1:$C$52,3,0)</f>
        <v xml:space="preserve">Pacific   </v>
      </c>
      <c r="L520" s="8" t="str">
        <f>INDEX(Product_List,MATCH($F520,'Product List'!$B$1:$B$299,0),MATCH('Order SUmmary'!L$2,'Product List'!$A$1:$E$1,0))</f>
        <v>Xerox 1979</v>
      </c>
      <c r="M520" s="8">
        <f>INDEX(Product_List,MATCH($F520,'Product List'!$B$1:$B$299,0),MATCH('Order SUmmary'!M$2,'Product List'!$A$1:$E$1,0))</f>
        <v>4731</v>
      </c>
      <c r="N520" s="8">
        <f>INDEX(Product_List,MATCH($F520,'Product List'!$B$1:$B$299,0),MATCH('Order SUmmary'!N$2,'Product List'!$A$1:$E$1,0))</f>
        <v>1858</v>
      </c>
      <c r="O520" s="8" t="str">
        <f>INDEX(Product_List,MATCH($F520,'Product List'!$B$1:$B$299,0),MATCH('Order SUmmary'!O$2,'Product List'!$A$1:$E$1,0))</f>
        <v>Paper</v>
      </c>
      <c r="P520" s="12">
        <f>HLOOKUP(C520,'Commission Criteria'!$A$2:$I$4,3,FALSE)</f>
        <v>1</v>
      </c>
      <c r="Q520" s="8">
        <f t="shared" si="25"/>
        <v>5574</v>
      </c>
      <c r="R520" s="8">
        <f t="shared" si="26"/>
        <v>14193</v>
      </c>
      <c r="S520" s="36">
        <f>VLOOKUP(R520,'Commission Criteria'!$L$3:$M$11,2,TRUE)</f>
        <v>0.03</v>
      </c>
      <c r="T520" s="36">
        <f>IF(P520&lt;5,VLOOKUP(R520,'Commission Criteria'!$L$3:$M$11,2,1),VLOOKUP('Order SUmmary'!R520,'Commission Criteria'!$P$3:$Q$11,2,1))</f>
        <v>0.03</v>
      </c>
      <c r="U520" s="36">
        <f>VLOOKUP(R520,IF(P520&lt;5,'Commission Criteria'!$L$3:$M$11,'Commission Criteria'!$P$3:$Q$11),2,1)</f>
        <v>0.03</v>
      </c>
      <c r="V520" s="8" t="s">
        <v>50</v>
      </c>
      <c r="W520" s="36">
        <f t="shared" ca="1" si="27"/>
        <v>0.01</v>
      </c>
      <c r="X520" s="8" t="str">
        <f>_xlfn.XLOOKUP(F520,'Product List'!$B$1:$B$299,'Product List'!$A$1:$A$299)</f>
        <v>Xerox 1979</v>
      </c>
      <c r="Y520" s="8"/>
      <c r="Z520" s="8" t="str" cm="1">
        <f t="array" ref="Z520:AD520">_xlfn.XLOOKUP(D520,'Customer Details'!$A$1:$A$17,'Customer Details'!$B$1:$F$17,"No such customer",0,1)</f>
        <v>Hindusthan National Glass &amp; Industries Ltd.</v>
      </c>
      <c r="AA520" s="8" t="str">
        <v>11 Cathy St.</v>
      </c>
      <c r="AB520" s="8" t="str">
        <v>Honolulu</v>
      </c>
      <c r="AC520" s="8" t="str">
        <v>HI</v>
      </c>
      <c r="AD520" s="8" t="str">
        <v>96825</v>
      </c>
    </row>
    <row r="521" spans="1:30">
      <c r="A521" s="8" t="s">
        <v>638</v>
      </c>
      <c r="B521" s="19">
        <v>41780</v>
      </c>
      <c r="C521" s="8" t="s">
        <v>66</v>
      </c>
      <c r="D521" s="8">
        <v>10011</v>
      </c>
      <c r="E521" s="8" t="str">
        <f>VLOOKUP($D521,'Customer Details'!$A$1:$F$17,4,FALSE)</f>
        <v>Olympia</v>
      </c>
      <c r="F521" s="8" t="s">
        <v>172</v>
      </c>
      <c r="G521" s="8">
        <v>1</v>
      </c>
      <c r="H521" s="2" t="str">
        <f>VLOOKUP($D521,'Customer Details'!$A$1:$F$17,MATCH('Order SUmmary'!H$2,'Customer Details'!$A$1:$F$1,0),0)</f>
        <v>Sonata Software</v>
      </c>
      <c r="I521" s="2" t="str">
        <f>VLOOKUP($D521,'Customer Details'!$A$1:$F$17,4,0)</f>
        <v>Olympia</v>
      </c>
      <c r="J521" s="2" t="str">
        <f>VLOOKUP($D521,'Customer Details'!$A$1:$F$17,6,0)</f>
        <v>98502</v>
      </c>
      <c r="K521" s="8" t="str">
        <f>VLOOKUP(VLOOKUP(D521,'Customer Details'!$A$1:$F$17,5,0),'Region INfo'!$A$1:$C$52,3,0)</f>
        <v xml:space="preserve">Pacific   </v>
      </c>
      <c r="L521" s="8" t="str">
        <f>INDEX(Product_List,MATCH($F521,'Product List'!$B$1:$B$299,0),MATCH('Order SUmmary'!L$2,'Product List'!$A$1:$E$1,0))</f>
        <v>Xerox 223</v>
      </c>
      <c r="M521" s="8">
        <f>INDEX(Product_List,MATCH($F521,'Product List'!$B$1:$B$299,0),MATCH('Order SUmmary'!M$2,'Product List'!$A$1:$E$1,0))</f>
        <v>4733</v>
      </c>
      <c r="N521" s="8">
        <f>INDEX(Product_List,MATCH($F521,'Product List'!$B$1:$B$299,0),MATCH('Order SUmmary'!N$2,'Product List'!$A$1:$E$1,0))</f>
        <v>1415</v>
      </c>
      <c r="O521" s="8" t="str">
        <f>INDEX(Product_List,MATCH($F521,'Product List'!$B$1:$B$299,0),MATCH('Order SUmmary'!O$2,'Product List'!$A$1:$E$1,0))</f>
        <v>Paper</v>
      </c>
      <c r="P521" s="12">
        <f>HLOOKUP(C521,'Commission Criteria'!$A$2:$I$4,3,FALSE)</f>
        <v>5</v>
      </c>
      <c r="Q521" s="8">
        <f t="shared" si="25"/>
        <v>1415</v>
      </c>
      <c r="R521" s="8">
        <f t="shared" si="26"/>
        <v>4733</v>
      </c>
      <c r="S521" s="36">
        <f>VLOOKUP(R521,'Commission Criteria'!$L$3:$M$11,2,TRUE)</f>
        <v>0.01</v>
      </c>
      <c r="T521" s="36">
        <f>IF(P521&lt;5,VLOOKUP(R521,'Commission Criteria'!$L$3:$M$11,2,1),VLOOKUP('Order SUmmary'!R521,'Commission Criteria'!$P$3:$Q$11,2,1))</f>
        <v>0.02</v>
      </c>
      <c r="U521" s="36">
        <f>VLOOKUP(R521,IF(P521&lt;5,'Commission Criteria'!$L$3:$M$11,'Commission Criteria'!$P$3:$Q$11),2,1)</f>
        <v>0.02</v>
      </c>
      <c r="V521" s="8" t="s">
        <v>40</v>
      </c>
      <c r="W521" s="36">
        <f t="shared" ca="1" si="27"/>
        <v>0.04</v>
      </c>
      <c r="X521" s="8" t="str">
        <f>_xlfn.XLOOKUP(F521,'Product List'!$B$1:$B$299,'Product List'!$A$1:$A$299)</f>
        <v>Xerox 223</v>
      </c>
      <c r="Y521" s="8"/>
      <c r="Z521" s="8" t="str" cm="1">
        <f t="array" ref="Z521:AD521">_xlfn.XLOOKUP(D521,'Customer Details'!$A$1:$A$17,'Customer Details'!$B$1:$F$17,"No such customer",0,1)</f>
        <v>Sonata Software</v>
      </c>
      <c r="AA521" s="8" t="str">
        <v>1331 Kimberly Dr.</v>
      </c>
      <c r="AB521" s="8" t="str">
        <v>Olympia</v>
      </c>
      <c r="AC521" s="8" t="str">
        <v>WA</v>
      </c>
      <c r="AD521" s="8" t="str">
        <v>98502</v>
      </c>
    </row>
    <row r="522" spans="1:30">
      <c r="A522" s="8" t="s">
        <v>638</v>
      </c>
      <c r="B522" s="19">
        <v>41780</v>
      </c>
      <c r="C522" s="8" t="s">
        <v>46</v>
      </c>
      <c r="D522" s="8">
        <v>10014</v>
      </c>
      <c r="E522" s="8" t="str">
        <f>VLOOKUP($D522,'Customer Details'!$A$1:$F$17,4,FALSE)</f>
        <v>Honolulu</v>
      </c>
      <c r="F522" s="8" t="s">
        <v>116</v>
      </c>
      <c r="G522" s="8">
        <v>3</v>
      </c>
      <c r="H522" s="2" t="str">
        <f>VLOOKUP($D522,'Customer Details'!$A$1:$F$17,MATCH('Order SUmmary'!H$2,'Customer Details'!$A$1:$F$1,0),0)</f>
        <v>Hindusthan National Glass &amp; Industries Ltd.</v>
      </c>
      <c r="I522" s="2" t="str">
        <f>VLOOKUP($D522,'Customer Details'!$A$1:$F$17,4,0)</f>
        <v>Honolulu</v>
      </c>
      <c r="J522" s="2" t="str">
        <f>VLOOKUP($D522,'Customer Details'!$A$1:$F$17,6,0)</f>
        <v>96825</v>
      </c>
      <c r="K522" s="8" t="str">
        <f>VLOOKUP(VLOOKUP(D522,'Customer Details'!$A$1:$F$17,5,0),'Region INfo'!$A$1:$C$52,3,0)</f>
        <v xml:space="preserve">Pacific   </v>
      </c>
      <c r="L522" s="8" t="str">
        <f>INDEX(Product_List,MATCH($F522,'Product List'!$B$1:$B$299,0),MATCH('Order SUmmary'!L$2,'Product List'!$A$1:$E$1,0))</f>
        <v>Newell 326</v>
      </c>
      <c r="M522" s="8">
        <f>INDEX(Product_List,MATCH($F522,'Product List'!$B$1:$B$299,0),MATCH('Order SUmmary'!M$2,'Product List'!$A$1:$E$1,0))</f>
        <v>3645</v>
      </c>
      <c r="N522" s="8">
        <f>INDEX(Product_List,MATCH($F522,'Product List'!$B$1:$B$299,0),MATCH('Order SUmmary'!N$2,'Product List'!$A$1:$E$1,0))</f>
        <v>2466</v>
      </c>
      <c r="O522" s="8" t="str">
        <f>INDEX(Product_List,MATCH($F522,'Product List'!$B$1:$B$299,0),MATCH('Order SUmmary'!O$2,'Product List'!$A$1:$E$1,0))</f>
        <v>Art</v>
      </c>
      <c r="P522" s="12">
        <f>HLOOKUP(C522,'Commission Criteria'!$A$2:$I$4,3,FALSE)</f>
        <v>8</v>
      </c>
      <c r="Q522" s="8">
        <f t="shared" si="25"/>
        <v>7398</v>
      </c>
      <c r="R522" s="8">
        <f t="shared" si="26"/>
        <v>10935</v>
      </c>
      <c r="S522" s="36">
        <f>VLOOKUP(R522,'Commission Criteria'!$L$3:$M$11,2,TRUE)</f>
        <v>0.03</v>
      </c>
      <c r="T522" s="36">
        <f>IF(P522&lt;5,VLOOKUP(R522,'Commission Criteria'!$L$3:$M$11,2,1),VLOOKUP('Order SUmmary'!R522,'Commission Criteria'!$P$3:$Q$11,2,1))</f>
        <v>0.02</v>
      </c>
      <c r="U522" s="36">
        <f>VLOOKUP(R522,IF(P522&lt;5,'Commission Criteria'!$L$3:$M$11,'Commission Criteria'!$P$3:$Q$11),2,1)</f>
        <v>0.02</v>
      </c>
      <c r="V522" s="8" t="s">
        <v>29</v>
      </c>
      <c r="W522" s="36">
        <f t="shared" ca="1" si="27"/>
        <v>0.05</v>
      </c>
      <c r="X522" s="8" t="str">
        <f>_xlfn.XLOOKUP(F522,'Product List'!$B$1:$B$299,'Product List'!$A$1:$A$299)</f>
        <v>Newell 326</v>
      </c>
      <c r="Y522" s="8"/>
      <c r="Z522" s="8" t="str" cm="1">
        <f t="array" ref="Z522:AD522">_xlfn.XLOOKUP(D522,'Customer Details'!$A$1:$A$17,'Customer Details'!$B$1:$F$17,"No such customer",0,1)</f>
        <v>Hindusthan National Glass &amp; Industries Ltd.</v>
      </c>
      <c r="AA522" s="8" t="str">
        <v>11 Cathy St.</v>
      </c>
      <c r="AB522" s="8" t="str">
        <v>Honolulu</v>
      </c>
      <c r="AC522" s="8" t="str">
        <v>HI</v>
      </c>
      <c r="AD522" s="8" t="str">
        <v>96825</v>
      </c>
    </row>
    <row r="523" spans="1:30">
      <c r="A523" s="8" t="s">
        <v>639</v>
      </c>
      <c r="B523" s="19">
        <v>41782</v>
      </c>
      <c r="C523" s="8" t="s">
        <v>44</v>
      </c>
      <c r="D523" s="8">
        <v>10013</v>
      </c>
      <c r="E523" s="8" t="str">
        <f>VLOOKUP($D523,'Customer Details'!$A$1:$F$17,4,FALSE)</f>
        <v>Naugatuck</v>
      </c>
      <c r="F523" s="8" t="s">
        <v>640</v>
      </c>
      <c r="G523" s="8">
        <v>3</v>
      </c>
      <c r="H523" s="2" t="str">
        <f>VLOOKUP($D523,'Customer Details'!$A$1:$F$17,MATCH('Order SUmmary'!H$2,'Customer Details'!$A$1:$F$1,0),0)</f>
        <v>GMR Infrastructure Ltd.</v>
      </c>
      <c r="I523" s="2" t="str">
        <f>VLOOKUP($D523,'Customer Details'!$A$1:$F$17,4,0)</f>
        <v>Naugatuck</v>
      </c>
      <c r="J523" s="2" t="str">
        <f>VLOOKUP($D523,'Customer Details'!$A$1:$F$17,6,0)</f>
        <v>06770</v>
      </c>
      <c r="K523" s="8" t="str">
        <f>VLOOKUP(VLOOKUP(D523,'Customer Details'!$A$1:$F$17,5,0),'Region INfo'!$A$1:$C$52,3,0)</f>
        <v xml:space="preserve">Northern </v>
      </c>
      <c r="L523" s="8" t="str">
        <f>INDEX(Product_List,MATCH($F523,'Product List'!$B$1:$B$299,0),MATCH('Order SUmmary'!L$2,'Product List'!$A$1:$E$1,0))</f>
        <v>Crate-A-Files</v>
      </c>
      <c r="M523" s="8">
        <f>INDEX(Product_List,MATCH($F523,'Product List'!$B$1:$B$299,0),MATCH('Order SUmmary'!M$2,'Product List'!$A$1:$E$1,0))</f>
        <v>3445</v>
      </c>
      <c r="N523" s="8">
        <f>INDEX(Product_List,MATCH($F523,'Product List'!$B$1:$B$299,0),MATCH('Order SUmmary'!N$2,'Product List'!$A$1:$E$1,0))</f>
        <v>1909</v>
      </c>
      <c r="O523" s="8" t="str">
        <f>INDEX(Product_List,MATCH($F523,'Product List'!$B$1:$B$299,0),MATCH('Order SUmmary'!O$2,'Product List'!$A$1:$E$1,0))</f>
        <v>Storage</v>
      </c>
      <c r="P523" s="12">
        <f>HLOOKUP(C523,'Commission Criteria'!$A$2:$I$4,3,FALSE)</f>
        <v>4</v>
      </c>
      <c r="Q523" s="8">
        <f t="shared" si="25"/>
        <v>5727</v>
      </c>
      <c r="R523" s="8">
        <f t="shared" si="26"/>
        <v>10335</v>
      </c>
      <c r="S523" s="36">
        <f>VLOOKUP(R523,'Commission Criteria'!$L$3:$M$11,2,TRUE)</f>
        <v>0.03</v>
      </c>
      <c r="T523" s="36">
        <f>IF(P523&lt;5,VLOOKUP(R523,'Commission Criteria'!$L$3:$M$11,2,1),VLOOKUP('Order SUmmary'!R523,'Commission Criteria'!$P$3:$Q$11,2,1))</f>
        <v>0.03</v>
      </c>
      <c r="U523" s="36">
        <f>VLOOKUP(R523,IF(P523&lt;5,'Commission Criteria'!$L$3:$M$11,'Commission Criteria'!$P$3:$Q$11),2,1)</f>
        <v>0.03</v>
      </c>
      <c r="V523" s="8" t="s">
        <v>29</v>
      </c>
      <c r="W523" s="36">
        <f t="shared" ca="1" si="27"/>
        <v>0.04</v>
      </c>
      <c r="X523" s="8" t="str">
        <f>_xlfn.XLOOKUP(F523,'Product List'!$B$1:$B$299,'Product List'!$A$1:$A$299)</f>
        <v>Crate-A-Files</v>
      </c>
      <c r="Y523" s="8"/>
      <c r="Z523" s="8" t="str" cm="1">
        <f t="array" ref="Z523:AD523">_xlfn.XLOOKUP(D523,'Customer Details'!$A$1:$A$17,'Customer Details'!$B$1:$F$17,"No such customer",0,1)</f>
        <v>GMR Infrastructure Ltd.</v>
      </c>
      <c r="AA523" s="8" t="str">
        <v>P.O. Box 4421</v>
      </c>
      <c r="AB523" s="8" t="str">
        <v>Naugatuck</v>
      </c>
      <c r="AC523" s="8" t="str">
        <v>CT</v>
      </c>
      <c r="AD523" s="8" t="str">
        <v>06770</v>
      </c>
    </row>
    <row r="524" spans="1:30">
      <c r="A524" s="8" t="s">
        <v>641</v>
      </c>
      <c r="B524" s="19">
        <v>41783</v>
      </c>
      <c r="C524" s="8" t="s">
        <v>44</v>
      </c>
      <c r="D524" s="8">
        <v>10008</v>
      </c>
      <c r="E524" s="8" t="str">
        <f>VLOOKUP($D524,'Customer Details'!$A$1:$F$17,4,FALSE)</f>
        <v>Chestnut Ridge</v>
      </c>
      <c r="F524" s="8" t="s">
        <v>642</v>
      </c>
      <c r="G524" s="8">
        <v>1</v>
      </c>
      <c r="H524" s="2" t="str">
        <f>VLOOKUP($D524,'Customer Details'!$A$1:$F$17,MATCH('Order SUmmary'!H$2,'Customer Details'!$A$1:$F$1,0),0)</f>
        <v>Reliance Industries Limited</v>
      </c>
      <c r="I524" s="2" t="str">
        <f>VLOOKUP($D524,'Customer Details'!$A$1:$F$17,4,0)</f>
        <v>Chestnut Ridge</v>
      </c>
      <c r="J524" s="2" t="str">
        <f>VLOOKUP($D524,'Customer Details'!$A$1:$F$17,6,0)</f>
        <v>10977</v>
      </c>
      <c r="K524" s="8" t="str">
        <f>VLOOKUP(VLOOKUP(D524,'Customer Details'!$A$1:$F$17,5,0),'Region INfo'!$A$1:$C$52,3,0)</f>
        <v xml:space="preserve">Northern </v>
      </c>
      <c r="L524" s="8" t="str">
        <f>INDEX(Product_List,MATCH($F524,'Product List'!$B$1:$B$299,0),MATCH('Order SUmmary'!L$2,'Product List'!$A$1:$E$1,0))</f>
        <v>Xerox 1984</v>
      </c>
      <c r="M524" s="8">
        <f>INDEX(Product_List,MATCH($F524,'Product List'!$B$1:$B$299,0),MATCH('Order SUmmary'!M$2,'Product List'!$A$1:$E$1,0))</f>
        <v>4057</v>
      </c>
      <c r="N524" s="8">
        <f>INDEX(Product_List,MATCH($F524,'Product List'!$B$1:$B$299,0),MATCH('Order SUmmary'!N$2,'Product List'!$A$1:$E$1,0))</f>
        <v>1816</v>
      </c>
      <c r="O524" s="8" t="str">
        <f>INDEX(Product_List,MATCH($F524,'Product List'!$B$1:$B$299,0),MATCH('Order SUmmary'!O$2,'Product List'!$A$1:$E$1,0))</f>
        <v>Paper</v>
      </c>
      <c r="P524" s="12">
        <f>HLOOKUP(C524,'Commission Criteria'!$A$2:$I$4,3,FALSE)</f>
        <v>4</v>
      </c>
      <c r="Q524" s="8">
        <f t="shared" si="25"/>
        <v>1816</v>
      </c>
      <c r="R524" s="8">
        <f t="shared" si="26"/>
        <v>4057</v>
      </c>
      <c r="S524" s="36">
        <f>VLOOKUP(R524,'Commission Criteria'!$L$3:$M$11,2,TRUE)</f>
        <v>0.01</v>
      </c>
      <c r="T524" s="36">
        <f>IF(P524&lt;5,VLOOKUP(R524,'Commission Criteria'!$L$3:$M$11,2,1),VLOOKUP('Order SUmmary'!R524,'Commission Criteria'!$P$3:$Q$11,2,1))</f>
        <v>0.01</v>
      </c>
      <c r="U524" s="36">
        <f>VLOOKUP(R524,IF(P524&lt;5,'Commission Criteria'!$L$3:$M$11,'Commission Criteria'!$P$3:$Q$11),2,1)</f>
        <v>0.01</v>
      </c>
      <c r="V524" s="8" t="s">
        <v>50</v>
      </c>
      <c r="W524" s="36">
        <f t="shared" ca="1" si="27"/>
        <v>0.05</v>
      </c>
      <c r="X524" s="8" t="str">
        <f>_xlfn.XLOOKUP(F524,'Product List'!$B$1:$B$299,'Product List'!$A$1:$A$299)</f>
        <v>Xerox 1984</v>
      </c>
      <c r="Y524" s="8"/>
      <c r="Z524" s="8" t="str" cm="1">
        <f t="array" ref="Z524:AD524">_xlfn.XLOOKUP(D524,'Customer Details'!$A$1:$A$17,'Customer Details'!$B$1:$F$17,"No such customer",0,1)</f>
        <v>Reliance Industries Limited</v>
      </c>
      <c r="AA524" s="8" t="str">
        <v>12020 Shamrock Rd., Suite 333</v>
      </c>
      <c r="AB524" s="8" t="str">
        <v>Chestnut Ridge</v>
      </c>
      <c r="AC524" s="8" t="str">
        <v>NY</v>
      </c>
      <c r="AD524" s="8" t="str">
        <v>10977</v>
      </c>
    </row>
    <row r="525" spans="1:30">
      <c r="A525" s="8" t="s">
        <v>641</v>
      </c>
      <c r="B525" s="19">
        <v>41783</v>
      </c>
      <c r="C525" s="8" t="s">
        <v>54</v>
      </c>
      <c r="D525" s="8">
        <v>10006</v>
      </c>
      <c r="E525" s="8" t="str">
        <f>VLOOKUP($D525,'Customer Details'!$A$1:$F$17,4,FALSE)</f>
        <v>Midland</v>
      </c>
      <c r="F525" s="8" t="s">
        <v>408</v>
      </c>
      <c r="G525" s="8">
        <v>3</v>
      </c>
      <c r="H525" s="2" t="str">
        <f>VLOOKUP($D525,'Customer Details'!$A$1:$F$17,MATCH('Order SUmmary'!H$2,'Customer Details'!$A$1:$F$1,0),0)</f>
        <v>Supreme Ind</v>
      </c>
      <c r="I525" s="2" t="str">
        <f>VLOOKUP($D525,'Customer Details'!$A$1:$F$17,4,0)</f>
        <v>Midland</v>
      </c>
      <c r="J525" s="2" t="str">
        <f>VLOOKUP($D525,'Customer Details'!$A$1:$F$17,6,0)</f>
        <v>79706</v>
      </c>
      <c r="K525" s="8" t="str">
        <f>VLOOKUP(VLOOKUP(D525,'Customer Details'!$A$1:$F$17,5,0),'Region INfo'!$A$1:$C$52,3,0)</f>
        <v>Western</v>
      </c>
      <c r="L525" s="8" t="str">
        <f>INDEX(Product_List,MATCH($F525,'Product List'!$B$1:$B$299,0),MATCH('Order SUmmary'!L$2,'Product List'!$A$1:$E$1,0))</f>
        <v>Xerox 1955</v>
      </c>
      <c r="M525" s="8">
        <f>INDEX(Product_List,MATCH($F525,'Product List'!$B$1:$B$299,0),MATCH('Order SUmmary'!M$2,'Product List'!$A$1:$E$1,0))</f>
        <v>2580</v>
      </c>
      <c r="N525" s="8">
        <f>INDEX(Product_List,MATCH($F525,'Product List'!$B$1:$B$299,0),MATCH('Order SUmmary'!N$2,'Product List'!$A$1:$E$1,0))</f>
        <v>1518</v>
      </c>
      <c r="O525" s="8" t="str">
        <f>INDEX(Product_List,MATCH($F525,'Product List'!$B$1:$B$299,0),MATCH('Order SUmmary'!O$2,'Product List'!$A$1:$E$1,0))</f>
        <v>Paper</v>
      </c>
      <c r="P525" s="12">
        <f>HLOOKUP(C525,'Commission Criteria'!$A$2:$I$4,3,FALSE)</f>
        <v>3</v>
      </c>
      <c r="Q525" s="8">
        <f t="shared" si="25"/>
        <v>4554</v>
      </c>
      <c r="R525" s="8">
        <f t="shared" si="26"/>
        <v>7740</v>
      </c>
      <c r="S525" s="36">
        <f>VLOOKUP(R525,'Commission Criteria'!$L$3:$M$11,2,TRUE)</f>
        <v>0.03</v>
      </c>
      <c r="T525" s="36">
        <f>IF(P525&lt;5,VLOOKUP(R525,'Commission Criteria'!$L$3:$M$11,2,1),VLOOKUP('Order SUmmary'!R525,'Commission Criteria'!$P$3:$Q$11,2,1))</f>
        <v>0.03</v>
      </c>
      <c r="U525" s="36">
        <f>VLOOKUP(R525,IF(P525&lt;5,'Commission Criteria'!$L$3:$M$11,'Commission Criteria'!$P$3:$Q$11),2,1)</f>
        <v>0.03</v>
      </c>
      <c r="V525" s="8" t="s">
        <v>50</v>
      </c>
      <c r="W525" s="36">
        <f t="shared" ca="1" si="27"/>
        <v>0</v>
      </c>
      <c r="X525" s="8" t="str">
        <f>_xlfn.XLOOKUP(F525,'Product List'!$B$1:$B$299,'Product List'!$A$1:$A$299)</f>
        <v>Xerox 1955</v>
      </c>
      <c r="Y525" s="8"/>
      <c r="Z525" s="8" t="str" cm="1">
        <f t="array" ref="Z525:AD525">_xlfn.XLOOKUP(D525,'Customer Details'!$A$1:$A$17,'Customer Details'!$B$1:$F$17,"No such customer",0,1)</f>
        <v>Supreme Ind</v>
      </c>
      <c r="AA525" s="8" t="str">
        <v>P.O. Box 1367</v>
      </c>
      <c r="AB525" s="8" t="str">
        <v>Midland</v>
      </c>
      <c r="AC525" s="8" t="str">
        <v>TX</v>
      </c>
      <c r="AD525" s="8" t="str">
        <v>79706</v>
      </c>
    </row>
    <row r="526" spans="1:30">
      <c r="A526" s="8" t="s">
        <v>643</v>
      </c>
      <c r="B526" s="19">
        <v>41784</v>
      </c>
      <c r="C526" s="8" t="s">
        <v>51</v>
      </c>
      <c r="D526" s="8">
        <v>10004</v>
      </c>
      <c r="E526" s="8" t="str">
        <f>VLOOKUP($D526,'Customer Details'!$A$1:$F$17,4,FALSE)</f>
        <v>New York</v>
      </c>
      <c r="F526" s="8" t="s">
        <v>298</v>
      </c>
      <c r="G526" s="8">
        <v>1</v>
      </c>
      <c r="H526" s="2" t="str">
        <f>VLOOKUP($D526,'Customer Details'!$A$1:$F$17,MATCH('Order SUmmary'!H$2,'Customer Details'!$A$1:$F$1,0),0)</f>
        <v>Lupin Ltd.</v>
      </c>
      <c r="I526" s="2" t="str">
        <f>VLOOKUP($D526,'Customer Details'!$A$1:$F$17,4,0)</f>
        <v>New York</v>
      </c>
      <c r="J526" s="2" t="str">
        <f>VLOOKUP($D526,'Customer Details'!$A$1:$F$17,6,0)</f>
        <v>10019</v>
      </c>
      <c r="K526" s="8" t="str">
        <f>VLOOKUP(VLOOKUP(D526,'Customer Details'!$A$1:$F$17,5,0),'Region INfo'!$A$1:$C$52,3,0)</f>
        <v xml:space="preserve">Northern </v>
      </c>
      <c r="L526" s="8" t="str">
        <f>INDEX(Product_List,MATCH($F526,'Product List'!$B$1:$B$299,0),MATCH('Order SUmmary'!L$2,'Product List'!$A$1:$E$1,0))</f>
        <v>Xerox 216</v>
      </c>
      <c r="M526" s="8">
        <f>INDEX(Product_List,MATCH($F526,'Product List'!$B$1:$B$299,0),MATCH('Order SUmmary'!M$2,'Product List'!$A$1:$E$1,0))</f>
        <v>4719</v>
      </c>
      <c r="N526" s="8">
        <f>INDEX(Product_List,MATCH($F526,'Product List'!$B$1:$B$299,0),MATCH('Order SUmmary'!N$2,'Product List'!$A$1:$E$1,0))</f>
        <v>2043</v>
      </c>
      <c r="O526" s="8" t="str">
        <f>INDEX(Product_List,MATCH($F526,'Product List'!$B$1:$B$299,0),MATCH('Order SUmmary'!O$2,'Product List'!$A$1:$E$1,0))</f>
        <v>Paper</v>
      </c>
      <c r="P526" s="12">
        <f>HLOOKUP(C526,'Commission Criteria'!$A$2:$I$4,3,FALSE)</f>
        <v>10</v>
      </c>
      <c r="Q526" s="8">
        <f t="shared" si="25"/>
        <v>2043</v>
      </c>
      <c r="R526" s="8">
        <f t="shared" si="26"/>
        <v>4719</v>
      </c>
      <c r="S526" s="36">
        <f>VLOOKUP(R526,'Commission Criteria'!$L$3:$M$11,2,TRUE)</f>
        <v>0.01</v>
      </c>
      <c r="T526" s="36">
        <f>IF(P526&lt;5,VLOOKUP(R526,'Commission Criteria'!$L$3:$M$11,2,1),VLOOKUP('Order SUmmary'!R526,'Commission Criteria'!$P$3:$Q$11,2,1))</f>
        <v>0.02</v>
      </c>
      <c r="U526" s="36">
        <f>VLOOKUP(R526,IF(P526&lt;5,'Commission Criteria'!$L$3:$M$11,'Commission Criteria'!$P$3:$Q$11),2,1)</f>
        <v>0.02</v>
      </c>
      <c r="V526" s="8" t="s">
        <v>40</v>
      </c>
      <c r="W526" s="36">
        <f t="shared" ca="1" si="27"/>
        <v>0</v>
      </c>
      <c r="X526" s="8" t="str">
        <f>_xlfn.XLOOKUP(F526,'Product List'!$B$1:$B$299,'Product List'!$A$1:$A$299)</f>
        <v>Xerox 216</v>
      </c>
      <c r="Y526" s="8"/>
      <c r="Z526" s="8" t="str" cm="1">
        <f t="array" ref="Z526:AD526">_xlfn.XLOOKUP(D526,'Customer Details'!$A$1:$A$17,'Customer Details'!$B$1:$F$17,"No such customer",0,1)</f>
        <v>Lupin Ltd.</v>
      </c>
      <c r="AA526" s="8" t="str">
        <v>Abbey Wood</v>
      </c>
      <c r="AB526" s="8" t="str">
        <v>New York</v>
      </c>
      <c r="AC526" s="8" t="str">
        <v>NY</v>
      </c>
      <c r="AD526" s="8" t="str">
        <v>10019</v>
      </c>
    </row>
    <row r="527" spans="1:30">
      <c r="A527" s="8" t="s">
        <v>644</v>
      </c>
      <c r="B527" s="19">
        <v>41787</v>
      </c>
      <c r="C527" s="8" t="s">
        <v>36</v>
      </c>
      <c r="D527" s="8">
        <v>10014</v>
      </c>
      <c r="E527" s="8" t="str">
        <f>VLOOKUP($D527,'Customer Details'!$A$1:$F$17,4,FALSE)</f>
        <v>Honolulu</v>
      </c>
      <c r="F527" s="8" t="s">
        <v>116</v>
      </c>
      <c r="G527" s="8">
        <v>1</v>
      </c>
      <c r="H527" s="2" t="str">
        <f>VLOOKUP($D527,'Customer Details'!$A$1:$F$17,MATCH('Order SUmmary'!H$2,'Customer Details'!$A$1:$F$1,0),0)</f>
        <v>Hindusthan National Glass &amp; Industries Ltd.</v>
      </c>
      <c r="I527" s="2" t="str">
        <f>VLOOKUP($D527,'Customer Details'!$A$1:$F$17,4,0)</f>
        <v>Honolulu</v>
      </c>
      <c r="J527" s="2" t="str">
        <f>VLOOKUP($D527,'Customer Details'!$A$1:$F$17,6,0)</f>
        <v>96825</v>
      </c>
      <c r="K527" s="8" t="str">
        <f>VLOOKUP(VLOOKUP(D527,'Customer Details'!$A$1:$F$17,5,0),'Region INfo'!$A$1:$C$52,3,0)</f>
        <v xml:space="preserve">Pacific   </v>
      </c>
      <c r="L527" s="8" t="str">
        <f>INDEX(Product_List,MATCH($F527,'Product List'!$B$1:$B$299,0),MATCH('Order SUmmary'!L$2,'Product List'!$A$1:$E$1,0))</f>
        <v>Newell 326</v>
      </c>
      <c r="M527" s="8">
        <f>INDEX(Product_List,MATCH($F527,'Product List'!$B$1:$B$299,0),MATCH('Order SUmmary'!M$2,'Product List'!$A$1:$E$1,0))</f>
        <v>3645</v>
      </c>
      <c r="N527" s="8">
        <f>INDEX(Product_List,MATCH($F527,'Product List'!$B$1:$B$299,0),MATCH('Order SUmmary'!N$2,'Product List'!$A$1:$E$1,0))</f>
        <v>2466</v>
      </c>
      <c r="O527" s="8" t="str">
        <f>INDEX(Product_List,MATCH($F527,'Product List'!$B$1:$B$299,0),MATCH('Order SUmmary'!O$2,'Product List'!$A$1:$E$1,0))</f>
        <v>Art</v>
      </c>
      <c r="P527" s="12">
        <f>HLOOKUP(C527,'Commission Criteria'!$A$2:$I$4,3,FALSE)</f>
        <v>6</v>
      </c>
      <c r="Q527" s="8">
        <f t="shared" si="25"/>
        <v>2466</v>
      </c>
      <c r="R527" s="8">
        <f t="shared" si="26"/>
        <v>3645</v>
      </c>
      <c r="S527" s="36">
        <f>VLOOKUP(R527,'Commission Criteria'!$L$3:$M$11,2,TRUE)</f>
        <v>0.01</v>
      </c>
      <c r="T527" s="36">
        <f>IF(P527&lt;5,VLOOKUP(R527,'Commission Criteria'!$L$3:$M$11,2,1),VLOOKUP('Order SUmmary'!R527,'Commission Criteria'!$P$3:$Q$11,2,1))</f>
        <v>0.02</v>
      </c>
      <c r="U527" s="36">
        <f>VLOOKUP(R527,IF(P527&lt;5,'Commission Criteria'!$L$3:$M$11,'Commission Criteria'!$P$3:$Q$11),2,1)</f>
        <v>0.02</v>
      </c>
      <c r="V527" s="8" t="s">
        <v>32</v>
      </c>
      <c r="W527" s="36">
        <f t="shared" ca="1" si="27"/>
        <v>0.05</v>
      </c>
      <c r="X527" s="8" t="str">
        <f>_xlfn.XLOOKUP(F527,'Product List'!$B$1:$B$299,'Product List'!$A$1:$A$299)</f>
        <v>Newell 326</v>
      </c>
      <c r="Y527" s="8"/>
      <c r="Z527" s="8" t="str" cm="1">
        <f t="array" ref="Z527:AD527">_xlfn.XLOOKUP(D527,'Customer Details'!$A$1:$A$17,'Customer Details'!$B$1:$F$17,"No such customer",0,1)</f>
        <v>Hindusthan National Glass &amp; Industries Ltd.</v>
      </c>
      <c r="AA527" s="8" t="str">
        <v>11 Cathy St.</v>
      </c>
      <c r="AB527" s="8" t="str">
        <v>Honolulu</v>
      </c>
      <c r="AC527" s="8" t="str">
        <v>HI</v>
      </c>
      <c r="AD527" s="8" t="str">
        <v>96825</v>
      </c>
    </row>
    <row r="528" spans="1:30">
      <c r="A528" s="8" t="s">
        <v>645</v>
      </c>
      <c r="B528" s="19">
        <v>41787</v>
      </c>
      <c r="C528" s="8" t="s">
        <v>54</v>
      </c>
      <c r="D528" s="8">
        <v>10011</v>
      </c>
      <c r="E528" s="8" t="str">
        <f>VLOOKUP($D528,'Customer Details'!$A$1:$F$17,4,FALSE)</f>
        <v>Olympia</v>
      </c>
      <c r="F528" s="8" t="s">
        <v>425</v>
      </c>
      <c r="G528" s="8">
        <v>1</v>
      </c>
      <c r="H528" s="2" t="str">
        <f>VLOOKUP($D528,'Customer Details'!$A$1:$F$17,MATCH('Order SUmmary'!H$2,'Customer Details'!$A$1:$F$1,0),0)</f>
        <v>Sonata Software</v>
      </c>
      <c r="I528" s="2" t="str">
        <f>VLOOKUP($D528,'Customer Details'!$A$1:$F$17,4,0)</f>
        <v>Olympia</v>
      </c>
      <c r="J528" s="2" t="str">
        <f>VLOOKUP($D528,'Customer Details'!$A$1:$F$17,6,0)</f>
        <v>98502</v>
      </c>
      <c r="K528" s="8" t="str">
        <f>VLOOKUP(VLOOKUP(D528,'Customer Details'!$A$1:$F$17,5,0),'Region INfo'!$A$1:$C$52,3,0)</f>
        <v xml:space="preserve">Pacific   </v>
      </c>
      <c r="L528" s="8" t="str">
        <f>INDEX(Product_List,MATCH($F528,'Product List'!$B$1:$B$299,0),MATCH('Order SUmmary'!L$2,'Product List'!$A$1:$E$1,0))</f>
        <v>Newell 327</v>
      </c>
      <c r="M528" s="8">
        <f>INDEX(Product_List,MATCH($F528,'Product List'!$B$1:$B$299,0),MATCH('Order SUmmary'!M$2,'Product List'!$A$1:$E$1,0))</f>
        <v>4834</v>
      </c>
      <c r="N528" s="8">
        <f>INDEX(Product_List,MATCH($F528,'Product List'!$B$1:$B$299,0),MATCH('Order SUmmary'!N$2,'Product List'!$A$1:$E$1,0))</f>
        <v>1501</v>
      </c>
      <c r="O528" s="8" t="str">
        <f>INDEX(Product_List,MATCH($F528,'Product List'!$B$1:$B$299,0),MATCH('Order SUmmary'!O$2,'Product List'!$A$1:$E$1,0))</f>
        <v>Art</v>
      </c>
      <c r="P528" s="12">
        <f>HLOOKUP(C528,'Commission Criteria'!$A$2:$I$4,3,FALSE)</f>
        <v>3</v>
      </c>
      <c r="Q528" s="8">
        <f t="shared" si="25"/>
        <v>1501</v>
      </c>
      <c r="R528" s="8">
        <f t="shared" si="26"/>
        <v>4834</v>
      </c>
      <c r="S528" s="36">
        <f>VLOOKUP(R528,'Commission Criteria'!$L$3:$M$11,2,TRUE)</f>
        <v>0.01</v>
      </c>
      <c r="T528" s="36">
        <f>IF(P528&lt;5,VLOOKUP(R528,'Commission Criteria'!$L$3:$M$11,2,1),VLOOKUP('Order SUmmary'!R528,'Commission Criteria'!$P$3:$Q$11,2,1))</f>
        <v>0.01</v>
      </c>
      <c r="U528" s="36">
        <f>VLOOKUP(R528,IF(P528&lt;5,'Commission Criteria'!$L$3:$M$11,'Commission Criteria'!$P$3:$Q$11),2,1)</f>
        <v>0.01</v>
      </c>
      <c r="V528" s="8" t="s">
        <v>32</v>
      </c>
      <c r="W528" s="36">
        <f t="shared" ca="1" si="27"/>
        <v>0.03</v>
      </c>
      <c r="X528" s="8" t="str">
        <f>_xlfn.XLOOKUP(F528,'Product List'!$B$1:$B$299,'Product List'!$A$1:$A$299)</f>
        <v>Newell 327</v>
      </c>
      <c r="Y528" s="8"/>
      <c r="Z528" s="8" t="str" cm="1">
        <f t="array" ref="Z528:AD528">_xlfn.XLOOKUP(D528,'Customer Details'!$A$1:$A$17,'Customer Details'!$B$1:$F$17,"No such customer",0,1)</f>
        <v>Sonata Software</v>
      </c>
      <c r="AA528" s="8" t="str">
        <v>1331 Kimberly Dr.</v>
      </c>
      <c r="AB528" s="8" t="str">
        <v>Olympia</v>
      </c>
      <c r="AC528" s="8" t="str">
        <v>WA</v>
      </c>
      <c r="AD528" s="8" t="str">
        <v>98502</v>
      </c>
    </row>
    <row r="529" spans="1:30">
      <c r="A529" s="8" t="s">
        <v>645</v>
      </c>
      <c r="B529" s="19">
        <v>41787</v>
      </c>
      <c r="C529" s="8" t="s">
        <v>46</v>
      </c>
      <c r="D529" s="8">
        <v>10002</v>
      </c>
      <c r="E529" s="8" t="str">
        <f>VLOOKUP($D529,'Customer Details'!$A$1:$F$17,4,FALSE)</f>
        <v>Omaha</v>
      </c>
      <c r="F529" s="8" t="s">
        <v>597</v>
      </c>
      <c r="G529" s="8">
        <v>1</v>
      </c>
      <c r="H529" s="2" t="str">
        <f>VLOOKUP($D529,'Customer Details'!$A$1:$F$17,MATCH('Order SUmmary'!H$2,'Customer Details'!$A$1:$F$1,0),0)</f>
        <v>Elder Pharmaceuticals</v>
      </c>
      <c r="I529" s="2" t="str">
        <f>VLOOKUP($D529,'Customer Details'!$A$1:$F$17,4,0)</f>
        <v>Omaha</v>
      </c>
      <c r="J529" s="2" t="str">
        <f>VLOOKUP($D529,'Customer Details'!$A$1:$F$17,6,0)</f>
        <v>68127</v>
      </c>
      <c r="K529" s="8" t="str">
        <f>VLOOKUP(VLOOKUP(D529,'Customer Details'!$A$1:$F$17,5,0),'Region INfo'!$A$1:$C$52,3,0)</f>
        <v>Western</v>
      </c>
      <c r="L529" s="8" t="str">
        <f>INDEX(Product_List,MATCH($F529,'Product List'!$B$1:$B$299,0),MATCH('Order SUmmary'!L$2,'Product List'!$A$1:$E$1,0))</f>
        <v>Xerox 1959</v>
      </c>
      <c r="M529" s="8">
        <f>INDEX(Product_List,MATCH($F529,'Product List'!$B$1:$B$299,0),MATCH('Order SUmmary'!M$2,'Product List'!$A$1:$E$1,0))</f>
        <v>4861</v>
      </c>
      <c r="N529" s="8">
        <f>INDEX(Product_List,MATCH($F529,'Product List'!$B$1:$B$299,0),MATCH('Order SUmmary'!N$2,'Product List'!$A$1:$E$1,0))</f>
        <v>1633</v>
      </c>
      <c r="O529" s="8" t="str">
        <f>INDEX(Product_List,MATCH($F529,'Product List'!$B$1:$B$299,0),MATCH('Order SUmmary'!O$2,'Product List'!$A$1:$E$1,0))</f>
        <v>Paper</v>
      </c>
      <c r="P529" s="12">
        <f>HLOOKUP(C529,'Commission Criteria'!$A$2:$I$4,3,FALSE)</f>
        <v>8</v>
      </c>
      <c r="Q529" s="8">
        <f t="shared" si="25"/>
        <v>1633</v>
      </c>
      <c r="R529" s="8">
        <f t="shared" si="26"/>
        <v>4861</v>
      </c>
      <c r="S529" s="36">
        <f>VLOOKUP(R529,'Commission Criteria'!$L$3:$M$11,2,TRUE)</f>
        <v>0.01</v>
      </c>
      <c r="T529" s="36">
        <f>IF(P529&lt;5,VLOOKUP(R529,'Commission Criteria'!$L$3:$M$11,2,1),VLOOKUP('Order SUmmary'!R529,'Commission Criteria'!$P$3:$Q$11,2,1))</f>
        <v>0.02</v>
      </c>
      <c r="U529" s="36">
        <f>VLOOKUP(R529,IF(P529&lt;5,'Commission Criteria'!$L$3:$M$11,'Commission Criteria'!$P$3:$Q$11),2,1)</f>
        <v>0.02</v>
      </c>
      <c r="V529" s="8" t="s">
        <v>50</v>
      </c>
      <c r="W529" s="36">
        <f t="shared" ca="1" si="27"/>
        <v>0.03</v>
      </c>
      <c r="X529" s="8" t="str">
        <f>_xlfn.XLOOKUP(F529,'Product List'!$B$1:$B$299,'Product List'!$A$1:$A$299)</f>
        <v>Xerox 1959</v>
      </c>
      <c r="Y529" s="8"/>
      <c r="Z529" s="8" t="str" cm="1">
        <f t="array" ref="Z529:AD529">_xlfn.XLOOKUP(D529,'Customer Details'!$A$1:$A$17,'Customer Details'!$B$1:$F$17,"No such customer",0,1)</f>
        <v>Elder Pharmaceuticals</v>
      </c>
      <c r="AA529" s="8" t="str">
        <v>57 Neriba Cres</v>
      </c>
      <c r="AB529" s="8" t="str">
        <v>Omaha</v>
      </c>
      <c r="AC529" s="8" t="str">
        <v>NE</v>
      </c>
      <c r="AD529" s="8" t="str">
        <v>68127</v>
      </c>
    </row>
    <row r="530" spans="1:30">
      <c r="A530" s="8" t="s">
        <v>646</v>
      </c>
      <c r="B530" s="19">
        <v>41787</v>
      </c>
      <c r="C530" s="8" t="s">
        <v>33</v>
      </c>
      <c r="D530" s="8">
        <v>10008</v>
      </c>
      <c r="E530" s="8" t="str">
        <f>VLOOKUP($D530,'Customer Details'!$A$1:$F$17,4,FALSE)</f>
        <v>Chestnut Ridge</v>
      </c>
      <c r="F530" s="8" t="s">
        <v>518</v>
      </c>
      <c r="G530" s="8">
        <v>2</v>
      </c>
      <c r="H530" s="2" t="str">
        <f>VLOOKUP($D530,'Customer Details'!$A$1:$F$17,MATCH('Order SUmmary'!H$2,'Customer Details'!$A$1:$F$1,0),0)</f>
        <v>Reliance Industries Limited</v>
      </c>
      <c r="I530" s="2" t="str">
        <f>VLOOKUP($D530,'Customer Details'!$A$1:$F$17,4,0)</f>
        <v>Chestnut Ridge</v>
      </c>
      <c r="J530" s="2" t="str">
        <f>VLOOKUP($D530,'Customer Details'!$A$1:$F$17,6,0)</f>
        <v>10977</v>
      </c>
      <c r="K530" s="8" t="str">
        <f>VLOOKUP(VLOOKUP(D530,'Customer Details'!$A$1:$F$17,5,0),'Region INfo'!$A$1:$C$52,3,0)</f>
        <v xml:space="preserve">Northern </v>
      </c>
      <c r="L530" s="8" t="str">
        <f>INDEX(Product_List,MATCH($F530,'Product List'!$B$1:$B$299,0),MATCH('Order SUmmary'!L$2,'Product List'!$A$1:$E$1,0))</f>
        <v>Xerox 1931</v>
      </c>
      <c r="M530" s="8">
        <f>INDEX(Product_List,MATCH($F530,'Product List'!$B$1:$B$299,0),MATCH('Order SUmmary'!M$2,'Product List'!$A$1:$E$1,0))</f>
        <v>2706</v>
      </c>
      <c r="N530" s="8">
        <f>INDEX(Product_List,MATCH($F530,'Product List'!$B$1:$B$299,0),MATCH('Order SUmmary'!N$2,'Product List'!$A$1:$E$1,0))</f>
        <v>2310</v>
      </c>
      <c r="O530" s="8" t="str">
        <f>INDEX(Product_List,MATCH($F530,'Product List'!$B$1:$B$299,0),MATCH('Order SUmmary'!O$2,'Product List'!$A$1:$E$1,0))</f>
        <v>Paper</v>
      </c>
      <c r="P530" s="12">
        <f>HLOOKUP(C530,'Commission Criteria'!$A$2:$I$4,3,FALSE)</f>
        <v>1</v>
      </c>
      <c r="Q530" s="8">
        <f t="shared" si="25"/>
        <v>4620</v>
      </c>
      <c r="R530" s="8">
        <f t="shared" si="26"/>
        <v>5412</v>
      </c>
      <c r="S530" s="36">
        <f>VLOOKUP(R530,'Commission Criteria'!$L$3:$M$11,2,TRUE)</f>
        <v>0.03</v>
      </c>
      <c r="T530" s="36">
        <f>IF(P530&lt;5,VLOOKUP(R530,'Commission Criteria'!$L$3:$M$11,2,1),VLOOKUP('Order SUmmary'!R530,'Commission Criteria'!$P$3:$Q$11,2,1))</f>
        <v>0.03</v>
      </c>
      <c r="U530" s="36">
        <f>VLOOKUP(R530,IF(P530&lt;5,'Commission Criteria'!$L$3:$M$11,'Commission Criteria'!$P$3:$Q$11),2,1)</f>
        <v>0.03</v>
      </c>
      <c r="V530" s="8" t="s">
        <v>29</v>
      </c>
      <c r="W530" s="36">
        <f t="shared" ca="1" si="27"/>
        <v>0.02</v>
      </c>
      <c r="X530" s="8" t="str">
        <f>_xlfn.XLOOKUP(F530,'Product List'!$B$1:$B$299,'Product List'!$A$1:$A$299)</f>
        <v>Xerox 1931</v>
      </c>
      <c r="Y530" s="8"/>
      <c r="Z530" s="8" t="str" cm="1">
        <f t="array" ref="Z530:AD530">_xlfn.XLOOKUP(D530,'Customer Details'!$A$1:$A$17,'Customer Details'!$B$1:$F$17,"No such customer",0,1)</f>
        <v>Reliance Industries Limited</v>
      </c>
      <c r="AA530" s="8" t="str">
        <v>12020 Shamrock Rd., Suite 333</v>
      </c>
      <c r="AB530" s="8" t="str">
        <v>Chestnut Ridge</v>
      </c>
      <c r="AC530" s="8" t="str">
        <v>NY</v>
      </c>
      <c r="AD530" s="8" t="str">
        <v>10977</v>
      </c>
    </row>
    <row r="531" spans="1:30">
      <c r="A531" s="8" t="s">
        <v>645</v>
      </c>
      <c r="B531" s="19">
        <v>41787</v>
      </c>
      <c r="C531" s="8" t="s">
        <v>36</v>
      </c>
      <c r="D531" s="8">
        <v>10004</v>
      </c>
      <c r="E531" s="8" t="str">
        <f>VLOOKUP($D531,'Customer Details'!$A$1:$F$17,4,FALSE)</f>
        <v>New York</v>
      </c>
      <c r="F531" s="8" t="s">
        <v>240</v>
      </c>
      <c r="G531" s="8">
        <v>3</v>
      </c>
      <c r="H531" s="2" t="str">
        <f>VLOOKUP($D531,'Customer Details'!$A$1:$F$17,MATCH('Order SUmmary'!H$2,'Customer Details'!$A$1:$F$1,0),0)</f>
        <v>Lupin Ltd.</v>
      </c>
      <c r="I531" s="2" t="str">
        <f>VLOOKUP($D531,'Customer Details'!$A$1:$F$17,4,0)</f>
        <v>New York</v>
      </c>
      <c r="J531" s="2" t="str">
        <f>VLOOKUP($D531,'Customer Details'!$A$1:$F$17,6,0)</f>
        <v>10019</v>
      </c>
      <c r="K531" s="8" t="str">
        <f>VLOOKUP(VLOOKUP(D531,'Customer Details'!$A$1:$F$17,5,0),'Region INfo'!$A$1:$C$52,3,0)</f>
        <v xml:space="preserve">Northern </v>
      </c>
      <c r="L531" s="8" t="str">
        <f>INDEX(Product_List,MATCH($F531,'Product List'!$B$1:$B$299,0),MATCH('Order SUmmary'!L$2,'Product List'!$A$1:$E$1,0))</f>
        <v>Xerox 2</v>
      </c>
      <c r="M531" s="8">
        <f>INDEX(Product_List,MATCH($F531,'Product List'!$B$1:$B$299,0),MATCH('Order SUmmary'!M$2,'Product List'!$A$1:$E$1,0))</f>
        <v>2562</v>
      </c>
      <c r="N531" s="8">
        <f>INDEX(Product_List,MATCH($F531,'Product List'!$B$1:$B$299,0),MATCH('Order SUmmary'!N$2,'Product List'!$A$1:$E$1,0))</f>
        <v>1527</v>
      </c>
      <c r="O531" s="8" t="str">
        <f>INDEX(Product_List,MATCH($F531,'Product List'!$B$1:$B$299,0),MATCH('Order SUmmary'!O$2,'Product List'!$A$1:$E$1,0))</f>
        <v>Paper</v>
      </c>
      <c r="P531" s="12">
        <f>HLOOKUP(C531,'Commission Criteria'!$A$2:$I$4,3,FALSE)</f>
        <v>6</v>
      </c>
      <c r="Q531" s="8">
        <f t="shared" si="25"/>
        <v>4581</v>
      </c>
      <c r="R531" s="8">
        <f t="shared" si="26"/>
        <v>7686</v>
      </c>
      <c r="S531" s="36">
        <f>VLOOKUP(R531,'Commission Criteria'!$L$3:$M$11,2,TRUE)</f>
        <v>0.03</v>
      </c>
      <c r="T531" s="36">
        <f>IF(P531&lt;5,VLOOKUP(R531,'Commission Criteria'!$L$3:$M$11,2,1),VLOOKUP('Order SUmmary'!R531,'Commission Criteria'!$P$3:$Q$11,2,1))</f>
        <v>0.02</v>
      </c>
      <c r="U531" s="36">
        <f>VLOOKUP(R531,IF(P531&lt;5,'Commission Criteria'!$L$3:$M$11,'Commission Criteria'!$P$3:$Q$11),2,1)</f>
        <v>0.02</v>
      </c>
      <c r="V531" s="8" t="s">
        <v>43</v>
      </c>
      <c r="W531" s="36">
        <f t="shared" ca="1" si="27"/>
        <v>0.03</v>
      </c>
      <c r="X531" s="8" t="str">
        <f>_xlfn.XLOOKUP(F531,'Product List'!$B$1:$B$299,'Product List'!$A$1:$A$299)</f>
        <v>Xerox 2</v>
      </c>
      <c r="Y531" s="8"/>
      <c r="Z531" s="8" t="str" cm="1">
        <f t="array" ref="Z531:AD531">_xlfn.XLOOKUP(D531,'Customer Details'!$A$1:$A$17,'Customer Details'!$B$1:$F$17,"No such customer",0,1)</f>
        <v>Lupin Ltd.</v>
      </c>
      <c r="AA531" s="8" t="str">
        <v>Abbey Wood</v>
      </c>
      <c r="AB531" s="8" t="str">
        <v>New York</v>
      </c>
      <c r="AC531" s="8" t="str">
        <v>NY</v>
      </c>
      <c r="AD531" s="8" t="str">
        <v>10019</v>
      </c>
    </row>
    <row r="532" spans="1:30">
      <c r="A532" s="8" t="s">
        <v>647</v>
      </c>
      <c r="B532" s="19">
        <v>41790</v>
      </c>
      <c r="C532" s="8" t="s">
        <v>33</v>
      </c>
      <c r="D532" s="8">
        <v>10015</v>
      </c>
      <c r="E532" s="8" t="str">
        <f>VLOOKUP($D532,'Customer Details'!$A$1:$F$17,4,FALSE)</f>
        <v>South Windsor</v>
      </c>
      <c r="F532" s="8" t="s">
        <v>105</v>
      </c>
      <c r="G532" s="8">
        <v>1</v>
      </c>
      <c r="H532" s="2" t="str">
        <f>VLOOKUP($D532,'Customer Details'!$A$1:$F$17,MATCH('Order SUmmary'!H$2,'Customer Details'!$A$1:$F$1,0),0)</f>
        <v>Punj Lloyd Ltd.</v>
      </c>
      <c r="I532" s="2" t="str">
        <f>VLOOKUP($D532,'Customer Details'!$A$1:$F$17,4,0)</f>
        <v>South Windsor</v>
      </c>
      <c r="J532" s="2" t="str">
        <f>VLOOKUP($D532,'Customer Details'!$A$1:$F$17,6,0)</f>
        <v>06074</v>
      </c>
      <c r="K532" s="8" t="str">
        <f>VLOOKUP(VLOOKUP(D532,'Customer Details'!$A$1:$F$17,5,0),'Region INfo'!$A$1:$C$52,3,0)</f>
        <v xml:space="preserve">Northern </v>
      </c>
      <c r="L532" s="8" t="str">
        <f>INDEX(Product_List,MATCH($F532,'Product List'!$B$1:$B$299,0),MATCH('Order SUmmary'!L$2,'Product List'!$A$1:$E$1,0))</f>
        <v>Xerox 201</v>
      </c>
      <c r="M532" s="8">
        <f>INDEX(Product_List,MATCH($F532,'Product List'!$B$1:$B$299,0),MATCH('Order SUmmary'!M$2,'Product List'!$A$1:$E$1,0))</f>
        <v>2509</v>
      </c>
      <c r="N532" s="8">
        <f>INDEX(Product_List,MATCH($F532,'Product List'!$B$1:$B$299,0),MATCH('Order SUmmary'!N$2,'Product List'!$A$1:$E$1,0))</f>
        <v>1452</v>
      </c>
      <c r="O532" s="8" t="str">
        <f>INDEX(Product_List,MATCH($F532,'Product List'!$B$1:$B$299,0),MATCH('Order SUmmary'!O$2,'Product List'!$A$1:$E$1,0))</f>
        <v>Paper</v>
      </c>
      <c r="P532" s="12">
        <f>HLOOKUP(C532,'Commission Criteria'!$A$2:$I$4,3,FALSE)</f>
        <v>1</v>
      </c>
      <c r="Q532" s="8">
        <f t="shared" si="25"/>
        <v>1452</v>
      </c>
      <c r="R532" s="8">
        <f t="shared" si="26"/>
        <v>2509</v>
      </c>
      <c r="S532" s="36">
        <f>VLOOKUP(R532,'Commission Criteria'!$L$3:$M$11,2,TRUE)</f>
        <v>0.01</v>
      </c>
      <c r="T532" s="36">
        <f>IF(P532&lt;5,VLOOKUP(R532,'Commission Criteria'!$L$3:$M$11,2,1),VLOOKUP('Order SUmmary'!R532,'Commission Criteria'!$P$3:$Q$11,2,1))</f>
        <v>0.01</v>
      </c>
      <c r="U532" s="36">
        <f>VLOOKUP(R532,IF(P532&lt;5,'Commission Criteria'!$L$3:$M$11,'Commission Criteria'!$P$3:$Q$11),2,1)</f>
        <v>0.01</v>
      </c>
      <c r="V532" s="8" t="s">
        <v>40</v>
      </c>
      <c r="W532" s="36">
        <f t="shared" ca="1" si="27"/>
        <v>0.04</v>
      </c>
      <c r="X532" s="8" t="str">
        <f>_xlfn.XLOOKUP(F532,'Product List'!$B$1:$B$299,'Product List'!$A$1:$A$299)</f>
        <v>Xerox 201</v>
      </c>
      <c r="Y532" s="8"/>
      <c r="Z532" s="8" t="str" cm="1">
        <f t="array" ref="Z532:AD532">_xlfn.XLOOKUP(D532,'Customer Details'!$A$1:$A$17,'Customer Details'!$B$1:$F$17,"No such customer",0,1)</f>
        <v>Punj Lloyd Ltd.</v>
      </c>
      <c r="AA532" s="8" t="str">
        <v>Box 3263</v>
      </c>
      <c r="AB532" s="8" t="str">
        <v>South Windsor</v>
      </c>
      <c r="AC532" s="8" t="str">
        <v>CT</v>
      </c>
      <c r="AD532" s="8" t="str">
        <v>06074</v>
      </c>
    </row>
    <row r="533" spans="1:30">
      <c r="A533" s="8" t="s">
        <v>647</v>
      </c>
      <c r="B533" s="19">
        <v>41790</v>
      </c>
      <c r="C533" s="8" t="s">
        <v>54</v>
      </c>
      <c r="D533" s="8">
        <v>10015</v>
      </c>
      <c r="E533" s="8" t="str">
        <f>VLOOKUP($D533,'Customer Details'!$A$1:$F$17,4,FALSE)</f>
        <v>South Windsor</v>
      </c>
      <c r="F533" s="8" t="s">
        <v>256</v>
      </c>
      <c r="G533" s="8">
        <v>1</v>
      </c>
      <c r="H533" s="2" t="str">
        <f>VLOOKUP($D533,'Customer Details'!$A$1:$F$17,MATCH('Order SUmmary'!H$2,'Customer Details'!$A$1:$F$1,0),0)</f>
        <v>Punj Lloyd Ltd.</v>
      </c>
      <c r="I533" s="2" t="str">
        <f>VLOOKUP($D533,'Customer Details'!$A$1:$F$17,4,0)</f>
        <v>South Windsor</v>
      </c>
      <c r="J533" s="2" t="str">
        <f>VLOOKUP($D533,'Customer Details'!$A$1:$F$17,6,0)</f>
        <v>06074</v>
      </c>
      <c r="K533" s="8" t="str">
        <f>VLOOKUP(VLOOKUP(D533,'Customer Details'!$A$1:$F$17,5,0),'Region INfo'!$A$1:$C$52,3,0)</f>
        <v xml:space="preserve">Northern </v>
      </c>
      <c r="L533" s="8" t="str">
        <f>INDEX(Product_List,MATCH($F533,'Product List'!$B$1:$B$299,0),MATCH('Order SUmmary'!L$2,'Product List'!$A$1:$E$1,0))</f>
        <v>Newell 313</v>
      </c>
      <c r="M533" s="8">
        <f>INDEX(Product_List,MATCH($F533,'Product List'!$B$1:$B$299,0),MATCH('Order SUmmary'!M$2,'Product List'!$A$1:$E$1,0))</f>
        <v>2517</v>
      </c>
      <c r="N533" s="8">
        <f>INDEX(Product_List,MATCH($F533,'Product List'!$B$1:$B$299,0),MATCH('Order SUmmary'!N$2,'Product List'!$A$1:$E$1,0))</f>
        <v>2149</v>
      </c>
      <c r="O533" s="8" t="str">
        <f>INDEX(Product_List,MATCH($F533,'Product List'!$B$1:$B$299,0),MATCH('Order SUmmary'!O$2,'Product List'!$A$1:$E$1,0))</f>
        <v>Art</v>
      </c>
      <c r="P533" s="12">
        <f>HLOOKUP(C533,'Commission Criteria'!$A$2:$I$4,3,FALSE)</f>
        <v>3</v>
      </c>
      <c r="Q533" s="8">
        <f t="shared" si="25"/>
        <v>2149</v>
      </c>
      <c r="R533" s="8">
        <f t="shared" si="26"/>
        <v>2517</v>
      </c>
      <c r="S533" s="36">
        <f>VLOOKUP(R533,'Commission Criteria'!$L$3:$M$11,2,TRUE)</f>
        <v>0.01</v>
      </c>
      <c r="T533" s="36">
        <f>IF(P533&lt;5,VLOOKUP(R533,'Commission Criteria'!$L$3:$M$11,2,1),VLOOKUP('Order SUmmary'!R533,'Commission Criteria'!$P$3:$Q$11,2,1))</f>
        <v>0.01</v>
      </c>
      <c r="U533" s="36">
        <f>VLOOKUP(R533,IF(P533&lt;5,'Commission Criteria'!$L$3:$M$11,'Commission Criteria'!$P$3:$Q$11),2,1)</f>
        <v>0.01</v>
      </c>
      <c r="V533" s="8" t="s">
        <v>43</v>
      </c>
      <c r="W533" s="36">
        <f t="shared" ca="1" si="27"/>
        <v>0.04</v>
      </c>
      <c r="X533" s="8" t="str">
        <f>_xlfn.XLOOKUP(F533,'Product List'!$B$1:$B$299,'Product List'!$A$1:$A$299)</f>
        <v>Newell 313</v>
      </c>
      <c r="Y533" s="8"/>
      <c r="Z533" s="8" t="str" cm="1">
        <f t="array" ref="Z533:AD533">_xlfn.XLOOKUP(D533,'Customer Details'!$A$1:$A$17,'Customer Details'!$B$1:$F$17,"No such customer",0,1)</f>
        <v>Punj Lloyd Ltd.</v>
      </c>
      <c r="AA533" s="8" t="str">
        <v>Box 3263</v>
      </c>
      <c r="AB533" s="8" t="str">
        <v>South Windsor</v>
      </c>
      <c r="AC533" s="8" t="str">
        <v>CT</v>
      </c>
      <c r="AD533" s="8" t="str">
        <v>06074</v>
      </c>
    </row>
    <row r="534" spans="1:30">
      <c r="A534" s="8" t="s">
        <v>648</v>
      </c>
      <c r="B534" s="19">
        <v>41793</v>
      </c>
      <c r="C534" s="8" t="s">
        <v>51</v>
      </c>
      <c r="D534" s="8">
        <v>10007</v>
      </c>
      <c r="E534" s="8" t="str">
        <f>VLOOKUP($D534,'Customer Details'!$A$1:$F$17,4,FALSE)</f>
        <v>Richmond</v>
      </c>
      <c r="F534" s="8" t="s">
        <v>649</v>
      </c>
      <c r="G534" s="8">
        <v>1</v>
      </c>
      <c r="H534" s="2" t="str">
        <f>VLOOKUP($D534,'Customer Details'!$A$1:$F$17,MATCH('Order SUmmary'!H$2,'Customer Details'!$A$1:$F$1,0),0)</f>
        <v>GHCL Ltd.</v>
      </c>
      <c r="I534" s="2" t="str">
        <f>VLOOKUP($D534,'Customer Details'!$A$1:$F$17,4,0)</f>
        <v>Richmond</v>
      </c>
      <c r="J534" s="2" t="str">
        <f>VLOOKUP($D534,'Customer Details'!$A$1:$F$17,6,0)</f>
        <v>94805</v>
      </c>
      <c r="K534" s="8" t="str">
        <f>VLOOKUP(VLOOKUP(D534,'Customer Details'!$A$1:$F$17,5,0),'Region INfo'!$A$1:$C$52,3,0)</f>
        <v xml:space="preserve">Pacific   </v>
      </c>
      <c r="L534" s="8" t="str">
        <f>INDEX(Product_List,MATCH($F534,'Product List'!$B$1:$B$299,0),MATCH('Order SUmmary'!L$2,'Product List'!$A$1:$E$1,0))</f>
        <v>Xerox 1969</v>
      </c>
      <c r="M534" s="8">
        <f>INDEX(Product_List,MATCH($F534,'Product List'!$B$1:$B$299,0),MATCH('Order SUmmary'!M$2,'Product List'!$A$1:$E$1,0))</f>
        <v>4576</v>
      </c>
      <c r="N534" s="8">
        <f>INDEX(Product_List,MATCH($F534,'Product List'!$B$1:$B$299,0),MATCH('Order SUmmary'!N$2,'Product List'!$A$1:$E$1,0))</f>
        <v>2188</v>
      </c>
      <c r="O534" s="8" t="str">
        <f>INDEX(Product_List,MATCH($F534,'Product List'!$B$1:$B$299,0),MATCH('Order SUmmary'!O$2,'Product List'!$A$1:$E$1,0))</f>
        <v>Paper</v>
      </c>
      <c r="P534" s="12">
        <f>HLOOKUP(C534,'Commission Criteria'!$A$2:$I$4,3,FALSE)</f>
        <v>10</v>
      </c>
      <c r="Q534" s="8">
        <f t="shared" si="25"/>
        <v>2188</v>
      </c>
      <c r="R534" s="8">
        <f t="shared" si="26"/>
        <v>4576</v>
      </c>
      <c r="S534" s="36">
        <f>VLOOKUP(R534,'Commission Criteria'!$L$3:$M$11,2,TRUE)</f>
        <v>0.01</v>
      </c>
      <c r="T534" s="36">
        <f>IF(P534&lt;5,VLOOKUP(R534,'Commission Criteria'!$L$3:$M$11,2,1),VLOOKUP('Order SUmmary'!R534,'Commission Criteria'!$P$3:$Q$11,2,1))</f>
        <v>0.02</v>
      </c>
      <c r="U534" s="36">
        <f>VLOOKUP(R534,IF(P534&lt;5,'Commission Criteria'!$L$3:$M$11,'Commission Criteria'!$P$3:$Q$11),2,1)</f>
        <v>0.02</v>
      </c>
      <c r="V534" s="8" t="s">
        <v>50</v>
      </c>
      <c r="W534" s="36">
        <f t="shared" ca="1" si="27"/>
        <v>0.04</v>
      </c>
      <c r="X534" s="8" t="str">
        <f>_xlfn.XLOOKUP(F534,'Product List'!$B$1:$B$299,'Product List'!$A$1:$A$299)</f>
        <v>Xerox 1969</v>
      </c>
      <c r="Y534" s="8"/>
      <c r="Z534" s="8" t="str" cm="1">
        <f t="array" ref="Z534:AD534">_xlfn.XLOOKUP(D534,'Customer Details'!$A$1:$A$17,'Customer Details'!$B$1:$F$17,"No such customer",0,1)</f>
        <v>GHCL Ltd.</v>
      </c>
      <c r="AA534" s="8" t="str">
        <v>58 Clarence St</v>
      </c>
      <c r="AB534" s="8" t="str">
        <v>Richmond</v>
      </c>
      <c r="AC534" s="8" t="str">
        <v>CA</v>
      </c>
      <c r="AD534" s="8" t="str">
        <v>94805</v>
      </c>
    </row>
    <row r="535" spans="1:30">
      <c r="A535" s="8" t="s">
        <v>650</v>
      </c>
      <c r="B535" s="19">
        <v>41793</v>
      </c>
      <c r="C535" s="8" t="s">
        <v>46</v>
      </c>
      <c r="D535" s="8">
        <v>10001</v>
      </c>
      <c r="E535" s="8" t="str">
        <f>VLOOKUP($D535,'Customer Details'!$A$1:$F$17,4,FALSE)</f>
        <v>New York</v>
      </c>
      <c r="F535" s="8" t="s">
        <v>439</v>
      </c>
      <c r="G535" s="8">
        <v>3</v>
      </c>
      <c r="H535" s="2" t="str">
        <f>VLOOKUP($D535,'Customer Details'!$A$1:$F$17,MATCH('Order SUmmary'!H$2,'Customer Details'!$A$1:$F$1,0),0)</f>
        <v>Chambal Fertilisers and Chemicals Ltd.</v>
      </c>
      <c r="I535" s="2" t="str">
        <f>VLOOKUP($D535,'Customer Details'!$A$1:$F$17,4,0)</f>
        <v>New York</v>
      </c>
      <c r="J535" s="2" t="str">
        <f>VLOOKUP($D535,'Customer Details'!$A$1:$F$17,6,0)</f>
        <v>10025</v>
      </c>
      <c r="K535" s="8" t="str">
        <f>VLOOKUP(VLOOKUP(D535,'Customer Details'!$A$1:$F$17,5,0),'Region INfo'!$A$1:$C$52,3,0)</f>
        <v xml:space="preserve">Northern </v>
      </c>
      <c r="L535" s="8" t="str">
        <f>INDEX(Product_List,MATCH($F535,'Product List'!$B$1:$B$299,0),MATCH('Order SUmmary'!L$2,'Product List'!$A$1:$E$1,0))</f>
        <v>Xerox 1919</v>
      </c>
      <c r="M535" s="8">
        <f>INDEX(Product_List,MATCH($F535,'Product List'!$B$1:$B$299,0),MATCH('Order SUmmary'!M$2,'Product List'!$A$1:$E$1,0))</f>
        <v>2535</v>
      </c>
      <c r="N535" s="8">
        <f>INDEX(Product_List,MATCH($F535,'Product List'!$B$1:$B$299,0),MATCH('Order SUmmary'!N$2,'Product List'!$A$1:$E$1,0))</f>
        <v>1841</v>
      </c>
      <c r="O535" s="8" t="str">
        <f>INDEX(Product_List,MATCH($F535,'Product List'!$B$1:$B$299,0),MATCH('Order SUmmary'!O$2,'Product List'!$A$1:$E$1,0))</f>
        <v>Paper</v>
      </c>
      <c r="P535" s="12">
        <f>HLOOKUP(C535,'Commission Criteria'!$A$2:$I$4,3,FALSE)</f>
        <v>8</v>
      </c>
      <c r="Q535" s="8">
        <f t="shared" si="25"/>
        <v>5523</v>
      </c>
      <c r="R535" s="8">
        <f t="shared" si="26"/>
        <v>7605</v>
      </c>
      <c r="S535" s="36">
        <f>VLOOKUP(R535,'Commission Criteria'!$L$3:$M$11,2,TRUE)</f>
        <v>0.03</v>
      </c>
      <c r="T535" s="36">
        <f>IF(P535&lt;5,VLOOKUP(R535,'Commission Criteria'!$L$3:$M$11,2,1),VLOOKUP('Order SUmmary'!R535,'Commission Criteria'!$P$3:$Q$11,2,1))</f>
        <v>0.02</v>
      </c>
      <c r="U535" s="36">
        <f>VLOOKUP(R535,IF(P535&lt;5,'Commission Criteria'!$L$3:$M$11,'Commission Criteria'!$P$3:$Q$11),2,1)</f>
        <v>0.02</v>
      </c>
      <c r="V535" s="8" t="s">
        <v>32</v>
      </c>
      <c r="W535" s="36">
        <f t="shared" ca="1" si="27"/>
        <v>0</v>
      </c>
      <c r="X535" s="8" t="str">
        <f>_xlfn.XLOOKUP(F535,'Product List'!$B$1:$B$299,'Product List'!$A$1:$A$299)</f>
        <v>Xerox 1919</v>
      </c>
      <c r="Y535" s="8"/>
      <c r="Z535" s="8" t="str" cm="1">
        <f t="array" ref="Z535:AD535">_xlfn.XLOOKUP(D535,'Customer Details'!$A$1:$A$17,'Customer Details'!$B$1:$F$17,"No such customer",0,1)</f>
        <v>Chambal Fertilisers and Chemicals Ltd.</v>
      </c>
      <c r="AA535" s="8" t="str">
        <v>4951 Indiana Ave.</v>
      </c>
      <c r="AB535" s="8" t="str">
        <v>New York</v>
      </c>
      <c r="AC535" s="8" t="str">
        <v>NY</v>
      </c>
      <c r="AD535" s="8" t="str">
        <v>10025</v>
      </c>
    </row>
    <row r="536" spans="1:30">
      <c r="A536" s="8" t="s">
        <v>648</v>
      </c>
      <c r="B536" s="19">
        <v>41793</v>
      </c>
      <c r="C536" s="8" t="s">
        <v>33</v>
      </c>
      <c r="D536" s="8">
        <v>10012</v>
      </c>
      <c r="E536" s="8" t="str">
        <f>VLOOKUP($D536,'Customer Details'!$A$1:$F$17,4,FALSE)</f>
        <v>Santa Barbara</v>
      </c>
      <c r="F536" s="8" t="s">
        <v>324</v>
      </c>
      <c r="G536" s="8">
        <v>2</v>
      </c>
      <c r="H536" s="2" t="str">
        <f>VLOOKUP($D536,'Customer Details'!$A$1:$F$17,MATCH('Order SUmmary'!H$2,'Customer Details'!$A$1:$F$1,0),0)</f>
        <v>Dynamatic Technologies Ltd.</v>
      </c>
      <c r="I536" s="2" t="str">
        <f>VLOOKUP($D536,'Customer Details'!$A$1:$F$17,4,0)</f>
        <v>Santa Barbara</v>
      </c>
      <c r="J536" s="2" t="str">
        <f>VLOOKUP($D536,'Customer Details'!$A$1:$F$17,6,0)</f>
        <v>93110</v>
      </c>
      <c r="K536" s="8" t="str">
        <f>VLOOKUP(VLOOKUP(D536,'Customer Details'!$A$1:$F$17,5,0),'Region INfo'!$A$1:$C$52,3,0)</f>
        <v xml:space="preserve">Pacific   </v>
      </c>
      <c r="L536" s="8" t="str">
        <f>INDEX(Product_List,MATCH($F536,'Product List'!$B$1:$B$299,0),MATCH('Order SUmmary'!L$2,'Product List'!$A$1:$E$1,0))</f>
        <v>Newell 31</v>
      </c>
      <c r="M536" s="8">
        <f>INDEX(Product_List,MATCH($F536,'Product List'!$B$1:$B$299,0),MATCH('Order SUmmary'!M$2,'Product List'!$A$1:$E$1,0))</f>
        <v>4729</v>
      </c>
      <c r="N536" s="8">
        <f>INDEX(Product_List,MATCH($F536,'Product List'!$B$1:$B$299,0),MATCH('Order SUmmary'!N$2,'Product List'!$A$1:$E$1,0))</f>
        <v>1359</v>
      </c>
      <c r="O536" s="8" t="str">
        <f>INDEX(Product_List,MATCH($F536,'Product List'!$B$1:$B$299,0),MATCH('Order SUmmary'!O$2,'Product List'!$A$1:$E$1,0))</f>
        <v>Art</v>
      </c>
      <c r="P536" s="12">
        <f>HLOOKUP(C536,'Commission Criteria'!$A$2:$I$4,3,FALSE)</f>
        <v>1</v>
      </c>
      <c r="Q536" s="8">
        <f t="shared" si="25"/>
        <v>2718</v>
      </c>
      <c r="R536" s="8">
        <f t="shared" si="26"/>
        <v>9458</v>
      </c>
      <c r="S536" s="36">
        <f>VLOOKUP(R536,'Commission Criteria'!$L$3:$M$11,2,TRUE)</f>
        <v>0.03</v>
      </c>
      <c r="T536" s="36">
        <f>IF(P536&lt;5,VLOOKUP(R536,'Commission Criteria'!$L$3:$M$11,2,1),VLOOKUP('Order SUmmary'!R536,'Commission Criteria'!$P$3:$Q$11,2,1))</f>
        <v>0.03</v>
      </c>
      <c r="U536" s="36">
        <f>VLOOKUP(R536,IF(P536&lt;5,'Commission Criteria'!$L$3:$M$11,'Commission Criteria'!$P$3:$Q$11),2,1)</f>
        <v>0.03</v>
      </c>
      <c r="V536" s="8" t="s">
        <v>50</v>
      </c>
      <c r="W536" s="36">
        <f t="shared" ca="1" si="27"/>
        <v>0.05</v>
      </c>
      <c r="X536" s="8" t="str">
        <f>_xlfn.XLOOKUP(F536,'Product List'!$B$1:$B$299,'Product List'!$A$1:$A$299)</f>
        <v>Newell 31</v>
      </c>
      <c r="Y536" s="8"/>
      <c r="Z536" s="8" t="str" cm="1">
        <f t="array" ref="Z536:AD536">_xlfn.XLOOKUP(D536,'Customer Details'!$A$1:$A$17,'Customer Details'!$B$1:$F$17,"No such customer",0,1)</f>
        <v>Dynamatic Technologies Ltd.</v>
      </c>
      <c r="AA536" s="8" t="str">
        <v>402 Pinkster Lane</v>
      </c>
      <c r="AB536" s="8" t="str">
        <v>Santa Barbara</v>
      </c>
      <c r="AC536" s="8" t="str">
        <v>CA</v>
      </c>
      <c r="AD536" s="8" t="str">
        <v>93110</v>
      </c>
    </row>
    <row r="537" spans="1:30">
      <c r="A537" s="8" t="s">
        <v>650</v>
      </c>
      <c r="B537" s="19">
        <v>41793</v>
      </c>
      <c r="C537" s="8" t="s">
        <v>51</v>
      </c>
      <c r="D537" s="8">
        <v>10015</v>
      </c>
      <c r="E537" s="8" t="str">
        <f>VLOOKUP($D537,'Customer Details'!$A$1:$F$17,4,FALSE)</f>
        <v>South Windsor</v>
      </c>
      <c r="F537" s="8" t="s">
        <v>361</v>
      </c>
      <c r="G537" s="8">
        <v>2</v>
      </c>
      <c r="H537" s="2" t="str">
        <f>VLOOKUP($D537,'Customer Details'!$A$1:$F$17,MATCH('Order SUmmary'!H$2,'Customer Details'!$A$1:$F$1,0),0)</f>
        <v>Punj Lloyd Ltd.</v>
      </c>
      <c r="I537" s="2" t="str">
        <f>VLOOKUP($D537,'Customer Details'!$A$1:$F$17,4,0)</f>
        <v>South Windsor</v>
      </c>
      <c r="J537" s="2" t="str">
        <f>VLOOKUP($D537,'Customer Details'!$A$1:$F$17,6,0)</f>
        <v>06074</v>
      </c>
      <c r="K537" s="8" t="str">
        <f>VLOOKUP(VLOOKUP(D537,'Customer Details'!$A$1:$F$17,5,0),'Region INfo'!$A$1:$C$52,3,0)</f>
        <v xml:space="preserve">Northern </v>
      </c>
      <c r="L537" s="8" t="str">
        <f>INDEX(Product_List,MATCH($F537,'Product List'!$B$1:$B$299,0),MATCH('Order SUmmary'!L$2,'Product List'!$A$1:$E$1,0))</f>
        <v>Avery 518</v>
      </c>
      <c r="M537" s="8">
        <f>INDEX(Product_List,MATCH($F537,'Product List'!$B$1:$B$299,0),MATCH('Order SUmmary'!M$2,'Product List'!$A$1:$E$1,0))</f>
        <v>4741</v>
      </c>
      <c r="N537" s="8">
        <f>INDEX(Product_List,MATCH($F537,'Product List'!$B$1:$B$299,0),MATCH('Order SUmmary'!N$2,'Product List'!$A$1:$E$1,0))</f>
        <v>1849</v>
      </c>
      <c r="O537" s="8" t="str">
        <f>INDEX(Product_List,MATCH($F537,'Product List'!$B$1:$B$299,0),MATCH('Order SUmmary'!O$2,'Product List'!$A$1:$E$1,0))</f>
        <v>Labels</v>
      </c>
      <c r="P537" s="12">
        <f>HLOOKUP(C537,'Commission Criteria'!$A$2:$I$4,3,FALSE)</f>
        <v>10</v>
      </c>
      <c r="Q537" s="8">
        <f t="shared" si="25"/>
        <v>3698</v>
      </c>
      <c r="R537" s="8">
        <f t="shared" si="26"/>
        <v>9482</v>
      </c>
      <c r="S537" s="36">
        <f>VLOOKUP(R537,'Commission Criteria'!$L$3:$M$11,2,TRUE)</f>
        <v>0.03</v>
      </c>
      <c r="T537" s="36">
        <f>IF(P537&lt;5,VLOOKUP(R537,'Commission Criteria'!$L$3:$M$11,2,1),VLOOKUP('Order SUmmary'!R537,'Commission Criteria'!$P$3:$Q$11,2,1))</f>
        <v>0.02</v>
      </c>
      <c r="U537" s="36">
        <f>VLOOKUP(R537,IF(P537&lt;5,'Commission Criteria'!$L$3:$M$11,'Commission Criteria'!$P$3:$Q$11),2,1)</f>
        <v>0.02</v>
      </c>
      <c r="V537" s="8" t="s">
        <v>32</v>
      </c>
      <c r="W537" s="36">
        <f t="shared" ca="1" si="27"/>
        <v>0.05</v>
      </c>
      <c r="X537" s="8" t="str">
        <f>_xlfn.XLOOKUP(F537,'Product List'!$B$1:$B$299,'Product List'!$A$1:$A$299)</f>
        <v>Avery 518</v>
      </c>
      <c r="Y537" s="8"/>
      <c r="Z537" s="8" t="str" cm="1">
        <f t="array" ref="Z537:AD537">_xlfn.XLOOKUP(D537,'Customer Details'!$A$1:$A$17,'Customer Details'!$B$1:$F$17,"No such customer",0,1)</f>
        <v>Punj Lloyd Ltd.</v>
      </c>
      <c r="AA537" s="8" t="str">
        <v>Box 3263</v>
      </c>
      <c r="AB537" s="8" t="str">
        <v>South Windsor</v>
      </c>
      <c r="AC537" s="8" t="str">
        <v>CT</v>
      </c>
      <c r="AD537" s="8" t="str">
        <v>06074</v>
      </c>
    </row>
    <row r="538" spans="1:30">
      <c r="A538" s="8" t="s">
        <v>648</v>
      </c>
      <c r="B538" s="19">
        <v>41793</v>
      </c>
      <c r="C538" s="8" t="s">
        <v>33</v>
      </c>
      <c r="D538" s="8">
        <v>10008</v>
      </c>
      <c r="E538" s="8" t="str">
        <f>VLOOKUP($D538,'Customer Details'!$A$1:$F$17,4,FALSE)</f>
        <v>Chestnut Ridge</v>
      </c>
      <c r="F538" s="8" t="s">
        <v>110</v>
      </c>
      <c r="G538" s="8">
        <v>3</v>
      </c>
      <c r="H538" s="2" t="str">
        <f>VLOOKUP($D538,'Customer Details'!$A$1:$F$17,MATCH('Order SUmmary'!H$2,'Customer Details'!$A$1:$F$1,0),0)</f>
        <v>Reliance Industries Limited</v>
      </c>
      <c r="I538" s="2" t="str">
        <f>VLOOKUP($D538,'Customer Details'!$A$1:$F$17,4,0)</f>
        <v>Chestnut Ridge</v>
      </c>
      <c r="J538" s="2" t="str">
        <f>VLOOKUP($D538,'Customer Details'!$A$1:$F$17,6,0)</f>
        <v>10977</v>
      </c>
      <c r="K538" s="8" t="str">
        <f>VLOOKUP(VLOOKUP(D538,'Customer Details'!$A$1:$F$17,5,0),'Region INfo'!$A$1:$C$52,3,0)</f>
        <v xml:space="preserve">Northern </v>
      </c>
      <c r="L538" s="8" t="str">
        <f>INDEX(Product_List,MATCH($F538,'Product List'!$B$1:$B$299,0),MATCH('Order SUmmary'!L$2,'Product List'!$A$1:$E$1,0))</f>
        <v>Newell 332</v>
      </c>
      <c r="M538" s="8">
        <f>INDEX(Product_List,MATCH($F538,'Product List'!$B$1:$B$299,0),MATCH('Order SUmmary'!M$2,'Product List'!$A$1:$E$1,0))</f>
        <v>4623</v>
      </c>
      <c r="N538" s="8">
        <f>INDEX(Product_List,MATCH($F538,'Product List'!$B$1:$B$299,0),MATCH('Order SUmmary'!N$2,'Product List'!$A$1:$E$1,0))</f>
        <v>1878</v>
      </c>
      <c r="O538" s="8" t="str">
        <f>INDEX(Product_List,MATCH($F538,'Product List'!$B$1:$B$299,0),MATCH('Order SUmmary'!O$2,'Product List'!$A$1:$E$1,0))</f>
        <v>Art</v>
      </c>
      <c r="P538" s="12">
        <f>HLOOKUP(C538,'Commission Criteria'!$A$2:$I$4,3,FALSE)</f>
        <v>1</v>
      </c>
      <c r="Q538" s="8">
        <f t="shared" si="25"/>
        <v>5634</v>
      </c>
      <c r="R538" s="8">
        <f t="shared" si="26"/>
        <v>13869</v>
      </c>
      <c r="S538" s="36">
        <f>VLOOKUP(R538,'Commission Criteria'!$L$3:$M$11,2,TRUE)</f>
        <v>0.03</v>
      </c>
      <c r="T538" s="36">
        <f>IF(P538&lt;5,VLOOKUP(R538,'Commission Criteria'!$L$3:$M$11,2,1),VLOOKUP('Order SUmmary'!R538,'Commission Criteria'!$P$3:$Q$11,2,1))</f>
        <v>0.03</v>
      </c>
      <c r="U538" s="36">
        <f>VLOOKUP(R538,IF(P538&lt;5,'Commission Criteria'!$L$3:$M$11,'Commission Criteria'!$P$3:$Q$11),2,1)</f>
        <v>0.03</v>
      </c>
      <c r="V538" s="8" t="s">
        <v>29</v>
      </c>
      <c r="W538" s="36">
        <f t="shared" ca="1" si="27"/>
        <v>0.04</v>
      </c>
      <c r="X538" s="8" t="str">
        <f>_xlfn.XLOOKUP(F538,'Product List'!$B$1:$B$299,'Product List'!$A$1:$A$299)</f>
        <v>Newell 332</v>
      </c>
      <c r="Y538" s="8"/>
      <c r="Z538" s="8" t="str" cm="1">
        <f t="array" ref="Z538:AD538">_xlfn.XLOOKUP(D538,'Customer Details'!$A$1:$A$17,'Customer Details'!$B$1:$F$17,"No such customer",0,1)</f>
        <v>Reliance Industries Limited</v>
      </c>
      <c r="AA538" s="8" t="str">
        <v>12020 Shamrock Rd., Suite 333</v>
      </c>
      <c r="AB538" s="8" t="str">
        <v>Chestnut Ridge</v>
      </c>
      <c r="AC538" s="8" t="str">
        <v>NY</v>
      </c>
      <c r="AD538" s="8" t="str">
        <v>10977</v>
      </c>
    </row>
    <row r="539" spans="1:30">
      <c r="A539" s="8" t="s">
        <v>651</v>
      </c>
      <c r="B539" s="19">
        <v>41794</v>
      </c>
      <c r="C539" s="8" t="s">
        <v>27</v>
      </c>
      <c r="D539" s="8">
        <v>10014</v>
      </c>
      <c r="E539" s="8" t="str">
        <f>VLOOKUP($D539,'Customer Details'!$A$1:$F$17,4,FALSE)</f>
        <v>Honolulu</v>
      </c>
      <c r="F539" s="8" t="s">
        <v>309</v>
      </c>
      <c r="G539" s="8">
        <v>1</v>
      </c>
      <c r="H539" s="2" t="str">
        <f>VLOOKUP($D539,'Customer Details'!$A$1:$F$17,MATCH('Order SUmmary'!H$2,'Customer Details'!$A$1:$F$1,0),0)</f>
        <v>Hindusthan National Glass &amp; Industries Ltd.</v>
      </c>
      <c r="I539" s="2" t="str">
        <f>VLOOKUP($D539,'Customer Details'!$A$1:$F$17,4,0)</f>
        <v>Honolulu</v>
      </c>
      <c r="J539" s="2" t="str">
        <f>VLOOKUP($D539,'Customer Details'!$A$1:$F$17,6,0)</f>
        <v>96825</v>
      </c>
      <c r="K539" s="8" t="str">
        <f>VLOOKUP(VLOOKUP(D539,'Customer Details'!$A$1:$F$17,5,0),'Region INfo'!$A$1:$C$52,3,0)</f>
        <v xml:space="preserve">Pacific   </v>
      </c>
      <c r="L539" s="8" t="str">
        <f>INDEX(Product_List,MATCH($F539,'Product List'!$B$1:$B$299,0),MATCH('Order SUmmary'!L$2,'Product List'!$A$1:$E$1,0))</f>
        <v>Xerox 1996</v>
      </c>
      <c r="M539" s="8">
        <f>INDEX(Product_List,MATCH($F539,'Product List'!$B$1:$B$299,0),MATCH('Order SUmmary'!M$2,'Product List'!$A$1:$E$1,0))</f>
        <v>4220</v>
      </c>
      <c r="N539" s="8">
        <f>INDEX(Product_List,MATCH($F539,'Product List'!$B$1:$B$299,0),MATCH('Order SUmmary'!N$2,'Product List'!$A$1:$E$1,0))</f>
        <v>1635</v>
      </c>
      <c r="O539" s="8" t="str">
        <f>INDEX(Product_List,MATCH($F539,'Product List'!$B$1:$B$299,0),MATCH('Order SUmmary'!O$2,'Product List'!$A$1:$E$1,0))</f>
        <v>Paper</v>
      </c>
      <c r="P539" s="12">
        <f>HLOOKUP(C539,'Commission Criteria'!$A$2:$I$4,3,FALSE)</f>
        <v>4</v>
      </c>
      <c r="Q539" s="8">
        <f t="shared" si="25"/>
        <v>1635</v>
      </c>
      <c r="R539" s="8">
        <f t="shared" si="26"/>
        <v>4220</v>
      </c>
      <c r="S539" s="36">
        <f>VLOOKUP(R539,'Commission Criteria'!$L$3:$M$11,2,TRUE)</f>
        <v>0.01</v>
      </c>
      <c r="T539" s="36">
        <f>IF(P539&lt;5,VLOOKUP(R539,'Commission Criteria'!$L$3:$M$11,2,1),VLOOKUP('Order SUmmary'!R539,'Commission Criteria'!$P$3:$Q$11,2,1))</f>
        <v>0.01</v>
      </c>
      <c r="U539" s="36">
        <f>VLOOKUP(R539,IF(P539&lt;5,'Commission Criteria'!$L$3:$M$11,'Commission Criteria'!$P$3:$Q$11),2,1)</f>
        <v>0.01</v>
      </c>
      <c r="V539" s="8" t="s">
        <v>35</v>
      </c>
      <c r="W539" s="36">
        <f t="shared" ca="1" si="27"/>
        <v>0.01</v>
      </c>
      <c r="X539" s="8" t="str">
        <f>_xlfn.XLOOKUP(F539,'Product List'!$B$1:$B$299,'Product List'!$A$1:$A$299)</f>
        <v>Xerox 1996</v>
      </c>
      <c r="Y539" s="8"/>
      <c r="Z539" s="8" t="str" cm="1">
        <f t="array" ref="Z539:AD539">_xlfn.XLOOKUP(D539,'Customer Details'!$A$1:$A$17,'Customer Details'!$B$1:$F$17,"No such customer",0,1)</f>
        <v>Hindusthan National Glass &amp; Industries Ltd.</v>
      </c>
      <c r="AA539" s="8" t="str">
        <v>11 Cathy St.</v>
      </c>
      <c r="AB539" s="8" t="str">
        <v>Honolulu</v>
      </c>
      <c r="AC539" s="8" t="str">
        <v>HI</v>
      </c>
      <c r="AD539" s="8" t="str">
        <v>96825</v>
      </c>
    </row>
    <row r="540" spans="1:30">
      <c r="A540" s="8" t="s">
        <v>652</v>
      </c>
      <c r="B540" s="19">
        <v>41794</v>
      </c>
      <c r="C540" s="8" t="s">
        <v>51</v>
      </c>
      <c r="D540" s="8">
        <v>10006</v>
      </c>
      <c r="E540" s="8" t="str">
        <f>VLOOKUP($D540,'Customer Details'!$A$1:$F$17,4,FALSE)</f>
        <v>Midland</v>
      </c>
      <c r="F540" s="8" t="s">
        <v>403</v>
      </c>
      <c r="G540" s="8">
        <v>3</v>
      </c>
      <c r="H540" s="2" t="str">
        <f>VLOOKUP($D540,'Customer Details'!$A$1:$F$17,MATCH('Order SUmmary'!H$2,'Customer Details'!$A$1:$F$1,0),0)</f>
        <v>Supreme Ind</v>
      </c>
      <c r="I540" s="2" t="str">
        <f>VLOOKUP($D540,'Customer Details'!$A$1:$F$17,4,0)</f>
        <v>Midland</v>
      </c>
      <c r="J540" s="2" t="str">
        <f>VLOOKUP($D540,'Customer Details'!$A$1:$F$17,6,0)</f>
        <v>79706</v>
      </c>
      <c r="K540" s="8" t="str">
        <f>VLOOKUP(VLOOKUP(D540,'Customer Details'!$A$1:$F$17,5,0),'Region INfo'!$A$1:$C$52,3,0)</f>
        <v>Western</v>
      </c>
      <c r="L540" s="8" t="str">
        <f>INDEX(Product_List,MATCH($F540,'Product List'!$B$1:$B$299,0),MATCH('Order SUmmary'!L$2,'Product List'!$A$1:$E$1,0))</f>
        <v>Xerox 188</v>
      </c>
      <c r="M540" s="8">
        <f>INDEX(Product_List,MATCH($F540,'Product List'!$B$1:$B$299,0),MATCH('Order SUmmary'!M$2,'Product List'!$A$1:$E$1,0))</f>
        <v>2775</v>
      </c>
      <c r="N540" s="8">
        <f>INDEX(Product_List,MATCH($F540,'Product List'!$B$1:$B$299,0),MATCH('Order SUmmary'!N$2,'Product List'!$A$1:$E$1,0))</f>
        <v>1847</v>
      </c>
      <c r="O540" s="8" t="str">
        <f>INDEX(Product_List,MATCH($F540,'Product List'!$B$1:$B$299,0),MATCH('Order SUmmary'!O$2,'Product List'!$A$1:$E$1,0))</f>
        <v>Paper</v>
      </c>
      <c r="P540" s="12">
        <f>HLOOKUP(C540,'Commission Criteria'!$A$2:$I$4,3,FALSE)</f>
        <v>10</v>
      </c>
      <c r="Q540" s="8">
        <f t="shared" si="25"/>
        <v>5541</v>
      </c>
      <c r="R540" s="8">
        <f t="shared" si="26"/>
        <v>8325</v>
      </c>
      <c r="S540" s="36">
        <f>VLOOKUP(R540,'Commission Criteria'!$L$3:$M$11,2,TRUE)</f>
        <v>0.03</v>
      </c>
      <c r="T540" s="36">
        <f>IF(P540&lt;5,VLOOKUP(R540,'Commission Criteria'!$L$3:$M$11,2,1),VLOOKUP('Order SUmmary'!R540,'Commission Criteria'!$P$3:$Q$11,2,1))</f>
        <v>0.02</v>
      </c>
      <c r="U540" s="36">
        <f>VLOOKUP(R540,IF(P540&lt;5,'Commission Criteria'!$L$3:$M$11,'Commission Criteria'!$P$3:$Q$11),2,1)</f>
        <v>0.02</v>
      </c>
      <c r="V540" s="8" t="s">
        <v>32</v>
      </c>
      <c r="W540" s="36">
        <f t="shared" ca="1" si="27"/>
        <v>0.05</v>
      </c>
      <c r="X540" s="8" t="str">
        <f>_xlfn.XLOOKUP(F540,'Product List'!$B$1:$B$299,'Product List'!$A$1:$A$299)</f>
        <v>Xerox 188</v>
      </c>
      <c r="Y540" s="8"/>
      <c r="Z540" s="8" t="str" cm="1">
        <f t="array" ref="Z540:AD540">_xlfn.XLOOKUP(D540,'Customer Details'!$A$1:$A$17,'Customer Details'!$B$1:$F$17,"No such customer",0,1)</f>
        <v>Supreme Ind</v>
      </c>
      <c r="AA540" s="8" t="str">
        <v>P.O. Box 1367</v>
      </c>
      <c r="AB540" s="8" t="str">
        <v>Midland</v>
      </c>
      <c r="AC540" s="8" t="str">
        <v>TX</v>
      </c>
      <c r="AD540" s="8" t="str">
        <v>79706</v>
      </c>
    </row>
    <row r="541" spans="1:30">
      <c r="A541" s="8" t="s">
        <v>653</v>
      </c>
      <c r="B541" s="19">
        <v>41798</v>
      </c>
      <c r="C541" s="8" t="s">
        <v>33</v>
      </c>
      <c r="D541" s="8">
        <v>10012</v>
      </c>
      <c r="E541" s="8" t="str">
        <f>VLOOKUP($D541,'Customer Details'!$A$1:$F$17,4,FALSE)</f>
        <v>Santa Barbara</v>
      </c>
      <c r="F541" s="8" t="s">
        <v>654</v>
      </c>
      <c r="G541" s="8">
        <v>2</v>
      </c>
      <c r="H541" s="2" t="str">
        <f>VLOOKUP($D541,'Customer Details'!$A$1:$F$17,MATCH('Order SUmmary'!H$2,'Customer Details'!$A$1:$F$1,0),0)</f>
        <v>Dynamatic Technologies Ltd.</v>
      </c>
      <c r="I541" s="2" t="str">
        <f>VLOOKUP($D541,'Customer Details'!$A$1:$F$17,4,0)</f>
        <v>Santa Barbara</v>
      </c>
      <c r="J541" s="2" t="str">
        <f>VLOOKUP($D541,'Customer Details'!$A$1:$F$17,6,0)</f>
        <v>93110</v>
      </c>
      <c r="K541" s="8" t="str">
        <f>VLOOKUP(VLOOKUP(D541,'Customer Details'!$A$1:$F$17,5,0),'Region INfo'!$A$1:$C$52,3,0)</f>
        <v xml:space="preserve">Pacific   </v>
      </c>
      <c r="L541" s="8" t="str">
        <f>INDEX(Product_List,MATCH($F541,'Product List'!$B$1:$B$299,0),MATCH('Order SUmmary'!L$2,'Product List'!$A$1:$E$1,0))</f>
        <v>Xerox 1895</v>
      </c>
      <c r="M541" s="8">
        <f>INDEX(Product_List,MATCH($F541,'Product List'!$B$1:$B$299,0),MATCH('Order SUmmary'!M$2,'Product List'!$A$1:$E$1,0))</f>
        <v>3282</v>
      </c>
      <c r="N541" s="8">
        <f>INDEX(Product_List,MATCH($F541,'Product List'!$B$1:$B$299,0),MATCH('Order SUmmary'!N$2,'Product List'!$A$1:$E$1,0))</f>
        <v>1376</v>
      </c>
      <c r="O541" s="8" t="str">
        <f>INDEX(Product_List,MATCH($F541,'Product List'!$B$1:$B$299,0),MATCH('Order SUmmary'!O$2,'Product List'!$A$1:$E$1,0))</f>
        <v>Paper</v>
      </c>
      <c r="P541" s="12">
        <f>HLOOKUP(C541,'Commission Criteria'!$A$2:$I$4,3,FALSE)</f>
        <v>1</v>
      </c>
      <c r="Q541" s="8">
        <f t="shared" si="25"/>
        <v>2752</v>
      </c>
      <c r="R541" s="8">
        <f t="shared" si="26"/>
        <v>6564</v>
      </c>
      <c r="S541" s="36">
        <f>VLOOKUP(R541,'Commission Criteria'!$L$3:$M$11,2,TRUE)</f>
        <v>0.03</v>
      </c>
      <c r="T541" s="36">
        <f>IF(P541&lt;5,VLOOKUP(R541,'Commission Criteria'!$L$3:$M$11,2,1),VLOOKUP('Order SUmmary'!R541,'Commission Criteria'!$P$3:$Q$11,2,1))</f>
        <v>0.03</v>
      </c>
      <c r="U541" s="36">
        <f>VLOOKUP(R541,IF(P541&lt;5,'Commission Criteria'!$L$3:$M$11,'Commission Criteria'!$P$3:$Q$11),2,1)</f>
        <v>0.03</v>
      </c>
      <c r="V541" s="8" t="s">
        <v>35</v>
      </c>
      <c r="W541" s="36">
        <f t="shared" ca="1" si="27"/>
        <v>0.01</v>
      </c>
      <c r="X541" s="8" t="str">
        <f>_xlfn.XLOOKUP(F541,'Product List'!$B$1:$B$299,'Product List'!$A$1:$A$299)</f>
        <v>Xerox 1895</v>
      </c>
      <c r="Y541" s="8"/>
      <c r="Z541" s="8" t="str" cm="1">
        <f t="array" ref="Z541:AD541">_xlfn.XLOOKUP(D541,'Customer Details'!$A$1:$A$17,'Customer Details'!$B$1:$F$17,"No such customer",0,1)</f>
        <v>Dynamatic Technologies Ltd.</v>
      </c>
      <c r="AA541" s="8" t="str">
        <v>402 Pinkster Lane</v>
      </c>
      <c r="AB541" s="8" t="str">
        <v>Santa Barbara</v>
      </c>
      <c r="AC541" s="8" t="str">
        <v>CA</v>
      </c>
      <c r="AD541" s="8" t="str">
        <v>93110</v>
      </c>
    </row>
    <row r="542" spans="1:30">
      <c r="A542" s="8" t="s">
        <v>655</v>
      </c>
      <c r="B542" s="19">
        <v>41798</v>
      </c>
      <c r="C542" s="8" t="s">
        <v>66</v>
      </c>
      <c r="D542" s="8">
        <v>10014</v>
      </c>
      <c r="E542" s="8" t="str">
        <f>VLOOKUP($D542,'Customer Details'!$A$1:$F$17,4,FALSE)</f>
        <v>Honolulu</v>
      </c>
      <c r="F542" s="8" t="s">
        <v>182</v>
      </c>
      <c r="G542" s="8">
        <v>3</v>
      </c>
      <c r="H542" s="2" t="str">
        <f>VLOOKUP($D542,'Customer Details'!$A$1:$F$17,MATCH('Order SUmmary'!H$2,'Customer Details'!$A$1:$F$1,0),0)</f>
        <v>Hindusthan National Glass &amp; Industries Ltd.</v>
      </c>
      <c r="I542" s="2" t="str">
        <f>VLOOKUP($D542,'Customer Details'!$A$1:$F$17,4,0)</f>
        <v>Honolulu</v>
      </c>
      <c r="J542" s="2" t="str">
        <f>VLOOKUP($D542,'Customer Details'!$A$1:$F$17,6,0)</f>
        <v>96825</v>
      </c>
      <c r="K542" s="8" t="str">
        <f>VLOOKUP(VLOOKUP(D542,'Customer Details'!$A$1:$F$17,5,0),'Region INfo'!$A$1:$C$52,3,0)</f>
        <v xml:space="preserve">Pacific   </v>
      </c>
      <c r="L542" s="8" t="str">
        <f>INDEX(Product_List,MATCH($F542,'Product List'!$B$1:$B$299,0),MATCH('Order SUmmary'!L$2,'Product List'!$A$1:$E$1,0))</f>
        <v>Newell 351</v>
      </c>
      <c r="M542" s="8">
        <f>INDEX(Product_List,MATCH($F542,'Product List'!$B$1:$B$299,0),MATCH('Order SUmmary'!M$2,'Product List'!$A$1:$E$1,0))</f>
        <v>2850</v>
      </c>
      <c r="N542" s="8">
        <f>INDEX(Product_List,MATCH($F542,'Product List'!$B$1:$B$299,0),MATCH('Order SUmmary'!N$2,'Product List'!$A$1:$E$1,0))</f>
        <v>2007</v>
      </c>
      <c r="O542" s="8" t="str">
        <f>INDEX(Product_List,MATCH($F542,'Product List'!$B$1:$B$299,0),MATCH('Order SUmmary'!O$2,'Product List'!$A$1:$E$1,0))</f>
        <v>Art</v>
      </c>
      <c r="P542" s="12">
        <f>HLOOKUP(C542,'Commission Criteria'!$A$2:$I$4,3,FALSE)</f>
        <v>5</v>
      </c>
      <c r="Q542" s="8">
        <f t="shared" si="25"/>
        <v>6021</v>
      </c>
      <c r="R542" s="8">
        <f t="shared" si="26"/>
        <v>8550</v>
      </c>
      <c r="S542" s="36">
        <f>VLOOKUP(R542,'Commission Criteria'!$L$3:$M$11,2,TRUE)</f>
        <v>0.03</v>
      </c>
      <c r="T542" s="36">
        <f>IF(P542&lt;5,VLOOKUP(R542,'Commission Criteria'!$L$3:$M$11,2,1),VLOOKUP('Order SUmmary'!R542,'Commission Criteria'!$P$3:$Q$11,2,1))</f>
        <v>0.02</v>
      </c>
      <c r="U542" s="36">
        <f>VLOOKUP(R542,IF(P542&lt;5,'Commission Criteria'!$L$3:$M$11,'Commission Criteria'!$P$3:$Q$11),2,1)</f>
        <v>0.02</v>
      </c>
      <c r="V542" s="8" t="s">
        <v>43</v>
      </c>
      <c r="W542" s="36">
        <f t="shared" ca="1" si="27"/>
        <v>0.02</v>
      </c>
      <c r="X542" s="8" t="str">
        <f>_xlfn.XLOOKUP(F542,'Product List'!$B$1:$B$299,'Product List'!$A$1:$A$299)</f>
        <v>Newell 351</v>
      </c>
      <c r="Y542" s="8"/>
      <c r="Z542" s="8" t="str" cm="1">
        <f t="array" ref="Z542:AD542">_xlfn.XLOOKUP(D542,'Customer Details'!$A$1:$A$17,'Customer Details'!$B$1:$F$17,"No such customer",0,1)</f>
        <v>Hindusthan National Glass &amp; Industries Ltd.</v>
      </c>
      <c r="AA542" s="8" t="str">
        <v>11 Cathy St.</v>
      </c>
      <c r="AB542" s="8" t="str">
        <v>Honolulu</v>
      </c>
      <c r="AC542" s="8" t="str">
        <v>HI</v>
      </c>
      <c r="AD542" s="8" t="str">
        <v>96825</v>
      </c>
    </row>
    <row r="543" spans="1:30">
      <c r="A543" s="8" t="s">
        <v>656</v>
      </c>
      <c r="B543" s="19">
        <v>41800</v>
      </c>
      <c r="C543" s="8" t="s">
        <v>44</v>
      </c>
      <c r="D543" s="8">
        <v>10011</v>
      </c>
      <c r="E543" s="8" t="str">
        <f>VLOOKUP($D543,'Customer Details'!$A$1:$F$17,4,FALSE)</f>
        <v>Olympia</v>
      </c>
      <c r="F543" s="8" t="s">
        <v>37</v>
      </c>
      <c r="G543" s="8">
        <v>1</v>
      </c>
      <c r="H543" s="2" t="str">
        <f>VLOOKUP($D543,'Customer Details'!$A$1:$F$17,MATCH('Order SUmmary'!H$2,'Customer Details'!$A$1:$F$1,0),0)</f>
        <v>Sonata Software</v>
      </c>
      <c r="I543" s="2" t="str">
        <f>VLOOKUP($D543,'Customer Details'!$A$1:$F$17,4,0)</f>
        <v>Olympia</v>
      </c>
      <c r="J543" s="2" t="str">
        <f>VLOOKUP($D543,'Customer Details'!$A$1:$F$17,6,0)</f>
        <v>98502</v>
      </c>
      <c r="K543" s="8" t="str">
        <f>VLOOKUP(VLOOKUP(D543,'Customer Details'!$A$1:$F$17,5,0),'Region INfo'!$A$1:$C$52,3,0)</f>
        <v xml:space="preserve">Pacific   </v>
      </c>
      <c r="L543" s="8" t="str">
        <f>INDEX(Product_List,MATCH($F543,'Product List'!$B$1:$B$299,0),MATCH('Order SUmmary'!L$2,'Product List'!$A$1:$E$1,0))</f>
        <v>Avery 508</v>
      </c>
      <c r="M543" s="8">
        <f>INDEX(Product_List,MATCH($F543,'Product List'!$B$1:$B$299,0),MATCH('Order SUmmary'!M$2,'Product List'!$A$1:$E$1,0))</f>
        <v>3788</v>
      </c>
      <c r="N543" s="8">
        <f>INDEX(Product_List,MATCH($F543,'Product List'!$B$1:$B$299,0),MATCH('Order SUmmary'!N$2,'Product List'!$A$1:$E$1,0))</f>
        <v>2170</v>
      </c>
      <c r="O543" s="8" t="str">
        <f>INDEX(Product_List,MATCH($F543,'Product List'!$B$1:$B$299,0),MATCH('Order SUmmary'!O$2,'Product List'!$A$1:$E$1,0))</f>
        <v>Labels</v>
      </c>
      <c r="P543" s="12">
        <f>HLOOKUP(C543,'Commission Criteria'!$A$2:$I$4,3,FALSE)</f>
        <v>4</v>
      </c>
      <c r="Q543" s="8">
        <f t="shared" si="25"/>
        <v>2170</v>
      </c>
      <c r="R543" s="8">
        <f t="shared" si="26"/>
        <v>3788</v>
      </c>
      <c r="S543" s="36">
        <f>VLOOKUP(R543,'Commission Criteria'!$L$3:$M$11,2,TRUE)</f>
        <v>0.01</v>
      </c>
      <c r="T543" s="36">
        <f>IF(P543&lt;5,VLOOKUP(R543,'Commission Criteria'!$L$3:$M$11,2,1),VLOOKUP('Order SUmmary'!R543,'Commission Criteria'!$P$3:$Q$11,2,1))</f>
        <v>0.01</v>
      </c>
      <c r="U543" s="36">
        <f>VLOOKUP(R543,IF(P543&lt;5,'Commission Criteria'!$L$3:$M$11,'Commission Criteria'!$P$3:$Q$11),2,1)</f>
        <v>0.01</v>
      </c>
      <c r="V543" s="8" t="s">
        <v>40</v>
      </c>
      <c r="W543" s="36">
        <f t="shared" ca="1" si="27"/>
        <v>0.05</v>
      </c>
      <c r="X543" s="8" t="str">
        <f>_xlfn.XLOOKUP(F543,'Product List'!$B$1:$B$299,'Product List'!$A$1:$A$299)</f>
        <v>Avery 508</v>
      </c>
      <c r="Y543" s="8"/>
      <c r="Z543" s="8" t="str" cm="1">
        <f t="array" ref="Z543:AD543">_xlfn.XLOOKUP(D543,'Customer Details'!$A$1:$A$17,'Customer Details'!$B$1:$F$17,"No such customer",0,1)</f>
        <v>Sonata Software</v>
      </c>
      <c r="AA543" s="8" t="str">
        <v>1331 Kimberly Dr.</v>
      </c>
      <c r="AB543" s="8" t="str">
        <v>Olympia</v>
      </c>
      <c r="AC543" s="8" t="str">
        <v>WA</v>
      </c>
      <c r="AD543" s="8" t="str">
        <v>98502</v>
      </c>
    </row>
    <row r="544" spans="1:30">
      <c r="A544" s="8" t="s">
        <v>657</v>
      </c>
      <c r="B544" s="19">
        <v>41800</v>
      </c>
      <c r="C544" s="8" t="s">
        <v>44</v>
      </c>
      <c r="D544" s="8">
        <v>10006</v>
      </c>
      <c r="E544" s="8" t="str">
        <f>VLOOKUP($D544,'Customer Details'!$A$1:$F$17,4,FALSE)</f>
        <v>Midland</v>
      </c>
      <c r="F544" s="8" t="s">
        <v>370</v>
      </c>
      <c r="G544" s="8">
        <v>2</v>
      </c>
      <c r="H544" s="2" t="str">
        <f>VLOOKUP($D544,'Customer Details'!$A$1:$F$17,MATCH('Order SUmmary'!H$2,'Customer Details'!$A$1:$F$1,0),0)</f>
        <v>Supreme Ind</v>
      </c>
      <c r="I544" s="2" t="str">
        <f>VLOOKUP($D544,'Customer Details'!$A$1:$F$17,4,0)</f>
        <v>Midland</v>
      </c>
      <c r="J544" s="2" t="str">
        <f>VLOOKUP($D544,'Customer Details'!$A$1:$F$17,6,0)</f>
        <v>79706</v>
      </c>
      <c r="K544" s="8" t="str">
        <f>VLOOKUP(VLOOKUP(D544,'Customer Details'!$A$1:$F$17,5,0),'Region INfo'!$A$1:$C$52,3,0)</f>
        <v>Western</v>
      </c>
      <c r="L544" s="8" t="str">
        <f>INDEX(Product_List,MATCH($F544,'Product List'!$B$1:$B$299,0),MATCH('Order SUmmary'!L$2,'Product List'!$A$1:$E$1,0))</f>
        <v>Avery 496</v>
      </c>
      <c r="M544" s="8">
        <f>INDEX(Product_List,MATCH($F544,'Product List'!$B$1:$B$299,0),MATCH('Order SUmmary'!M$2,'Product List'!$A$1:$E$1,0))</f>
        <v>2902</v>
      </c>
      <c r="N544" s="8">
        <f>INDEX(Product_List,MATCH($F544,'Product List'!$B$1:$B$299,0),MATCH('Order SUmmary'!N$2,'Product List'!$A$1:$E$1,0))</f>
        <v>1633</v>
      </c>
      <c r="O544" s="8" t="str">
        <f>INDEX(Product_List,MATCH($F544,'Product List'!$B$1:$B$299,0),MATCH('Order SUmmary'!O$2,'Product List'!$A$1:$E$1,0))</f>
        <v>Labels</v>
      </c>
      <c r="P544" s="12">
        <f>HLOOKUP(C544,'Commission Criteria'!$A$2:$I$4,3,FALSE)</f>
        <v>4</v>
      </c>
      <c r="Q544" s="8">
        <f t="shared" si="25"/>
        <v>3266</v>
      </c>
      <c r="R544" s="8">
        <f t="shared" si="26"/>
        <v>5804</v>
      </c>
      <c r="S544" s="36">
        <f>VLOOKUP(R544,'Commission Criteria'!$L$3:$M$11,2,TRUE)</f>
        <v>0.03</v>
      </c>
      <c r="T544" s="36">
        <f>IF(P544&lt;5,VLOOKUP(R544,'Commission Criteria'!$L$3:$M$11,2,1),VLOOKUP('Order SUmmary'!R544,'Commission Criteria'!$P$3:$Q$11,2,1))</f>
        <v>0.03</v>
      </c>
      <c r="U544" s="36">
        <f>VLOOKUP(R544,IF(P544&lt;5,'Commission Criteria'!$L$3:$M$11,'Commission Criteria'!$P$3:$Q$11),2,1)</f>
        <v>0.03</v>
      </c>
      <c r="V544" s="8" t="s">
        <v>43</v>
      </c>
      <c r="W544" s="36">
        <f t="shared" ca="1" si="27"/>
        <v>0</v>
      </c>
      <c r="X544" s="8" t="str">
        <f>_xlfn.XLOOKUP(F544,'Product List'!$B$1:$B$299,'Product List'!$A$1:$A$299)</f>
        <v>Avery 496</v>
      </c>
      <c r="Y544" s="8"/>
      <c r="Z544" s="8" t="str" cm="1">
        <f t="array" ref="Z544:AD544">_xlfn.XLOOKUP(D544,'Customer Details'!$A$1:$A$17,'Customer Details'!$B$1:$F$17,"No such customer",0,1)</f>
        <v>Supreme Ind</v>
      </c>
      <c r="AA544" s="8" t="str">
        <v>P.O. Box 1367</v>
      </c>
      <c r="AB544" s="8" t="str">
        <v>Midland</v>
      </c>
      <c r="AC544" s="8" t="str">
        <v>TX</v>
      </c>
      <c r="AD544" s="8" t="str">
        <v>79706</v>
      </c>
    </row>
    <row r="545" spans="1:30">
      <c r="A545" s="8" t="s">
        <v>658</v>
      </c>
      <c r="B545" s="19">
        <v>41800</v>
      </c>
      <c r="C545" s="8" t="s">
        <v>33</v>
      </c>
      <c r="D545" s="8">
        <v>10007</v>
      </c>
      <c r="E545" s="8" t="str">
        <f>VLOOKUP($D545,'Customer Details'!$A$1:$F$17,4,FALSE)</f>
        <v>Richmond</v>
      </c>
      <c r="F545" s="8" t="s">
        <v>133</v>
      </c>
      <c r="G545" s="8">
        <v>2</v>
      </c>
      <c r="H545" s="2" t="str">
        <f>VLOOKUP($D545,'Customer Details'!$A$1:$F$17,MATCH('Order SUmmary'!H$2,'Customer Details'!$A$1:$F$1,0),0)</f>
        <v>GHCL Ltd.</v>
      </c>
      <c r="I545" s="2" t="str">
        <f>VLOOKUP($D545,'Customer Details'!$A$1:$F$17,4,0)</f>
        <v>Richmond</v>
      </c>
      <c r="J545" s="2" t="str">
        <f>VLOOKUP($D545,'Customer Details'!$A$1:$F$17,6,0)</f>
        <v>94805</v>
      </c>
      <c r="K545" s="8" t="str">
        <f>VLOOKUP(VLOOKUP(D545,'Customer Details'!$A$1:$F$17,5,0),'Region INfo'!$A$1:$C$52,3,0)</f>
        <v xml:space="preserve">Pacific   </v>
      </c>
      <c r="L545" s="8" t="str">
        <f>INDEX(Product_List,MATCH($F545,'Product List'!$B$1:$B$299,0),MATCH('Order SUmmary'!L$2,'Product List'!$A$1:$E$1,0))</f>
        <v>Xerox 213</v>
      </c>
      <c r="M545" s="8">
        <f>INDEX(Product_List,MATCH($F545,'Product List'!$B$1:$B$299,0),MATCH('Order SUmmary'!M$2,'Product List'!$A$1:$E$1,0))</f>
        <v>4906</v>
      </c>
      <c r="N545" s="8">
        <f>INDEX(Product_List,MATCH($F545,'Product List'!$B$1:$B$299,0),MATCH('Order SUmmary'!N$2,'Product List'!$A$1:$E$1,0))</f>
        <v>2269</v>
      </c>
      <c r="O545" s="8" t="str">
        <f>INDEX(Product_List,MATCH($F545,'Product List'!$B$1:$B$299,0),MATCH('Order SUmmary'!O$2,'Product List'!$A$1:$E$1,0))</f>
        <v>Paper</v>
      </c>
      <c r="P545" s="12">
        <f>HLOOKUP(C545,'Commission Criteria'!$A$2:$I$4,3,FALSE)</f>
        <v>1</v>
      </c>
      <c r="Q545" s="8">
        <f t="shared" si="25"/>
        <v>4538</v>
      </c>
      <c r="R545" s="8">
        <f t="shared" si="26"/>
        <v>9812</v>
      </c>
      <c r="S545" s="36">
        <f>VLOOKUP(R545,'Commission Criteria'!$L$3:$M$11,2,TRUE)</f>
        <v>0.03</v>
      </c>
      <c r="T545" s="36">
        <f>IF(P545&lt;5,VLOOKUP(R545,'Commission Criteria'!$L$3:$M$11,2,1),VLOOKUP('Order SUmmary'!R545,'Commission Criteria'!$P$3:$Q$11,2,1))</f>
        <v>0.03</v>
      </c>
      <c r="U545" s="36">
        <f>VLOOKUP(R545,IF(P545&lt;5,'Commission Criteria'!$L$3:$M$11,'Commission Criteria'!$P$3:$Q$11),2,1)</f>
        <v>0.03</v>
      </c>
      <c r="V545" s="8" t="s">
        <v>32</v>
      </c>
      <c r="W545" s="36">
        <f t="shared" ca="1" si="27"/>
        <v>0</v>
      </c>
      <c r="X545" s="8" t="str">
        <f>_xlfn.XLOOKUP(F545,'Product List'!$B$1:$B$299,'Product List'!$A$1:$A$299)</f>
        <v>Xerox 213</v>
      </c>
      <c r="Y545" s="8"/>
      <c r="Z545" s="8" t="str" cm="1">
        <f t="array" ref="Z545:AD545">_xlfn.XLOOKUP(D545,'Customer Details'!$A$1:$A$17,'Customer Details'!$B$1:$F$17,"No such customer",0,1)</f>
        <v>GHCL Ltd.</v>
      </c>
      <c r="AA545" s="8" t="str">
        <v>58 Clarence St</v>
      </c>
      <c r="AB545" s="8" t="str">
        <v>Richmond</v>
      </c>
      <c r="AC545" s="8" t="str">
        <v>CA</v>
      </c>
      <c r="AD545" s="8" t="str">
        <v>94805</v>
      </c>
    </row>
    <row r="546" spans="1:30">
      <c r="A546" s="8" t="s">
        <v>657</v>
      </c>
      <c r="B546" s="19">
        <v>41800</v>
      </c>
      <c r="C546" s="8" t="s">
        <v>44</v>
      </c>
      <c r="D546" s="8">
        <v>10003</v>
      </c>
      <c r="E546" s="8" t="str">
        <f>VLOOKUP($D546,'Customer Details'!$A$1:$F$17,4,FALSE)</f>
        <v>Miami</v>
      </c>
      <c r="F546" s="8" t="s">
        <v>65</v>
      </c>
      <c r="G546" s="8">
        <v>3</v>
      </c>
      <c r="H546" s="2" t="str">
        <f>VLOOKUP($D546,'Customer Details'!$A$1:$F$17,MATCH('Order SUmmary'!H$2,'Customer Details'!$A$1:$F$1,0),0)</f>
        <v>Honeywell Automation</v>
      </c>
      <c r="I546" s="2" t="str">
        <f>VLOOKUP($D546,'Customer Details'!$A$1:$F$17,4,0)</f>
        <v>Miami</v>
      </c>
      <c r="J546" s="2" t="str">
        <f>VLOOKUP($D546,'Customer Details'!$A$1:$F$17,6,0)</f>
        <v>33732</v>
      </c>
      <c r="K546" s="8" t="str">
        <f>VLOOKUP(VLOOKUP(D546,'Customer Details'!$A$1:$F$17,5,0),'Region INfo'!$A$1:$C$52,3,0)</f>
        <v>Southern</v>
      </c>
      <c r="L546" s="8" t="str">
        <f>INDEX(Product_List,MATCH($F546,'Product List'!$B$1:$B$299,0),MATCH('Order SUmmary'!L$2,'Product List'!$A$1:$E$1,0))</f>
        <v>Xerox 1963</v>
      </c>
      <c r="M546" s="8">
        <f>INDEX(Product_List,MATCH($F546,'Product List'!$B$1:$B$299,0),MATCH('Order SUmmary'!M$2,'Product List'!$A$1:$E$1,0))</f>
        <v>3339</v>
      </c>
      <c r="N546" s="8">
        <f>INDEX(Product_List,MATCH($F546,'Product List'!$B$1:$B$299,0),MATCH('Order SUmmary'!N$2,'Product List'!$A$1:$E$1,0))</f>
        <v>2274</v>
      </c>
      <c r="O546" s="8" t="str">
        <f>INDEX(Product_List,MATCH($F546,'Product List'!$B$1:$B$299,0),MATCH('Order SUmmary'!O$2,'Product List'!$A$1:$E$1,0))</f>
        <v>Paper</v>
      </c>
      <c r="P546" s="12">
        <f>HLOOKUP(C546,'Commission Criteria'!$A$2:$I$4,3,FALSE)</f>
        <v>4</v>
      </c>
      <c r="Q546" s="8">
        <f t="shared" si="25"/>
        <v>6822</v>
      </c>
      <c r="R546" s="8">
        <f t="shared" si="26"/>
        <v>10017</v>
      </c>
      <c r="S546" s="36">
        <f>VLOOKUP(R546,'Commission Criteria'!$L$3:$M$11,2,TRUE)</f>
        <v>0.03</v>
      </c>
      <c r="T546" s="36">
        <f>IF(P546&lt;5,VLOOKUP(R546,'Commission Criteria'!$L$3:$M$11,2,1),VLOOKUP('Order SUmmary'!R546,'Commission Criteria'!$P$3:$Q$11,2,1))</f>
        <v>0.03</v>
      </c>
      <c r="U546" s="36">
        <f>VLOOKUP(R546,IF(P546&lt;5,'Commission Criteria'!$L$3:$M$11,'Commission Criteria'!$P$3:$Q$11),2,1)</f>
        <v>0.03</v>
      </c>
      <c r="V546" s="8" t="s">
        <v>40</v>
      </c>
      <c r="W546" s="36">
        <f t="shared" ca="1" si="27"/>
        <v>0</v>
      </c>
      <c r="X546" s="8" t="str">
        <f>_xlfn.XLOOKUP(F546,'Product List'!$B$1:$B$299,'Product List'!$A$1:$A$299)</f>
        <v>Xerox 1963</v>
      </c>
      <c r="Y546" s="8"/>
      <c r="Z546" s="8" t="str" cm="1">
        <f t="array" ref="Z546:AD546">_xlfn.XLOOKUP(D546,'Customer Details'!$A$1:$A$17,'Customer Details'!$B$1:$F$17,"No such customer",0,1)</f>
        <v>Honeywell Automation</v>
      </c>
      <c r="AA546" s="8" t="str">
        <v>1272 Harbor Road</v>
      </c>
      <c r="AB546" s="8" t="str">
        <v>Miami</v>
      </c>
      <c r="AC546" s="8" t="str">
        <v>FL</v>
      </c>
      <c r="AD546" s="8" t="str">
        <v>33732</v>
      </c>
    </row>
    <row r="547" spans="1:30">
      <c r="A547" s="8" t="s">
        <v>657</v>
      </c>
      <c r="B547" s="19">
        <v>41800</v>
      </c>
      <c r="C547" s="8" t="s">
        <v>36</v>
      </c>
      <c r="D547" s="8">
        <v>10002</v>
      </c>
      <c r="E547" s="8" t="str">
        <f>VLOOKUP($D547,'Customer Details'!$A$1:$F$17,4,FALSE)</f>
        <v>Omaha</v>
      </c>
      <c r="F547" s="8" t="s">
        <v>659</v>
      </c>
      <c r="G547" s="8">
        <v>3</v>
      </c>
      <c r="H547" s="2" t="str">
        <f>VLOOKUP($D547,'Customer Details'!$A$1:$F$17,MATCH('Order SUmmary'!H$2,'Customer Details'!$A$1:$F$1,0),0)</f>
        <v>Elder Pharmaceuticals</v>
      </c>
      <c r="I547" s="2" t="str">
        <f>VLOOKUP($D547,'Customer Details'!$A$1:$F$17,4,0)</f>
        <v>Omaha</v>
      </c>
      <c r="J547" s="2" t="str">
        <f>VLOOKUP($D547,'Customer Details'!$A$1:$F$17,6,0)</f>
        <v>68127</v>
      </c>
      <c r="K547" s="8" t="str">
        <f>VLOOKUP(VLOOKUP(D547,'Customer Details'!$A$1:$F$17,5,0),'Region INfo'!$A$1:$C$52,3,0)</f>
        <v>Western</v>
      </c>
      <c r="L547" s="8" t="str">
        <f>INDEX(Product_List,MATCH($F547,'Product List'!$B$1:$B$299,0),MATCH('Order SUmmary'!L$2,'Product List'!$A$1:$E$1,0))</f>
        <v>Newell 312</v>
      </c>
      <c r="M547" s="8">
        <f>INDEX(Product_List,MATCH($F547,'Product List'!$B$1:$B$299,0),MATCH('Order SUmmary'!M$2,'Product List'!$A$1:$E$1,0))</f>
        <v>4325</v>
      </c>
      <c r="N547" s="8">
        <f>INDEX(Product_List,MATCH($F547,'Product List'!$B$1:$B$299,0),MATCH('Order SUmmary'!N$2,'Product List'!$A$1:$E$1,0))</f>
        <v>1734</v>
      </c>
      <c r="O547" s="8" t="str">
        <f>INDEX(Product_List,MATCH($F547,'Product List'!$B$1:$B$299,0),MATCH('Order SUmmary'!O$2,'Product List'!$A$1:$E$1,0))</f>
        <v>Art</v>
      </c>
      <c r="P547" s="12">
        <f>HLOOKUP(C547,'Commission Criteria'!$A$2:$I$4,3,FALSE)</f>
        <v>6</v>
      </c>
      <c r="Q547" s="8">
        <f t="shared" si="25"/>
        <v>5202</v>
      </c>
      <c r="R547" s="8">
        <f t="shared" si="26"/>
        <v>12975</v>
      </c>
      <c r="S547" s="36">
        <f>VLOOKUP(R547,'Commission Criteria'!$L$3:$M$11,2,TRUE)</f>
        <v>0.03</v>
      </c>
      <c r="T547" s="36">
        <f>IF(P547&lt;5,VLOOKUP(R547,'Commission Criteria'!$L$3:$M$11,2,1),VLOOKUP('Order SUmmary'!R547,'Commission Criteria'!$P$3:$Q$11,2,1))</f>
        <v>0.02</v>
      </c>
      <c r="U547" s="36">
        <f>VLOOKUP(R547,IF(P547&lt;5,'Commission Criteria'!$L$3:$M$11,'Commission Criteria'!$P$3:$Q$11),2,1)</f>
        <v>0.02</v>
      </c>
      <c r="V547" s="8" t="s">
        <v>32</v>
      </c>
      <c r="W547" s="36">
        <f t="shared" ca="1" si="27"/>
        <v>0</v>
      </c>
      <c r="X547" s="8" t="str">
        <f>_xlfn.XLOOKUP(F547,'Product List'!$B$1:$B$299,'Product List'!$A$1:$A$299)</f>
        <v>Newell 312</v>
      </c>
      <c r="Y547" s="8"/>
      <c r="Z547" s="8" t="str" cm="1">
        <f t="array" ref="Z547:AD547">_xlfn.XLOOKUP(D547,'Customer Details'!$A$1:$A$17,'Customer Details'!$B$1:$F$17,"No such customer",0,1)</f>
        <v>Elder Pharmaceuticals</v>
      </c>
      <c r="AA547" s="8" t="str">
        <v>57 Neriba Cres</v>
      </c>
      <c r="AB547" s="8" t="str">
        <v>Omaha</v>
      </c>
      <c r="AC547" s="8" t="str">
        <v>NE</v>
      </c>
      <c r="AD547" s="8" t="str">
        <v>68127</v>
      </c>
    </row>
    <row r="548" spans="1:30">
      <c r="A548" s="8" t="s">
        <v>660</v>
      </c>
      <c r="B548" s="19">
        <v>41802</v>
      </c>
      <c r="C548" s="8" t="s">
        <v>51</v>
      </c>
      <c r="D548" s="8">
        <v>10011</v>
      </c>
      <c r="E548" s="8" t="str">
        <f>VLOOKUP($D548,'Customer Details'!$A$1:$F$17,4,FALSE)</f>
        <v>Olympia</v>
      </c>
      <c r="F548" s="8" t="s">
        <v>420</v>
      </c>
      <c r="G548" s="8">
        <v>1</v>
      </c>
      <c r="H548" s="2" t="str">
        <f>VLOOKUP($D548,'Customer Details'!$A$1:$F$17,MATCH('Order SUmmary'!H$2,'Customer Details'!$A$1:$F$1,0),0)</f>
        <v>Sonata Software</v>
      </c>
      <c r="I548" s="2" t="str">
        <f>VLOOKUP($D548,'Customer Details'!$A$1:$F$17,4,0)</f>
        <v>Olympia</v>
      </c>
      <c r="J548" s="2" t="str">
        <f>VLOOKUP($D548,'Customer Details'!$A$1:$F$17,6,0)</f>
        <v>98502</v>
      </c>
      <c r="K548" s="8" t="str">
        <f>VLOOKUP(VLOOKUP(D548,'Customer Details'!$A$1:$F$17,5,0),'Region INfo'!$A$1:$C$52,3,0)</f>
        <v xml:space="preserve">Pacific   </v>
      </c>
      <c r="L548" s="8" t="str">
        <f>INDEX(Product_List,MATCH($F548,'Product List'!$B$1:$B$299,0),MATCH('Order SUmmary'!L$2,'Product List'!$A$1:$E$1,0))</f>
        <v>Xerox 1972</v>
      </c>
      <c r="M548" s="8">
        <f>INDEX(Product_List,MATCH($F548,'Product List'!$B$1:$B$299,0),MATCH('Order SUmmary'!M$2,'Product List'!$A$1:$E$1,0))</f>
        <v>3566</v>
      </c>
      <c r="N548" s="8">
        <f>INDEX(Product_List,MATCH($F548,'Product List'!$B$1:$B$299,0),MATCH('Order SUmmary'!N$2,'Product List'!$A$1:$E$1,0))</f>
        <v>2276</v>
      </c>
      <c r="O548" s="8" t="str">
        <f>INDEX(Product_List,MATCH($F548,'Product List'!$B$1:$B$299,0),MATCH('Order SUmmary'!O$2,'Product List'!$A$1:$E$1,0))</f>
        <v>Paper</v>
      </c>
      <c r="P548" s="12">
        <f>HLOOKUP(C548,'Commission Criteria'!$A$2:$I$4,3,FALSE)</f>
        <v>10</v>
      </c>
      <c r="Q548" s="8">
        <f t="shared" si="25"/>
        <v>2276</v>
      </c>
      <c r="R548" s="8">
        <f t="shared" si="26"/>
        <v>3566</v>
      </c>
      <c r="S548" s="36">
        <f>VLOOKUP(R548,'Commission Criteria'!$L$3:$M$11,2,TRUE)</f>
        <v>0.01</v>
      </c>
      <c r="T548" s="36">
        <f>IF(P548&lt;5,VLOOKUP(R548,'Commission Criteria'!$L$3:$M$11,2,1),VLOOKUP('Order SUmmary'!R548,'Commission Criteria'!$P$3:$Q$11,2,1))</f>
        <v>0.02</v>
      </c>
      <c r="U548" s="36">
        <f>VLOOKUP(R548,IF(P548&lt;5,'Commission Criteria'!$L$3:$M$11,'Commission Criteria'!$P$3:$Q$11),2,1)</f>
        <v>0.02</v>
      </c>
      <c r="V548" s="8" t="s">
        <v>43</v>
      </c>
      <c r="W548" s="36">
        <f t="shared" ca="1" si="27"/>
        <v>0.01</v>
      </c>
      <c r="X548" s="8" t="str">
        <f>_xlfn.XLOOKUP(F548,'Product List'!$B$1:$B$299,'Product List'!$A$1:$A$299)</f>
        <v>Xerox 1972</v>
      </c>
      <c r="Y548" s="8"/>
      <c r="Z548" s="8" t="str" cm="1">
        <f t="array" ref="Z548:AD548">_xlfn.XLOOKUP(D548,'Customer Details'!$A$1:$A$17,'Customer Details'!$B$1:$F$17,"No such customer",0,1)</f>
        <v>Sonata Software</v>
      </c>
      <c r="AA548" s="8" t="str">
        <v>1331 Kimberly Dr.</v>
      </c>
      <c r="AB548" s="8" t="str">
        <v>Olympia</v>
      </c>
      <c r="AC548" s="8" t="str">
        <v>WA</v>
      </c>
      <c r="AD548" s="8" t="str">
        <v>98502</v>
      </c>
    </row>
    <row r="549" spans="1:30">
      <c r="A549" s="8" t="s">
        <v>660</v>
      </c>
      <c r="B549" s="19">
        <v>41802</v>
      </c>
      <c r="C549" s="8" t="s">
        <v>36</v>
      </c>
      <c r="D549" s="8">
        <v>10013</v>
      </c>
      <c r="E549" s="8" t="str">
        <f>VLOOKUP($D549,'Customer Details'!$A$1:$F$17,4,FALSE)</f>
        <v>Naugatuck</v>
      </c>
      <c r="F549" s="8" t="s">
        <v>65</v>
      </c>
      <c r="G549" s="8">
        <v>2</v>
      </c>
      <c r="H549" s="2" t="str">
        <f>VLOOKUP($D549,'Customer Details'!$A$1:$F$17,MATCH('Order SUmmary'!H$2,'Customer Details'!$A$1:$F$1,0),0)</f>
        <v>GMR Infrastructure Ltd.</v>
      </c>
      <c r="I549" s="2" t="str">
        <f>VLOOKUP($D549,'Customer Details'!$A$1:$F$17,4,0)</f>
        <v>Naugatuck</v>
      </c>
      <c r="J549" s="2" t="str">
        <f>VLOOKUP($D549,'Customer Details'!$A$1:$F$17,6,0)</f>
        <v>06770</v>
      </c>
      <c r="K549" s="8" t="str">
        <f>VLOOKUP(VLOOKUP(D549,'Customer Details'!$A$1:$F$17,5,0),'Region INfo'!$A$1:$C$52,3,0)</f>
        <v xml:space="preserve">Northern </v>
      </c>
      <c r="L549" s="8" t="str">
        <f>INDEX(Product_List,MATCH($F549,'Product List'!$B$1:$B$299,0),MATCH('Order SUmmary'!L$2,'Product List'!$A$1:$E$1,0))</f>
        <v>Xerox 1963</v>
      </c>
      <c r="M549" s="8">
        <f>INDEX(Product_List,MATCH($F549,'Product List'!$B$1:$B$299,0),MATCH('Order SUmmary'!M$2,'Product List'!$A$1:$E$1,0))</f>
        <v>3339</v>
      </c>
      <c r="N549" s="8">
        <f>INDEX(Product_List,MATCH($F549,'Product List'!$B$1:$B$299,0),MATCH('Order SUmmary'!N$2,'Product List'!$A$1:$E$1,0))</f>
        <v>2274</v>
      </c>
      <c r="O549" s="8" t="str">
        <f>INDEX(Product_List,MATCH($F549,'Product List'!$B$1:$B$299,0),MATCH('Order SUmmary'!O$2,'Product List'!$A$1:$E$1,0))</f>
        <v>Paper</v>
      </c>
      <c r="P549" s="12">
        <f>HLOOKUP(C549,'Commission Criteria'!$A$2:$I$4,3,FALSE)</f>
        <v>6</v>
      </c>
      <c r="Q549" s="8">
        <f t="shared" si="25"/>
        <v>4548</v>
      </c>
      <c r="R549" s="8">
        <f t="shared" si="26"/>
        <v>6678</v>
      </c>
      <c r="S549" s="36">
        <f>VLOOKUP(R549,'Commission Criteria'!$L$3:$M$11,2,TRUE)</f>
        <v>0.03</v>
      </c>
      <c r="T549" s="36">
        <f>IF(P549&lt;5,VLOOKUP(R549,'Commission Criteria'!$L$3:$M$11,2,1),VLOOKUP('Order SUmmary'!R549,'Commission Criteria'!$P$3:$Q$11,2,1))</f>
        <v>0.02</v>
      </c>
      <c r="U549" s="36">
        <f>VLOOKUP(R549,IF(P549&lt;5,'Commission Criteria'!$L$3:$M$11,'Commission Criteria'!$P$3:$Q$11),2,1)</f>
        <v>0.02</v>
      </c>
      <c r="V549" s="8" t="s">
        <v>43</v>
      </c>
      <c r="W549" s="36">
        <f t="shared" ca="1" si="27"/>
        <v>0.05</v>
      </c>
      <c r="X549" s="8" t="str">
        <f>_xlfn.XLOOKUP(F549,'Product List'!$B$1:$B$299,'Product List'!$A$1:$A$299)</f>
        <v>Xerox 1963</v>
      </c>
      <c r="Y549" s="8"/>
      <c r="Z549" s="8" t="str" cm="1">
        <f t="array" ref="Z549:AD549">_xlfn.XLOOKUP(D549,'Customer Details'!$A$1:$A$17,'Customer Details'!$B$1:$F$17,"No such customer",0,1)</f>
        <v>GMR Infrastructure Ltd.</v>
      </c>
      <c r="AA549" s="8" t="str">
        <v>P.O. Box 4421</v>
      </c>
      <c r="AB549" s="8" t="str">
        <v>Naugatuck</v>
      </c>
      <c r="AC549" s="8" t="str">
        <v>CT</v>
      </c>
      <c r="AD549" s="8" t="str">
        <v>06770</v>
      </c>
    </row>
    <row r="550" spans="1:30">
      <c r="A550" s="8" t="s">
        <v>661</v>
      </c>
      <c r="B550" s="19">
        <v>41803</v>
      </c>
      <c r="C550" s="8" t="s">
        <v>54</v>
      </c>
      <c r="D550" s="8">
        <v>10006</v>
      </c>
      <c r="E550" s="8" t="str">
        <f>VLOOKUP($D550,'Customer Details'!$A$1:$F$17,4,FALSE)</f>
        <v>Midland</v>
      </c>
      <c r="F550" s="8" t="s">
        <v>605</v>
      </c>
      <c r="G550" s="8">
        <v>1</v>
      </c>
      <c r="H550" s="2" t="str">
        <f>VLOOKUP($D550,'Customer Details'!$A$1:$F$17,MATCH('Order SUmmary'!H$2,'Customer Details'!$A$1:$F$1,0),0)</f>
        <v>Supreme Ind</v>
      </c>
      <c r="I550" s="2" t="str">
        <f>VLOOKUP($D550,'Customer Details'!$A$1:$F$17,4,0)</f>
        <v>Midland</v>
      </c>
      <c r="J550" s="2" t="str">
        <f>VLOOKUP($D550,'Customer Details'!$A$1:$F$17,6,0)</f>
        <v>79706</v>
      </c>
      <c r="K550" s="8" t="str">
        <f>VLOOKUP(VLOOKUP(D550,'Customer Details'!$A$1:$F$17,5,0),'Region INfo'!$A$1:$C$52,3,0)</f>
        <v>Western</v>
      </c>
      <c r="L550" s="8" t="str">
        <f>INDEX(Product_List,MATCH($F550,'Product List'!$B$1:$B$299,0),MATCH('Order SUmmary'!L$2,'Product List'!$A$1:$E$1,0))</f>
        <v>Pyle PMP37LED</v>
      </c>
      <c r="M550" s="8">
        <f>INDEX(Product_List,MATCH($F550,'Product List'!$B$1:$B$299,0),MATCH('Order SUmmary'!M$2,'Product List'!$A$1:$E$1,0))</f>
        <v>2808</v>
      </c>
      <c r="N550" s="8">
        <f>INDEX(Product_List,MATCH($F550,'Product List'!$B$1:$B$299,0),MATCH('Order SUmmary'!N$2,'Product List'!$A$1:$E$1,0))</f>
        <v>1759</v>
      </c>
      <c r="O550" s="8" t="str">
        <f>INDEX(Product_List,MATCH($F550,'Product List'!$B$1:$B$299,0),MATCH('Order SUmmary'!O$2,'Product List'!$A$1:$E$1,0))</f>
        <v>Phones</v>
      </c>
      <c r="P550" s="12">
        <f>HLOOKUP(C550,'Commission Criteria'!$A$2:$I$4,3,FALSE)</f>
        <v>3</v>
      </c>
      <c r="Q550" s="8">
        <f t="shared" si="25"/>
        <v>1759</v>
      </c>
      <c r="R550" s="8">
        <f t="shared" si="26"/>
        <v>2808</v>
      </c>
      <c r="S550" s="36">
        <f>VLOOKUP(R550,'Commission Criteria'!$L$3:$M$11,2,TRUE)</f>
        <v>0.01</v>
      </c>
      <c r="T550" s="36">
        <f>IF(P550&lt;5,VLOOKUP(R550,'Commission Criteria'!$L$3:$M$11,2,1),VLOOKUP('Order SUmmary'!R550,'Commission Criteria'!$P$3:$Q$11,2,1))</f>
        <v>0.01</v>
      </c>
      <c r="U550" s="36">
        <f>VLOOKUP(R550,IF(P550&lt;5,'Commission Criteria'!$L$3:$M$11,'Commission Criteria'!$P$3:$Q$11),2,1)</f>
        <v>0.01</v>
      </c>
      <c r="V550" s="8" t="s">
        <v>40</v>
      </c>
      <c r="W550" s="36">
        <f t="shared" ca="1" si="27"/>
        <v>0.04</v>
      </c>
      <c r="X550" s="8" t="str">
        <f>_xlfn.XLOOKUP(F550,'Product List'!$B$1:$B$299,'Product List'!$A$1:$A$299)</f>
        <v>Pyle PMP37LED</v>
      </c>
      <c r="Y550" s="8"/>
      <c r="Z550" s="8" t="str" cm="1">
        <f t="array" ref="Z550:AD550">_xlfn.XLOOKUP(D550,'Customer Details'!$A$1:$A$17,'Customer Details'!$B$1:$F$17,"No such customer",0,1)</f>
        <v>Supreme Ind</v>
      </c>
      <c r="AA550" s="8" t="str">
        <v>P.O. Box 1367</v>
      </c>
      <c r="AB550" s="8" t="str">
        <v>Midland</v>
      </c>
      <c r="AC550" s="8" t="str">
        <v>TX</v>
      </c>
      <c r="AD550" s="8" t="str">
        <v>79706</v>
      </c>
    </row>
    <row r="551" spans="1:30">
      <c r="A551" s="8" t="s">
        <v>662</v>
      </c>
      <c r="B551" s="19">
        <v>41805</v>
      </c>
      <c r="C551" s="8" t="s">
        <v>33</v>
      </c>
      <c r="D551" s="8">
        <v>10003</v>
      </c>
      <c r="E551" s="8" t="str">
        <f>VLOOKUP($D551,'Customer Details'!$A$1:$F$17,4,FALSE)</f>
        <v>Miami</v>
      </c>
      <c r="F551" s="8" t="s">
        <v>268</v>
      </c>
      <c r="G551" s="8">
        <v>1</v>
      </c>
      <c r="H551" s="2" t="str">
        <f>VLOOKUP($D551,'Customer Details'!$A$1:$F$17,MATCH('Order SUmmary'!H$2,'Customer Details'!$A$1:$F$1,0),0)</f>
        <v>Honeywell Automation</v>
      </c>
      <c r="I551" s="2" t="str">
        <f>VLOOKUP($D551,'Customer Details'!$A$1:$F$17,4,0)</f>
        <v>Miami</v>
      </c>
      <c r="J551" s="2" t="str">
        <f>VLOOKUP($D551,'Customer Details'!$A$1:$F$17,6,0)</f>
        <v>33732</v>
      </c>
      <c r="K551" s="8" t="str">
        <f>VLOOKUP(VLOOKUP(D551,'Customer Details'!$A$1:$F$17,5,0),'Region INfo'!$A$1:$C$52,3,0)</f>
        <v>Southern</v>
      </c>
      <c r="L551" s="8" t="str">
        <f>INDEX(Product_List,MATCH($F551,'Product List'!$B$1:$B$299,0),MATCH('Order SUmmary'!L$2,'Product List'!$A$1:$E$1,0))</f>
        <v>Avery 48</v>
      </c>
      <c r="M551" s="8">
        <f>INDEX(Product_List,MATCH($F551,'Product List'!$B$1:$B$299,0),MATCH('Order SUmmary'!M$2,'Product List'!$A$1:$E$1,0))</f>
        <v>3977</v>
      </c>
      <c r="N551" s="8">
        <f>INDEX(Product_List,MATCH($F551,'Product List'!$B$1:$B$299,0),MATCH('Order SUmmary'!N$2,'Product List'!$A$1:$E$1,0))</f>
        <v>2308</v>
      </c>
      <c r="O551" s="8" t="str">
        <f>INDEX(Product_List,MATCH($F551,'Product List'!$B$1:$B$299,0),MATCH('Order SUmmary'!O$2,'Product List'!$A$1:$E$1,0))</f>
        <v>Labels</v>
      </c>
      <c r="P551" s="12">
        <f>HLOOKUP(C551,'Commission Criteria'!$A$2:$I$4,3,FALSE)</f>
        <v>1</v>
      </c>
      <c r="Q551" s="8">
        <f t="shared" si="25"/>
        <v>2308</v>
      </c>
      <c r="R551" s="8">
        <f t="shared" si="26"/>
        <v>3977</v>
      </c>
      <c r="S551" s="36">
        <f>VLOOKUP(R551,'Commission Criteria'!$L$3:$M$11,2,TRUE)</f>
        <v>0.01</v>
      </c>
      <c r="T551" s="36">
        <f>IF(P551&lt;5,VLOOKUP(R551,'Commission Criteria'!$L$3:$M$11,2,1),VLOOKUP('Order SUmmary'!R551,'Commission Criteria'!$P$3:$Q$11,2,1))</f>
        <v>0.01</v>
      </c>
      <c r="U551" s="36">
        <f>VLOOKUP(R551,IF(P551&lt;5,'Commission Criteria'!$L$3:$M$11,'Commission Criteria'!$P$3:$Q$11),2,1)</f>
        <v>0.01</v>
      </c>
      <c r="V551" s="8" t="s">
        <v>35</v>
      </c>
      <c r="W551" s="36">
        <f t="shared" ca="1" si="27"/>
        <v>0.01</v>
      </c>
      <c r="X551" s="8" t="str">
        <f>_xlfn.XLOOKUP(F551,'Product List'!$B$1:$B$299,'Product List'!$A$1:$A$299)</f>
        <v>Avery 48</v>
      </c>
      <c r="Y551" s="8"/>
      <c r="Z551" s="8" t="str" cm="1">
        <f t="array" ref="Z551:AD551">_xlfn.XLOOKUP(D551,'Customer Details'!$A$1:$A$17,'Customer Details'!$B$1:$F$17,"No such customer",0,1)</f>
        <v>Honeywell Automation</v>
      </c>
      <c r="AA551" s="8" t="str">
        <v>1272 Harbor Road</v>
      </c>
      <c r="AB551" s="8" t="str">
        <v>Miami</v>
      </c>
      <c r="AC551" s="8" t="str">
        <v>FL</v>
      </c>
      <c r="AD551" s="8" t="str">
        <v>33732</v>
      </c>
    </row>
    <row r="552" spans="1:30">
      <c r="A552" s="8" t="s">
        <v>663</v>
      </c>
      <c r="B552" s="19">
        <v>41805</v>
      </c>
      <c r="C552" s="8" t="s">
        <v>54</v>
      </c>
      <c r="D552" s="8">
        <v>10012</v>
      </c>
      <c r="E552" s="8" t="str">
        <f>VLOOKUP($D552,'Customer Details'!$A$1:$F$17,4,FALSE)</f>
        <v>Santa Barbara</v>
      </c>
      <c r="F552" s="8" t="s">
        <v>285</v>
      </c>
      <c r="G552" s="8">
        <v>3</v>
      </c>
      <c r="H552" s="2" t="str">
        <f>VLOOKUP($D552,'Customer Details'!$A$1:$F$17,MATCH('Order SUmmary'!H$2,'Customer Details'!$A$1:$F$1,0),0)</f>
        <v>Dynamatic Technologies Ltd.</v>
      </c>
      <c r="I552" s="2" t="str">
        <f>VLOOKUP($D552,'Customer Details'!$A$1:$F$17,4,0)</f>
        <v>Santa Barbara</v>
      </c>
      <c r="J552" s="2" t="str">
        <f>VLOOKUP($D552,'Customer Details'!$A$1:$F$17,6,0)</f>
        <v>93110</v>
      </c>
      <c r="K552" s="8" t="str">
        <f>VLOOKUP(VLOOKUP(D552,'Customer Details'!$A$1:$F$17,5,0),'Region INfo'!$A$1:$C$52,3,0)</f>
        <v xml:space="preserve">Pacific   </v>
      </c>
      <c r="L552" s="8" t="str">
        <f>INDEX(Product_List,MATCH($F552,'Product List'!$B$1:$B$299,0),MATCH('Order SUmmary'!L$2,'Product List'!$A$1:$E$1,0))</f>
        <v>Newell 344</v>
      </c>
      <c r="M552" s="8">
        <f>INDEX(Product_List,MATCH($F552,'Product List'!$B$1:$B$299,0),MATCH('Order SUmmary'!M$2,'Product List'!$A$1:$E$1,0))</f>
        <v>3282</v>
      </c>
      <c r="N552" s="8">
        <f>INDEX(Product_List,MATCH($F552,'Product List'!$B$1:$B$299,0),MATCH('Order SUmmary'!N$2,'Product List'!$A$1:$E$1,0))</f>
        <v>1654</v>
      </c>
      <c r="O552" s="8" t="str">
        <f>INDEX(Product_List,MATCH($F552,'Product List'!$B$1:$B$299,0),MATCH('Order SUmmary'!O$2,'Product List'!$A$1:$E$1,0))</f>
        <v>Art</v>
      </c>
      <c r="P552" s="12">
        <f>HLOOKUP(C552,'Commission Criteria'!$A$2:$I$4,3,FALSE)</f>
        <v>3</v>
      </c>
      <c r="Q552" s="8">
        <f t="shared" si="25"/>
        <v>4962</v>
      </c>
      <c r="R552" s="8">
        <f t="shared" si="26"/>
        <v>9846</v>
      </c>
      <c r="S552" s="36">
        <f>VLOOKUP(R552,'Commission Criteria'!$L$3:$M$11,2,TRUE)</f>
        <v>0.03</v>
      </c>
      <c r="T552" s="36">
        <f>IF(P552&lt;5,VLOOKUP(R552,'Commission Criteria'!$L$3:$M$11,2,1),VLOOKUP('Order SUmmary'!R552,'Commission Criteria'!$P$3:$Q$11,2,1))</f>
        <v>0.03</v>
      </c>
      <c r="U552" s="36">
        <f>VLOOKUP(R552,IF(P552&lt;5,'Commission Criteria'!$L$3:$M$11,'Commission Criteria'!$P$3:$Q$11),2,1)</f>
        <v>0.03</v>
      </c>
      <c r="V552" s="8" t="s">
        <v>35</v>
      </c>
      <c r="W552" s="36">
        <f t="shared" ca="1" si="27"/>
        <v>0.05</v>
      </c>
      <c r="X552" s="8" t="str">
        <f>_xlfn.XLOOKUP(F552,'Product List'!$B$1:$B$299,'Product List'!$A$1:$A$299)</f>
        <v>Newell 344</v>
      </c>
      <c r="Y552" s="8"/>
      <c r="Z552" s="8" t="str" cm="1">
        <f t="array" ref="Z552:AD552">_xlfn.XLOOKUP(D552,'Customer Details'!$A$1:$A$17,'Customer Details'!$B$1:$F$17,"No such customer",0,1)</f>
        <v>Dynamatic Technologies Ltd.</v>
      </c>
      <c r="AA552" s="8" t="str">
        <v>402 Pinkster Lane</v>
      </c>
      <c r="AB552" s="8" t="str">
        <v>Santa Barbara</v>
      </c>
      <c r="AC552" s="8" t="str">
        <v>CA</v>
      </c>
      <c r="AD552" s="8" t="str">
        <v>93110</v>
      </c>
    </row>
    <row r="553" spans="1:30">
      <c r="A553" s="8" t="s">
        <v>662</v>
      </c>
      <c r="B553" s="19">
        <v>41805</v>
      </c>
      <c r="C553" s="8" t="s">
        <v>66</v>
      </c>
      <c r="D553" s="8">
        <v>10009</v>
      </c>
      <c r="E553" s="8" t="str">
        <f>VLOOKUP($D553,'Customer Details'!$A$1:$F$17,4,FALSE)</f>
        <v>Salt Lake City</v>
      </c>
      <c r="F553" s="8" t="s">
        <v>65</v>
      </c>
      <c r="G553" s="8">
        <v>3</v>
      </c>
      <c r="H553" s="2" t="str">
        <f>VLOOKUP($D553,'Customer Details'!$A$1:$F$17,MATCH('Order SUmmary'!H$2,'Customer Details'!$A$1:$F$1,0),0)</f>
        <v>Godfrey Philips India Ltd.</v>
      </c>
      <c r="I553" s="2" t="str">
        <f>VLOOKUP($D553,'Customer Details'!$A$1:$F$17,4,0)</f>
        <v>Salt Lake City</v>
      </c>
      <c r="J553" s="2" t="str">
        <f>VLOOKUP($D553,'Customer Details'!$A$1:$F$17,6,0)</f>
        <v>84118</v>
      </c>
      <c r="K553" s="8" t="str">
        <f>VLOOKUP(VLOOKUP(D553,'Customer Details'!$A$1:$F$17,5,0),'Region INfo'!$A$1:$C$52,3,0)</f>
        <v xml:space="preserve">Pacific   </v>
      </c>
      <c r="L553" s="8" t="str">
        <f>INDEX(Product_List,MATCH($F553,'Product List'!$B$1:$B$299,0),MATCH('Order SUmmary'!L$2,'Product List'!$A$1:$E$1,0))</f>
        <v>Xerox 1963</v>
      </c>
      <c r="M553" s="8">
        <f>INDEX(Product_List,MATCH($F553,'Product List'!$B$1:$B$299,0),MATCH('Order SUmmary'!M$2,'Product List'!$A$1:$E$1,0))</f>
        <v>3339</v>
      </c>
      <c r="N553" s="8">
        <f>INDEX(Product_List,MATCH($F553,'Product List'!$B$1:$B$299,0),MATCH('Order SUmmary'!N$2,'Product List'!$A$1:$E$1,0))</f>
        <v>2274</v>
      </c>
      <c r="O553" s="8" t="str">
        <f>INDEX(Product_List,MATCH($F553,'Product List'!$B$1:$B$299,0),MATCH('Order SUmmary'!O$2,'Product List'!$A$1:$E$1,0))</f>
        <v>Paper</v>
      </c>
      <c r="P553" s="12">
        <f>HLOOKUP(C553,'Commission Criteria'!$A$2:$I$4,3,FALSE)</f>
        <v>5</v>
      </c>
      <c r="Q553" s="8">
        <f t="shared" si="25"/>
        <v>6822</v>
      </c>
      <c r="R553" s="8">
        <f t="shared" si="26"/>
        <v>10017</v>
      </c>
      <c r="S553" s="36">
        <f>VLOOKUP(R553,'Commission Criteria'!$L$3:$M$11,2,TRUE)</f>
        <v>0.03</v>
      </c>
      <c r="T553" s="36">
        <f>IF(P553&lt;5,VLOOKUP(R553,'Commission Criteria'!$L$3:$M$11,2,1),VLOOKUP('Order SUmmary'!R553,'Commission Criteria'!$P$3:$Q$11,2,1))</f>
        <v>0.02</v>
      </c>
      <c r="U553" s="36">
        <f>VLOOKUP(R553,IF(P553&lt;5,'Commission Criteria'!$L$3:$M$11,'Commission Criteria'!$P$3:$Q$11),2,1)</f>
        <v>0.02</v>
      </c>
      <c r="V553" s="8" t="s">
        <v>40</v>
      </c>
      <c r="W553" s="36">
        <f t="shared" ca="1" si="27"/>
        <v>0</v>
      </c>
      <c r="X553" s="8" t="str">
        <f>_xlfn.XLOOKUP(F553,'Product List'!$B$1:$B$299,'Product List'!$A$1:$A$299)</f>
        <v>Xerox 1963</v>
      </c>
      <c r="Y553" s="8"/>
      <c r="Z553" s="8" t="str" cm="1">
        <f t="array" ref="Z553:AD553">_xlfn.XLOOKUP(D553,'Customer Details'!$A$1:$A$17,'Customer Details'!$B$1:$F$17,"No such customer",0,1)</f>
        <v>Godfrey Philips India Ltd.</v>
      </c>
      <c r="AA553" s="8" t="str">
        <v>20501 Ania Ave #2</v>
      </c>
      <c r="AB553" s="8" t="str">
        <v>Salt Lake City</v>
      </c>
      <c r="AC553" s="8" t="str">
        <v>UT</v>
      </c>
      <c r="AD553" s="8" t="str">
        <v>84118</v>
      </c>
    </row>
    <row r="554" spans="1:30">
      <c r="A554" s="8" t="s">
        <v>664</v>
      </c>
      <c r="B554" s="19">
        <v>41807</v>
      </c>
      <c r="C554" s="8" t="s">
        <v>66</v>
      </c>
      <c r="D554" s="8">
        <v>10011</v>
      </c>
      <c r="E554" s="8" t="str">
        <f>VLOOKUP($D554,'Customer Details'!$A$1:$F$17,4,FALSE)</f>
        <v>Olympia</v>
      </c>
      <c r="F554" s="8" t="s">
        <v>455</v>
      </c>
      <c r="G554" s="8">
        <v>1</v>
      </c>
      <c r="H554" s="2" t="str">
        <f>VLOOKUP($D554,'Customer Details'!$A$1:$F$17,MATCH('Order SUmmary'!H$2,'Customer Details'!$A$1:$F$1,0),0)</f>
        <v>Sonata Software</v>
      </c>
      <c r="I554" s="2" t="str">
        <f>VLOOKUP($D554,'Customer Details'!$A$1:$F$17,4,0)</f>
        <v>Olympia</v>
      </c>
      <c r="J554" s="2" t="str">
        <f>VLOOKUP($D554,'Customer Details'!$A$1:$F$17,6,0)</f>
        <v>98502</v>
      </c>
      <c r="K554" s="8" t="str">
        <f>VLOOKUP(VLOOKUP(D554,'Customer Details'!$A$1:$F$17,5,0),'Region INfo'!$A$1:$C$52,3,0)</f>
        <v xml:space="preserve">Pacific   </v>
      </c>
      <c r="L554" s="8" t="str">
        <f>INDEX(Product_List,MATCH($F554,'Product List'!$B$1:$B$299,0),MATCH('Order SUmmary'!L$2,'Product List'!$A$1:$E$1,0))</f>
        <v>Newell 307</v>
      </c>
      <c r="M554" s="8">
        <f>INDEX(Product_List,MATCH($F554,'Product List'!$B$1:$B$299,0),MATCH('Order SUmmary'!M$2,'Product List'!$A$1:$E$1,0))</f>
        <v>4230</v>
      </c>
      <c r="N554" s="8">
        <f>INDEX(Product_List,MATCH($F554,'Product List'!$B$1:$B$299,0),MATCH('Order SUmmary'!N$2,'Product List'!$A$1:$E$1,0))</f>
        <v>1812</v>
      </c>
      <c r="O554" s="8" t="str">
        <f>INDEX(Product_List,MATCH($F554,'Product List'!$B$1:$B$299,0),MATCH('Order SUmmary'!O$2,'Product List'!$A$1:$E$1,0))</f>
        <v>Art</v>
      </c>
      <c r="P554" s="12">
        <f>HLOOKUP(C554,'Commission Criteria'!$A$2:$I$4,3,FALSE)</f>
        <v>5</v>
      </c>
      <c r="Q554" s="8">
        <f t="shared" si="25"/>
        <v>1812</v>
      </c>
      <c r="R554" s="8">
        <f t="shared" si="26"/>
        <v>4230</v>
      </c>
      <c r="S554" s="36">
        <f>VLOOKUP(R554,'Commission Criteria'!$L$3:$M$11,2,TRUE)</f>
        <v>0.01</v>
      </c>
      <c r="T554" s="36">
        <f>IF(P554&lt;5,VLOOKUP(R554,'Commission Criteria'!$L$3:$M$11,2,1),VLOOKUP('Order SUmmary'!R554,'Commission Criteria'!$P$3:$Q$11,2,1))</f>
        <v>0.02</v>
      </c>
      <c r="U554" s="36">
        <f>VLOOKUP(R554,IF(P554&lt;5,'Commission Criteria'!$L$3:$M$11,'Commission Criteria'!$P$3:$Q$11),2,1)</f>
        <v>0.02</v>
      </c>
      <c r="V554" s="8" t="s">
        <v>43</v>
      </c>
      <c r="W554" s="36">
        <f t="shared" ca="1" si="27"/>
        <v>0.05</v>
      </c>
      <c r="X554" s="8" t="str">
        <f>_xlfn.XLOOKUP(F554,'Product List'!$B$1:$B$299,'Product List'!$A$1:$A$299)</f>
        <v>Newell 307</v>
      </c>
      <c r="Y554" s="8"/>
      <c r="Z554" s="8" t="str" cm="1">
        <f t="array" ref="Z554:AD554">_xlfn.XLOOKUP(D554,'Customer Details'!$A$1:$A$17,'Customer Details'!$B$1:$F$17,"No such customer",0,1)</f>
        <v>Sonata Software</v>
      </c>
      <c r="AA554" s="8" t="str">
        <v>1331 Kimberly Dr.</v>
      </c>
      <c r="AB554" s="8" t="str">
        <v>Olympia</v>
      </c>
      <c r="AC554" s="8" t="str">
        <v>WA</v>
      </c>
      <c r="AD554" s="8" t="str">
        <v>98502</v>
      </c>
    </row>
    <row r="555" spans="1:30">
      <c r="A555" s="8" t="s">
        <v>665</v>
      </c>
      <c r="B555" s="19">
        <v>41809</v>
      </c>
      <c r="C555" s="8" t="s">
        <v>46</v>
      </c>
      <c r="D555" s="8">
        <v>10006</v>
      </c>
      <c r="E555" s="8" t="str">
        <f>VLOOKUP($D555,'Customer Details'!$A$1:$F$17,4,FALSE)</f>
        <v>Midland</v>
      </c>
      <c r="F555" s="8" t="s">
        <v>208</v>
      </c>
      <c r="G555" s="8">
        <v>1</v>
      </c>
      <c r="H555" s="2" t="str">
        <f>VLOOKUP($D555,'Customer Details'!$A$1:$F$17,MATCH('Order SUmmary'!H$2,'Customer Details'!$A$1:$F$1,0),0)</f>
        <v>Supreme Ind</v>
      </c>
      <c r="I555" s="2" t="str">
        <f>VLOOKUP($D555,'Customer Details'!$A$1:$F$17,4,0)</f>
        <v>Midland</v>
      </c>
      <c r="J555" s="2" t="str">
        <f>VLOOKUP($D555,'Customer Details'!$A$1:$F$17,6,0)</f>
        <v>79706</v>
      </c>
      <c r="K555" s="8" t="str">
        <f>VLOOKUP(VLOOKUP(D555,'Customer Details'!$A$1:$F$17,5,0),'Region INfo'!$A$1:$C$52,3,0)</f>
        <v>Western</v>
      </c>
      <c r="L555" s="8" t="str">
        <f>INDEX(Product_List,MATCH($F555,'Product List'!$B$1:$B$299,0),MATCH('Order SUmmary'!L$2,'Product List'!$A$1:$E$1,0))</f>
        <v>Xerox 1928</v>
      </c>
      <c r="M555" s="8">
        <f>INDEX(Product_List,MATCH($F555,'Product List'!$B$1:$B$299,0),MATCH('Order SUmmary'!M$2,'Product List'!$A$1:$E$1,0))</f>
        <v>3034</v>
      </c>
      <c r="N555" s="8">
        <f>INDEX(Product_List,MATCH($F555,'Product List'!$B$1:$B$299,0),MATCH('Order SUmmary'!N$2,'Product List'!$A$1:$E$1,0))</f>
        <v>2312</v>
      </c>
      <c r="O555" s="8" t="str">
        <f>INDEX(Product_List,MATCH($F555,'Product List'!$B$1:$B$299,0),MATCH('Order SUmmary'!O$2,'Product List'!$A$1:$E$1,0))</f>
        <v>Paper</v>
      </c>
      <c r="P555" s="12">
        <f>HLOOKUP(C555,'Commission Criteria'!$A$2:$I$4,3,FALSE)</f>
        <v>8</v>
      </c>
      <c r="Q555" s="8">
        <f t="shared" si="25"/>
        <v>2312</v>
      </c>
      <c r="R555" s="8">
        <f t="shared" si="26"/>
        <v>3034</v>
      </c>
      <c r="S555" s="36">
        <f>VLOOKUP(R555,'Commission Criteria'!$L$3:$M$11,2,TRUE)</f>
        <v>0.01</v>
      </c>
      <c r="T555" s="36">
        <f>IF(P555&lt;5,VLOOKUP(R555,'Commission Criteria'!$L$3:$M$11,2,1),VLOOKUP('Order SUmmary'!R555,'Commission Criteria'!$P$3:$Q$11,2,1))</f>
        <v>0.02</v>
      </c>
      <c r="U555" s="36">
        <f>VLOOKUP(R555,IF(P555&lt;5,'Commission Criteria'!$L$3:$M$11,'Commission Criteria'!$P$3:$Q$11),2,1)</f>
        <v>0.02</v>
      </c>
      <c r="V555" s="8" t="s">
        <v>29</v>
      </c>
      <c r="W555" s="36">
        <f t="shared" ca="1" si="27"/>
        <v>0.03</v>
      </c>
      <c r="X555" s="8" t="str">
        <f>_xlfn.XLOOKUP(F555,'Product List'!$B$1:$B$299,'Product List'!$A$1:$A$299)</f>
        <v>Xerox 1928</v>
      </c>
      <c r="Y555" s="8"/>
      <c r="Z555" s="8" t="str" cm="1">
        <f t="array" ref="Z555:AD555">_xlfn.XLOOKUP(D555,'Customer Details'!$A$1:$A$17,'Customer Details'!$B$1:$F$17,"No such customer",0,1)</f>
        <v>Supreme Ind</v>
      </c>
      <c r="AA555" s="8" t="str">
        <v>P.O. Box 1367</v>
      </c>
      <c r="AB555" s="8" t="str">
        <v>Midland</v>
      </c>
      <c r="AC555" s="8" t="str">
        <v>TX</v>
      </c>
      <c r="AD555" s="8" t="str">
        <v>79706</v>
      </c>
    </row>
    <row r="556" spans="1:30">
      <c r="A556" s="8" t="s">
        <v>665</v>
      </c>
      <c r="B556" s="19">
        <v>41809</v>
      </c>
      <c r="C556" s="8" t="s">
        <v>51</v>
      </c>
      <c r="D556" s="8">
        <v>10001</v>
      </c>
      <c r="E556" s="8" t="str">
        <f>VLOOKUP($D556,'Customer Details'!$A$1:$F$17,4,FALSE)</f>
        <v>New York</v>
      </c>
      <c r="F556" s="8" t="s">
        <v>265</v>
      </c>
      <c r="G556" s="8">
        <v>1</v>
      </c>
      <c r="H556" s="2" t="str">
        <f>VLOOKUP($D556,'Customer Details'!$A$1:$F$17,MATCH('Order SUmmary'!H$2,'Customer Details'!$A$1:$F$1,0),0)</f>
        <v>Chambal Fertilisers and Chemicals Ltd.</v>
      </c>
      <c r="I556" s="2" t="str">
        <f>VLOOKUP($D556,'Customer Details'!$A$1:$F$17,4,0)</f>
        <v>New York</v>
      </c>
      <c r="J556" s="2" t="str">
        <f>VLOOKUP($D556,'Customer Details'!$A$1:$F$17,6,0)</f>
        <v>10025</v>
      </c>
      <c r="K556" s="8" t="str">
        <f>VLOOKUP(VLOOKUP(D556,'Customer Details'!$A$1:$F$17,5,0),'Region INfo'!$A$1:$C$52,3,0)</f>
        <v xml:space="preserve">Northern </v>
      </c>
      <c r="L556" s="8" t="str">
        <f>INDEX(Product_List,MATCH($F556,'Product List'!$B$1:$B$299,0),MATCH('Order SUmmary'!L$2,'Product List'!$A$1:$E$1,0))</f>
        <v>Xerox 205</v>
      </c>
      <c r="M556" s="8">
        <f>INDEX(Product_List,MATCH($F556,'Product List'!$B$1:$B$299,0),MATCH('Order SUmmary'!M$2,'Product List'!$A$1:$E$1,0))</f>
        <v>3832</v>
      </c>
      <c r="N556" s="8">
        <f>INDEX(Product_List,MATCH($F556,'Product List'!$B$1:$B$299,0),MATCH('Order SUmmary'!N$2,'Product List'!$A$1:$E$1,0))</f>
        <v>1570</v>
      </c>
      <c r="O556" s="8" t="str">
        <f>INDEX(Product_List,MATCH($F556,'Product List'!$B$1:$B$299,0),MATCH('Order SUmmary'!O$2,'Product List'!$A$1:$E$1,0))</f>
        <v>Paper</v>
      </c>
      <c r="P556" s="12">
        <f>HLOOKUP(C556,'Commission Criteria'!$A$2:$I$4,3,FALSE)</f>
        <v>10</v>
      </c>
      <c r="Q556" s="8">
        <f t="shared" si="25"/>
        <v>1570</v>
      </c>
      <c r="R556" s="8">
        <f t="shared" si="26"/>
        <v>3832</v>
      </c>
      <c r="S556" s="36">
        <f>VLOOKUP(R556,'Commission Criteria'!$L$3:$M$11,2,TRUE)</f>
        <v>0.01</v>
      </c>
      <c r="T556" s="36">
        <f>IF(P556&lt;5,VLOOKUP(R556,'Commission Criteria'!$L$3:$M$11,2,1),VLOOKUP('Order SUmmary'!R556,'Commission Criteria'!$P$3:$Q$11,2,1))</f>
        <v>0.02</v>
      </c>
      <c r="U556" s="36">
        <f>VLOOKUP(R556,IF(P556&lt;5,'Commission Criteria'!$L$3:$M$11,'Commission Criteria'!$P$3:$Q$11),2,1)</f>
        <v>0.02</v>
      </c>
      <c r="V556" s="8" t="s">
        <v>40</v>
      </c>
      <c r="W556" s="36">
        <f t="shared" ca="1" si="27"/>
        <v>0.05</v>
      </c>
      <c r="X556" s="8" t="str">
        <f>_xlfn.XLOOKUP(F556,'Product List'!$B$1:$B$299,'Product List'!$A$1:$A$299)</f>
        <v>Xerox 205</v>
      </c>
      <c r="Y556" s="8"/>
      <c r="Z556" s="8" t="str" cm="1">
        <f t="array" ref="Z556:AD556">_xlfn.XLOOKUP(D556,'Customer Details'!$A$1:$A$17,'Customer Details'!$B$1:$F$17,"No such customer",0,1)</f>
        <v>Chambal Fertilisers and Chemicals Ltd.</v>
      </c>
      <c r="AA556" s="8" t="str">
        <v>4951 Indiana Ave.</v>
      </c>
      <c r="AB556" s="8" t="str">
        <v>New York</v>
      </c>
      <c r="AC556" s="8" t="str">
        <v>NY</v>
      </c>
      <c r="AD556" s="8" t="str">
        <v>10025</v>
      </c>
    </row>
    <row r="557" spans="1:30">
      <c r="A557" s="8" t="s">
        <v>666</v>
      </c>
      <c r="B557" s="19">
        <v>41810</v>
      </c>
      <c r="C557" s="8" t="s">
        <v>54</v>
      </c>
      <c r="D557" s="8">
        <v>10015</v>
      </c>
      <c r="E557" s="8" t="str">
        <f>VLOOKUP($D557,'Customer Details'!$A$1:$F$17,4,FALSE)</f>
        <v>South Windsor</v>
      </c>
      <c r="F557" s="8" t="s">
        <v>394</v>
      </c>
      <c r="G557" s="8">
        <v>1</v>
      </c>
      <c r="H557" s="2" t="str">
        <f>VLOOKUP($D557,'Customer Details'!$A$1:$F$17,MATCH('Order SUmmary'!H$2,'Customer Details'!$A$1:$F$1,0),0)</f>
        <v>Punj Lloyd Ltd.</v>
      </c>
      <c r="I557" s="2" t="str">
        <f>VLOOKUP($D557,'Customer Details'!$A$1:$F$17,4,0)</f>
        <v>South Windsor</v>
      </c>
      <c r="J557" s="2" t="str">
        <f>VLOOKUP($D557,'Customer Details'!$A$1:$F$17,6,0)</f>
        <v>06074</v>
      </c>
      <c r="K557" s="8" t="str">
        <f>VLOOKUP(VLOOKUP(D557,'Customer Details'!$A$1:$F$17,5,0),'Region INfo'!$A$1:$C$52,3,0)</f>
        <v xml:space="preserve">Northern </v>
      </c>
      <c r="L557" s="8" t="str">
        <f>INDEX(Product_List,MATCH($F557,'Product List'!$B$1:$B$299,0),MATCH('Order SUmmary'!L$2,'Product List'!$A$1:$E$1,0))</f>
        <v>GE 30524EE4</v>
      </c>
      <c r="M557" s="8">
        <f>INDEX(Product_List,MATCH($F557,'Product List'!$B$1:$B$299,0),MATCH('Order SUmmary'!M$2,'Product List'!$A$1:$E$1,0))</f>
        <v>2553</v>
      </c>
      <c r="N557" s="8">
        <f>INDEX(Product_List,MATCH($F557,'Product List'!$B$1:$B$299,0),MATCH('Order SUmmary'!N$2,'Product List'!$A$1:$E$1,0))</f>
        <v>1638</v>
      </c>
      <c r="O557" s="8" t="str">
        <f>INDEX(Product_List,MATCH($F557,'Product List'!$B$1:$B$299,0),MATCH('Order SUmmary'!O$2,'Product List'!$A$1:$E$1,0))</f>
        <v>Phones</v>
      </c>
      <c r="P557" s="12">
        <f>HLOOKUP(C557,'Commission Criteria'!$A$2:$I$4,3,FALSE)</f>
        <v>3</v>
      </c>
      <c r="Q557" s="8">
        <f t="shared" si="25"/>
        <v>1638</v>
      </c>
      <c r="R557" s="8">
        <f t="shared" si="26"/>
        <v>2553</v>
      </c>
      <c r="S557" s="36">
        <f>VLOOKUP(R557,'Commission Criteria'!$L$3:$M$11,2,TRUE)</f>
        <v>0.01</v>
      </c>
      <c r="T557" s="36">
        <f>IF(P557&lt;5,VLOOKUP(R557,'Commission Criteria'!$L$3:$M$11,2,1),VLOOKUP('Order SUmmary'!R557,'Commission Criteria'!$P$3:$Q$11,2,1))</f>
        <v>0.01</v>
      </c>
      <c r="U557" s="36">
        <f>VLOOKUP(R557,IF(P557&lt;5,'Commission Criteria'!$L$3:$M$11,'Commission Criteria'!$P$3:$Q$11),2,1)</f>
        <v>0.01</v>
      </c>
      <c r="V557" s="8" t="s">
        <v>29</v>
      </c>
      <c r="W557" s="36">
        <f t="shared" ca="1" si="27"/>
        <v>0.04</v>
      </c>
      <c r="X557" s="8" t="str">
        <f>_xlfn.XLOOKUP(F557,'Product List'!$B$1:$B$299,'Product List'!$A$1:$A$299)</f>
        <v>GE 30524EE4</v>
      </c>
      <c r="Y557" s="8"/>
      <c r="Z557" s="8" t="str" cm="1">
        <f t="array" ref="Z557:AD557">_xlfn.XLOOKUP(D557,'Customer Details'!$A$1:$A$17,'Customer Details'!$B$1:$F$17,"No such customer",0,1)</f>
        <v>Punj Lloyd Ltd.</v>
      </c>
      <c r="AA557" s="8" t="str">
        <v>Box 3263</v>
      </c>
      <c r="AB557" s="8" t="str">
        <v>South Windsor</v>
      </c>
      <c r="AC557" s="8" t="str">
        <v>CT</v>
      </c>
      <c r="AD557" s="8" t="str">
        <v>06074</v>
      </c>
    </row>
    <row r="558" spans="1:30">
      <c r="A558" s="8" t="s">
        <v>667</v>
      </c>
      <c r="B558" s="19">
        <v>41810</v>
      </c>
      <c r="C558" s="8" t="s">
        <v>51</v>
      </c>
      <c r="D558" s="8">
        <v>10005</v>
      </c>
      <c r="E558" s="8" t="str">
        <f>VLOOKUP($D558,'Customer Details'!$A$1:$F$17,4,FALSE)</f>
        <v>Goleta</v>
      </c>
      <c r="F558" s="8" t="s">
        <v>240</v>
      </c>
      <c r="G558" s="8">
        <v>1</v>
      </c>
      <c r="H558" s="2" t="str">
        <f>VLOOKUP($D558,'Customer Details'!$A$1:$F$17,MATCH('Order SUmmary'!H$2,'Customer Details'!$A$1:$F$1,0),0)</f>
        <v>Fortis Healthcare Ltd.</v>
      </c>
      <c r="I558" s="2" t="str">
        <f>VLOOKUP($D558,'Customer Details'!$A$1:$F$17,4,0)</f>
        <v>Goleta</v>
      </c>
      <c r="J558" s="2" t="str">
        <f>VLOOKUP($D558,'Customer Details'!$A$1:$F$17,6,0)</f>
        <v>93117</v>
      </c>
      <c r="K558" s="8" t="str">
        <f>VLOOKUP(VLOOKUP(D558,'Customer Details'!$A$1:$F$17,5,0),'Region INfo'!$A$1:$C$52,3,0)</f>
        <v xml:space="preserve">Pacific   </v>
      </c>
      <c r="L558" s="8" t="str">
        <f>INDEX(Product_List,MATCH($F558,'Product List'!$B$1:$B$299,0),MATCH('Order SUmmary'!L$2,'Product List'!$A$1:$E$1,0))</f>
        <v>Xerox 2</v>
      </c>
      <c r="M558" s="8">
        <f>INDEX(Product_List,MATCH($F558,'Product List'!$B$1:$B$299,0),MATCH('Order SUmmary'!M$2,'Product List'!$A$1:$E$1,0))</f>
        <v>2562</v>
      </c>
      <c r="N558" s="8">
        <f>INDEX(Product_List,MATCH($F558,'Product List'!$B$1:$B$299,0),MATCH('Order SUmmary'!N$2,'Product List'!$A$1:$E$1,0))</f>
        <v>1527</v>
      </c>
      <c r="O558" s="8" t="str">
        <f>INDEX(Product_List,MATCH($F558,'Product List'!$B$1:$B$299,0),MATCH('Order SUmmary'!O$2,'Product List'!$A$1:$E$1,0))</f>
        <v>Paper</v>
      </c>
      <c r="P558" s="12">
        <f>HLOOKUP(C558,'Commission Criteria'!$A$2:$I$4,3,FALSE)</f>
        <v>10</v>
      </c>
      <c r="Q558" s="8">
        <f t="shared" si="25"/>
        <v>1527</v>
      </c>
      <c r="R558" s="8">
        <f t="shared" si="26"/>
        <v>2562</v>
      </c>
      <c r="S558" s="36">
        <f>VLOOKUP(R558,'Commission Criteria'!$L$3:$M$11,2,TRUE)</f>
        <v>0.01</v>
      </c>
      <c r="T558" s="36">
        <f>IF(P558&lt;5,VLOOKUP(R558,'Commission Criteria'!$L$3:$M$11,2,1),VLOOKUP('Order SUmmary'!R558,'Commission Criteria'!$P$3:$Q$11,2,1))</f>
        <v>0.02</v>
      </c>
      <c r="U558" s="36">
        <f>VLOOKUP(R558,IF(P558&lt;5,'Commission Criteria'!$L$3:$M$11,'Commission Criteria'!$P$3:$Q$11),2,1)</f>
        <v>0.02</v>
      </c>
      <c r="V558" s="8" t="s">
        <v>50</v>
      </c>
      <c r="W558" s="36">
        <f t="shared" ca="1" si="27"/>
        <v>0.04</v>
      </c>
      <c r="X558" s="8" t="str">
        <f>_xlfn.XLOOKUP(F558,'Product List'!$B$1:$B$299,'Product List'!$A$1:$A$299)</f>
        <v>Xerox 2</v>
      </c>
      <c r="Y558" s="8"/>
      <c r="Z558" s="8" t="str" cm="1">
        <f t="array" ref="Z558:AD558">_xlfn.XLOOKUP(D558,'Customer Details'!$A$1:$A$17,'Customer Details'!$B$1:$F$17,"No such customer",0,1)</f>
        <v>Fortis Healthcare Ltd.</v>
      </c>
      <c r="AA558" s="8" t="str">
        <v>14 Elsworthy Terrace</v>
      </c>
      <c r="AB558" s="8" t="str">
        <v>Goleta</v>
      </c>
      <c r="AC558" s="8" t="str">
        <v>CA</v>
      </c>
      <c r="AD558" s="8" t="str">
        <v>93117</v>
      </c>
    </row>
    <row r="559" spans="1:30">
      <c r="A559" s="8" t="s">
        <v>666</v>
      </c>
      <c r="B559" s="19">
        <v>41810</v>
      </c>
      <c r="C559" s="8" t="s">
        <v>36</v>
      </c>
      <c r="D559" s="8">
        <v>10005</v>
      </c>
      <c r="E559" s="8" t="str">
        <f>VLOOKUP($D559,'Customer Details'!$A$1:$F$17,4,FALSE)</f>
        <v>Goleta</v>
      </c>
      <c r="F559" s="8" t="s">
        <v>277</v>
      </c>
      <c r="G559" s="8">
        <v>1</v>
      </c>
      <c r="H559" s="2" t="str">
        <f>VLOOKUP($D559,'Customer Details'!$A$1:$F$17,MATCH('Order SUmmary'!H$2,'Customer Details'!$A$1:$F$1,0),0)</f>
        <v>Fortis Healthcare Ltd.</v>
      </c>
      <c r="I559" s="2" t="str">
        <f>VLOOKUP($D559,'Customer Details'!$A$1:$F$17,4,0)</f>
        <v>Goleta</v>
      </c>
      <c r="J559" s="2" t="str">
        <f>VLOOKUP($D559,'Customer Details'!$A$1:$F$17,6,0)</f>
        <v>93117</v>
      </c>
      <c r="K559" s="8" t="str">
        <f>VLOOKUP(VLOOKUP(D559,'Customer Details'!$A$1:$F$17,5,0),'Region INfo'!$A$1:$C$52,3,0)</f>
        <v xml:space="preserve">Pacific   </v>
      </c>
      <c r="L559" s="8" t="str">
        <f>INDEX(Product_List,MATCH($F559,'Product List'!$B$1:$B$299,0),MATCH('Order SUmmary'!L$2,'Product List'!$A$1:$E$1,0))</f>
        <v>Xerox 1946</v>
      </c>
      <c r="M559" s="8">
        <f>INDEX(Product_List,MATCH($F559,'Product List'!$B$1:$B$299,0),MATCH('Order SUmmary'!M$2,'Product List'!$A$1:$E$1,0))</f>
        <v>2576</v>
      </c>
      <c r="N559" s="8">
        <f>INDEX(Product_List,MATCH($F559,'Product List'!$B$1:$B$299,0),MATCH('Order SUmmary'!N$2,'Product List'!$A$1:$E$1,0))</f>
        <v>1826</v>
      </c>
      <c r="O559" s="8" t="str">
        <f>INDEX(Product_List,MATCH($F559,'Product List'!$B$1:$B$299,0),MATCH('Order SUmmary'!O$2,'Product List'!$A$1:$E$1,0))</f>
        <v>Paper</v>
      </c>
      <c r="P559" s="12">
        <f>HLOOKUP(C559,'Commission Criteria'!$A$2:$I$4,3,FALSE)</f>
        <v>6</v>
      </c>
      <c r="Q559" s="8">
        <f t="shared" si="25"/>
        <v>1826</v>
      </c>
      <c r="R559" s="8">
        <f t="shared" si="26"/>
        <v>2576</v>
      </c>
      <c r="S559" s="36">
        <f>VLOOKUP(R559,'Commission Criteria'!$L$3:$M$11,2,TRUE)</f>
        <v>0.01</v>
      </c>
      <c r="T559" s="36">
        <f>IF(P559&lt;5,VLOOKUP(R559,'Commission Criteria'!$L$3:$M$11,2,1),VLOOKUP('Order SUmmary'!R559,'Commission Criteria'!$P$3:$Q$11,2,1))</f>
        <v>0.02</v>
      </c>
      <c r="U559" s="36">
        <f>VLOOKUP(R559,IF(P559&lt;5,'Commission Criteria'!$L$3:$M$11,'Commission Criteria'!$P$3:$Q$11),2,1)</f>
        <v>0.02</v>
      </c>
      <c r="V559" s="8" t="s">
        <v>43</v>
      </c>
      <c r="W559" s="36">
        <f t="shared" ca="1" si="27"/>
        <v>0.02</v>
      </c>
      <c r="X559" s="8" t="str">
        <f>_xlfn.XLOOKUP(F559,'Product List'!$B$1:$B$299,'Product List'!$A$1:$A$299)</f>
        <v>Xerox 1946</v>
      </c>
      <c r="Y559" s="8"/>
      <c r="Z559" s="8" t="str" cm="1">
        <f t="array" ref="Z559:AD559">_xlfn.XLOOKUP(D559,'Customer Details'!$A$1:$A$17,'Customer Details'!$B$1:$F$17,"No such customer",0,1)</f>
        <v>Fortis Healthcare Ltd.</v>
      </c>
      <c r="AA559" s="8" t="str">
        <v>14 Elsworthy Terrace</v>
      </c>
      <c r="AB559" s="8" t="str">
        <v>Goleta</v>
      </c>
      <c r="AC559" s="8" t="str">
        <v>CA</v>
      </c>
      <c r="AD559" s="8" t="str">
        <v>93117</v>
      </c>
    </row>
    <row r="560" spans="1:30">
      <c r="A560" s="8" t="s">
        <v>668</v>
      </c>
      <c r="B560" s="19">
        <v>41810</v>
      </c>
      <c r="C560" s="8" t="s">
        <v>36</v>
      </c>
      <c r="D560" s="8">
        <v>10010</v>
      </c>
      <c r="E560" s="8" t="str">
        <f>VLOOKUP($D560,'Customer Details'!$A$1:$F$17,4,FALSE)</f>
        <v>Tracy</v>
      </c>
      <c r="F560" s="8" t="s">
        <v>432</v>
      </c>
      <c r="G560" s="8">
        <v>1</v>
      </c>
      <c r="H560" s="2" t="str">
        <f>VLOOKUP($D560,'Customer Details'!$A$1:$F$17,MATCH('Order SUmmary'!H$2,'Customer Details'!$A$1:$F$1,0),0)</f>
        <v>Suzlon Energy Ltd.</v>
      </c>
      <c r="I560" s="2" t="str">
        <f>VLOOKUP($D560,'Customer Details'!$A$1:$F$17,4,0)</f>
        <v>Tracy</v>
      </c>
      <c r="J560" s="2" t="str">
        <f>VLOOKUP($D560,'Customer Details'!$A$1:$F$17,6,0)</f>
        <v>95376</v>
      </c>
      <c r="K560" s="8" t="str">
        <f>VLOOKUP(VLOOKUP(D560,'Customer Details'!$A$1:$F$17,5,0),'Region INfo'!$A$1:$C$52,3,0)</f>
        <v xml:space="preserve">Pacific   </v>
      </c>
      <c r="L560" s="8" t="str">
        <f>INDEX(Product_List,MATCH($F560,'Product List'!$B$1:$B$299,0),MATCH('Order SUmmary'!L$2,'Product List'!$A$1:$E$1,0))</f>
        <v>Avery 476</v>
      </c>
      <c r="M560" s="8">
        <f>INDEX(Product_List,MATCH($F560,'Product List'!$B$1:$B$299,0),MATCH('Order SUmmary'!M$2,'Product List'!$A$1:$E$1,0))</f>
        <v>3569</v>
      </c>
      <c r="N560" s="8">
        <f>INDEX(Product_List,MATCH($F560,'Product List'!$B$1:$B$299,0),MATCH('Order SUmmary'!N$2,'Product List'!$A$1:$E$1,0))</f>
        <v>2320</v>
      </c>
      <c r="O560" s="8" t="str">
        <f>INDEX(Product_List,MATCH($F560,'Product List'!$B$1:$B$299,0),MATCH('Order SUmmary'!O$2,'Product List'!$A$1:$E$1,0))</f>
        <v>Labels</v>
      </c>
      <c r="P560" s="12">
        <f>HLOOKUP(C560,'Commission Criteria'!$A$2:$I$4,3,FALSE)</f>
        <v>6</v>
      </c>
      <c r="Q560" s="8">
        <f t="shared" si="25"/>
        <v>2320</v>
      </c>
      <c r="R560" s="8">
        <f t="shared" si="26"/>
        <v>3569</v>
      </c>
      <c r="S560" s="36">
        <f>VLOOKUP(R560,'Commission Criteria'!$L$3:$M$11,2,TRUE)</f>
        <v>0.01</v>
      </c>
      <c r="T560" s="36">
        <f>IF(P560&lt;5,VLOOKUP(R560,'Commission Criteria'!$L$3:$M$11,2,1),VLOOKUP('Order SUmmary'!R560,'Commission Criteria'!$P$3:$Q$11,2,1))</f>
        <v>0.02</v>
      </c>
      <c r="U560" s="36">
        <f>VLOOKUP(R560,IF(P560&lt;5,'Commission Criteria'!$L$3:$M$11,'Commission Criteria'!$P$3:$Q$11),2,1)</f>
        <v>0.02</v>
      </c>
      <c r="V560" s="8" t="s">
        <v>43</v>
      </c>
      <c r="W560" s="36">
        <f t="shared" ca="1" si="27"/>
        <v>0.02</v>
      </c>
      <c r="X560" s="8" t="str">
        <f>_xlfn.XLOOKUP(F560,'Product List'!$B$1:$B$299,'Product List'!$A$1:$A$299)</f>
        <v>Avery 476</v>
      </c>
      <c r="Y560" s="8"/>
      <c r="Z560" s="8" t="str" cm="1">
        <f t="array" ref="Z560:AD560">_xlfn.XLOOKUP(D560,'Customer Details'!$A$1:$A$17,'Customer Details'!$B$1:$F$17,"No such customer",0,1)</f>
        <v>Suzlon Energy Ltd.</v>
      </c>
      <c r="AA560" s="8" t="str">
        <v>501 Marsh Trail Circle</v>
      </c>
      <c r="AB560" s="8" t="str">
        <v>Tracy</v>
      </c>
      <c r="AC560" s="8" t="str">
        <v>CA</v>
      </c>
      <c r="AD560" s="8" t="str">
        <v>95376</v>
      </c>
    </row>
    <row r="561" spans="1:30">
      <c r="A561" s="8" t="s">
        <v>668</v>
      </c>
      <c r="B561" s="19">
        <v>41810</v>
      </c>
      <c r="C561" s="8" t="s">
        <v>36</v>
      </c>
      <c r="D561" s="8">
        <v>10003</v>
      </c>
      <c r="E561" s="8" t="str">
        <f>VLOOKUP($D561,'Customer Details'!$A$1:$F$17,4,FALSE)</f>
        <v>Miami</v>
      </c>
      <c r="F561" s="8" t="s">
        <v>375</v>
      </c>
      <c r="G561" s="8">
        <v>1</v>
      </c>
      <c r="H561" s="2" t="str">
        <f>VLOOKUP($D561,'Customer Details'!$A$1:$F$17,MATCH('Order SUmmary'!H$2,'Customer Details'!$A$1:$F$1,0),0)</f>
        <v>Honeywell Automation</v>
      </c>
      <c r="I561" s="2" t="str">
        <f>VLOOKUP($D561,'Customer Details'!$A$1:$F$17,4,0)</f>
        <v>Miami</v>
      </c>
      <c r="J561" s="2" t="str">
        <f>VLOOKUP($D561,'Customer Details'!$A$1:$F$17,6,0)</f>
        <v>33732</v>
      </c>
      <c r="K561" s="8" t="str">
        <f>VLOOKUP(VLOOKUP(D561,'Customer Details'!$A$1:$F$17,5,0),'Region INfo'!$A$1:$C$52,3,0)</f>
        <v>Southern</v>
      </c>
      <c r="L561" s="8" t="str">
        <f>INDEX(Product_List,MATCH($F561,'Product List'!$B$1:$B$299,0),MATCH('Order SUmmary'!L$2,'Product List'!$A$1:$E$1,0))</f>
        <v>AT&amp;T CL2909</v>
      </c>
      <c r="M561" s="8">
        <f>INDEX(Product_List,MATCH($F561,'Product List'!$B$1:$B$299,0),MATCH('Order SUmmary'!M$2,'Product List'!$A$1:$E$1,0))</f>
        <v>3644</v>
      </c>
      <c r="N561" s="8">
        <f>INDEX(Product_List,MATCH($F561,'Product List'!$B$1:$B$299,0),MATCH('Order SUmmary'!N$2,'Product List'!$A$1:$E$1,0))</f>
        <v>1954</v>
      </c>
      <c r="O561" s="8" t="str">
        <f>INDEX(Product_List,MATCH($F561,'Product List'!$B$1:$B$299,0),MATCH('Order SUmmary'!O$2,'Product List'!$A$1:$E$1,0))</f>
        <v>Phones</v>
      </c>
      <c r="P561" s="12">
        <f>HLOOKUP(C561,'Commission Criteria'!$A$2:$I$4,3,FALSE)</f>
        <v>6</v>
      </c>
      <c r="Q561" s="8">
        <f t="shared" si="25"/>
        <v>1954</v>
      </c>
      <c r="R561" s="8">
        <f t="shared" si="26"/>
        <v>3644</v>
      </c>
      <c r="S561" s="36">
        <f>VLOOKUP(R561,'Commission Criteria'!$L$3:$M$11,2,TRUE)</f>
        <v>0.01</v>
      </c>
      <c r="T561" s="36">
        <f>IF(P561&lt;5,VLOOKUP(R561,'Commission Criteria'!$L$3:$M$11,2,1),VLOOKUP('Order SUmmary'!R561,'Commission Criteria'!$P$3:$Q$11,2,1))</f>
        <v>0.02</v>
      </c>
      <c r="U561" s="36">
        <f>VLOOKUP(R561,IF(P561&lt;5,'Commission Criteria'!$L$3:$M$11,'Commission Criteria'!$P$3:$Q$11),2,1)</f>
        <v>0.02</v>
      </c>
      <c r="V561" s="8" t="s">
        <v>50</v>
      </c>
      <c r="W561" s="36">
        <f t="shared" ca="1" si="27"/>
        <v>0.05</v>
      </c>
      <c r="X561" s="8" t="str">
        <f>_xlfn.XLOOKUP(F561,'Product List'!$B$1:$B$299,'Product List'!$A$1:$A$299)</f>
        <v>AT&amp;T CL2909</v>
      </c>
      <c r="Y561" s="8"/>
      <c r="Z561" s="8" t="str" cm="1">
        <f t="array" ref="Z561:AD561">_xlfn.XLOOKUP(D561,'Customer Details'!$A$1:$A$17,'Customer Details'!$B$1:$F$17,"No such customer",0,1)</f>
        <v>Honeywell Automation</v>
      </c>
      <c r="AA561" s="8" t="str">
        <v>1272 Harbor Road</v>
      </c>
      <c r="AB561" s="8" t="str">
        <v>Miami</v>
      </c>
      <c r="AC561" s="8" t="str">
        <v>FL</v>
      </c>
      <c r="AD561" s="8" t="str">
        <v>33732</v>
      </c>
    </row>
    <row r="562" spans="1:30">
      <c r="A562" s="8" t="s">
        <v>669</v>
      </c>
      <c r="B562" s="19">
        <v>41810</v>
      </c>
      <c r="C562" s="8" t="s">
        <v>27</v>
      </c>
      <c r="D562" s="8">
        <v>10005</v>
      </c>
      <c r="E562" s="8" t="str">
        <f>VLOOKUP($D562,'Customer Details'!$A$1:$F$17,4,FALSE)</f>
        <v>Goleta</v>
      </c>
      <c r="F562" s="8" t="s">
        <v>284</v>
      </c>
      <c r="G562" s="8">
        <v>2</v>
      </c>
      <c r="H562" s="2" t="str">
        <f>VLOOKUP($D562,'Customer Details'!$A$1:$F$17,MATCH('Order SUmmary'!H$2,'Customer Details'!$A$1:$F$1,0),0)</f>
        <v>Fortis Healthcare Ltd.</v>
      </c>
      <c r="I562" s="2" t="str">
        <f>VLOOKUP($D562,'Customer Details'!$A$1:$F$17,4,0)</f>
        <v>Goleta</v>
      </c>
      <c r="J562" s="2" t="str">
        <f>VLOOKUP($D562,'Customer Details'!$A$1:$F$17,6,0)</f>
        <v>93117</v>
      </c>
      <c r="K562" s="8" t="str">
        <f>VLOOKUP(VLOOKUP(D562,'Customer Details'!$A$1:$F$17,5,0),'Region INfo'!$A$1:$C$52,3,0)</f>
        <v xml:space="preserve">Pacific   </v>
      </c>
      <c r="L562" s="8" t="str">
        <f>INDEX(Product_List,MATCH($F562,'Product List'!$B$1:$B$299,0),MATCH('Order SUmmary'!L$2,'Product List'!$A$1:$E$1,0))</f>
        <v>Xerox 1986</v>
      </c>
      <c r="M562" s="8">
        <f>INDEX(Product_List,MATCH($F562,'Product List'!$B$1:$B$299,0),MATCH('Order SUmmary'!M$2,'Product List'!$A$1:$E$1,0))</f>
        <v>2889</v>
      </c>
      <c r="N562" s="8">
        <f>INDEX(Product_List,MATCH($F562,'Product List'!$B$1:$B$299,0),MATCH('Order SUmmary'!N$2,'Product List'!$A$1:$E$1,0))</f>
        <v>1384</v>
      </c>
      <c r="O562" s="8" t="str">
        <f>INDEX(Product_List,MATCH($F562,'Product List'!$B$1:$B$299,0),MATCH('Order SUmmary'!O$2,'Product List'!$A$1:$E$1,0))</f>
        <v>Paper</v>
      </c>
      <c r="P562" s="12">
        <f>HLOOKUP(C562,'Commission Criteria'!$A$2:$I$4,3,FALSE)</f>
        <v>4</v>
      </c>
      <c r="Q562" s="8">
        <f t="shared" si="25"/>
        <v>2768</v>
      </c>
      <c r="R562" s="8">
        <f t="shared" si="26"/>
        <v>5778</v>
      </c>
      <c r="S562" s="36">
        <f>VLOOKUP(R562,'Commission Criteria'!$L$3:$M$11,2,TRUE)</f>
        <v>0.03</v>
      </c>
      <c r="T562" s="36">
        <f>IF(P562&lt;5,VLOOKUP(R562,'Commission Criteria'!$L$3:$M$11,2,1),VLOOKUP('Order SUmmary'!R562,'Commission Criteria'!$P$3:$Q$11,2,1))</f>
        <v>0.03</v>
      </c>
      <c r="U562" s="36">
        <f>VLOOKUP(R562,IF(P562&lt;5,'Commission Criteria'!$L$3:$M$11,'Commission Criteria'!$P$3:$Q$11),2,1)</f>
        <v>0.03</v>
      </c>
      <c r="V562" s="8" t="s">
        <v>32</v>
      </c>
      <c r="W562" s="36">
        <f t="shared" ca="1" si="27"/>
        <v>0.02</v>
      </c>
      <c r="X562" s="8" t="str">
        <f>_xlfn.XLOOKUP(F562,'Product List'!$B$1:$B$299,'Product List'!$A$1:$A$299)</f>
        <v>Xerox 1986</v>
      </c>
      <c r="Y562" s="8"/>
      <c r="Z562" s="8" t="str" cm="1">
        <f t="array" ref="Z562:AD562">_xlfn.XLOOKUP(D562,'Customer Details'!$A$1:$A$17,'Customer Details'!$B$1:$F$17,"No such customer",0,1)</f>
        <v>Fortis Healthcare Ltd.</v>
      </c>
      <c r="AA562" s="8" t="str">
        <v>14 Elsworthy Terrace</v>
      </c>
      <c r="AB562" s="8" t="str">
        <v>Goleta</v>
      </c>
      <c r="AC562" s="8" t="str">
        <v>CA</v>
      </c>
      <c r="AD562" s="8" t="str">
        <v>93117</v>
      </c>
    </row>
    <row r="563" spans="1:30">
      <c r="A563" s="8" t="s">
        <v>667</v>
      </c>
      <c r="B563" s="19">
        <v>41810</v>
      </c>
      <c r="C563" s="8" t="s">
        <v>54</v>
      </c>
      <c r="D563" s="8">
        <v>10014</v>
      </c>
      <c r="E563" s="8" t="str">
        <f>VLOOKUP($D563,'Customer Details'!$A$1:$F$17,4,FALSE)</f>
        <v>Honolulu</v>
      </c>
      <c r="F563" s="8" t="s">
        <v>226</v>
      </c>
      <c r="G563" s="8">
        <v>2</v>
      </c>
      <c r="H563" s="2" t="str">
        <f>VLOOKUP($D563,'Customer Details'!$A$1:$F$17,MATCH('Order SUmmary'!H$2,'Customer Details'!$A$1:$F$1,0),0)</f>
        <v>Hindusthan National Glass &amp; Industries Ltd.</v>
      </c>
      <c r="I563" s="2" t="str">
        <f>VLOOKUP($D563,'Customer Details'!$A$1:$F$17,4,0)</f>
        <v>Honolulu</v>
      </c>
      <c r="J563" s="2" t="str">
        <f>VLOOKUP($D563,'Customer Details'!$A$1:$F$17,6,0)</f>
        <v>96825</v>
      </c>
      <c r="K563" s="8" t="str">
        <f>VLOOKUP(VLOOKUP(D563,'Customer Details'!$A$1:$F$17,5,0),'Region INfo'!$A$1:$C$52,3,0)</f>
        <v xml:space="preserve">Pacific   </v>
      </c>
      <c r="L563" s="8" t="str">
        <f>INDEX(Product_List,MATCH($F563,'Product List'!$B$1:$B$299,0),MATCH('Order SUmmary'!L$2,'Product List'!$A$1:$E$1,0))</f>
        <v>Avery 517</v>
      </c>
      <c r="M563" s="8">
        <f>INDEX(Product_List,MATCH($F563,'Product List'!$B$1:$B$299,0),MATCH('Order SUmmary'!M$2,'Product List'!$A$1:$E$1,0))</f>
        <v>3065</v>
      </c>
      <c r="N563" s="8">
        <f>INDEX(Product_List,MATCH($F563,'Product List'!$B$1:$B$299,0),MATCH('Order SUmmary'!N$2,'Product List'!$A$1:$E$1,0))</f>
        <v>1426</v>
      </c>
      <c r="O563" s="8" t="str">
        <f>INDEX(Product_List,MATCH($F563,'Product List'!$B$1:$B$299,0),MATCH('Order SUmmary'!O$2,'Product List'!$A$1:$E$1,0))</f>
        <v>Labels</v>
      </c>
      <c r="P563" s="12">
        <f>HLOOKUP(C563,'Commission Criteria'!$A$2:$I$4,3,FALSE)</f>
        <v>3</v>
      </c>
      <c r="Q563" s="8">
        <f t="shared" si="25"/>
        <v>2852</v>
      </c>
      <c r="R563" s="8">
        <f t="shared" si="26"/>
        <v>6130</v>
      </c>
      <c r="S563" s="36">
        <f>VLOOKUP(R563,'Commission Criteria'!$L$3:$M$11,2,TRUE)</f>
        <v>0.03</v>
      </c>
      <c r="T563" s="36">
        <f>IF(P563&lt;5,VLOOKUP(R563,'Commission Criteria'!$L$3:$M$11,2,1),VLOOKUP('Order SUmmary'!R563,'Commission Criteria'!$P$3:$Q$11,2,1))</f>
        <v>0.03</v>
      </c>
      <c r="U563" s="36">
        <f>VLOOKUP(R563,IF(P563&lt;5,'Commission Criteria'!$L$3:$M$11,'Commission Criteria'!$P$3:$Q$11),2,1)</f>
        <v>0.03</v>
      </c>
      <c r="V563" s="8" t="s">
        <v>40</v>
      </c>
      <c r="W563" s="36">
        <f t="shared" ca="1" si="27"/>
        <v>0.01</v>
      </c>
      <c r="X563" s="8" t="str">
        <f>_xlfn.XLOOKUP(F563,'Product List'!$B$1:$B$299,'Product List'!$A$1:$A$299)</f>
        <v>Avery 517</v>
      </c>
      <c r="Y563" s="8"/>
      <c r="Z563" s="8" t="str" cm="1">
        <f t="array" ref="Z563:AD563">_xlfn.XLOOKUP(D563,'Customer Details'!$A$1:$A$17,'Customer Details'!$B$1:$F$17,"No such customer",0,1)</f>
        <v>Hindusthan National Glass &amp; Industries Ltd.</v>
      </c>
      <c r="AA563" s="8" t="str">
        <v>11 Cathy St.</v>
      </c>
      <c r="AB563" s="8" t="str">
        <v>Honolulu</v>
      </c>
      <c r="AC563" s="8" t="str">
        <v>HI</v>
      </c>
      <c r="AD563" s="8" t="str">
        <v>96825</v>
      </c>
    </row>
    <row r="564" spans="1:30">
      <c r="A564" s="8" t="s">
        <v>669</v>
      </c>
      <c r="B564" s="19">
        <v>41810</v>
      </c>
      <c r="C564" s="8" t="s">
        <v>44</v>
      </c>
      <c r="D564" s="8">
        <v>10009</v>
      </c>
      <c r="E564" s="8" t="str">
        <f>VLOOKUP($D564,'Customer Details'!$A$1:$F$17,4,FALSE)</f>
        <v>Salt Lake City</v>
      </c>
      <c r="F564" s="8" t="s">
        <v>381</v>
      </c>
      <c r="G564" s="8">
        <v>2</v>
      </c>
      <c r="H564" s="2" t="str">
        <f>VLOOKUP($D564,'Customer Details'!$A$1:$F$17,MATCH('Order SUmmary'!H$2,'Customer Details'!$A$1:$F$1,0),0)</f>
        <v>Godfrey Philips India Ltd.</v>
      </c>
      <c r="I564" s="2" t="str">
        <f>VLOOKUP($D564,'Customer Details'!$A$1:$F$17,4,0)</f>
        <v>Salt Lake City</v>
      </c>
      <c r="J564" s="2" t="str">
        <f>VLOOKUP($D564,'Customer Details'!$A$1:$F$17,6,0)</f>
        <v>84118</v>
      </c>
      <c r="K564" s="8" t="str">
        <f>VLOOKUP(VLOOKUP(D564,'Customer Details'!$A$1:$F$17,5,0),'Region INfo'!$A$1:$C$52,3,0)</f>
        <v xml:space="preserve">Pacific   </v>
      </c>
      <c r="L564" s="8" t="str">
        <f>INDEX(Product_List,MATCH($F564,'Product List'!$B$1:$B$299,0),MATCH('Order SUmmary'!L$2,'Product List'!$A$1:$E$1,0))</f>
        <v>Xerox 1911</v>
      </c>
      <c r="M564" s="8">
        <f>INDEX(Product_List,MATCH($F564,'Product List'!$B$1:$B$299,0),MATCH('Order SUmmary'!M$2,'Product List'!$A$1:$E$1,0))</f>
        <v>4724</v>
      </c>
      <c r="N564" s="8">
        <f>INDEX(Product_List,MATCH($F564,'Product List'!$B$1:$B$299,0),MATCH('Order SUmmary'!N$2,'Product List'!$A$1:$E$1,0))</f>
        <v>2467</v>
      </c>
      <c r="O564" s="8" t="str">
        <f>INDEX(Product_List,MATCH($F564,'Product List'!$B$1:$B$299,0),MATCH('Order SUmmary'!O$2,'Product List'!$A$1:$E$1,0))</f>
        <v>Paper</v>
      </c>
      <c r="P564" s="12">
        <f>HLOOKUP(C564,'Commission Criteria'!$A$2:$I$4,3,FALSE)</f>
        <v>4</v>
      </c>
      <c r="Q564" s="8">
        <f t="shared" si="25"/>
        <v>4934</v>
      </c>
      <c r="R564" s="8">
        <f t="shared" si="26"/>
        <v>9448</v>
      </c>
      <c r="S564" s="36">
        <f>VLOOKUP(R564,'Commission Criteria'!$L$3:$M$11,2,TRUE)</f>
        <v>0.03</v>
      </c>
      <c r="T564" s="36">
        <f>IF(P564&lt;5,VLOOKUP(R564,'Commission Criteria'!$L$3:$M$11,2,1),VLOOKUP('Order SUmmary'!R564,'Commission Criteria'!$P$3:$Q$11,2,1))</f>
        <v>0.03</v>
      </c>
      <c r="U564" s="36">
        <f>VLOOKUP(R564,IF(P564&lt;5,'Commission Criteria'!$L$3:$M$11,'Commission Criteria'!$P$3:$Q$11),2,1)</f>
        <v>0.03</v>
      </c>
      <c r="V564" s="8" t="s">
        <v>29</v>
      </c>
      <c r="W564" s="36">
        <f t="shared" ca="1" si="27"/>
        <v>0.01</v>
      </c>
      <c r="X564" s="8" t="str">
        <f>_xlfn.XLOOKUP(F564,'Product List'!$B$1:$B$299,'Product List'!$A$1:$A$299)</f>
        <v>Xerox 1911</v>
      </c>
      <c r="Y564" s="8"/>
      <c r="Z564" s="8" t="str" cm="1">
        <f t="array" ref="Z564:AD564">_xlfn.XLOOKUP(D564,'Customer Details'!$A$1:$A$17,'Customer Details'!$B$1:$F$17,"No such customer",0,1)</f>
        <v>Godfrey Philips India Ltd.</v>
      </c>
      <c r="AA564" s="8" t="str">
        <v>20501 Ania Ave #2</v>
      </c>
      <c r="AB564" s="8" t="str">
        <v>Salt Lake City</v>
      </c>
      <c r="AC564" s="8" t="str">
        <v>UT</v>
      </c>
      <c r="AD564" s="8" t="str">
        <v>84118</v>
      </c>
    </row>
    <row r="565" spans="1:30">
      <c r="A565" s="8" t="s">
        <v>666</v>
      </c>
      <c r="B565" s="19">
        <v>41810</v>
      </c>
      <c r="C565" s="8" t="s">
        <v>66</v>
      </c>
      <c r="D565" s="8">
        <v>10012</v>
      </c>
      <c r="E565" s="8" t="str">
        <f>VLOOKUP($D565,'Customer Details'!$A$1:$F$17,4,FALSE)</f>
        <v>Santa Barbara</v>
      </c>
      <c r="F565" s="8" t="s">
        <v>670</v>
      </c>
      <c r="G565" s="8">
        <v>3</v>
      </c>
      <c r="H565" s="2" t="str">
        <f>VLOOKUP($D565,'Customer Details'!$A$1:$F$17,MATCH('Order SUmmary'!H$2,'Customer Details'!$A$1:$F$1,0),0)</f>
        <v>Dynamatic Technologies Ltd.</v>
      </c>
      <c r="I565" s="2" t="str">
        <f>VLOOKUP($D565,'Customer Details'!$A$1:$F$17,4,0)</f>
        <v>Santa Barbara</v>
      </c>
      <c r="J565" s="2" t="str">
        <f>VLOOKUP($D565,'Customer Details'!$A$1:$F$17,6,0)</f>
        <v>93110</v>
      </c>
      <c r="K565" s="8" t="str">
        <f>VLOOKUP(VLOOKUP(D565,'Customer Details'!$A$1:$F$17,5,0),'Region INfo'!$A$1:$C$52,3,0)</f>
        <v xml:space="preserve">Pacific   </v>
      </c>
      <c r="L565" s="8" t="str">
        <f>INDEX(Product_List,MATCH($F565,'Product List'!$B$1:$B$299,0),MATCH('Order SUmmary'!L$2,'Product List'!$A$1:$E$1,0))</f>
        <v>Avery 506</v>
      </c>
      <c r="M565" s="8">
        <f>INDEX(Product_List,MATCH($F565,'Product List'!$B$1:$B$299,0),MATCH('Order SUmmary'!M$2,'Product List'!$A$1:$E$1,0))</f>
        <v>4006</v>
      </c>
      <c r="N565" s="8">
        <f>INDEX(Product_List,MATCH($F565,'Product List'!$B$1:$B$299,0),MATCH('Order SUmmary'!N$2,'Product List'!$A$1:$E$1,0))</f>
        <v>1320</v>
      </c>
      <c r="O565" s="8" t="str">
        <f>INDEX(Product_List,MATCH($F565,'Product List'!$B$1:$B$299,0),MATCH('Order SUmmary'!O$2,'Product List'!$A$1:$E$1,0))</f>
        <v>Labels</v>
      </c>
      <c r="P565" s="12">
        <f>HLOOKUP(C565,'Commission Criteria'!$A$2:$I$4,3,FALSE)</f>
        <v>5</v>
      </c>
      <c r="Q565" s="8">
        <f t="shared" si="25"/>
        <v>3960</v>
      </c>
      <c r="R565" s="8">
        <f t="shared" si="26"/>
        <v>12018</v>
      </c>
      <c r="S565" s="36">
        <f>VLOOKUP(R565,'Commission Criteria'!$L$3:$M$11,2,TRUE)</f>
        <v>0.03</v>
      </c>
      <c r="T565" s="36">
        <f>IF(P565&lt;5,VLOOKUP(R565,'Commission Criteria'!$L$3:$M$11,2,1),VLOOKUP('Order SUmmary'!R565,'Commission Criteria'!$P$3:$Q$11,2,1))</f>
        <v>0.02</v>
      </c>
      <c r="U565" s="36">
        <f>VLOOKUP(R565,IF(P565&lt;5,'Commission Criteria'!$L$3:$M$11,'Commission Criteria'!$P$3:$Q$11),2,1)</f>
        <v>0.02</v>
      </c>
      <c r="V565" s="8" t="s">
        <v>35</v>
      </c>
      <c r="W565" s="36">
        <f t="shared" ca="1" si="27"/>
        <v>0.04</v>
      </c>
      <c r="X565" s="8" t="str">
        <f>_xlfn.XLOOKUP(F565,'Product List'!$B$1:$B$299,'Product List'!$A$1:$A$299)</f>
        <v>Avery 506</v>
      </c>
      <c r="Y565" s="8"/>
      <c r="Z565" s="8" t="str" cm="1">
        <f t="array" ref="Z565:AD565">_xlfn.XLOOKUP(D565,'Customer Details'!$A$1:$A$17,'Customer Details'!$B$1:$F$17,"No such customer",0,1)</f>
        <v>Dynamatic Technologies Ltd.</v>
      </c>
      <c r="AA565" s="8" t="str">
        <v>402 Pinkster Lane</v>
      </c>
      <c r="AB565" s="8" t="str">
        <v>Santa Barbara</v>
      </c>
      <c r="AC565" s="8" t="str">
        <v>CA</v>
      </c>
      <c r="AD565" s="8" t="str">
        <v>93110</v>
      </c>
    </row>
    <row r="566" spans="1:30">
      <c r="A566" s="8" t="s">
        <v>671</v>
      </c>
      <c r="B566" s="19">
        <v>41811</v>
      </c>
      <c r="C566" s="8" t="s">
        <v>46</v>
      </c>
      <c r="D566" s="8">
        <v>10012</v>
      </c>
      <c r="E566" s="8" t="str">
        <f>VLOOKUP($D566,'Customer Details'!$A$1:$F$17,4,FALSE)</f>
        <v>Santa Barbara</v>
      </c>
      <c r="F566" s="8" t="s">
        <v>672</v>
      </c>
      <c r="G566" s="8">
        <v>2</v>
      </c>
      <c r="H566" s="2" t="str">
        <f>VLOOKUP($D566,'Customer Details'!$A$1:$F$17,MATCH('Order SUmmary'!H$2,'Customer Details'!$A$1:$F$1,0),0)</f>
        <v>Dynamatic Technologies Ltd.</v>
      </c>
      <c r="I566" s="2" t="str">
        <f>VLOOKUP($D566,'Customer Details'!$A$1:$F$17,4,0)</f>
        <v>Santa Barbara</v>
      </c>
      <c r="J566" s="2" t="str">
        <f>VLOOKUP($D566,'Customer Details'!$A$1:$F$17,6,0)</f>
        <v>93110</v>
      </c>
      <c r="K566" s="8" t="str">
        <f>VLOOKUP(VLOOKUP(D566,'Customer Details'!$A$1:$F$17,5,0),'Region INfo'!$A$1:$C$52,3,0)</f>
        <v xml:space="preserve">Pacific   </v>
      </c>
      <c r="L566" s="8" t="str">
        <f>INDEX(Product_List,MATCH($F566,'Product List'!$B$1:$B$299,0),MATCH('Order SUmmary'!L$2,'Product List'!$A$1:$E$1,0))</f>
        <v>Newell 319</v>
      </c>
      <c r="M566" s="8">
        <f>INDEX(Product_List,MATCH($F566,'Product List'!$B$1:$B$299,0),MATCH('Order SUmmary'!M$2,'Product List'!$A$1:$E$1,0))</f>
        <v>2867</v>
      </c>
      <c r="N566" s="8">
        <f>INDEX(Product_List,MATCH($F566,'Product List'!$B$1:$B$299,0),MATCH('Order SUmmary'!N$2,'Product List'!$A$1:$E$1,0))</f>
        <v>2295</v>
      </c>
      <c r="O566" s="8" t="str">
        <f>INDEX(Product_List,MATCH($F566,'Product List'!$B$1:$B$299,0),MATCH('Order SUmmary'!O$2,'Product List'!$A$1:$E$1,0))</f>
        <v>Art</v>
      </c>
      <c r="P566" s="12">
        <f>HLOOKUP(C566,'Commission Criteria'!$A$2:$I$4,3,FALSE)</f>
        <v>8</v>
      </c>
      <c r="Q566" s="8">
        <f t="shared" si="25"/>
        <v>4590</v>
      </c>
      <c r="R566" s="8">
        <f t="shared" si="26"/>
        <v>5734</v>
      </c>
      <c r="S566" s="36">
        <f>VLOOKUP(R566,'Commission Criteria'!$L$3:$M$11,2,TRUE)</f>
        <v>0.03</v>
      </c>
      <c r="T566" s="36">
        <f>IF(P566&lt;5,VLOOKUP(R566,'Commission Criteria'!$L$3:$M$11,2,1),VLOOKUP('Order SUmmary'!R566,'Commission Criteria'!$P$3:$Q$11,2,1))</f>
        <v>0.02</v>
      </c>
      <c r="U566" s="36">
        <f>VLOOKUP(R566,IF(P566&lt;5,'Commission Criteria'!$L$3:$M$11,'Commission Criteria'!$P$3:$Q$11),2,1)</f>
        <v>0.02</v>
      </c>
      <c r="V566" s="8" t="s">
        <v>29</v>
      </c>
      <c r="W566" s="36">
        <f t="shared" ca="1" si="27"/>
        <v>0.03</v>
      </c>
      <c r="X566" s="8" t="str">
        <f>_xlfn.XLOOKUP(F566,'Product List'!$B$1:$B$299,'Product List'!$A$1:$A$299)</f>
        <v>Newell 319</v>
      </c>
      <c r="Y566" s="8"/>
      <c r="Z566" s="8" t="str" cm="1">
        <f t="array" ref="Z566:AD566">_xlfn.XLOOKUP(D566,'Customer Details'!$A$1:$A$17,'Customer Details'!$B$1:$F$17,"No such customer",0,1)</f>
        <v>Dynamatic Technologies Ltd.</v>
      </c>
      <c r="AA566" s="8" t="str">
        <v>402 Pinkster Lane</v>
      </c>
      <c r="AB566" s="8" t="str">
        <v>Santa Barbara</v>
      </c>
      <c r="AC566" s="8" t="str">
        <v>CA</v>
      </c>
      <c r="AD566" s="8" t="str">
        <v>93110</v>
      </c>
    </row>
    <row r="567" spans="1:30">
      <c r="A567" s="8" t="s">
        <v>673</v>
      </c>
      <c r="B567" s="19">
        <v>41811</v>
      </c>
      <c r="C567" s="8" t="s">
        <v>44</v>
      </c>
      <c r="D567" s="8">
        <v>10013</v>
      </c>
      <c r="E567" s="8" t="str">
        <f>VLOOKUP($D567,'Customer Details'!$A$1:$F$17,4,FALSE)</f>
        <v>Naugatuck</v>
      </c>
      <c r="F567" s="8" t="s">
        <v>348</v>
      </c>
      <c r="G567" s="8">
        <v>2</v>
      </c>
      <c r="H567" s="2" t="str">
        <f>VLOOKUP($D567,'Customer Details'!$A$1:$F$17,MATCH('Order SUmmary'!H$2,'Customer Details'!$A$1:$F$1,0),0)</f>
        <v>GMR Infrastructure Ltd.</v>
      </c>
      <c r="I567" s="2" t="str">
        <f>VLOOKUP($D567,'Customer Details'!$A$1:$F$17,4,0)</f>
        <v>Naugatuck</v>
      </c>
      <c r="J567" s="2" t="str">
        <f>VLOOKUP($D567,'Customer Details'!$A$1:$F$17,6,0)</f>
        <v>06770</v>
      </c>
      <c r="K567" s="8" t="str">
        <f>VLOOKUP(VLOOKUP(D567,'Customer Details'!$A$1:$F$17,5,0),'Region INfo'!$A$1:$C$52,3,0)</f>
        <v xml:space="preserve">Northern </v>
      </c>
      <c r="L567" s="8" t="str">
        <f>INDEX(Product_List,MATCH($F567,'Product List'!$B$1:$B$299,0),MATCH('Order SUmmary'!L$2,'Product List'!$A$1:$E$1,0))</f>
        <v>Avery 512</v>
      </c>
      <c r="M567" s="8">
        <f>INDEX(Product_List,MATCH($F567,'Product List'!$B$1:$B$299,0),MATCH('Order SUmmary'!M$2,'Product List'!$A$1:$E$1,0))</f>
        <v>3507</v>
      </c>
      <c r="N567" s="8">
        <f>INDEX(Product_List,MATCH($F567,'Product List'!$B$1:$B$299,0),MATCH('Order SUmmary'!N$2,'Product List'!$A$1:$E$1,0))</f>
        <v>1643</v>
      </c>
      <c r="O567" s="8" t="str">
        <f>INDEX(Product_List,MATCH($F567,'Product List'!$B$1:$B$299,0),MATCH('Order SUmmary'!O$2,'Product List'!$A$1:$E$1,0))</f>
        <v>Labels</v>
      </c>
      <c r="P567" s="12">
        <f>HLOOKUP(C567,'Commission Criteria'!$A$2:$I$4,3,FALSE)</f>
        <v>4</v>
      </c>
      <c r="Q567" s="8">
        <f t="shared" si="25"/>
        <v>3286</v>
      </c>
      <c r="R567" s="8">
        <f t="shared" si="26"/>
        <v>7014</v>
      </c>
      <c r="S567" s="36">
        <f>VLOOKUP(R567,'Commission Criteria'!$L$3:$M$11,2,TRUE)</f>
        <v>0.03</v>
      </c>
      <c r="T567" s="36">
        <f>IF(P567&lt;5,VLOOKUP(R567,'Commission Criteria'!$L$3:$M$11,2,1),VLOOKUP('Order SUmmary'!R567,'Commission Criteria'!$P$3:$Q$11,2,1))</f>
        <v>0.03</v>
      </c>
      <c r="U567" s="36">
        <f>VLOOKUP(R567,IF(P567&lt;5,'Commission Criteria'!$L$3:$M$11,'Commission Criteria'!$P$3:$Q$11),2,1)</f>
        <v>0.03</v>
      </c>
      <c r="V567" s="8" t="s">
        <v>40</v>
      </c>
      <c r="W567" s="36">
        <f t="shared" ca="1" si="27"/>
        <v>0.01</v>
      </c>
      <c r="X567" s="8" t="str">
        <f>_xlfn.XLOOKUP(F567,'Product List'!$B$1:$B$299,'Product List'!$A$1:$A$299)</f>
        <v>Avery 512</v>
      </c>
      <c r="Y567" s="8"/>
      <c r="Z567" s="8" t="str" cm="1">
        <f t="array" ref="Z567:AD567">_xlfn.XLOOKUP(D567,'Customer Details'!$A$1:$A$17,'Customer Details'!$B$1:$F$17,"No such customer",0,1)</f>
        <v>GMR Infrastructure Ltd.</v>
      </c>
      <c r="AA567" s="8" t="str">
        <v>P.O. Box 4421</v>
      </c>
      <c r="AB567" s="8" t="str">
        <v>Naugatuck</v>
      </c>
      <c r="AC567" s="8" t="str">
        <v>CT</v>
      </c>
      <c r="AD567" s="8" t="str">
        <v>06770</v>
      </c>
    </row>
    <row r="568" spans="1:30">
      <c r="A568" s="8" t="s">
        <v>673</v>
      </c>
      <c r="B568" s="19">
        <v>41811</v>
      </c>
      <c r="C568" s="8" t="s">
        <v>44</v>
      </c>
      <c r="D568" s="8">
        <v>10002</v>
      </c>
      <c r="E568" s="8" t="str">
        <f>VLOOKUP($D568,'Customer Details'!$A$1:$F$17,4,FALSE)</f>
        <v>Omaha</v>
      </c>
      <c r="F568" s="8" t="s">
        <v>674</v>
      </c>
      <c r="G568" s="8">
        <v>3</v>
      </c>
      <c r="H568" s="2" t="str">
        <f>VLOOKUP($D568,'Customer Details'!$A$1:$F$17,MATCH('Order SUmmary'!H$2,'Customer Details'!$A$1:$F$1,0),0)</f>
        <v>Elder Pharmaceuticals</v>
      </c>
      <c r="I568" s="2" t="str">
        <f>VLOOKUP($D568,'Customer Details'!$A$1:$F$17,4,0)</f>
        <v>Omaha</v>
      </c>
      <c r="J568" s="2" t="str">
        <f>VLOOKUP($D568,'Customer Details'!$A$1:$F$17,6,0)</f>
        <v>68127</v>
      </c>
      <c r="K568" s="8" t="str">
        <f>VLOOKUP(VLOOKUP(D568,'Customer Details'!$A$1:$F$17,5,0),'Region INfo'!$A$1:$C$52,3,0)</f>
        <v>Western</v>
      </c>
      <c r="L568" s="8" t="str">
        <f>INDEX(Product_List,MATCH($F568,'Product List'!$B$1:$B$299,0),MATCH('Order SUmmary'!L$2,'Product List'!$A$1:$E$1,0))</f>
        <v>Avery 491</v>
      </c>
      <c r="M568" s="8">
        <f>INDEX(Product_List,MATCH($F568,'Product List'!$B$1:$B$299,0),MATCH('Order SUmmary'!M$2,'Product List'!$A$1:$E$1,0))</f>
        <v>4092</v>
      </c>
      <c r="N568" s="8">
        <f>INDEX(Product_List,MATCH($F568,'Product List'!$B$1:$B$299,0),MATCH('Order SUmmary'!N$2,'Product List'!$A$1:$E$1,0))</f>
        <v>1482</v>
      </c>
      <c r="O568" s="8" t="str">
        <f>INDEX(Product_List,MATCH($F568,'Product List'!$B$1:$B$299,0),MATCH('Order SUmmary'!O$2,'Product List'!$A$1:$E$1,0))</f>
        <v>Labels</v>
      </c>
      <c r="P568" s="12">
        <f>HLOOKUP(C568,'Commission Criteria'!$A$2:$I$4,3,FALSE)</f>
        <v>4</v>
      </c>
      <c r="Q568" s="8">
        <f t="shared" si="25"/>
        <v>4446</v>
      </c>
      <c r="R568" s="8">
        <f t="shared" si="26"/>
        <v>12276</v>
      </c>
      <c r="S568" s="36">
        <f>VLOOKUP(R568,'Commission Criteria'!$L$3:$M$11,2,TRUE)</f>
        <v>0.03</v>
      </c>
      <c r="T568" s="36">
        <f>IF(P568&lt;5,VLOOKUP(R568,'Commission Criteria'!$L$3:$M$11,2,1),VLOOKUP('Order SUmmary'!R568,'Commission Criteria'!$P$3:$Q$11,2,1))</f>
        <v>0.03</v>
      </c>
      <c r="U568" s="36">
        <f>VLOOKUP(R568,IF(P568&lt;5,'Commission Criteria'!$L$3:$M$11,'Commission Criteria'!$P$3:$Q$11),2,1)</f>
        <v>0.03</v>
      </c>
      <c r="V568" s="8" t="s">
        <v>29</v>
      </c>
      <c r="W568" s="36">
        <f t="shared" ca="1" si="27"/>
        <v>0</v>
      </c>
      <c r="X568" s="8" t="str">
        <f>_xlfn.XLOOKUP(F568,'Product List'!$B$1:$B$299,'Product List'!$A$1:$A$299)</f>
        <v>Avery 491</v>
      </c>
      <c r="Y568" s="8"/>
      <c r="Z568" s="8" t="str" cm="1">
        <f t="array" ref="Z568:AD568">_xlfn.XLOOKUP(D568,'Customer Details'!$A$1:$A$17,'Customer Details'!$B$1:$F$17,"No such customer",0,1)</f>
        <v>Elder Pharmaceuticals</v>
      </c>
      <c r="AA568" s="8" t="str">
        <v>57 Neriba Cres</v>
      </c>
      <c r="AB568" s="8" t="str">
        <v>Omaha</v>
      </c>
      <c r="AC568" s="8" t="str">
        <v>NE</v>
      </c>
      <c r="AD568" s="8" t="str">
        <v>68127</v>
      </c>
    </row>
    <row r="569" spans="1:30">
      <c r="A569" s="8" t="s">
        <v>675</v>
      </c>
      <c r="B569" s="19">
        <v>41812</v>
      </c>
      <c r="C569" s="8" t="s">
        <v>46</v>
      </c>
      <c r="D569" s="8">
        <v>10002</v>
      </c>
      <c r="E569" s="8" t="str">
        <f>VLOOKUP($D569,'Customer Details'!$A$1:$F$17,4,FALSE)</f>
        <v>Omaha</v>
      </c>
      <c r="F569" s="8" t="s">
        <v>453</v>
      </c>
      <c r="G569" s="8">
        <v>1</v>
      </c>
      <c r="H569" s="2" t="str">
        <f>VLOOKUP($D569,'Customer Details'!$A$1:$F$17,MATCH('Order SUmmary'!H$2,'Customer Details'!$A$1:$F$1,0),0)</f>
        <v>Elder Pharmaceuticals</v>
      </c>
      <c r="I569" s="2" t="str">
        <f>VLOOKUP($D569,'Customer Details'!$A$1:$F$17,4,0)</f>
        <v>Omaha</v>
      </c>
      <c r="J569" s="2" t="str">
        <f>VLOOKUP($D569,'Customer Details'!$A$1:$F$17,6,0)</f>
        <v>68127</v>
      </c>
      <c r="K569" s="8" t="str">
        <f>VLOOKUP(VLOOKUP(D569,'Customer Details'!$A$1:$F$17,5,0),'Region INfo'!$A$1:$C$52,3,0)</f>
        <v>Western</v>
      </c>
      <c r="L569" s="8" t="str">
        <f>INDEX(Product_List,MATCH($F569,'Product List'!$B$1:$B$299,0),MATCH('Order SUmmary'!L$2,'Product List'!$A$1:$E$1,0))</f>
        <v>Xerox 231</v>
      </c>
      <c r="M569" s="8">
        <f>INDEX(Product_List,MATCH($F569,'Product List'!$B$1:$B$299,0),MATCH('Order SUmmary'!M$2,'Product List'!$A$1:$E$1,0))</f>
        <v>2507</v>
      </c>
      <c r="N569" s="8">
        <f>INDEX(Product_List,MATCH($F569,'Product List'!$B$1:$B$299,0),MATCH('Order SUmmary'!N$2,'Product List'!$A$1:$E$1,0))</f>
        <v>1380</v>
      </c>
      <c r="O569" s="8" t="str">
        <f>INDEX(Product_List,MATCH($F569,'Product List'!$B$1:$B$299,0),MATCH('Order SUmmary'!O$2,'Product List'!$A$1:$E$1,0))</f>
        <v>Paper</v>
      </c>
      <c r="P569" s="12">
        <f>HLOOKUP(C569,'Commission Criteria'!$A$2:$I$4,3,FALSE)</f>
        <v>8</v>
      </c>
      <c r="Q569" s="8">
        <f t="shared" si="25"/>
        <v>1380</v>
      </c>
      <c r="R569" s="8">
        <f t="shared" si="26"/>
        <v>2507</v>
      </c>
      <c r="S569" s="36">
        <f>VLOOKUP(R569,'Commission Criteria'!$L$3:$M$11,2,TRUE)</f>
        <v>0.01</v>
      </c>
      <c r="T569" s="36">
        <f>IF(P569&lt;5,VLOOKUP(R569,'Commission Criteria'!$L$3:$M$11,2,1),VLOOKUP('Order SUmmary'!R569,'Commission Criteria'!$P$3:$Q$11,2,1))</f>
        <v>0.02</v>
      </c>
      <c r="U569" s="36">
        <f>VLOOKUP(R569,IF(P569&lt;5,'Commission Criteria'!$L$3:$M$11,'Commission Criteria'!$P$3:$Q$11),2,1)</f>
        <v>0.02</v>
      </c>
      <c r="V569" s="8" t="s">
        <v>43</v>
      </c>
      <c r="W569" s="36">
        <f t="shared" ca="1" si="27"/>
        <v>0.04</v>
      </c>
      <c r="X569" s="8" t="str">
        <f>_xlfn.XLOOKUP(F569,'Product List'!$B$1:$B$299,'Product List'!$A$1:$A$299)</f>
        <v>Xerox 231</v>
      </c>
      <c r="Y569" s="8"/>
      <c r="Z569" s="8" t="str" cm="1">
        <f t="array" ref="Z569:AD569">_xlfn.XLOOKUP(D569,'Customer Details'!$A$1:$A$17,'Customer Details'!$B$1:$F$17,"No such customer",0,1)</f>
        <v>Elder Pharmaceuticals</v>
      </c>
      <c r="AA569" s="8" t="str">
        <v>57 Neriba Cres</v>
      </c>
      <c r="AB569" s="8" t="str">
        <v>Omaha</v>
      </c>
      <c r="AC569" s="8" t="str">
        <v>NE</v>
      </c>
      <c r="AD569" s="8" t="str">
        <v>68127</v>
      </c>
    </row>
    <row r="570" spans="1:30">
      <c r="A570" s="8" t="s">
        <v>675</v>
      </c>
      <c r="B570" s="19">
        <v>41812</v>
      </c>
      <c r="C570" s="8" t="s">
        <v>36</v>
      </c>
      <c r="D570" s="8">
        <v>10015</v>
      </c>
      <c r="E570" s="8" t="str">
        <f>VLOOKUP($D570,'Customer Details'!$A$1:$F$17,4,FALSE)</f>
        <v>South Windsor</v>
      </c>
      <c r="F570" s="8" t="s">
        <v>45</v>
      </c>
      <c r="G570" s="8">
        <v>1</v>
      </c>
      <c r="H570" s="2" t="str">
        <f>VLOOKUP($D570,'Customer Details'!$A$1:$F$17,MATCH('Order SUmmary'!H$2,'Customer Details'!$A$1:$F$1,0),0)</f>
        <v>Punj Lloyd Ltd.</v>
      </c>
      <c r="I570" s="2" t="str">
        <f>VLOOKUP($D570,'Customer Details'!$A$1:$F$17,4,0)</f>
        <v>South Windsor</v>
      </c>
      <c r="J570" s="2" t="str">
        <f>VLOOKUP($D570,'Customer Details'!$A$1:$F$17,6,0)</f>
        <v>06074</v>
      </c>
      <c r="K570" s="8" t="str">
        <f>VLOOKUP(VLOOKUP(D570,'Customer Details'!$A$1:$F$17,5,0),'Region INfo'!$A$1:$C$52,3,0)</f>
        <v xml:space="preserve">Northern </v>
      </c>
      <c r="L570" s="8" t="str">
        <f>INDEX(Product_List,MATCH($F570,'Product List'!$B$1:$B$299,0),MATCH('Order SUmmary'!L$2,'Product List'!$A$1:$E$1,0))</f>
        <v>Avery 486</v>
      </c>
      <c r="M570" s="8">
        <f>INDEX(Product_List,MATCH($F570,'Product List'!$B$1:$B$299,0),MATCH('Order SUmmary'!M$2,'Product List'!$A$1:$E$1,0))</f>
        <v>4914</v>
      </c>
      <c r="N570" s="8">
        <f>INDEX(Product_List,MATCH($F570,'Product List'!$B$1:$B$299,0),MATCH('Order SUmmary'!N$2,'Product List'!$A$1:$E$1,0))</f>
        <v>1632</v>
      </c>
      <c r="O570" s="8" t="str">
        <f>INDEX(Product_List,MATCH($F570,'Product List'!$B$1:$B$299,0),MATCH('Order SUmmary'!O$2,'Product List'!$A$1:$E$1,0))</f>
        <v>Labels</v>
      </c>
      <c r="P570" s="12">
        <f>HLOOKUP(C570,'Commission Criteria'!$A$2:$I$4,3,FALSE)</f>
        <v>6</v>
      </c>
      <c r="Q570" s="8">
        <f t="shared" si="25"/>
        <v>1632</v>
      </c>
      <c r="R570" s="8">
        <f t="shared" si="26"/>
        <v>4914</v>
      </c>
      <c r="S570" s="36">
        <f>VLOOKUP(R570,'Commission Criteria'!$L$3:$M$11,2,TRUE)</f>
        <v>0.01</v>
      </c>
      <c r="T570" s="36">
        <f>IF(P570&lt;5,VLOOKUP(R570,'Commission Criteria'!$L$3:$M$11,2,1),VLOOKUP('Order SUmmary'!R570,'Commission Criteria'!$P$3:$Q$11,2,1))</f>
        <v>0.02</v>
      </c>
      <c r="U570" s="36">
        <f>VLOOKUP(R570,IF(P570&lt;5,'Commission Criteria'!$L$3:$M$11,'Commission Criteria'!$P$3:$Q$11),2,1)</f>
        <v>0.02</v>
      </c>
      <c r="V570" s="8" t="s">
        <v>40</v>
      </c>
      <c r="W570" s="36">
        <f t="shared" ca="1" si="27"/>
        <v>0.05</v>
      </c>
      <c r="X570" s="8" t="str">
        <f>_xlfn.XLOOKUP(F570,'Product List'!$B$1:$B$299,'Product List'!$A$1:$A$299)</f>
        <v>Avery 486</v>
      </c>
      <c r="Y570" s="8"/>
      <c r="Z570" s="8" t="str" cm="1">
        <f t="array" ref="Z570:AD570">_xlfn.XLOOKUP(D570,'Customer Details'!$A$1:$A$17,'Customer Details'!$B$1:$F$17,"No such customer",0,1)</f>
        <v>Punj Lloyd Ltd.</v>
      </c>
      <c r="AA570" s="8" t="str">
        <v>Box 3263</v>
      </c>
      <c r="AB570" s="8" t="str">
        <v>South Windsor</v>
      </c>
      <c r="AC570" s="8" t="str">
        <v>CT</v>
      </c>
      <c r="AD570" s="8" t="str">
        <v>06074</v>
      </c>
    </row>
    <row r="571" spans="1:30">
      <c r="A571" s="8" t="s">
        <v>676</v>
      </c>
      <c r="B571" s="19">
        <v>41816</v>
      </c>
      <c r="C571" s="8" t="s">
        <v>66</v>
      </c>
      <c r="D571" s="8">
        <v>10010</v>
      </c>
      <c r="E571" s="8" t="str">
        <f>VLOOKUP($D571,'Customer Details'!$A$1:$F$17,4,FALSE)</f>
        <v>Tracy</v>
      </c>
      <c r="F571" s="8" t="s">
        <v>269</v>
      </c>
      <c r="G571" s="8">
        <v>1</v>
      </c>
      <c r="H571" s="2" t="str">
        <f>VLOOKUP($D571,'Customer Details'!$A$1:$F$17,MATCH('Order SUmmary'!H$2,'Customer Details'!$A$1:$F$1,0),0)</f>
        <v>Suzlon Energy Ltd.</v>
      </c>
      <c r="I571" s="2" t="str">
        <f>VLOOKUP($D571,'Customer Details'!$A$1:$F$17,4,0)</f>
        <v>Tracy</v>
      </c>
      <c r="J571" s="2" t="str">
        <f>VLOOKUP($D571,'Customer Details'!$A$1:$F$17,6,0)</f>
        <v>95376</v>
      </c>
      <c r="K571" s="8" t="str">
        <f>VLOOKUP(VLOOKUP(D571,'Customer Details'!$A$1:$F$17,5,0),'Region INfo'!$A$1:$C$52,3,0)</f>
        <v xml:space="preserve">Pacific   </v>
      </c>
      <c r="L571" s="8" t="str">
        <f>INDEX(Product_List,MATCH($F571,'Product List'!$B$1:$B$299,0),MATCH('Order SUmmary'!L$2,'Product List'!$A$1:$E$1,0))</f>
        <v>Xerox 1975</v>
      </c>
      <c r="M571" s="8">
        <f>INDEX(Product_List,MATCH($F571,'Product List'!$B$1:$B$299,0),MATCH('Order SUmmary'!M$2,'Product List'!$A$1:$E$1,0))</f>
        <v>4484</v>
      </c>
      <c r="N571" s="8">
        <f>INDEX(Product_List,MATCH($F571,'Product List'!$B$1:$B$299,0),MATCH('Order SUmmary'!N$2,'Product List'!$A$1:$E$1,0))</f>
        <v>2146</v>
      </c>
      <c r="O571" s="8" t="str">
        <f>INDEX(Product_List,MATCH($F571,'Product List'!$B$1:$B$299,0),MATCH('Order SUmmary'!O$2,'Product List'!$A$1:$E$1,0))</f>
        <v>Paper</v>
      </c>
      <c r="P571" s="12">
        <f>HLOOKUP(C571,'Commission Criteria'!$A$2:$I$4,3,FALSE)</f>
        <v>5</v>
      </c>
      <c r="Q571" s="8">
        <f t="shared" si="25"/>
        <v>2146</v>
      </c>
      <c r="R571" s="8">
        <f t="shared" si="26"/>
        <v>4484</v>
      </c>
      <c r="S571" s="36">
        <f>VLOOKUP(R571,'Commission Criteria'!$L$3:$M$11,2,TRUE)</f>
        <v>0.01</v>
      </c>
      <c r="T571" s="36">
        <f>IF(P571&lt;5,VLOOKUP(R571,'Commission Criteria'!$L$3:$M$11,2,1),VLOOKUP('Order SUmmary'!R571,'Commission Criteria'!$P$3:$Q$11,2,1))</f>
        <v>0.02</v>
      </c>
      <c r="U571" s="36">
        <f>VLOOKUP(R571,IF(P571&lt;5,'Commission Criteria'!$L$3:$M$11,'Commission Criteria'!$P$3:$Q$11),2,1)</f>
        <v>0.02</v>
      </c>
      <c r="V571" s="8" t="s">
        <v>29</v>
      </c>
      <c r="W571" s="36">
        <f t="shared" ca="1" si="27"/>
        <v>0.04</v>
      </c>
      <c r="X571" s="8" t="str">
        <f>_xlfn.XLOOKUP(F571,'Product List'!$B$1:$B$299,'Product List'!$A$1:$A$299)</f>
        <v>Xerox 1975</v>
      </c>
      <c r="Y571" s="8"/>
      <c r="Z571" s="8" t="str" cm="1">
        <f t="array" ref="Z571:AD571">_xlfn.XLOOKUP(D571,'Customer Details'!$A$1:$A$17,'Customer Details'!$B$1:$F$17,"No such customer",0,1)</f>
        <v>Suzlon Energy Ltd.</v>
      </c>
      <c r="AA571" s="8" t="str">
        <v>501 Marsh Trail Circle</v>
      </c>
      <c r="AB571" s="8" t="str">
        <v>Tracy</v>
      </c>
      <c r="AC571" s="8" t="str">
        <v>CA</v>
      </c>
      <c r="AD571" s="8" t="str">
        <v>95376</v>
      </c>
    </row>
    <row r="572" spans="1:30">
      <c r="A572" s="8" t="s">
        <v>677</v>
      </c>
      <c r="B572" s="19">
        <v>41817</v>
      </c>
      <c r="C572" s="8" t="s">
        <v>46</v>
      </c>
      <c r="D572" s="8">
        <v>10008</v>
      </c>
      <c r="E572" s="8" t="str">
        <f>VLOOKUP($D572,'Customer Details'!$A$1:$F$17,4,FALSE)</f>
        <v>Chestnut Ridge</v>
      </c>
      <c r="F572" s="8" t="s">
        <v>377</v>
      </c>
      <c r="G572" s="8">
        <v>1</v>
      </c>
      <c r="H572" s="2" t="str">
        <f>VLOOKUP($D572,'Customer Details'!$A$1:$F$17,MATCH('Order SUmmary'!H$2,'Customer Details'!$A$1:$F$1,0),0)</f>
        <v>Reliance Industries Limited</v>
      </c>
      <c r="I572" s="2" t="str">
        <f>VLOOKUP($D572,'Customer Details'!$A$1:$F$17,4,0)</f>
        <v>Chestnut Ridge</v>
      </c>
      <c r="J572" s="2" t="str">
        <f>VLOOKUP($D572,'Customer Details'!$A$1:$F$17,6,0)</f>
        <v>10977</v>
      </c>
      <c r="K572" s="8" t="str">
        <f>VLOOKUP(VLOOKUP(D572,'Customer Details'!$A$1:$F$17,5,0),'Region INfo'!$A$1:$C$52,3,0)</f>
        <v xml:space="preserve">Northern </v>
      </c>
      <c r="L572" s="8" t="str">
        <f>INDEX(Product_List,MATCH($F572,'Product List'!$B$1:$B$299,0),MATCH('Order SUmmary'!L$2,'Product List'!$A$1:$E$1,0))</f>
        <v>Xerox 230</v>
      </c>
      <c r="M572" s="8">
        <f>INDEX(Product_List,MATCH($F572,'Product List'!$B$1:$B$299,0),MATCH('Order SUmmary'!M$2,'Product List'!$A$1:$E$1,0))</f>
        <v>4220</v>
      </c>
      <c r="N572" s="8">
        <f>INDEX(Product_List,MATCH($F572,'Product List'!$B$1:$B$299,0),MATCH('Order SUmmary'!N$2,'Product List'!$A$1:$E$1,0))</f>
        <v>1493</v>
      </c>
      <c r="O572" s="8" t="str">
        <f>INDEX(Product_List,MATCH($F572,'Product List'!$B$1:$B$299,0),MATCH('Order SUmmary'!O$2,'Product List'!$A$1:$E$1,0))</f>
        <v>Paper</v>
      </c>
      <c r="P572" s="12">
        <f>HLOOKUP(C572,'Commission Criteria'!$A$2:$I$4,3,FALSE)</f>
        <v>8</v>
      </c>
      <c r="Q572" s="8">
        <f t="shared" si="25"/>
        <v>1493</v>
      </c>
      <c r="R572" s="8">
        <f t="shared" si="26"/>
        <v>4220</v>
      </c>
      <c r="S572" s="36">
        <f>VLOOKUP(R572,'Commission Criteria'!$L$3:$M$11,2,TRUE)</f>
        <v>0.01</v>
      </c>
      <c r="T572" s="36">
        <f>IF(P572&lt;5,VLOOKUP(R572,'Commission Criteria'!$L$3:$M$11,2,1),VLOOKUP('Order SUmmary'!R572,'Commission Criteria'!$P$3:$Q$11,2,1))</f>
        <v>0.02</v>
      </c>
      <c r="U572" s="36">
        <f>VLOOKUP(R572,IF(P572&lt;5,'Commission Criteria'!$L$3:$M$11,'Commission Criteria'!$P$3:$Q$11),2,1)</f>
        <v>0.02</v>
      </c>
      <c r="V572" s="8" t="s">
        <v>35</v>
      </c>
      <c r="W572" s="36">
        <f t="shared" ca="1" si="27"/>
        <v>0</v>
      </c>
      <c r="X572" s="8" t="str">
        <f>_xlfn.XLOOKUP(F572,'Product List'!$B$1:$B$299,'Product List'!$A$1:$A$299)</f>
        <v>Xerox 230</v>
      </c>
      <c r="Y572" s="8"/>
      <c r="Z572" s="8" t="str" cm="1">
        <f t="array" ref="Z572:AD572">_xlfn.XLOOKUP(D572,'Customer Details'!$A$1:$A$17,'Customer Details'!$B$1:$F$17,"No such customer",0,1)</f>
        <v>Reliance Industries Limited</v>
      </c>
      <c r="AA572" s="8" t="str">
        <v>12020 Shamrock Rd., Suite 333</v>
      </c>
      <c r="AB572" s="8" t="str">
        <v>Chestnut Ridge</v>
      </c>
      <c r="AC572" s="8" t="str">
        <v>NY</v>
      </c>
      <c r="AD572" s="8" t="str">
        <v>10977</v>
      </c>
    </row>
    <row r="573" spans="1:30">
      <c r="A573" s="8" t="s">
        <v>678</v>
      </c>
      <c r="B573" s="19">
        <v>41818</v>
      </c>
      <c r="C573" s="8" t="s">
        <v>51</v>
      </c>
      <c r="D573" s="8">
        <v>10002</v>
      </c>
      <c r="E573" s="8" t="str">
        <f>VLOOKUP($D573,'Customer Details'!$A$1:$F$17,4,FALSE)</f>
        <v>Omaha</v>
      </c>
      <c r="F573" s="8" t="s">
        <v>537</v>
      </c>
      <c r="G573" s="8">
        <v>3</v>
      </c>
      <c r="H573" s="2" t="str">
        <f>VLOOKUP($D573,'Customer Details'!$A$1:$F$17,MATCH('Order SUmmary'!H$2,'Customer Details'!$A$1:$F$1,0),0)</f>
        <v>Elder Pharmaceuticals</v>
      </c>
      <c r="I573" s="2" t="str">
        <f>VLOOKUP($D573,'Customer Details'!$A$1:$F$17,4,0)</f>
        <v>Omaha</v>
      </c>
      <c r="J573" s="2" t="str">
        <f>VLOOKUP($D573,'Customer Details'!$A$1:$F$17,6,0)</f>
        <v>68127</v>
      </c>
      <c r="K573" s="8" t="str">
        <f>VLOOKUP(VLOOKUP(D573,'Customer Details'!$A$1:$F$17,5,0),'Region INfo'!$A$1:$C$52,3,0)</f>
        <v>Western</v>
      </c>
      <c r="L573" s="8" t="str">
        <f>INDEX(Product_List,MATCH($F573,'Product List'!$B$1:$B$299,0),MATCH('Order SUmmary'!L$2,'Product List'!$A$1:$E$1,0))</f>
        <v>Xerox 210</v>
      </c>
      <c r="M573" s="8">
        <f>INDEX(Product_List,MATCH($F573,'Product List'!$B$1:$B$299,0),MATCH('Order SUmmary'!M$2,'Product List'!$A$1:$E$1,0))</f>
        <v>4669</v>
      </c>
      <c r="N573" s="8">
        <f>INDEX(Product_List,MATCH($F573,'Product List'!$B$1:$B$299,0),MATCH('Order SUmmary'!N$2,'Product List'!$A$1:$E$1,0))</f>
        <v>2255</v>
      </c>
      <c r="O573" s="8" t="str">
        <f>INDEX(Product_List,MATCH($F573,'Product List'!$B$1:$B$299,0),MATCH('Order SUmmary'!O$2,'Product List'!$A$1:$E$1,0))</f>
        <v>Paper</v>
      </c>
      <c r="P573" s="12">
        <f>HLOOKUP(C573,'Commission Criteria'!$A$2:$I$4,3,FALSE)</f>
        <v>10</v>
      </c>
      <c r="Q573" s="8">
        <f t="shared" si="25"/>
        <v>6765</v>
      </c>
      <c r="R573" s="8">
        <f t="shared" si="26"/>
        <v>14007</v>
      </c>
      <c r="S573" s="36">
        <f>VLOOKUP(R573,'Commission Criteria'!$L$3:$M$11,2,TRUE)</f>
        <v>0.03</v>
      </c>
      <c r="T573" s="36">
        <f>IF(P573&lt;5,VLOOKUP(R573,'Commission Criteria'!$L$3:$M$11,2,1),VLOOKUP('Order SUmmary'!R573,'Commission Criteria'!$P$3:$Q$11,2,1))</f>
        <v>0.02</v>
      </c>
      <c r="U573" s="36">
        <f>VLOOKUP(R573,IF(P573&lt;5,'Commission Criteria'!$L$3:$M$11,'Commission Criteria'!$P$3:$Q$11),2,1)</f>
        <v>0.02</v>
      </c>
      <c r="V573" s="8" t="s">
        <v>50</v>
      </c>
      <c r="W573" s="36">
        <f t="shared" ca="1" si="27"/>
        <v>0.04</v>
      </c>
      <c r="X573" s="8" t="str">
        <f>_xlfn.XLOOKUP(F573,'Product List'!$B$1:$B$299,'Product List'!$A$1:$A$299)</f>
        <v>Xerox 210</v>
      </c>
      <c r="Y573" s="8"/>
      <c r="Z573" s="8" t="str" cm="1">
        <f t="array" ref="Z573:AD573">_xlfn.XLOOKUP(D573,'Customer Details'!$A$1:$A$17,'Customer Details'!$B$1:$F$17,"No such customer",0,1)</f>
        <v>Elder Pharmaceuticals</v>
      </c>
      <c r="AA573" s="8" t="str">
        <v>57 Neriba Cres</v>
      </c>
      <c r="AB573" s="8" t="str">
        <v>Omaha</v>
      </c>
      <c r="AC573" s="8" t="str">
        <v>NE</v>
      </c>
      <c r="AD573" s="8" t="str">
        <v>68127</v>
      </c>
    </row>
    <row r="574" spans="1:30">
      <c r="A574" s="8" t="s">
        <v>679</v>
      </c>
      <c r="B574" s="19">
        <v>41820</v>
      </c>
      <c r="C574" s="8" t="s">
        <v>36</v>
      </c>
      <c r="D574" s="8">
        <v>10006</v>
      </c>
      <c r="E574" s="8" t="str">
        <f>VLOOKUP($D574,'Customer Details'!$A$1:$F$17,4,FALSE)</f>
        <v>Midland</v>
      </c>
      <c r="F574" s="8" t="s">
        <v>298</v>
      </c>
      <c r="G574" s="8">
        <v>1</v>
      </c>
      <c r="H574" s="2" t="str">
        <f>VLOOKUP($D574,'Customer Details'!$A$1:$F$17,MATCH('Order SUmmary'!H$2,'Customer Details'!$A$1:$F$1,0),0)</f>
        <v>Supreme Ind</v>
      </c>
      <c r="I574" s="2" t="str">
        <f>VLOOKUP($D574,'Customer Details'!$A$1:$F$17,4,0)</f>
        <v>Midland</v>
      </c>
      <c r="J574" s="2" t="str">
        <f>VLOOKUP($D574,'Customer Details'!$A$1:$F$17,6,0)</f>
        <v>79706</v>
      </c>
      <c r="K574" s="8" t="str">
        <f>VLOOKUP(VLOOKUP(D574,'Customer Details'!$A$1:$F$17,5,0),'Region INfo'!$A$1:$C$52,3,0)</f>
        <v>Western</v>
      </c>
      <c r="L574" s="8" t="str">
        <f>INDEX(Product_List,MATCH($F574,'Product List'!$B$1:$B$299,0),MATCH('Order SUmmary'!L$2,'Product List'!$A$1:$E$1,0))</f>
        <v>Xerox 216</v>
      </c>
      <c r="M574" s="8">
        <f>INDEX(Product_List,MATCH($F574,'Product List'!$B$1:$B$299,0),MATCH('Order SUmmary'!M$2,'Product List'!$A$1:$E$1,0))</f>
        <v>4719</v>
      </c>
      <c r="N574" s="8">
        <f>INDEX(Product_List,MATCH($F574,'Product List'!$B$1:$B$299,0),MATCH('Order SUmmary'!N$2,'Product List'!$A$1:$E$1,0))</f>
        <v>2043</v>
      </c>
      <c r="O574" s="8" t="str">
        <f>INDEX(Product_List,MATCH($F574,'Product List'!$B$1:$B$299,0),MATCH('Order SUmmary'!O$2,'Product List'!$A$1:$E$1,0))</f>
        <v>Paper</v>
      </c>
      <c r="P574" s="12">
        <f>HLOOKUP(C574,'Commission Criteria'!$A$2:$I$4,3,FALSE)</f>
        <v>6</v>
      </c>
      <c r="Q574" s="8">
        <f t="shared" si="25"/>
        <v>2043</v>
      </c>
      <c r="R574" s="8">
        <f t="shared" si="26"/>
        <v>4719</v>
      </c>
      <c r="S574" s="36">
        <f>VLOOKUP(R574,'Commission Criteria'!$L$3:$M$11,2,TRUE)</f>
        <v>0.01</v>
      </c>
      <c r="T574" s="36">
        <f>IF(P574&lt;5,VLOOKUP(R574,'Commission Criteria'!$L$3:$M$11,2,1),VLOOKUP('Order SUmmary'!R574,'Commission Criteria'!$P$3:$Q$11,2,1))</f>
        <v>0.02</v>
      </c>
      <c r="U574" s="36">
        <f>VLOOKUP(R574,IF(P574&lt;5,'Commission Criteria'!$L$3:$M$11,'Commission Criteria'!$P$3:$Q$11),2,1)</f>
        <v>0.02</v>
      </c>
      <c r="V574" s="8" t="s">
        <v>43</v>
      </c>
      <c r="W574" s="36">
        <f t="shared" ca="1" si="27"/>
        <v>0.03</v>
      </c>
      <c r="X574" s="8" t="str">
        <f>_xlfn.XLOOKUP(F574,'Product List'!$B$1:$B$299,'Product List'!$A$1:$A$299)</f>
        <v>Xerox 216</v>
      </c>
      <c r="Y574" s="8"/>
      <c r="Z574" s="8" t="str" cm="1">
        <f t="array" ref="Z574:AD574">_xlfn.XLOOKUP(D574,'Customer Details'!$A$1:$A$17,'Customer Details'!$B$1:$F$17,"No such customer",0,1)</f>
        <v>Supreme Ind</v>
      </c>
      <c r="AA574" s="8" t="str">
        <v>P.O. Box 1367</v>
      </c>
      <c r="AB574" s="8" t="str">
        <v>Midland</v>
      </c>
      <c r="AC574" s="8" t="str">
        <v>TX</v>
      </c>
      <c r="AD574" s="8" t="str">
        <v>79706</v>
      </c>
    </row>
    <row r="575" spans="1:30">
      <c r="A575" s="8" t="s">
        <v>680</v>
      </c>
      <c r="B575" s="19">
        <v>41820</v>
      </c>
      <c r="C575" s="8" t="s">
        <v>44</v>
      </c>
      <c r="D575" s="8">
        <v>10010</v>
      </c>
      <c r="E575" s="8" t="str">
        <f>VLOOKUP($D575,'Customer Details'!$A$1:$F$17,4,FALSE)</f>
        <v>Tracy</v>
      </c>
      <c r="F575" s="8" t="s">
        <v>594</v>
      </c>
      <c r="G575" s="8">
        <v>2</v>
      </c>
      <c r="H575" s="2" t="str">
        <f>VLOOKUP($D575,'Customer Details'!$A$1:$F$17,MATCH('Order SUmmary'!H$2,'Customer Details'!$A$1:$F$1,0),0)</f>
        <v>Suzlon Energy Ltd.</v>
      </c>
      <c r="I575" s="2" t="str">
        <f>VLOOKUP($D575,'Customer Details'!$A$1:$F$17,4,0)</f>
        <v>Tracy</v>
      </c>
      <c r="J575" s="2" t="str">
        <f>VLOOKUP($D575,'Customer Details'!$A$1:$F$17,6,0)</f>
        <v>95376</v>
      </c>
      <c r="K575" s="8" t="str">
        <f>VLOOKUP(VLOOKUP(D575,'Customer Details'!$A$1:$F$17,5,0),'Region INfo'!$A$1:$C$52,3,0)</f>
        <v xml:space="preserve">Pacific   </v>
      </c>
      <c r="L575" s="8" t="str">
        <f>INDEX(Product_List,MATCH($F575,'Product List'!$B$1:$B$299,0),MATCH('Order SUmmary'!L$2,'Product List'!$A$1:$E$1,0))</f>
        <v>Xerox 217</v>
      </c>
      <c r="M575" s="8">
        <f>INDEX(Product_List,MATCH($F575,'Product List'!$B$1:$B$299,0),MATCH('Order SUmmary'!M$2,'Product List'!$A$1:$E$1,0))</f>
        <v>3574</v>
      </c>
      <c r="N575" s="8">
        <f>INDEX(Product_List,MATCH($F575,'Product List'!$B$1:$B$299,0),MATCH('Order SUmmary'!N$2,'Product List'!$A$1:$E$1,0))</f>
        <v>1747</v>
      </c>
      <c r="O575" s="8" t="str">
        <f>INDEX(Product_List,MATCH($F575,'Product List'!$B$1:$B$299,0),MATCH('Order SUmmary'!O$2,'Product List'!$A$1:$E$1,0))</f>
        <v>Paper</v>
      </c>
      <c r="P575" s="12">
        <f>HLOOKUP(C575,'Commission Criteria'!$A$2:$I$4,3,FALSE)</f>
        <v>4</v>
      </c>
      <c r="Q575" s="8">
        <f t="shared" si="25"/>
        <v>3494</v>
      </c>
      <c r="R575" s="8">
        <f t="shared" si="26"/>
        <v>7148</v>
      </c>
      <c r="S575" s="36">
        <f>VLOOKUP(R575,'Commission Criteria'!$L$3:$M$11,2,TRUE)</f>
        <v>0.03</v>
      </c>
      <c r="T575" s="36">
        <f>IF(P575&lt;5,VLOOKUP(R575,'Commission Criteria'!$L$3:$M$11,2,1),VLOOKUP('Order SUmmary'!R575,'Commission Criteria'!$P$3:$Q$11,2,1))</f>
        <v>0.03</v>
      </c>
      <c r="U575" s="36">
        <f>VLOOKUP(R575,IF(P575&lt;5,'Commission Criteria'!$L$3:$M$11,'Commission Criteria'!$P$3:$Q$11),2,1)</f>
        <v>0.03</v>
      </c>
      <c r="V575" s="8" t="s">
        <v>35</v>
      </c>
      <c r="W575" s="36">
        <f t="shared" ca="1" si="27"/>
        <v>0.04</v>
      </c>
      <c r="X575" s="8" t="str">
        <f>_xlfn.XLOOKUP(F575,'Product List'!$B$1:$B$299,'Product List'!$A$1:$A$299)</f>
        <v>Xerox 217</v>
      </c>
      <c r="Y575" s="8"/>
      <c r="Z575" s="8" t="str" cm="1">
        <f t="array" ref="Z575:AD575">_xlfn.XLOOKUP(D575,'Customer Details'!$A$1:$A$17,'Customer Details'!$B$1:$F$17,"No such customer",0,1)</f>
        <v>Suzlon Energy Ltd.</v>
      </c>
      <c r="AA575" s="8" t="str">
        <v>501 Marsh Trail Circle</v>
      </c>
      <c r="AB575" s="8" t="str">
        <v>Tracy</v>
      </c>
      <c r="AC575" s="8" t="str">
        <v>CA</v>
      </c>
      <c r="AD575" s="8" t="str">
        <v>95376</v>
      </c>
    </row>
    <row r="576" spans="1:30">
      <c r="A576" s="8" t="s">
        <v>680</v>
      </c>
      <c r="B576" s="19">
        <v>41820</v>
      </c>
      <c r="C576" s="8" t="s">
        <v>54</v>
      </c>
      <c r="D576" s="8">
        <v>10002</v>
      </c>
      <c r="E576" s="8" t="str">
        <f>VLOOKUP($D576,'Customer Details'!$A$1:$F$17,4,FALSE)</f>
        <v>Omaha</v>
      </c>
      <c r="F576" s="8" t="s">
        <v>394</v>
      </c>
      <c r="G576" s="8">
        <v>3</v>
      </c>
      <c r="H576" s="2" t="str">
        <f>VLOOKUP($D576,'Customer Details'!$A$1:$F$17,MATCH('Order SUmmary'!H$2,'Customer Details'!$A$1:$F$1,0),0)</f>
        <v>Elder Pharmaceuticals</v>
      </c>
      <c r="I576" s="2" t="str">
        <f>VLOOKUP($D576,'Customer Details'!$A$1:$F$17,4,0)</f>
        <v>Omaha</v>
      </c>
      <c r="J576" s="2" t="str">
        <f>VLOOKUP($D576,'Customer Details'!$A$1:$F$17,6,0)</f>
        <v>68127</v>
      </c>
      <c r="K576" s="8" t="str">
        <f>VLOOKUP(VLOOKUP(D576,'Customer Details'!$A$1:$F$17,5,0),'Region INfo'!$A$1:$C$52,3,0)</f>
        <v>Western</v>
      </c>
      <c r="L576" s="8" t="str">
        <f>INDEX(Product_List,MATCH($F576,'Product List'!$B$1:$B$299,0),MATCH('Order SUmmary'!L$2,'Product List'!$A$1:$E$1,0))</f>
        <v>GE 30524EE4</v>
      </c>
      <c r="M576" s="8">
        <f>INDEX(Product_List,MATCH($F576,'Product List'!$B$1:$B$299,0),MATCH('Order SUmmary'!M$2,'Product List'!$A$1:$E$1,0))</f>
        <v>2553</v>
      </c>
      <c r="N576" s="8">
        <f>INDEX(Product_List,MATCH($F576,'Product List'!$B$1:$B$299,0),MATCH('Order SUmmary'!N$2,'Product List'!$A$1:$E$1,0))</f>
        <v>1638</v>
      </c>
      <c r="O576" s="8" t="str">
        <f>INDEX(Product_List,MATCH($F576,'Product List'!$B$1:$B$299,0),MATCH('Order SUmmary'!O$2,'Product List'!$A$1:$E$1,0))</f>
        <v>Phones</v>
      </c>
      <c r="P576" s="12">
        <f>HLOOKUP(C576,'Commission Criteria'!$A$2:$I$4,3,FALSE)</f>
        <v>3</v>
      </c>
      <c r="Q576" s="8">
        <f t="shared" si="25"/>
        <v>4914</v>
      </c>
      <c r="R576" s="8">
        <f t="shared" si="26"/>
        <v>7659</v>
      </c>
      <c r="S576" s="36">
        <f>VLOOKUP(R576,'Commission Criteria'!$L$3:$M$11,2,TRUE)</f>
        <v>0.03</v>
      </c>
      <c r="T576" s="36">
        <f>IF(P576&lt;5,VLOOKUP(R576,'Commission Criteria'!$L$3:$M$11,2,1),VLOOKUP('Order SUmmary'!R576,'Commission Criteria'!$P$3:$Q$11,2,1))</f>
        <v>0.03</v>
      </c>
      <c r="U576" s="36">
        <f>VLOOKUP(R576,IF(P576&lt;5,'Commission Criteria'!$L$3:$M$11,'Commission Criteria'!$P$3:$Q$11),2,1)</f>
        <v>0.03</v>
      </c>
      <c r="V576" s="8" t="s">
        <v>32</v>
      </c>
      <c r="W576" s="36">
        <f t="shared" ca="1" si="27"/>
        <v>0</v>
      </c>
      <c r="X576" s="8" t="str">
        <f>_xlfn.XLOOKUP(F576,'Product List'!$B$1:$B$299,'Product List'!$A$1:$A$299)</f>
        <v>GE 30524EE4</v>
      </c>
      <c r="Y576" s="8"/>
      <c r="Z576" s="8" t="str" cm="1">
        <f t="array" ref="Z576:AD576">_xlfn.XLOOKUP(D576,'Customer Details'!$A$1:$A$17,'Customer Details'!$B$1:$F$17,"No such customer",0,1)</f>
        <v>Elder Pharmaceuticals</v>
      </c>
      <c r="AA576" s="8" t="str">
        <v>57 Neriba Cres</v>
      </c>
      <c r="AB576" s="8" t="str">
        <v>Omaha</v>
      </c>
      <c r="AC576" s="8" t="str">
        <v>NE</v>
      </c>
      <c r="AD576" s="8" t="str">
        <v>68127</v>
      </c>
    </row>
    <row r="577" spans="1:30">
      <c r="A577" s="8" t="s">
        <v>681</v>
      </c>
      <c r="B577" s="19">
        <v>41822</v>
      </c>
      <c r="C577" s="8" t="s">
        <v>46</v>
      </c>
      <c r="D577" s="8">
        <v>10011</v>
      </c>
      <c r="E577" s="8" t="str">
        <f>VLOOKUP($D577,'Customer Details'!$A$1:$F$17,4,FALSE)</f>
        <v>Olympia</v>
      </c>
      <c r="F577" s="8" t="s">
        <v>311</v>
      </c>
      <c r="G577" s="8">
        <v>1</v>
      </c>
      <c r="H577" s="2" t="str">
        <f>VLOOKUP($D577,'Customer Details'!$A$1:$F$17,MATCH('Order SUmmary'!H$2,'Customer Details'!$A$1:$F$1,0),0)</f>
        <v>Sonata Software</v>
      </c>
      <c r="I577" s="2" t="str">
        <f>VLOOKUP($D577,'Customer Details'!$A$1:$F$17,4,0)</f>
        <v>Olympia</v>
      </c>
      <c r="J577" s="2" t="str">
        <f>VLOOKUP($D577,'Customer Details'!$A$1:$F$17,6,0)</f>
        <v>98502</v>
      </c>
      <c r="K577" s="8" t="str">
        <f>VLOOKUP(VLOOKUP(D577,'Customer Details'!$A$1:$F$17,5,0),'Region INfo'!$A$1:$C$52,3,0)</f>
        <v xml:space="preserve">Pacific   </v>
      </c>
      <c r="L577" s="8" t="str">
        <f>INDEX(Product_List,MATCH($F577,'Product List'!$B$1:$B$299,0),MATCH('Order SUmmary'!L$2,'Product List'!$A$1:$E$1,0))</f>
        <v>Xerox 1923</v>
      </c>
      <c r="M577" s="8">
        <f>INDEX(Product_List,MATCH($F577,'Product List'!$B$1:$B$299,0),MATCH('Order SUmmary'!M$2,'Product List'!$A$1:$E$1,0))</f>
        <v>3039</v>
      </c>
      <c r="N577" s="8">
        <f>INDEX(Product_List,MATCH($F577,'Product List'!$B$1:$B$299,0),MATCH('Order SUmmary'!N$2,'Product List'!$A$1:$E$1,0))</f>
        <v>1730</v>
      </c>
      <c r="O577" s="8" t="str">
        <f>INDEX(Product_List,MATCH($F577,'Product List'!$B$1:$B$299,0),MATCH('Order SUmmary'!O$2,'Product List'!$A$1:$E$1,0))</f>
        <v>Paper</v>
      </c>
      <c r="P577" s="12">
        <f>HLOOKUP(C577,'Commission Criteria'!$A$2:$I$4,3,FALSE)</f>
        <v>8</v>
      </c>
      <c r="Q577" s="8">
        <f t="shared" si="25"/>
        <v>1730</v>
      </c>
      <c r="R577" s="8">
        <f t="shared" si="26"/>
        <v>3039</v>
      </c>
      <c r="S577" s="36">
        <f>VLOOKUP(R577,'Commission Criteria'!$L$3:$M$11,2,TRUE)</f>
        <v>0.01</v>
      </c>
      <c r="T577" s="36">
        <f>IF(P577&lt;5,VLOOKUP(R577,'Commission Criteria'!$L$3:$M$11,2,1),VLOOKUP('Order SUmmary'!R577,'Commission Criteria'!$P$3:$Q$11,2,1))</f>
        <v>0.02</v>
      </c>
      <c r="U577" s="36">
        <f>VLOOKUP(R577,IF(P577&lt;5,'Commission Criteria'!$L$3:$M$11,'Commission Criteria'!$P$3:$Q$11),2,1)</f>
        <v>0.02</v>
      </c>
      <c r="V577" s="8" t="s">
        <v>35</v>
      </c>
      <c r="W577" s="36">
        <f t="shared" ca="1" si="27"/>
        <v>0</v>
      </c>
      <c r="X577" s="8" t="str">
        <f>_xlfn.XLOOKUP(F577,'Product List'!$B$1:$B$299,'Product List'!$A$1:$A$299)</f>
        <v>Xerox 1923</v>
      </c>
      <c r="Y577" s="8"/>
      <c r="Z577" s="8" t="str" cm="1">
        <f t="array" ref="Z577:AD577">_xlfn.XLOOKUP(D577,'Customer Details'!$A$1:$A$17,'Customer Details'!$B$1:$F$17,"No such customer",0,1)</f>
        <v>Sonata Software</v>
      </c>
      <c r="AA577" s="8" t="str">
        <v>1331 Kimberly Dr.</v>
      </c>
      <c r="AB577" s="8" t="str">
        <v>Olympia</v>
      </c>
      <c r="AC577" s="8" t="str">
        <v>WA</v>
      </c>
      <c r="AD577" s="8" t="str">
        <v>98502</v>
      </c>
    </row>
    <row r="578" spans="1:30">
      <c r="A578" s="8" t="s">
        <v>682</v>
      </c>
      <c r="B578" s="19">
        <v>41825</v>
      </c>
      <c r="C578" s="8" t="s">
        <v>51</v>
      </c>
      <c r="D578" s="8">
        <v>10012</v>
      </c>
      <c r="E578" s="8" t="str">
        <f>VLOOKUP($D578,'Customer Details'!$A$1:$F$17,4,FALSE)</f>
        <v>Santa Barbara</v>
      </c>
      <c r="F578" s="8" t="s">
        <v>446</v>
      </c>
      <c r="G578" s="8">
        <v>1</v>
      </c>
      <c r="H578" s="2" t="str">
        <f>VLOOKUP($D578,'Customer Details'!$A$1:$F$17,MATCH('Order SUmmary'!H$2,'Customer Details'!$A$1:$F$1,0),0)</f>
        <v>Dynamatic Technologies Ltd.</v>
      </c>
      <c r="I578" s="2" t="str">
        <f>VLOOKUP($D578,'Customer Details'!$A$1:$F$17,4,0)</f>
        <v>Santa Barbara</v>
      </c>
      <c r="J578" s="2" t="str">
        <f>VLOOKUP($D578,'Customer Details'!$A$1:$F$17,6,0)</f>
        <v>93110</v>
      </c>
      <c r="K578" s="8" t="str">
        <f>VLOOKUP(VLOOKUP(D578,'Customer Details'!$A$1:$F$17,5,0),'Region INfo'!$A$1:$C$52,3,0)</f>
        <v xml:space="preserve">Pacific   </v>
      </c>
      <c r="L578" s="8" t="str">
        <f>INDEX(Product_List,MATCH($F578,'Product List'!$B$1:$B$299,0),MATCH('Order SUmmary'!L$2,'Product List'!$A$1:$E$1,0))</f>
        <v>Xerox 1956</v>
      </c>
      <c r="M578" s="8">
        <f>INDEX(Product_List,MATCH($F578,'Product List'!$B$1:$B$299,0),MATCH('Order SUmmary'!M$2,'Product List'!$A$1:$E$1,0))</f>
        <v>2659</v>
      </c>
      <c r="N578" s="8">
        <f>INDEX(Product_List,MATCH($F578,'Product List'!$B$1:$B$299,0),MATCH('Order SUmmary'!N$2,'Product List'!$A$1:$E$1,0))</f>
        <v>2415</v>
      </c>
      <c r="O578" s="8" t="str">
        <f>INDEX(Product_List,MATCH($F578,'Product List'!$B$1:$B$299,0),MATCH('Order SUmmary'!O$2,'Product List'!$A$1:$E$1,0))</f>
        <v>Paper</v>
      </c>
      <c r="P578" s="12">
        <f>HLOOKUP(C578,'Commission Criteria'!$A$2:$I$4,3,FALSE)</f>
        <v>10</v>
      </c>
      <c r="Q578" s="8">
        <f t="shared" si="25"/>
        <v>2415</v>
      </c>
      <c r="R578" s="8">
        <f t="shared" si="26"/>
        <v>2659</v>
      </c>
      <c r="S578" s="36">
        <f>VLOOKUP(R578,'Commission Criteria'!$L$3:$M$11,2,TRUE)</f>
        <v>0.01</v>
      </c>
      <c r="T578" s="36">
        <f>IF(P578&lt;5,VLOOKUP(R578,'Commission Criteria'!$L$3:$M$11,2,1),VLOOKUP('Order SUmmary'!R578,'Commission Criteria'!$P$3:$Q$11,2,1))</f>
        <v>0.02</v>
      </c>
      <c r="U578" s="36">
        <f>VLOOKUP(R578,IF(P578&lt;5,'Commission Criteria'!$L$3:$M$11,'Commission Criteria'!$P$3:$Q$11),2,1)</f>
        <v>0.02</v>
      </c>
      <c r="V578" s="8" t="s">
        <v>29</v>
      </c>
      <c r="W578" s="36">
        <f t="shared" ca="1" si="27"/>
        <v>0.05</v>
      </c>
      <c r="X578" s="8" t="str">
        <f>_xlfn.XLOOKUP(F578,'Product List'!$B$1:$B$299,'Product List'!$A$1:$A$299)</f>
        <v>Xerox 1956</v>
      </c>
      <c r="Y578" s="8"/>
      <c r="Z578" s="8" t="str" cm="1">
        <f t="array" ref="Z578:AD578">_xlfn.XLOOKUP(D578,'Customer Details'!$A$1:$A$17,'Customer Details'!$B$1:$F$17,"No such customer",0,1)</f>
        <v>Dynamatic Technologies Ltd.</v>
      </c>
      <c r="AA578" s="8" t="str">
        <v>402 Pinkster Lane</v>
      </c>
      <c r="AB578" s="8" t="str">
        <v>Santa Barbara</v>
      </c>
      <c r="AC578" s="8" t="str">
        <v>CA</v>
      </c>
      <c r="AD578" s="8" t="str">
        <v>93110</v>
      </c>
    </row>
    <row r="579" spans="1:30">
      <c r="A579" s="8" t="s">
        <v>682</v>
      </c>
      <c r="B579" s="19">
        <v>41825</v>
      </c>
      <c r="C579" s="8" t="s">
        <v>51</v>
      </c>
      <c r="D579" s="8">
        <v>10010</v>
      </c>
      <c r="E579" s="8" t="str">
        <f>VLOOKUP($D579,'Customer Details'!$A$1:$F$17,4,FALSE)</f>
        <v>Tracy</v>
      </c>
      <c r="F579" s="8" t="s">
        <v>408</v>
      </c>
      <c r="G579" s="8">
        <v>3</v>
      </c>
      <c r="H579" s="2" t="str">
        <f>VLOOKUP($D579,'Customer Details'!$A$1:$F$17,MATCH('Order SUmmary'!H$2,'Customer Details'!$A$1:$F$1,0),0)</f>
        <v>Suzlon Energy Ltd.</v>
      </c>
      <c r="I579" s="2" t="str">
        <f>VLOOKUP($D579,'Customer Details'!$A$1:$F$17,4,0)</f>
        <v>Tracy</v>
      </c>
      <c r="J579" s="2" t="str">
        <f>VLOOKUP($D579,'Customer Details'!$A$1:$F$17,6,0)</f>
        <v>95376</v>
      </c>
      <c r="K579" s="8" t="str">
        <f>VLOOKUP(VLOOKUP(D579,'Customer Details'!$A$1:$F$17,5,0),'Region INfo'!$A$1:$C$52,3,0)</f>
        <v xml:space="preserve">Pacific   </v>
      </c>
      <c r="L579" s="8" t="str">
        <f>INDEX(Product_List,MATCH($F579,'Product List'!$B$1:$B$299,0),MATCH('Order SUmmary'!L$2,'Product List'!$A$1:$E$1,0))</f>
        <v>Xerox 1955</v>
      </c>
      <c r="M579" s="8">
        <f>INDEX(Product_List,MATCH($F579,'Product List'!$B$1:$B$299,0),MATCH('Order SUmmary'!M$2,'Product List'!$A$1:$E$1,0))</f>
        <v>2580</v>
      </c>
      <c r="N579" s="8">
        <f>INDEX(Product_List,MATCH($F579,'Product List'!$B$1:$B$299,0),MATCH('Order SUmmary'!N$2,'Product List'!$A$1:$E$1,0))</f>
        <v>1518</v>
      </c>
      <c r="O579" s="8" t="str">
        <f>INDEX(Product_List,MATCH($F579,'Product List'!$B$1:$B$299,0),MATCH('Order SUmmary'!O$2,'Product List'!$A$1:$E$1,0))</f>
        <v>Paper</v>
      </c>
      <c r="P579" s="12">
        <f>HLOOKUP(C579,'Commission Criteria'!$A$2:$I$4,3,FALSE)</f>
        <v>10</v>
      </c>
      <c r="Q579" s="8">
        <f t="shared" si="25"/>
        <v>4554</v>
      </c>
      <c r="R579" s="8">
        <f t="shared" si="26"/>
        <v>7740</v>
      </c>
      <c r="S579" s="36">
        <f>VLOOKUP(R579,'Commission Criteria'!$L$3:$M$11,2,TRUE)</f>
        <v>0.03</v>
      </c>
      <c r="T579" s="36">
        <f>IF(P579&lt;5,VLOOKUP(R579,'Commission Criteria'!$L$3:$M$11,2,1),VLOOKUP('Order SUmmary'!R579,'Commission Criteria'!$P$3:$Q$11,2,1))</f>
        <v>0.02</v>
      </c>
      <c r="U579" s="36">
        <f>VLOOKUP(R579,IF(P579&lt;5,'Commission Criteria'!$L$3:$M$11,'Commission Criteria'!$P$3:$Q$11),2,1)</f>
        <v>0.02</v>
      </c>
      <c r="V579" s="8" t="s">
        <v>40</v>
      </c>
      <c r="W579" s="36">
        <f t="shared" ca="1" si="27"/>
        <v>0.01</v>
      </c>
      <c r="X579" s="8" t="str">
        <f>_xlfn.XLOOKUP(F579,'Product List'!$B$1:$B$299,'Product List'!$A$1:$A$299)</f>
        <v>Xerox 1955</v>
      </c>
      <c r="Y579" s="8"/>
      <c r="Z579" s="8" t="str" cm="1">
        <f t="array" ref="Z579:AD579">_xlfn.XLOOKUP(D579,'Customer Details'!$A$1:$A$17,'Customer Details'!$B$1:$F$17,"No such customer",0,1)</f>
        <v>Suzlon Energy Ltd.</v>
      </c>
      <c r="AA579" s="8" t="str">
        <v>501 Marsh Trail Circle</v>
      </c>
      <c r="AB579" s="8" t="str">
        <v>Tracy</v>
      </c>
      <c r="AC579" s="8" t="str">
        <v>CA</v>
      </c>
      <c r="AD579" s="8" t="str">
        <v>95376</v>
      </c>
    </row>
    <row r="580" spans="1:30">
      <c r="A580" s="8" t="s">
        <v>683</v>
      </c>
      <c r="B580" s="19">
        <v>41827</v>
      </c>
      <c r="C580" s="8" t="s">
        <v>33</v>
      </c>
      <c r="D580" s="8">
        <v>10014</v>
      </c>
      <c r="E580" s="8" t="str">
        <f>VLOOKUP($D580,'Customer Details'!$A$1:$F$17,4,FALSE)</f>
        <v>Honolulu</v>
      </c>
      <c r="F580" s="8" t="s">
        <v>277</v>
      </c>
      <c r="G580" s="8">
        <v>1</v>
      </c>
      <c r="H580" s="2" t="str">
        <f>VLOOKUP($D580,'Customer Details'!$A$1:$F$17,MATCH('Order SUmmary'!H$2,'Customer Details'!$A$1:$F$1,0),0)</f>
        <v>Hindusthan National Glass &amp; Industries Ltd.</v>
      </c>
      <c r="I580" s="2" t="str">
        <f>VLOOKUP($D580,'Customer Details'!$A$1:$F$17,4,0)</f>
        <v>Honolulu</v>
      </c>
      <c r="J580" s="2" t="str">
        <f>VLOOKUP($D580,'Customer Details'!$A$1:$F$17,6,0)</f>
        <v>96825</v>
      </c>
      <c r="K580" s="8" t="str">
        <f>VLOOKUP(VLOOKUP(D580,'Customer Details'!$A$1:$F$17,5,0),'Region INfo'!$A$1:$C$52,3,0)</f>
        <v xml:space="preserve">Pacific   </v>
      </c>
      <c r="L580" s="8" t="str">
        <f>INDEX(Product_List,MATCH($F580,'Product List'!$B$1:$B$299,0),MATCH('Order SUmmary'!L$2,'Product List'!$A$1:$E$1,0))</f>
        <v>Xerox 1946</v>
      </c>
      <c r="M580" s="8">
        <f>INDEX(Product_List,MATCH($F580,'Product List'!$B$1:$B$299,0),MATCH('Order SUmmary'!M$2,'Product List'!$A$1:$E$1,0))</f>
        <v>2576</v>
      </c>
      <c r="N580" s="8">
        <f>INDEX(Product_List,MATCH($F580,'Product List'!$B$1:$B$299,0),MATCH('Order SUmmary'!N$2,'Product List'!$A$1:$E$1,0))</f>
        <v>1826</v>
      </c>
      <c r="O580" s="8" t="str">
        <f>INDEX(Product_List,MATCH($F580,'Product List'!$B$1:$B$299,0),MATCH('Order SUmmary'!O$2,'Product List'!$A$1:$E$1,0))</f>
        <v>Paper</v>
      </c>
      <c r="P580" s="12">
        <f>HLOOKUP(C580,'Commission Criteria'!$A$2:$I$4,3,FALSE)</f>
        <v>1</v>
      </c>
      <c r="Q580" s="8">
        <f t="shared" ref="Q580:Q643" si="28">N580*G580</f>
        <v>1826</v>
      </c>
      <c r="R580" s="8">
        <f t="shared" ref="R580:R643" si="29">M580*G580</f>
        <v>2576</v>
      </c>
      <c r="S580" s="36">
        <f>VLOOKUP(R580,'Commission Criteria'!$L$3:$M$11,2,TRUE)</f>
        <v>0.01</v>
      </c>
      <c r="T580" s="36">
        <f>IF(P580&lt;5,VLOOKUP(R580,'Commission Criteria'!$L$3:$M$11,2,1),VLOOKUP('Order SUmmary'!R580,'Commission Criteria'!$P$3:$Q$11,2,1))</f>
        <v>0.01</v>
      </c>
      <c r="U580" s="36">
        <f>VLOOKUP(R580,IF(P580&lt;5,'Commission Criteria'!$L$3:$M$11,'Commission Criteria'!$P$3:$Q$11),2,1)</f>
        <v>0.01</v>
      </c>
      <c r="V580" s="8" t="s">
        <v>32</v>
      </c>
      <c r="W580" s="36">
        <f t="shared" ref="W580:W643" ca="1" si="30">VLOOKUP(F580,INDIRECT(V580&amp;"!$A$1:$B$296"),2,0)</f>
        <v>0.02</v>
      </c>
      <c r="X580" s="8" t="str">
        <f>_xlfn.XLOOKUP(F580,'Product List'!$B$1:$B$299,'Product List'!$A$1:$A$299)</f>
        <v>Xerox 1946</v>
      </c>
      <c r="Y580" s="8"/>
      <c r="Z580" s="8" t="str" cm="1">
        <f t="array" ref="Z580:AD580">_xlfn.XLOOKUP(D580,'Customer Details'!$A$1:$A$17,'Customer Details'!$B$1:$F$17,"No such customer",0,1)</f>
        <v>Hindusthan National Glass &amp; Industries Ltd.</v>
      </c>
      <c r="AA580" s="8" t="str">
        <v>11 Cathy St.</v>
      </c>
      <c r="AB580" s="8" t="str">
        <v>Honolulu</v>
      </c>
      <c r="AC580" s="8" t="str">
        <v>HI</v>
      </c>
      <c r="AD580" s="8" t="str">
        <v>96825</v>
      </c>
    </row>
    <row r="581" spans="1:30">
      <c r="A581" s="8" t="s">
        <v>683</v>
      </c>
      <c r="B581" s="19">
        <v>41827</v>
      </c>
      <c r="C581" s="8" t="s">
        <v>51</v>
      </c>
      <c r="D581" s="8">
        <v>10008</v>
      </c>
      <c r="E581" s="8" t="str">
        <f>VLOOKUP($D581,'Customer Details'!$A$1:$F$17,4,FALSE)</f>
        <v>Chestnut Ridge</v>
      </c>
      <c r="F581" s="8" t="s">
        <v>238</v>
      </c>
      <c r="G581" s="8">
        <v>1</v>
      </c>
      <c r="H581" s="2" t="str">
        <f>VLOOKUP($D581,'Customer Details'!$A$1:$F$17,MATCH('Order SUmmary'!H$2,'Customer Details'!$A$1:$F$1,0),0)</f>
        <v>Reliance Industries Limited</v>
      </c>
      <c r="I581" s="2" t="str">
        <f>VLOOKUP($D581,'Customer Details'!$A$1:$F$17,4,0)</f>
        <v>Chestnut Ridge</v>
      </c>
      <c r="J581" s="2" t="str">
        <f>VLOOKUP($D581,'Customer Details'!$A$1:$F$17,6,0)</f>
        <v>10977</v>
      </c>
      <c r="K581" s="8" t="str">
        <f>VLOOKUP(VLOOKUP(D581,'Customer Details'!$A$1:$F$17,5,0),'Region INfo'!$A$1:$C$52,3,0)</f>
        <v xml:space="preserve">Northern </v>
      </c>
      <c r="L581" s="8" t="str">
        <f>INDEX(Product_List,MATCH($F581,'Product List'!$B$1:$B$299,0),MATCH('Order SUmmary'!L$2,'Product List'!$A$1:$E$1,0))</f>
        <v>Xerox 202</v>
      </c>
      <c r="M581" s="8">
        <f>INDEX(Product_List,MATCH($F581,'Product List'!$B$1:$B$299,0),MATCH('Order SUmmary'!M$2,'Product List'!$A$1:$E$1,0))</f>
        <v>4262</v>
      </c>
      <c r="N581" s="8">
        <f>INDEX(Product_List,MATCH($F581,'Product List'!$B$1:$B$299,0),MATCH('Order SUmmary'!N$2,'Product List'!$A$1:$E$1,0))</f>
        <v>2486</v>
      </c>
      <c r="O581" s="8" t="str">
        <f>INDEX(Product_List,MATCH($F581,'Product List'!$B$1:$B$299,0),MATCH('Order SUmmary'!O$2,'Product List'!$A$1:$E$1,0))</f>
        <v>Paper</v>
      </c>
      <c r="P581" s="12">
        <f>HLOOKUP(C581,'Commission Criteria'!$A$2:$I$4,3,FALSE)</f>
        <v>10</v>
      </c>
      <c r="Q581" s="8">
        <f t="shared" si="28"/>
        <v>2486</v>
      </c>
      <c r="R581" s="8">
        <f t="shared" si="29"/>
        <v>4262</v>
      </c>
      <c r="S581" s="36">
        <f>VLOOKUP(R581,'Commission Criteria'!$L$3:$M$11,2,TRUE)</f>
        <v>0.01</v>
      </c>
      <c r="T581" s="36">
        <f>IF(P581&lt;5,VLOOKUP(R581,'Commission Criteria'!$L$3:$M$11,2,1),VLOOKUP('Order SUmmary'!R581,'Commission Criteria'!$P$3:$Q$11,2,1))</f>
        <v>0.02</v>
      </c>
      <c r="U581" s="36">
        <f>VLOOKUP(R581,IF(P581&lt;5,'Commission Criteria'!$L$3:$M$11,'Commission Criteria'!$P$3:$Q$11),2,1)</f>
        <v>0.02</v>
      </c>
      <c r="V581" s="8" t="s">
        <v>29</v>
      </c>
      <c r="W581" s="36">
        <f t="shared" ca="1" si="30"/>
        <v>0.02</v>
      </c>
      <c r="X581" s="8" t="str">
        <f>_xlfn.XLOOKUP(F581,'Product List'!$B$1:$B$299,'Product List'!$A$1:$A$299)</f>
        <v>Xerox 202</v>
      </c>
      <c r="Y581" s="8"/>
      <c r="Z581" s="8" t="str" cm="1">
        <f t="array" ref="Z581:AD581">_xlfn.XLOOKUP(D581,'Customer Details'!$A$1:$A$17,'Customer Details'!$B$1:$F$17,"No such customer",0,1)</f>
        <v>Reliance Industries Limited</v>
      </c>
      <c r="AA581" s="8" t="str">
        <v>12020 Shamrock Rd., Suite 333</v>
      </c>
      <c r="AB581" s="8" t="str">
        <v>Chestnut Ridge</v>
      </c>
      <c r="AC581" s="8" t="str">
        <v>NY</v>
      </c>
      <c r="AD581" s="8" t="str">
        <v>10977</v>
      </c>
    </row>
    <row r="582" spans="1:30">
      <c r="A582" s="8" t="s">
        <v>683</v>
      </c>
      <c r="B582" s="19">
        <v>41827</v>
      </c>
      <c r="C582" s="8" t="s">
        <v>54</v>
      </c>
      <c r="D582" s="8">
        <v>10005</v>
      </c>
      <c r="E582" s="8" t="str">
        <f>VLOOKUP($D582,'Customer Details'!$A$1:$F$17,4,FALSE)</f>
        <v>Goleta</v>
      </c>
      <c r="F582" s="8" t="s">
        <v>684</v>
      </c>
      <c r="G582" s="8">
        <v>2</v>
      </c>
      <c r="H582" s="2" t="str">
        <f>VLOOKUP($D582,'Customer Details'!$A$1:$F$17,MATCH('Order SUmmary'!H$2,'Customer Details'!$A$1:$F$1,0),0)</f>
        <v>Fortis Healthcare Ltd.</v>
      </c>
      <c r="I582" s="2" t="str">
        <f>VLOOKUP($D582,'Customer Details'!$A$1:$F$17,4,0)</f>
        <v>Goleta</v>
      </c>
      <c r="J582" s="2" t="str">
        <f>VLOOKUP($D582,'Customer Details'!$A$1:$F$17,6,0)</f>
        <v>93117</v>
      </c>
      <c r="K582" s="8" t="str">
        <f>VLOOKUP(VLOOKUP(D582,'Customer Details'!$A$1:$F$17,5,0),'Region INfo'!$A$1:$C$52,3,0)</f>
        <v xml:space="preserve">Pacific   </v>
      </c>
      <c r="L582" s="8" t="str">
        <f>INDEX(Product_List,MATCH($F582,'Product List'!$B$1:$B$299,0),MATCH('Order SUmmary'!L$2,'Product List'!$A$1:$E$1,0))</f>
        <v>Xerox 1988</v>
      </c>
      <c r="M582" s="8">
        <f>INDEX(Product_List,MATCH($F582,'Product List'!$B$1:$B$299,0),MATCH('Order SUmmary'!M$2,'Product List'!$A$1:$E$1,0))</f>
        <v>4110</v>
      </c>
      <c r="N582" s="8">
        <f>INDEX(Product_List,MATCH($F582,'Product List'!$B$1:$B$299,0),MATCH('Order SUmmary'!N$2,'Product List'!$A$1:$E$1,0))</f>
        <v>1788</v>
      </c>
      <c r="O582" s="8" t="str">
        <f>INDEX(Product_List,MATCH($F582,'Product List'!$B$1:$B$299,0),MATCH('Order SUmmary'!O$2,'Product List'!$A$1:$E$1,0))</f>
        <v>Paper</v>
      </c>
      <c r="P582" s="12">
        <f>HLOOKUP(C582,'Commission Criteria'!$A$2:$I$4,3,FALSE)</f>
        <v>3</v>
      </c>
      <c r="Q582" s="8">
        <f t="shared" si="28"/>
        <v>3576</v>
      </c>
      <c r="R582" s="8">
        <f t="shared" si="29"/>
        <v>8220</v>
      </c>
      <c r="S582" s="36">
        <f>VLOOKUP(R582,'Commission Criteria'!$L$3:$M$11,2,TRUE)</f>
        <v>0.03</v>
      </c>
      <c r="T582" s="36">
        <f>IF(P582&lt;5,VLOOKUP(R582,'Commission Criteria'!$L$3:$M$11,2,1),VLOOKUP('Order SUmmary'!R582,'Commission Criteria'!$P$3:$Q$11,2,1))</f>
        <v>0.03</v>
      </c>
      <c r="U582" s="36">
        <f>VLOOKUP(R582,IF(P582&lt;5,'Commission Criteria'!$L$3:$M$11,'Commission Criteria'!$P$3:$Q$11),2,1)</f>
        <v>0.03</v>
      </c>
      <c r="V582" s="8" t="s">
        <v>40</v>
      </c>
      <c r="W582" s="36">
        <f t="shared" ca="1" si="30"/>
        <v>0.03</v>
      </c>
      <c r="X582" s="8" t="str">
        <f>_xlfn.XLOOKUP(F582,'Product List'!$B$1:$B$299,'Product List'!$A$1:$A$299)</f>
        <v>Xerox 1988</v>
      </c>
      <c r="Y582" s="8"/>
      <c r="Z582" s="8" t="str" cm="1">
        <f t="array" ref="Z582:AD582">_xlfn.XLOOKUP(D582,'Customer Details'!$A$1:$A$17,'Customer Details'!$B$1:$F$17,"No such customer",0,1)</f>
        <v>Fortis Healthcare Ltd.</v>
      </c>
      <c r="AA582" s="8" t="str">
        <v>14 Elsworthy Terrace</v>
      </c>
      <c r="AB582" s="8" t="str">
        <v>Goleta</v>
      </c>
      <c r="AC582" s="8" t="str">
        <v>CA</v>
      </c>
      <c r="AD582" s="8" t="str">
        <v>93117</v>
      </c>
    </row>
    <row r="583" spans="1:30">
      <c r="A583" s="8" t="s">
        <v>685</v>
      </c>
      <c r="B583" s="19">
        <v>41828</v>
      </c>
      <c r="C583" s="8" t="s">
        <v>33</v>
      </c>
      <c r="D583" s="8">
        <v>10010</v>
      </c>
      <c r="E583" s="8" t="str">
        <f>VLOOKUP($D583,'Customer Details'!$A$1:$F$17,4,FALSE)</f>
        <v>Tracy</v>
      </c>
      <c r="F583" s="8" t="s">
        <v>485</v>
      </c>
      <c r="G583" s="8">
        <v>2</v>
      </c>
      <c r="H583" s="2" t="str">
        <f>VLOOKUP($D583,'Customer Details'!$A$1:$F$17,MATCH('Order SUmmary'!H$2,'Customer Details'!$A$1:$F$1,0),0)</f>
        <v>Suzlon Energy Ltd.</v>
      </c>
      <c r="I583" s="2" t="str">
        <f>VLOOKUP($D583,'Customer Details'!$A$1:$F$17,4,0)</f>
        <v>Tracy</v>
      </c>
      <c r="J583" s="2" t="str">
        <f>VLOOKUP($D583,'Customer Details'!$A$1:$F$17,6,0)</f>
        <v>95376</v>
      </c>
      <c r="K583" s="8" t="str">
        <f>VLOOKUP(VLOOKUP(D583,'Customer Details'!$A$1:$F$17,5,0),'Region INfo'!$A$1:$C$52,3,0)</f>
        <v xml:space="preserve">Pacific   </v>
      </c>
      <c r="L583" s="8" t="str">
        <f>INDEX(Product_List,MATCH($F583,'Product List'!$B$1:$B$299,0),MATCH('Order SUmmary'!L$2,'Product List'!$A$1:$E$1,0))</f>
        <v>Xerox 1967</v>
      </c>
      <c r="M583" s="8">
        <f>INDEX(Product_List,MATCH($F583,'Product List'!$B$1:$B$299,0),MATCH('Order SUmmary'!M$2,'Product List'!$A$1:$E$1,0))</f>
        <v>2552</v>
      </c>
      <c r="N583" s="8">
        <f>INDEX(Product_List,MATCH($F583,'Product List'!$B$1:$B$299,0),MATCH('Order SUmmary'!N$2,'Product List'!$A$1:$E$1,0))</f>
        <v>1905</v>
      </c>
      <c r="O583" s="8" t="str">
        <f>INDEX(Product_List,MATCH($F583,'Product List'!$B$1:$B$299,0),MATCH('Order SUmmary'!O$2,'Product List'!$A$1:$E$1,0))</f>
        <v>Paper</v>
      </c>
      <c r="P583" s="12">
        <f>HLOOKUP(C583,'Commission Criteria'!$A$2:$I$4,3,FALSE)</f>
        <v>1</v>
      </c>
      <c r="Q583" s="8">
        <f t="shared" si="28"/>
        <v>3810</v>
      </c>
      <c r="R583" s="8">
        <f t="shared" si="29"/>
        <v>5104</v>
      </c>
      <c r="S583" s="36">
        <f>VLOOKUP(R583,'Commission Criteria'!$L$3:$M$11,2,TRUE)</f>
        <v>0.03</v>
      </c>
      <c r="T583" s="36">
        <f>IF(P583&lt;5,VLOOKUP(R583,'Commission Criteria'!$L$3:$M$11,2,1),VLOOKUP('Order SUmmary'!R583,'Commission Criteria'!$P$3:$Q$11,2,1))</f>
        <v>0.03</v>
      </c>
      <c r="U583" s="36">
        <f>VLOOKUP(R583,IF(P583&lt;5,'Commission Criteria'!$L$3:$M$11,'Commission Criteria'!$P$3:$Q$11),2,1)</f>
        <v>0.03</v>
      </c>
      <c r="V583" s="8" t="s">
        <v>50</v>
      </c>
      <c r="W583" s="36">
        <f t="shared" ca="1" si="30"/>
        <v>0.04</v>
      </c>
      <c r="X583" s="8" t="str">
        <f>_xlfn.XLOOKUP(F583,'Product List'!$B$1:$B$299,'Product List'!$A$1:$A$299)</f>
        <v>Xerox 1967</v>
      </c>
      <c r="Y583" s="8"/>
      <c r="Z583" s="8" t="str" cm="1">
        <f t="array" ref="Z583:AD583">_xlfn.XLOOKUP(D583,'Customer Details'!$A$1:$A$17,'Customer Details'!$B$1:$F$17,"No such customer",0,1)</f>
        <v>Suzlon Energy Ltd.</v>
      </c>
      <c r="AA583" s="8" t="str">
        <v>501 Marsh Trail Circle</v>
      </c>
      <c r="AB583" s="8" t="str">
        <v>Tracy</v>
      </c>
      <c r="AC583" s="8" t="str">
        <v>CA</v>
      </c>
      <c r="AD583" s="8" t="str">
        <v>95376</v>
      </c>
    </row>
    <row r="584" spans="1:30">
      <c r="A584" s="8" t="s">
        <v>686</v>
      </c>
      <c r="B584" s="19">
        <v>41834</v>
      </c>
      <c r="C584" s="8" t="s">
        <v>66</v>
      </c>
      <c r="D584" s="8">
        <v>10001</v>
      </c>
      <c r="E584" s="8" t="str">
        <f>VLOOKUP($D584,'Customer Details'!$A$1:$F$17,4,FALSE)</f>
        <v>New York</v>
      </c>
      <c r="F584" s="8" t="s">
        <v>687</v>
      </c>
      <c r="G584" s="8">
        <v>2</v>
      </c>
      <c r="H584" s="2" t="str">
        <f>VLOOKUP($D584,'Customer Details'!$A$1:$F$17,MATCH('Order SUmmary'!H$2,'Customer Details'!$A$1:$F$1,0),0)</f>
        <v>Chambal Fertilisers and Chemicals Ltd.</v>
      </c>
      <c r="I584" s="2" t="str">
        <f>VLOOKUP($D584,'Customer Details'!$A$1:$F$17,4,0)</f>
        <v>New York</v>
      </c>
      <c r="J584" s="2" t="str">
        <f>VLOOKUP($D584,'Customer Details'!$A$1:$F$17,6,0)</f>
        <v>10025</v>
      </c>
      <c r="K584" s="8" t="str">
        <f>VLOOKUP(VLOOKUP(D584,'Customer Details'!$A$1:$F$17,5,0),'Region INfo'!$A$1:$C$52,3,0)</f>
        <v xml:space="preserve">Northern </v>
      </c>
      <c r="L584" s="8" t="str">
        <f>INDEX(Product_List,MATCH($F584,'Product List'!$B$1:$B$299,0),MATCH('Order SUmmary'!L$2,'Product List'!$A$1:$E$1,0))</f>
        <v>Xerox 1924</v>
      </c>
      <c r="M584" s="8">
        <f>INDEX(Product_List,MATCH($F584,'Product List'!$B$1:$B$299,0),MATCH('Order SUmmary'!M$2,'Product List'!$A$1:$E$1,0))</f>
        <v>2873</v>
      </c>
      <c r="N584" s="8">
        <f>INDEX(Product_List,MATCH($F584,'Product List'!$B$1:$B$299,0),MATCH('Order SUmmary'!N$2,'Product List'!$A$1:$E$1,0))</f>
        <v>2483</v>
      </c>
      <c r="O584" s="8" t="str">
        <f>INDEX(Product_List,MATCH($F584,'Product List'!$B$1:$B$299,0),MATCH('Order SUmmary'!O$2,'Product List'!$A$1:$E$1,0))</f>
        <v>Paper</v>
      </c>
      <c r="P584" s="12">
        <f>HLOOKUP(C584,'Commission Criteria'!$A$2:$I$4,3,FALSE)</f>
        <v>5</v>
      </c>
      <c r="Q584" s="8">
        <f t="shared" si="28"/>
        <v>4966</v>
      </c>
      <c r="R584" s="8">
        <f t="shared" si="29"/>
        <v>5746</v>
      </c>
      <c r="S584" s="36">
        <f>VLOOKUP(R584,'Commission Criteria'!$L$3:$M$11,2,TRUE)</f>
        <v>0.03</v>
      </c>
      <c r="T584" s="36">
        <f>IF(P584&lt;5,VLOOKUP(R584,'Commission Criteria'!$L$3:$M$11,2,1),VLOOKUP('Order SUmmary'!R584,'Commission Criteria'!$P$3:$Q$11,2,1))</f>
        <v>0.02</v>
      </c>
      <c r="U584" s="36">
        <f>VLOOKUP(R584,IF(P584&lt;5,'Commission Criteria'!$L$3:$M$11,'Commission Criteria'!$P$3:$Q$11),2,1)</f>
        <v>0.02</v>
      </c>
      <c r="V584" s="8" t="s">
        <v>35</v>
      </c>
      <c r="W584" s="36">
        <f t="shared" ca="1" si="30"/>
        <v>0.04</v>
      </c>
      <c r="X584" s="8" t="str">
        <f>_xlfn.XLOOKUP(F584,'Product List'!$B$1:$B$299,'Product List'!$A$1:$A$299)</f>
        <v>Xerox 1924</v>
      </c>
      <c r="Y584" s="8"/>
      <c r="Z584" s="8" t="str" cm="1">
        <f t="array" ref="Z584:AD584">_xlfn.XLOOKUP(D584,'Customer Details'!$A$1:$A$17,'Customer Details'!$B$1:$F$17,"No such customer",0,1)</f>
        <v>Chambal Fertilisers and Chemicals Ltd.</v>
      </c>
      <c r="AA584" s="8" t="str">
        <v>4951 Indiana Ave.</v>
      </c>
      <c r="AB584" s="8" t="str">
        <v>New York</v>
      </c>
      <c r="AC584" s="8" t="str">
        <v>NY</v>
      </c>
      <c r="AD584" s="8" t="str">
        <v>10025</v>
      </c>
    </row>
    <row r="585" spans="1:30">
      <c r="A585" s="8" t="s">
        <v>688</v>
      </c>
      <c r="B585" s="19">
        <v>41834</v>
      </c>
      <c r="C585" s="8" t="s">
        <v>66</v>
      </c>
      <c r="D585" s="8">
        <v>10014</v>
      </c>
      <c r="E585" s="8" t="str">
        <f>VLOOKUP($D585,'Customer Details'!$A$1:$F$17,4,FALSE)</f>
        <v>Honolulu</v>
      </c>
      <c r="F585" s="8" t="s">
        <v>307</v>
      </c>
      <c r="G585" s="8">
        <v>2</v>
      </c>
      <c r="H585" s="2" t="str">
        <f>VLOOKUP($D585,'Customer Details'!$A$1:$F$17,MATCH('Order SUmmary'!H$2,'Customer Details'!$A$1:$F$1,0),0)</f>
        <v>Hindusthan National Glass &amp; Industries Ltd.</v>
      </c>
      <c r="I585" s="2" t="str">
        <f>VLOOKUP($D585,'Customer Details'!$A$1:$F$17,4,0)</f>
        <v>Honolulu</v>
      </c>
      <c r="J585" s="2" t="str">
        <f>VLOOKUP($D585,'Customer Details'!$A$1:$F$17,6,0)</f>
        <v>96825</v>
      </c>
      <c r="K585" s="8" t="str">
        <f>VLOOKUP(VLOOKUP(D585,'Customer Details'!$A$1:$F$17,5,0),'Region INfo'!$A$1:$C$52,3,0)</f>
        <v xml:space="preserve">Pacific   </v>
      </c>
      <c r="L585" s="8" t="str">
        <f>INDEX(Product_List,MATCH($F585,'Product List'!$B$1:$B$299,0),MATCH('Order SUmmary'!L$2,'Product List'!$A$1:$E$1,0))</f>
        <v>Avery 519</v>
      </c>
      <c r="M585" s="8">
        <f>INDEX(Product_List,MATCH($F585,'Product List'!$B$1:$B$299,0),MATCH('Order SUmmary'!M$2,'Product List'!$A$1:$E$1,0))</f>
        <v>3491</v>
      </c>
      <c r="N585" s="8">
        <f>INDEX(Product_List,MATCH($F585,'Product List'!$B$1:$B$299,0),MATCH('Order SUmmary'!N$2,'Product List'!$A$1:$E$1,0))</f>
        <v>1257</v>
      </c>
      <c r="O585" s="8" t="str">
        <f>INDEX(Product_List,MATCH($F585,'Product List'!$B$1:$B$299,0),MATCH('Order SUmmary'!O$2,'Product List'!$A$1:$E$1,0))</f>
        <v>Labels</v>
      </c>
      <c r="P585" s="12">
        <f>HLOOKUP(C585,'Commission Criteria'!$A$2:$I$4,3,FALSE)</f>
        <v>5</v>
      </c>
      <c r="Q585" s="8">
        <f t="shared" si="28"/>
        <v>2514</v>
      </c>
      <c r="R585" s="8">
        <f t="shared" si="29"/>
        <v>6982</v>
      </c>
      <c r="S585" s="36">
        <f>VLOOKUP(R585,'Commission Criteria'!$L$3:$M$11,2,TRUE)</f>
        <v>0.03</v>
      </c>
      <c r="T585" s="36">
        <f>IF(P585&lt;5,VLOOKUP(R585,'Commission Criteria'!$L$3:$M$11,2,1),VLOOKUP('Order SUmmary'!R585,'Commission Criteria'!$P$3:$Q$11,2,1))</f>
        <v>0.02</v>
      </c>
      <c r="U585" s="36">
        <f>VLOOKUP(R585,IF(P585&lt;5,'Commission Criteria'!$L$3:$M$11,'Commission Criteria'!$P$3:$Q$11),2,1)</f>
        <v>0.02</v>
      </c>
      <c r="V585" s="8" t="s">
        <v>35</v>
      </c>
      <c r="W585" s="36">
        <f t="shared" ca="1" si="30"/>
        <v>0.04</v>
      </c>
      <c r="X585" s="8" t="str">
        <f>_xlfn.XLOOKUP(F585,'Product List'!$B$1:$B$299,'Product List'!$A$1:$A$299)</f>
        <v>Avery 519</v>
      </c>
      <c r="Y585" s="8"/>
      <c r="Z585" s="8" t="str" cm="1">
        <f t="array" ref="Z585:AD585">_xlfn.XLOOKUP(D585,'Customer Details'!$A$1:$A$17,'Customer Details'!$B$1:$F$17,"No such customer",0,1)</f>
        <v>Hindusthan National Glass &amp; Industries Ltd.</v>
      </c>
      <c r="AA585" s="8" t="str">
        <v>11 Cathy St.</v>
      </c>
      <c r="AB585" s="8" t="str">
        <v>Honolulu</v>
      </c>
      <c r="AC585" s="8" t="str">
        <v>HI</v>
      </c>
      <c r="AD585" s="8" t="str">
        <v>96825</v>
      </c>
    </row>
    <row r="586" spans="1:30">
      <c r="A586" s="8" t="s">
        <v>689</v>
      </c>
      <c r="B586" s="19">
        <v>41835</v>
      </c>
      <c r="C586" s="8" t="s">
        <v>27</v>
      </c>
      <c r="D586" s="8">
        <v>10004</v>
      </c>
      <c r="E586" s="8" t="str">
        <f>VLOOKUP($D586,'Customer Details'!$A$1:$F$17,4,FALSE)</f>
        <v>New York</v>
      </c>
      <c r="F586" s="8" t="s">
        <v>364</v>
      </c>
      <c r="G586" s="8">
        <v>1</v>
      </c>
      <c r="H586" s="2" t="str">
        <f>VLOOKUP($D586,'Customer Details'!$A$1:$F$17,MATCH('Order SUmmary'!H$2,'Customer Details'!$A$1:$F$1,0),0)</f>
        <v>Lupin Ltd.</v>
      </c>
      <c r="I586" s="2" t="str">
        <f>VLOOKUP($D586,'Customer Details'!$A$1:$F$17,4,0)</f>
        <v>New York</v>
      </c>
      <c r="J586" s="2" t="str">
        <f>VLOOKUP($D586,'Customer Details'!$A$1:$F$17,6,0)</f>
        <v>10019</v>
      </c>
      <c r="K586" s="8" t="str">
        <f>VLOOKUP(VLOOKUP(D586,'Customer Details'!$A$1:$F$17,5,0),'Region INfo'!$A$1:$C$52,3,0)</f>
        <v xml:space="preserve">Northern </v>
      </c>
      <c r="L586" s="8" t="str">
        <f>INDEX(Product_List,MATCH($F586,'Product List'!$B$1:$B$299,0),MATCH('Order SUmmary'!L$2,'Product List'!$A$1:$E$1,0))</f>
        <v>Avery 474</v>
      </c>
      <c r="M586" s="8">
        <f>INDEX(Product_List,MATCH($F586,'Product List'!$B$1:$B$299,0),MATCH('Order SUmmary'!M$2,'Product List'!$A$1:$E$1,0))</f>
        <v>3421</v>
      </c>
      <c r="N586" s="8">
        <f>INDEX(Product_List,MATCH($F586,'Product List'!$B$1:$B$299,0),MATCH('Order SUmmary'!N$2,'Product List'!$A$1:$E$1,0))</f>
        <v>1370</v>
      </c>
      <c r="O586" s="8" t="str">
        <f>INDEX(Product_List,MATCH($F586,'Product List'!$B$1:$B$299,0),MATCH('Order SUmmary'!O$2,'Product List'!$A$1:$E$1,0))</f>
        <v>Labels</v>
      </c>
      <c r="P586" s="12">
        <f>HLOOKUP(C586,'Commission Criteria'!$A$2:$I$4,3,FALSE)</f>
        <v>4</v>
      </c>
      <c r="Q586" s="8">
        <f t="shared" si="28"/>
        <v>1370</v>
      </c>
      <c r="R586" s="8">
        <f t="shared" si="29"/>
        <v>3421</v>
      </c>
      <c r="S586" s="36">
        <f>VLOOKUP(R586,'Commission Criteria'!$L$3:$M$11,2,TRUE)</f>
        <v>0.01</v>
      </c>
      <c r="T586" s="36">
        <f>IF(P586&lt;5,VLOOKUP(R586,'Commission Criteria'!$L$3:$M$11,2,1),VLOOKUP('Order SUmmary'!R586,'Commission Criteria'!$P$3:$Q$11,2,1))</f>
        <v>0.01</v>
      </c>
      <c r="U586" s="36">
        <f>VLOOKUP(R586,IF(P586&lt;5,'Commission Criteria'!$L$3:$M$11,'Commission Criteria'!$P$3:$Q$11),2,1)</f>
        <v>0.01</v>
      </c>
      <c r="V586" s="8" t="s">
        <v>40</v>
      </c>
      <c r="W586" s="36">
        <f t="shared" ca="1" si="30"/>
        <v>0.04</v>
      </c>
      <c r="X586" s="8" t="str">
        <f>_xlfn.XLOOKUP(F586,'Product List'!$B$1:$B$299,'Product List'!$A$1:$A$299)</f>
        <v>Avery 474</v>
      </c>
      <c r="Y586" s="8"/>
      <c r="Z586" s="8" t="str" cm="1">
        <f t="array" ref="Z586:AD586">_xlfn.XLOOKUP(D586,'Customer Details'!$A$1:$A$17,'Customer Details'!$B$1:$F$17,"No such customer",0,1)</f>
        <v>Lupin Ltd.</v>
      </c>
      <c r="AA586" s="8" t="str">
        <v>Abbey Wood</v>
      </c>
      <c r="AB586" s="8" t="str">
        <v>New York</v>
      </c>
      <c r="AC586" s="8" t="str">
        <v>NY</v>
      </c>
      <c r="AD586" s="8" t="str">
        <v>10019</v>
      </c>
    </row>
    <row r="587" spans="1:30">
      <c r="A587" s="8" t="s">
        <v>690</v>
      </c>
      <c r="B587" s="19">
        <v>41836</v>
      </c>
      <c r="C587" s="8" t="s">
        <v>33</v>
      </c>
      <c r="D587" s="8">
        <v>10011</v>
      </c>
      <c r="E587" s="8" t="str">
        <f>VLOOKUP($D587,'Customer Details'!$A$1:$F$17,4,FALSE)</f>
        <v>Olympia</v>
      </c>
      <c r="F587" s="8" t="s">
        <v>295</v>
      </c>
      <c r="G587" s="8">
        <v>2</v>
      </c>
      <c r="H587" s="2" t="str">
        <f>VLOOKUP($D587,'Customer Details'!$A$1:$F$17,MATCH('Order SUmmary'!H$2,'Customer Details'!$A$1:$F$1,0),0)</f>
        <v>Sonata Software</v>
      </c>
      <c r="I587" s="2" t="str">
        <f>VLOOKUP($D587,'Customer Details'!$A$1:$F$17,4,0)</f>
        <v>Olympia</v>
      </c>
      <c r="J587" s="2" t="str">
        <f>VLOOKUP($D587,'Customer Details'!$A$1:$F$17,6,0)</f>
        <v>98502</v>
      </c>
      <c r="K587" s="8" t="str">
        <f>VLOOKUP(VLOOKUP(D587,'Customer Details'!$A$1:$F$17,5,0),'Region INfo'!$A$1:$C$52,3,0)</f>
        <v xml:space="preserve">Pacific   </v>
      </c>
      <c r="L587" s="8" t="str">
        <f>INDEX(Product_List,MATCH($F587,'Product List'!$B$1:$B$299,0),MATCH('Order SUmmary'!L$2,'Product List'!$A$1:$E$1,0))</f>
        <v>Xerox 1950</v>
      </c>
      <c r="M587" s="8">
        <f>INDEX(Product_List,MATCH($F587,'Product List'!$B$1:$B$299,0),MATCH('Order SUmmary'!M$2,'Product List'!$A$1:$E$1,0))</f>
        <v>3101</v>
      </c>
      <c r="N587" s="8">
        <f>INDEX(Product_List,MATCH($F587,'Product List'!$B$1:$B$299,0),MATCH('Order SUmmary'!N$2,'Product List'!$A$1:$E$1,0))</f>
        <v>1524</v>
      </c>
      <c r="O587" s="8" t="str">
        <f>INDEX(Product_List,MATCH($F587,'Product List'!$B$1:$B$299,0),MATCH('Order SUmmary'!O$2,'Product List'!$A$1:$E$1,0))</f>
        <v>Paper</v>
      </c>
      <c r="P587" s="12">
        <f>HLOOKUP(C587,'Commission Criteria'!$A$2:$I$4,3,FALSE)</f>
        <v>1</v>
      </c>
      <c r="Q587" s="8">
        <f t="shared" si="28"/>
        <v>3048</v>
      </c>
      <c r="R587" s="8">
        <f t="shared" si="29"/>
        <v>6202</v>
      </c>
      <c r="S587" s="36">
        <f>VLOOKUP(R587,'Commission Criteria'!$L$3:$M$11,2,TRUE)</f>
        <v>0.03</v>
      </c>
      <c r="T587" s="36">
        <f>IF(P587&lt;5,VLOOKUP(R587,'Commission Criteria'!$L$3:$M$11,2,1),VLOOKUP('Order SUmmary'!R587,'Commission Criteria'!$P$3:$Q$11,2,1))</f>
        <v>0.03</v>
      </c>
      <c r="U587" s="36">
        <f>VLOOKUP(R587,IF(P587&lt;5,'Commission Criteria'!$L$3:$M$11,'Commission Criteria'!$P$3:$Q$11),2,1)</f>
        <v>0.03</v>
      </c>
      <c r="V587" s="8" t="s">
        <v>35</v>
      </c>
      <c r="W587" s="36">
        <f t="shared" ca="1" si="30"/>
        <v>0.05</v>
      </c>
      <c r="X587" s="8" t="str">
        <f>_xlfn.XLOOKUP(F587,'Product List'!$B$1:$B$299,'Product List'!$A$1:$A$299)</f>
        <v>Xerox 1950</v>
      </c>
      <c r="Y587" s="8"/>
      <c r="Z587" s="8" t="str" cm="1">
        <f t="array" ref="Z587:AD587">_xlfn.XLOOKUP(D587,'Customer Details'!$A$1:$A$17,'Customer Details'!$B$1:$F$17,"No such customer",0,1)</f>
        <v>Sonata Software</v>
      </c>
      <c r="AA587" s="8" t="str">
        <v>1331 Kimberly Dr.</v>
      </c>
      <c r="AB587" s="8" t="str">
        <v>Olympia</v>
      </c>
      <c r="AC587" s="8" t="str">
        <v>WA</v>
      </c>
      <c r="AD587" s="8" t="str">
        <v>98502</v>
      </c>
    </row>
    <row r="588" spans="1:30">
      <c r="A588" s="8" t="s">
        <v>691</v>
      </c>
      <c r="B588" s="19">
        <v>41836</v>
      </c>
      <c r="C588" s="8" t="s">
        <v>27</v>
      </c>
      <c r="D588" s="8">
        <v>10009</v>
      </c>
      <c r="E588" s="8" t="str">
        <f>VLOOKUP($D588,'Customer Details'!$A$1:$F$17,4,FALSE)</f>
        <v>Salt Lake City</v>
      </c>
      <c r="F588" s="8" t="s">
        <v>432</v>
      </c>
      <c r="G588" s="8">
        <v>2</v>
      </c>
      <c r="H588" s="2" t="str">
        <f>VLOOKUP($D588,'Customer Details'!$A$1:$F$17,MATCH('Order SUmmary'!H$2,'Customer Details'!$A$1:$F$1,0),0)</f>
        <v>Godfrey Philips India Ltd.</v>
      </c>
      <c r="I588" s="2" t="str">
        <f>VLOOKUP($D588,'Customer Details'!$A$1:$F$17,4,0)</f>
        <v>Salt Lake City</v>
      </c>
      <c r="J588" s="2" t="str">
        <f>VLOOKUP($D588,'Customer Details'!$A$1:$F$17,6,0)</f>
        <v>84118</v>
      </c>
      <c r="K588" s="8" t="str">
        <f>VLOOKUP(VLOOKUP(D588,'Customer Details'!$A$1:$F$17,5,0),'Region INfo'!$A$1:$C$52,3,0)</f>
        <v xml:space="preserve">Pacific   </v>
      </c>
      <c r="L588" s="8" t="str">
        <f>INDEX(Product_List,MATCH($F588,'Product List'!$B$1:$B$299,0),MATCH('Order SUmmary'!L$2,'Product List'!$A$1:$E$1,0))</f>
        <v>Avery 476</v>
      </c>
      <c r="M588" s="8">
        <f>INDEX(Product_List,MATCH($F588,'Product List'!$B$1:$B$299,0),MATCH('Order SUmmary'!M$2,'Product List'!$A$1:$E$1,0))</f>
        <v>3569</v>
      </c>
      <c r="N588" s="8">
        <f>INDEX(Product_List,MATCH($F588,'Product List'!$B$1:$B$299,0),MATCH('Order SUmmary'!N$2,'Product List'!$A$1:$E$1,0))</f>
        <v>2320</v>
      </c>
      <c r="O588" s="8" t="str">
        <f>INDEX(Product_List,MATCH($F588,'Product List'!$B$1:$B$299,0),MATCH('Order SUmmary'!O$2,'Product List'!$A$1:$E$1,0))</f>
        <v>Labels</v>
      </c>
      <c r="P588" s="12">
        <f>HLOOKUP(C588,'Commission Criteria'!$A$2:$I$4,3,FALSE)</f>
        <v>4</v>
      </c>
      <c r="Q588" s="8">
        <f t="shared" si="28"/>
        <v>4640</v>
      </c>
      <c r="R588" s="8">
        <f t="shared" si="29"/>
        <v>7138</v>
      </c>
      <c r="S588" s="36">
        <f>VLOOKUP(R588,'Commission Criteria'!$L$3:$M$11,2,TRUE)</f>
        <v>0.03</v>
      </c>
      <c r="T588" s="36">
        <f>IF(P588&lt;5,VLOOKUP(R588,'Commission Criteria'!$L$3:$M$11,2,1),VLOOKUP('Order SUmmary'!R588,'Commission Criteria'!$P$3:$Q$11,2,1))</f>
        <v>0.03</v>
      </c>
      <c r="U588" s="36">
        <f>VLOOKUP(R588,IF(P588&lt;5,'Commission Criteria'!$L$3:$M$11,'Commission Criteria'!$P$3:$Q$11),2,1)</f>
        <v>0.03</v>
      </c>
      <c r="V588" s="8" t="s">
        <v>43</v>
      </c>
      <c r="W588" s="36">
        <f t="shared" ca="1" si="30"/>
        <v>0.02</v>
      </c>
      <c r="X588" s="8" t="str">
        <f>_xlfn.XLOOKUP(F588,'Product List'!$B$1:$B$299,'Product List'!$A$1:$A$299)</f>
        <v>Avery 476</v>
      </c>
      <c r="Y588" s="8"/>
      <c r="Z588" s="8" t="str" cm="1">
        <f t="array" ref="Z588:AD588">_xlfn.XLOOKUP(D588,'Customer Details'!$A$1:$A$17,'Customer Details'!$B$1:$F$17,"No such customer",0,1)</f>
        <v>Godfrey Philips India Ltd.</v>
      </c>
      <c r="AA588" s="8" t="str">
        <v>20501 Ania Ave #2</v>
      </c>
      <c r="AB588" s="8" t="str">
        <v>Salt Lake City</v>
      </c>
      <c r="AC588" s="8" t="str">
        <v>UT</v>
      </c>
      <c r="AD588" s="8" t="str">
        <v>84118</v>
      </c>
    </row>
    <row r="589" spans="1:30">
      <c r="A589" s="8" t="s">
        <v>692</v>
      </c>
      <c r="B589" s="19">
        <v>41836</v>
      </c>
      <c r="C589" s="8" t="s">
        <v>51</v>
      </c>
      <c r="D589" s="8">
        <v>10008</v>
      </c>
      <c r="E589" s="8" t="str">
        <f>VLOOKUP($D589,'Customer Details'!$A$1:$F$17,4,FALSE)</f>
        <v>Chestnut Ridge</v>
      </c>
      <c r="F589" s="8" t="s">
        <v>112</v>
      </c>
      <c r="G589" s="8">
        <v>2</v>
      </c>
      <c r="H589" s="2" t="str">
        <f>VLOOKUP($D589,'Customer Details'!$A$1:$F$17,MATCH('Order SUmmary'!H$2,'Customer Details'!$A$1:$F$1,0),0)</f>
        <v>Reliance Industries Limited</v>
      </c>
      <c r="I589" s="2" t="str">
        <f>VLOOKUP($D589,'Customer Details'!$A$1:$F$17,4,0)</f>
        <v>Chestnut Ridge</v>
      </c>
      <c r="J589" s="2" t="str">
        <f>VLOOKUP($D589,'Customer Details'!$A$1:$F$17,6,0)</f>
        <v>10977</v>
      </c>
      <c r="K589" s="8" t="str">
        <f>VLOOKUP(VLOOKUP(D589,'Customer Details'!$A$1:$F$17,5,0),'Region INfo'!$A$1:$C$52,3,0)</f>
        <v xml:space="preserve">Northern </v>
      </c>
      <c r="L589" s="8" t="str">
        <f>INDEX(Product_List,MATCH($F589,'Product List'!$B$1:$B$299,0),MATCH('Order SUmmary'!L$2,'Product List'!$A$1:$E$1,0))</f>
        <v>Newell 317</v>
      </c>
      <c r="M589" s="8">
        <f>INDEX(Product_List,MATCH($F589,'Product List'!$B$1:$B$299,0),MATCH('Order SUmmary'!M$2,'Product List'!$A$1:$E$1,0))</f>
        <v>4891</v>
      </c>
      <c r="N589" s="8">
        <f>INDEX(Product_List,MATCH($F589,'Product List'!$B$1:$B$299,0),MATCH('Order SUmmary'!N$2,'Product List'!$A$1:$E$1,0))</f>
        <v>1745</v>
      </c>
      <c r="O589" s="8" t="str">
        <f>INDEX(Product_List,MATCH($F589,'Product List'!$B$1:$B$299,0),MATCH('Order SUmmary'!O$2,'Product List'!$A$1:$E$1,0))</f>
        <v>Art</v>
      </c>
      <c r="P589" s="12">
        <f>HLOOKUP(C589,'Commission Criteria'!$A$2:$I$4,3,FALSE)</f>
        <v>10</v>
      </c>
      <c r="Q589" s="8">
        <f t="shared" si="28"/>
        <v>3490</v>
      </c>
      <c r="R589" s="8">
        <f t="shared" si="29"/>
        <v>9782</v>
      </c>
      <c r="S589" s="36">
        <f>VLOOKUP(R589,'Commission Criteria'!$L$3:$M$11,2,TRUE)</f>
        <v>0.03</v>
      </c>
      <c r="T589" s="36">
        <f>IF(P589&lt;5,VLOOKUP(R589,'Commission Criteria'!$L$3:$M$11,2,1),VLOOKUP('Order SUmmary'!R589,'Commission Criteria'!$P$3:$Q$11,2,1))</f>
        <v>0.02</v>
      </c>
      <c r="U589" s="36">
        <f>VLOOKUP(R589,IF(P589&lt;5,'Commission Criteria'!$L$3:$M$11,'Commission Criteria'!$P$3:$Q$11),2,1)</f>
        <v>0.02</v>
      </c>
      <c r="V589" s="8" t="s">
        <v>35</v>
      </c>
      <c r="W589" s="36">
        <f t="shared" ca="1" si="30"/>
        <v>0.04</v>
      </c>
      <c r="X589" s="8" t="str">
        <f>_xlfn.XLOOKUP(F589,'Product List'!$B$1:$B$299,'Product List'!$A$1:$A$299)</f>
        <v>Newell 317</v>
      </c>
      <c r="Y589" s="8"/>
      <c r="Z589" s="8" t="str" cm="1">
        <f t="array" ref="Z589:AD589">_xlfn.XLOOKUP(D589,'Customer Details'!$A$1:$A$17,'Customer Details'!$B$1:$F$17,"No such customer",0,1)</f>
        <v>Reliance Industries Limited</v>
      </c>
      <c r="AA589" s="8" t="str">
        <v>12020 Shamrock Rd., Suite 333</v>
      </c>
      <c r="AB589" s="8" t="str">
        <v>Chestnut Ridge</v>
      </c>
      <c r="AC589" s="8" t="str">
        <v>NY</v>
      </c>
      <c r="AD589" s="8" t="str">
        <v>10977</v>
      </c>
    </row>
    <row r="590" spans="1:30">
      <c r="A590" s="8" t="s">
        <v>693</v>
      </c>
      <c r="B590" s="19">
        <v>41837</v>
      </c>
      <c r="C590" s="8" t="s">
        <v>66</v>
      </c>
      <c r="D590" s="8">
        <v>10003</v>
      </c>
      <c r="E590" s="8" t="str">
        <f>VLOOKUP($D590,'Customer Details'!$A$1:$F$17,4,FALSE)</f>
        <v>Miami</v>
      </c>
      <c r="F590" s="8" t="s">
        <v>329</v>
      </c>
      <c r="G590" s="8">
        <v>1</v>
      </c>
      <c r="H590" s="2" t="str">
        <f>VLOOKUP($D590,'Customer Details'!$A$1:$F$17,MATCH('Order SUmmary'!H$2,'Customer Details'!$A$1:$F$1,0),0)</f>
        <v>Honeywell Automation</v>
      </c>
      <c r="I590" s="2" t="str">
        <f>VLOOKUP($D590,'Customer Details'!$A$1:$F$17,4,0)</f>
        <v>Miami</v>
      </c>
      <c r="J590" s="2" t="str">
        <f>VLOOKUP($D590,'Customer Details'!$A$1:$F$17,6,0)</f>
        <v>33732</v>
      </c>
      <c r="K590" s="8" t="str">
        <f>VLOOKUP(VLOOKUP(D590,'Customer Details'!$A$1:$F$17,5,0),'Region INfo'!$A$1:$C$52,3,0)</f>
        <v>Southern</v>
      </c>
      <c r="L590" s="8" t="str">
        <f>INDEX(Product_List,MATCH($F590,'Product List'!$B$1:$B$299,0),MATCH('Order SUmmary'!L$2,'Product List'!$A$1:$E$1,0))</f>
        <v>Xerox 1991</v>
      </c>
      <c r="M590" s="8">
        <f>INDEX(Product_List,MATCH($F590,'Product List'!$B$1:$B$299,0),MATCH('Order SUmmary'!M$2,'Product List'!$A$1:$E$1,0))</f>
        <v>3634</v>
      </c>
      <c r="N590" s="8">
        <f>INDEX(Product_List,MATCH($F590,'Product List'!$B$1:$B$299,0),MATCH('Order SUmmary'!N$2,'Product List'!$A$1:$E$1,0))</f>
        <v>1487</v>
      </c>
      <c r="O590" s="8" t="str">
        <f>INDEX(Product_List,MATCH($F590,'Product List'!$B$1:$B$299,0),MATCH('Order SUmmary'!O$2,'Product List'!$A$1:$E$1,0))</f>
        <v>Paper</v>
      </c>
      <c r="P590" s="12">
        <f>HLOOKUP(C590,'Commission Criteria'!$A$2:$I$4,3,FALSE)</f>
        <v>5</v>
      </c>
      <c r="Q590" s="8">
        <f t="shared" si="28"/>
        <v>1487</v>
      </c>
      <c r="R590" s="8">
        <f t="shared" si="29"/>
        <v>3634</v>
      </c>
      <c r="S590" s="36">
        <f>VLOOKUP(R590,'Commission Criteria'!$L$3:$M$11,2,TRUE)</f>
        <v>0.01</v>
      </c>
      <c r="T590" s="36">
        <f>IF(P590&lt;5,VLOOKUP(R590,'Commission Criteria'!$L$3:$M$11,2,1),VLOOKUP('Order SUmmary'!R590,'Commission Criteria'!$P$3:$Q$11,2,1))</f>
        <v>0.02</v>
      </c>
      <c r="U590" s="36">
        <f>VLOOKUP(R590,IF(P590&lt;5,'Commission Criteria'!$L$3:$M$11,'Commission Criteria'!$P$3:$Q$11),2,1)</f>
        <v>0.02</v>
      </c>
      <c r="V590" s="8" t="s">
        <v>29</v>
      </c>
      <c r="W590" s="36">
        <f t="shared" ca="1" si="30"/>
        <v>0.04</v>
      </c>
      <c r="X590" s="8" t="str">
        <f>_xlfn.XLOOKUP(F590,'Product List'!$B$1:$B$299,'Product List'!$A$1:$A$299)</f>
        <v>Xerox 1991</v>
      </c>
      <c r="Y590" s="8"/>
      <c r="Z590" s="8" t="str" cm="1">
        <f t="array" ref="Z590:AD590">_xlfn.XLOOKUP(D590,'Customer Details'!$A$1:$A$17,'Customer Details'!$B$1:$F$17,"No such customer",0,1)</f>
        <v>Honeywell Automation</v>
      </c>
      <c r="AA590" s="8" t="str">
        <v>1272 Harbor Road</v>
      </c>
      <c r="AB590" s="8" t="str">
        <v>Miami</v>
      </c>
      <c r="AC590" s="8" t="str">
        <v>FL</v>
      </c>
      <c r="AD590" s="8" t="str">
        <v>33732</v>
      </c>
    </row>
    <row r="591" spans="1:30">
      <c r="A591" s="8" t="s">
        <v>693</v>
      </c>
      <c r="B591" s="19">
        <v>41837</v>
      </c>
      <c r="C591" s="8" t="s">
        <v>44</v>
      </c>
      <c r="D591" s="8">
        <v>10004</v>
      </c>
      <c r="E591" s="8" t="str">
        <f>VLOOKUP($D591,'Customer Details'!$A$1:$F$17,4,FALSE)</f>
        <v>New York</v>
      </c>
      <c r="F591" s="8" t="s">
        <v>455</v>
      </c>
      <c r="G591" s="8">
        <v>1</v>
      </c>
      <c r="H591" s="2" t="str">
        <f>VLOOKUP($D591,'Customer Details'!$A$1:$F$17,MATCH('Order SUmmary'!H$2,'Customer Details'!$A$1:$F$1,0),0)</f>
        <v>Lupin Ltd.</v>
      </c>
      <c r="I591" s="2" t="str">
        <f>VLOOKUP($D591,'Customer Details'!$A$1:$F$17,4,0)</f>
        <v>New York</v>
      </c>
      <c r="J591" s="2" t="str">
        <f>VLOOKUP($D591,'Customer Details'!$A$1:$F$17,6,0)</f>
        <v>10019</v>
      </c>
      <c r="K591" s="8" t="str">
        <f>VLOOKUP(VLOOKUP(D591,'Customer Details'!$A$1:$F$17,5,0),'Region INfo'!$A$1:$C$52,3,0)</f>
        <v xml:space="preserve">Northern </v>
      </c>
      <c r="L591" s="8" t="str">
        <f>INDEX(Product_List,MATCH($F591,'Product List'!$B$1:$B$299,0),MATCH('Order SUmmary'!L$2,'Product List'!$A$1:$E$1,0))</f>
        <v>Newell 307</v>
      </c>
      <c r="M591" s="8">
        <f>INDEX(Product_List,MATCH($F591,'Product List'!$B$1:$B$299,0),MATCH('Order SUmmary'!M$2,'Product List'!$A$1:$E$1,0))</f>
        <v>4230</v>
      </c>
      <c r="N591" s="8">
        <f>INDEX(Product_List,MATCH($F591,'Product List'!$B$1:$B$299,0),MATCH('Order SUmmary'!N$2,'Product List'!$A$1:$E$1,0))</f>
        <v>1812</v>
      </c>
      <c r="O591" s="8" t="str">
        <f>INDEX(Product_List,MATCH($F591,'Product List'!$B$1:$B$299,0),MATCH('Order SUmmary'!O$2,'Product List'!$A$1:$E$1,0))</f>
        <v>Art</v>
      </c>
      <c r="P591" s="12">
        <f>HLOOKUP(C591,'Commission Criteria'!$A$2:$I$4,3,FALSE)</f>
        <v>4</v>
      </c>
      <c r="Q591" s="8">
        <f t="shared" si="28"/>
        <v>1812</v>
      </c>
      <c r="R591" s="8">
        <f t="shared" si="29"/>
        <v>4230</v>
      </c>
      <c r="S591" s="36">
        <f>VLOOKUP(R591,'Commission Criteria'!$L$3:$M$11,2,TRUE)</f>
        <v>0.01</v>
      </c>
      <c r="T591" s="36">
        <f>IF(P591&lt;5,VLOOKUP(R591,'Commission Criteria'!$L$3:$M$11,2,1),VLOOKUP('Order SUmmary'!R591,'Commission Criteria'!$P$3:$Q$11,2,1))</f>
        <v>0.01</v>
      </c>
      <c r="U591" s="36">
        <f>VLOOKUP(R591,IF(P591&lt;5,'Commission Criteria'!$L$3:$M$11,'Commission Criteria'!$P$3:$Q$11),2,1)</f>
        <v>0.01</v>
      </c>
      <c r="V591" s="8" t="s">
        <v>32</v>
      </c>
      <c r="W591" s="36">
        <f t="shared" ca="1" si="30"/>
        <v>0.05</v>
      </c>
      <c r="X591" s="8" t="str">
        <f>_xlfn.XLOOKUP(F591,'Product List'!$B$1:$B$299,'Product List'!$A$1:$A$299)</f>
        <v>Newell 307</v>
      </c>
      <c r="Y591" s="8"/>
      <c r="Z591" s="8" t="str" cm="1">
        <f t="array" ref="Z591:AD591">_xlfn.XLOOKUP(D591,'Customer Details'!$A$1:$A$17,'Customer Details'!$B$1:$F$17,"No such customer",0,1)</f>
        <v>Lupin Ltd.</v>
      </c>
      <c r="AA591" s="8" t="str">
        <v>Abbey Wood</v>
      </c>
      <c r="AB591" s="8" t="str">
        <v>New York</v>
      </c>
      <c r="AC591" s="8" t="str">
        <v>NY</v>
      </c>
      <c r="AD591" s="8" t="str">
        <v>10019</v>
      </c>
    </row>
    <row r="592" spans="1:30">
      <c r="A592" s="8" t="s">
        <v>694</v>
      </c>
      <c r="B592" s="19">
        <v>41839</v>
      </c>
      <c r="C592" s="8" t="s">
        <v>33</v>
      </c>
      <c r="D592" s="8">
        <v>10011</v>
      </c>
      <c r="E592" s="8" t="str">
        <f>VLOOKUP($D592,'Customer Details'!$A$1:$F$17,4,FALSE)</f>
        <v>Olympia</v>
      </c>
      <c r="F592" s="8" t="s">
        <v>695</v>
      </c>
      <c r="G592" s="8">
        <v>12</v>
      </c>
      <c r="H592" s="2" t="str">
        <f>VLOOKUP($D592,'Customer Details'!$A$1:$F$17,MATCH('Order SUmmary'!H$2,'Customer Details'!$A$1:$F$1,0),0)</f>
        <v>Sonata Software</v>
      </c>
      <c r="I592" s="2" t="str">
        <f>VLOOKUP($D592,'Customer Details'!$A$1:$F$17,4,0)</f>
        <v>Olympia</v>
      </c>
      <c r="J592" s="2" t="str">
        <f>VLOOKUP($D592,'Customer Details'!$A$1:$F$17,6,0)</f>
        <v>98502</v>
      </c>
      <c r="K592" s="8" t="str">
        <f>VLOOKUP(VLOOKUP(D592,'Customer Details'!$A$1:$F$17,5,0),'Region INfo'!$A$1:$C$52,3,0)</f>
        <v xml:space="preserve">Pacific   </v>
      </c>
      <c r="L592" s="8" t="str">
        <f>INDEX(Product_List,MATCH($F592,'Product List'!$B$1:$B$299,0),MATCH('Order SUmmary'!L$2,'Product List'!$A$1:$E$1,0))</f>
        <v>Newell 318</v>
      </c>
      <c r="M592" s="8">
        <f>INDEX(Product_List,MATCH($F592,'Product List'!$B$1:$B$299,0),MATCH('Order SUmmary'!M$2,'Product List'!$A$1:$E$1,0))</f>
        <v>4099</v>
      </c>
      <c r="N592" s="8">
        <f>INDEX(Product_List,MATCH($F592,'Product List'!$B$1:$B$299,0),MATCH('Order SUmmary'!N$2,'Product List'!$A$1:$E$1,0))</f>
        <v>1530</v>
      </c>
      <c r="O592" s="8" t="str">
        <f>INDEX(Product_List,MATCH($F592,'Product List'!$B$1:$B$299,0),MATCH('Order SUmmary'!O$2,'Product List'!$A$1:$E$1,0))</f>
        <v>Art</v>
      </c>
      <c r="P592" s="12">
        <f>HLOOKUP(C592,'Commission Criteria'!$A$2:$I$4,3,FALSE)</f>
        <v>1</v>
      </c>
      <c r="Q592" s="8">
        <f t="shared" si="28"/>
        <v>18360</v>
      </c>
      <c r="R592" s="8">
        <f t="shared" si="29"/>
        <v>49188</v>
      </c>
      <c r="S592" s="36">
        <f>VLOOKUP(R592,'Commission Criteria'!$L$3:$M$11,2,TRUE)</f>
        <v>0.05</v>
      </c>
      <c r="T592" s="36">
        <f>IF(P592&lt;5,VLOOKUP(R592,'Commission Criteria'!$L$3:$M$11,2,1),VLOOKUP('Order SUmmary'!R592,'Commission Criteria'!$P$3:$Q$11,2,1))</f>
        <v>0.05</v>
      </c>
      <c r="U592" s="36">
        <f>VLOOKUP(R592,IF(P592&lt;5,'Commission Criteria'!$L$3:$M$11,'Commission Criteria'!$P$3:$Q$11),2,1)</f>
        <v>0.05</v>
      </c>
      <c r="V592" s="8" t="s">
        <v>43</v>
      </c>
      <c r="W592" s="36">
        <f t="shared" ca="1" si="30"/>
        <v>0.03</v>
      </c>
      <c r="X592" s="8" t="str">
        <f>_xlfn.XLOOKUP(F592,'Product List'!$B$1:$B$299,'Product List'!$A$1:$A$299)</f>
        <v>Newell 318</v>
      </c>
      <c r="Y592" s="8"/>
      <c r="Z592" s="8" t="str" cm="1">
        <f t="array" ref="Z592:AD592">_xlfn.XLOOKUP(D592,'Customer Details'!$A$1:$A$17,'Customer Details'!$B$1:$F$17,"No such customer",0,1)</f>
        <v>Sonata Software</v>
      </c>
      <c r="AA592" s="8" t="str">
        <v>1331 Kimberly Dr.</v>
      </c>
      <c r="AB592" s="8" t="str">
        <v>Olympia</v>
      </c>
      <c r="AC592" s="8" t="str">
        <v>WA</v>
      </c>
      <c r="AD592" s="8" t="str">
        <v>98502</v>
      </c>
    </row>
    <row r="593" spans="1:30">
      <c r="A593" s="8" t="s">
        <v>696</v>
      </c>
      <c r="B593" s="19">
        <v>41840</v>
      </c>
      <c r="C593" s="8" t="s">
        <v>33</v>
      </c>
      <c r="D593" s="8">
        <v>10006</v>
      </c>
      <c r="E593" s="8" t="str">
        <f>VLOOKUP($D593,'Customer Details'!$A$1:$F$17,4,FALSE)</f>
        <v>Midland</v>
      </c>
      <c r="F593" s="8" t="s">
        <v>361</v>
      </c>
      <c r="G593" s="8">
        <v>1</v>
      </c>
      <c r="H593" s="2" t="str">
        <f>VLOOKUP($D593,'Customer Details'!$A$1:$F$17,MATCH('Order SUmmary'!H$2,'Customer Details'!$A$1:$F$1,0),0)</f>
        <v>Supreme Ind</v>
      </c>
      <c r="I593" s="2" t="str">
        <f>VLOOKUP($D593,'Customer Details'!$A$1:$F$17,4,0)</f>
        <v>Midland</v>
      </c>
      <c r="J593" s="2" t="str">
        <f>VLOOKUP($D593,'Customer Details'!$A$1:$F$17,6,0)</f>
        <v>79706</v>
      </c>
      <c r="K593" s="8" t="str">
        <f>VLOOKUP(VLOOKUP(D593,'Customer Details'!$A$1:$F$17,5,0),'Region INfo'!$A$1:$C$52,3,0)</f>
        <v>Western</v>
      </c>
      <c r="L593" s="8" t="str">
        <f>INDEX(Product_List,MATCH($F593,'Product List'!$B$1:$B$299,0),MATCH('Order SUmmary'!L$2,'Product List'!$A$1:$E$1,0))</f>
        <v>Avery 518</v>
      </c>
      <c r="M593" s="8">
        <f>INDEX(Product_List,MATCH($F593,'Product List'!$B$1:$B$299,0),MATCH('Order SUmmary'!M$2,'Product List'!$A$1:$E$1,0))</f>
        <v>4741</v>
      </c>
      <c r="N593" s="8">
        <f>INDEX(Product_List,MATCH($F593,'Product List'!$B$1:$B$299,0),MATCH('Order SUmmary'!N$2,'Product List'!$A$1:$E$1,0))</f>
        <v>1849</v>
      </c>
      <c r="O593" s="8" t="str">
        <f>INDEX(Product_List,MATCH($F593,'Product List'!$B$1:$B$299,0),MATCH('Order SUmmary'!O$2,'Product List'!$A$1:$E$1,0))</f>
        <v>Labels</v>
      </c>
      <c r="P593" s="12">
        <f>HLOOKUP(C593,'Commission Criteria'!$A$2:$I$4,3,FALSE)</f>
        <v>1</v>
      </c>
      <c r="Q593" s="8">
        <f t="shared" si="28"/>
        <v>1849</v>
      </c>
      <c r="R593" s="8">
        <f t="shared" si="29"/>
        <v>4741</v>
      </c>
      <c r="S593" s="36">
        <f>VLOOKUP(R593,'Commission Criteria'!$L$3:$M$11,2,TRUE)</f>
        <v>0.01</v>
      </c>
      <c r="T593" s="36">
        <f>IF(P593&lt;5,VLOOKUP(R593,'Commission Criteria'!$L$3:$M$11,2,1),VLOOKUP('Order SUmmary'!R593,'Commission Criteria'!$P$3:$Q$11,2,1))</f>
        <v>0.01</v>
      </c>
      <c r="U593" s="36">
        <f>VLOOKUP(R593,IF(P593&lt;5,'Commission Criteria'!$L$3:$M$11,'Commission Criteria'!$P$3:$Q$11),2,1)</f>
        <v>0.01</v>
      </c>
      <c r="V593" s="8" t="s">
        <v>35</v>
      </c>
      <c r="W593" s="36">
        <f t="shared" ca="1" si="30"/>
        <v>0.01</v>
      </c>
      <c r="X593" s="8" t="str">
        <f>_xlfn.XLOOKUP(F593,'Product List'!$B$1:$B$299,'Product List'!$A$1:$A$299)</f>
        <v>Avery 518</v>
      </c>
      <c r="Y593" s="8"/>
      <c r="Z593" s="8" t="str" cm="1">
        <f t="array" ref="Z593:AD593">_xlfn.XLOOKUP(D593,'Customer Details'!$A$1:$A$17,'Customer Details'!$B$1:$F$17,"No such customer",0,1)</f>
        <v>Supreme Ind</v>
      </c>
      <c r="AA593" s="8" t="str">
        <v>P.O. Box 1367</v>
      </c>
      <c r="AB593" s="8" t="str">
        <v>Midland</v>
      </c>
      <c r="AC593" s="8" t="str">
        <v>TX</v>
      </c>
      <c r="AD593" s="8" t="str">
        <v>79706</v>
      </c>
    </row>
    <row r="594" spans="1:30">
      <c r="A594" s="8" t="s">
        <v>696</v>
      </c>
      <c r="B594" s="19">
        <v>41840</v>
      </c>
      <c r="C594" s="8" t="s">
        <v>46</v>
      </c>
      <c r="D594" s="8">
        <v>10007</v>
      </c>
      <c r="E594" s="8" t="str">
        <f>VLOOKUP($D594,'Customer Details'!$A$1:$F$17,4,FALSE)</f>
        <v>Richmond</v>
      </c>
      <c r="F594" s="8" t="s">
        <v>162</v>
      </c>
      <c r="G594" s="8">
        <v>2</v>
      </c>
      <c r="H594" s="2" t="str">
        <f>VLOOKUP($D594,'Customer Details'!$A$1:$F$17,MATCH('Order SUmmary'!H$2,'Customer Details'!$A$1:$F$1,0),0)</f>
        <v>GHCL Ltd.</v>
      </c>
      <c r="I594" s="2" t="str">
        <f>VLOOKUP($D594,'Customer Details'!$A$1:$F$17,4,0)</f>
        <v>Richmond</v>
      </c>
      <c r="J594" s="2" t="str">
        <f>VLOOKUP($D594,'Customer Details'!$A$1:$F$17,6,0)</f>
        <v>94805</v>
      </c>
      <c r="K594" s="8" t="str">
        <f>VLOOKUP(VLOOKUP(D594,'Customer Details'!$A$1:$F$17,5,0),'Region INfo'!$A$1:$C$52,3,0)</f>
        <v xml:space="preserve">Pacific   </v>
      </c>
      <c r="L594" s="8" t="str">
        <f>INDEX(Product_List,MATCH($F594,'Product List'!$B$1:$B$299,0),MATCH('Order SUmmary'!L$2,'Product List'!$A$1:$E$1,0))</f>
        <v>Avery 483</v>
      </c>
      <c r="M594" s="8">
        <f>INDEX(Product_List,MATCH($F594,'Product List'!$B$1:$B$299,0),MATCH('Order SUmmary'!M$2,'Product List'!$A$1:$E$1,0))</f>
        <v>3694</v>
      </c>
      <c r="N594" s="8">
        <f>INDEX(Product_List,MATCH($F594,'Product List'!$B$1:$B$299,0),MATCH('Order SUmmary'!N$2,'Product List'!$A$1:$E$1,0))</f>
        <v>1616</v>
      </c>
      <c r="O594" s="8" t="str">
        <f>INDEX(Product_List,MATCH($F594,'Product List'!$B$1:$B$299,0),MATCH('Order SUmmary'!O$2,'Product List'!$A$1:$E$1,0))</f>
        <v>Labels</v>
      </c>
      <c r="P594" s="12">
        <f>HLOOKUP(C594,'Commission Criteria'!$A$2:$I$4,3,FALSE)</f>
        <v>8</v>
      </c>
      <c r="Q594" s="8">
        <f t="shared" si="28"/>
        <v>3232</v>
      </c>
      <c r="R594" s="8">
        <f t="shared" si="29"/>
        <v>7388</v>
      </c>
      <c r="S594" s="36">
        <f>VLOOKUP(R594,'Commission Criteria'!$L$3:$M$11,2,TRUE)</f>
        <v>0.03</v>
      </c>
      <c r="T594" s="36">
        <f>IF(P594&lt;5,VLOOKUP(R594,'Commission Criteria'!$L$3:$M$11,2,1),VLOOKUP('Order SUmmary'!R594,'Commission Criteria'!$P$3:$Q$11,2,1))</f>
        <v>0.02</v>
      </c>
      <c r="U594" s="36">
        <f>VLOOKUP(R594,IF(P594&lt;5,'Commission Criteria'!$L$3:$M$11,'Commission Criteria'!$P$3:$Q$11),2,1)</f>
        <v>0.02</v>
      </c>
      <c r="V594" s="8" t="s">
        <v>50</v>
      </c>
      <c r="W594" s="36">
        <f t="shared" ca="1" si="30"/>
        <v>0.04</v>
      </c>
      <c r="X594" s="8" t="str">
        <f>_xlfn.XLOOKUP(F594,'Product List'!$B$1:$B$299,'Product List'!$A$1:$A$299)</f>
        <v>Avery 483</v>
      </c>
      <c r="Y594" s="8"/>
      <c r="Z594" s="8" t="str" cm="1">
        <f t="array" ref="Z594:AD594">_xlfn.XLOOKUP(D594,'Customer Details'!$A$1:$A$17,'Customer Details'!$B$1:$F$17,"No such customer",0,1)</f>
        <v>GHCL Ltd.</v>
      </c>
      <c r="AA594" s="8" t="str">
        <v>58 Clarence St</v>
      </c>
      <c r="AB594" s="8" t="str">
        <v>Richmond</v>
      </c>
      <c r="AC594" s="8" t="str">
        <v>CA</v>
      </c>
      <c r="AD594" s="8" t="str">
        <v>94805</v>
      </c>
    </row>
    <row r="595" spans="1:30">
      <c r="A595" s="8" t="s">
        <v>696</v>
      </c>
      <c r="B595" s="19">
        <v>41840</v>
      </c>
      <c r="C595" s="8" t="s">
        <v>66</v>
      </c>
      <c r="D595" s="8">
        <v>10009</v>
      </c>
      <c r="E595" s="8" t="str">
        <f>VLOOKUP($D595,'Customer Details'!$A$1:$F$17,4,FALSE)</f>
        <v>Salt Lake City</v>
      </c>
      <c r="F595" s="8" t="s">
        <v>265</v>
      </c>
      <c r="G595" s="8">
        <v>3</v>
      </c>
      <c r="H595" s="2" t="str">
        <f>VLOOKUP($D595,'Customer Details'!$A$1:$F$17,MATCH('Order SUmmary'!H$2,'Customer Details'!$A$1:$F$1,0),0)</f>
        <v>Godfrey Philips India Ltd.</v>
      </c>
      <c r="I595" s="2" t="str">
        <f>VLOOKUP($D595,'Customer Details'!$A$1:$F$17,4,0)</f>
        <v>Salt Lake City</v>
      </c>
      <c r="J595" s="2" t="str">
        <f>VLOOKUP($D595,'Customer Details'!$A$1:$F$17,6,0)</f>
        <v>84118</v>
      </c>
      <c r="K595" s="8" t="str">
        <f>VLOOKUP(VLOOKUP(D595,'Customer Details'!$A$1:$F$17,5,0),'Region INfo'!$A$1:$C$52,3,0)</f>
        <v xml:space="preserve">Pacific   </v>
      </c>
      <c r="L595" s="8" t="str">
        <f>INDEX(Product_List,MATCH($F595,'Product List'!$B$1:$B$299,0),MATCH('Order SUmmary'!L$2,'Product List'!$A$1:$E$1,0))</f>
        <v>Xerox 205</v>
      </c>
      <c r="M595" s="8">
        <f>INDEX(Product_List,MATCH($F595,'Product List'!$B$1:$B$299,0),MATCH('Order SUmmary'!M$2,'Product List'!$A$1:$E$1,0))</f>
        <v>3832</v>
      </c>
      <c r="N595" s="8">
        <f>INDEX(Product_List,MATCH($F595,'Product List'!$B$1:$B$299,0),MATCH('Order SUmmary'!N$2,'Product List'!$A$1:$E$1,0))</f>
        <v>1570</v>
      </c>
      <c r="O595" s="8" t="str">
        <f>INDEX(Product_List,MATCH($F595,'Product List'!$B$1:$B$299,0),MATCH('Order SUmmary'!O$2,'Product List'!$A$1:$E$1,0))</f>
        <v>Paper</v>
      </c>
      <c r="P595" s="12">
        <f>HLOOKUP(C595,'Commission Criteria'!$A$2:$I$4,3,FALSE)</f>
        <v>5</v>
      </c>
      <c r="Q595" s="8">
        <f t="shared" si="28"/>
        <v>4710</v>
      </c>
      <c r="R595" s="8">
        <f t="shared" si="29"/>
        <v>11496</v>
      </c>
      <c r="S595" s="36">
        <f>VLOOKUP(R595,'Commission Criteria'!$L$3:$M$11,2,TRUE)</f>
        <v>0.03</v>
      </c>
      <c r="T595" s="36">
        <f>IF(P595&lt;5,VLOOKUP(R595,'Commission Criteria'!$L$3:$M$11,2,1),VLOOKUP('Order SUmmary'!R595,'Commission Criteria'!$P$3:$Q$11,2,1))</f>
        <v>0.02</v>
      </c>
      <c r="U595" s="36">
        <f>VLOOKUP(R595,IF(P595&lt;5,'Commission Criteria'!$L$3:$M$11,'Commission Criteria'!$P$3:$Q$11),2,1)</f>
        <v>0.02</v>
      </c>
      <c r="V595" s="8" t="s">
        <v>29</v>
      </c>
      <c r="W595" s="36">
        <f t="shared" ca="1" si="30"/>
        <v>0.04</v>
      </c>
      <c r="X595" s="8" t="str">
        <f>_xlfn.XLOOKUP(F595,'Product List'!$B$1:$B$299,'Product List'!$A$1:$A$299)</f>
        <v>Xerox 205</v>
      </c>
      <c r="Y595" s="8"/>
      <c r="Z595" s="8" t="str" cm="1">
        <f t="array" ref="Z595:AD595">_xlfn.XLOOKUP(D595,'Customer Details'!$A$1:$A$17,'Customer Details'!$B$1:$F$17,"No such customer",0,1)</f>
        <v>Godfrey Philips India Ltd.</v>
      </c>
      <c r="AA595" s="8" t="str">
        <v>20501 Ania Ave #2</v>
      </c>
      <c r="AB595" s="8" t="str">
        <v>Salt Lake City</v>
      </c>
      <c r="AC595" s="8" t="str">
        <v>UT</v>
      </c>
      <c r="AD595" s="8" t="str">
        <v>84118</v>
      </c>
    </row>
    <row r="596" spans="1:30">
      <c r="A596" s="8" t="s">
        <v>697</v>
      </c>
      <c r="B596" s="19">
        <v>41842</v>
      </c>
      <c r="C596" s="8" t="s">
        <v>36</v>
      </c>
      <c r="D596" s="8">
        <v>10003</v>
      </c>
      <c r="E596" s="8" t="str">
        <f>VLOOKUP($D596,'Customer Details'!$A$1:$F$17,4,FALSE)</f>
        <v>Miami</v>
      </c>
      <c r="F596" s="8" t="s">
        <v>510</v>
      </c>
      <c r="G596" s="8">
        <v>1</v>
      </c>
      <c r="H596" s="2" t="str">
        <f>VLOOKUP($D596,'Customer Details'!$A$1:$F$17,MATCH('Order SUmmary'!H$2,'Customer Details'!$A$1:$F$1,0),0)</f>
        <v>Honeywell Automation</v>
      </c>
      <c r="I596" s="2" t="str">
        <f>VLOOKUP($D596,'Customer Details'!$A$1:$F$17,4,0)</f>
        <v>Miami</v>
      </c>
      <c r="J596" s="2" t="str">
        <f>VLOOKUP($D596,'Customer Details'!$A$1:$F$17,6,0)</f>
        <v>33732</v>
      </c>
      <c r="K596" s="8" t="str">
        <f>VLOOKUP(VLOOKUP(D596,'Customer Details'!$A$1:$F$17,5,0),'Region INfo'!$A$1:$C$52,3,0)</f>
        <v>Southern</v>
      </c>
      <c r="L596" s="8" t="str">
        <f>INDEX(Product_List,MATCH($F596,'Product List'!$B$1:$B$299,0),MATCH('Order SUmmary'!L$2,'Product List'!$A$1:$E$1,0))</f>
        <v>Avery 507</v>
      </c>
      <c r="M596" s="8">
        <f>INDEX(Product_List,MATCH($F596,'Product List'!$B$1:$B$299,0),MATCH('Order SUmmary'!M$2,'Product List'!$A$1:$E$1,0))</f>
        <v>3473</v>
      </c>
      <c r="N596" s="8">
        <f>INDEX(Product_List,MATCH($F596,'Product List'!$B$1:$B$299,0),MATCH('Order SUmmary'!N$2,'Product List'!$A$1:$E$1,0))</f>
        <v>1493</v>
      </c>
      <c r="O596" s="8" t="str">
        <f>INDEX(Product_List,MATCH($F596,'Product List'!$B$1:$B$299,0),MATCH('Order SUmmary'!O$2,'Product List'!$A$1:$E$1,0))</f>
        <v>Labels</v>
      </c>
      <c r="P596" s="12">
        <f>HLOOKUP(C596,'Commission Criteria'!$A$2:$I$4,3,FALSE)</f>
        <v>6</v>
      </c>
      <c r="Q596" s="8">
        <f t="shared" si="28"/>
        <v>1493</v>
      </c>
      <c r="R596" s="8">
        <f t="shared" si="29"/>
        <v>3473</v>
      </c>
      <c r="S596" s="36">
        <f>VLOOKUP(R596,'Commission Criteria'!$L$3:$M$11,2,TRUE)</f>
        <v>0.01</v>
      </c>
      <c r="T596" s="36">
        <f>IF(P596&lt;5,VLOOKUP(R596,'Commission Criteria'!$L$3:$M$11,2,1),VLOOKUP('Order SUmmary'!R596,'Commission Criteria'!$P$3:$Q$11,2,1))</f>
        <v>0.02</v>
      </c>
      <c r="U596" s="36">
        <f>VLOOKUP(R596,IF(P596&lt;5,'Commission Criteria'!$L$3:$M$11,'Commission Criteria'!$P$3:$Q$11),2,1)</f>
        <v>0.02</v>
      </c>
      <c r="V596" s="8" t="s">
        <v>35</v>
      </c>
      <c r="W596" s="36">
        <f t="shared" ca="1" si="30"/>
        <v>0.04</v>
      </c>
      <c r="X596" s="8" t="str">
        <f>_xlfn.XLOOKUP(F596,'Product List'!$B$1:$B$299,'Product List'!$A$1:$A$299)</f>
        <v>Avery 507</v>
      </c>
      <c r="Y596" s="8"/>
      <c r="Z596" s="8" t="str" cm="1">
        <f t="array" ref="Z596:AD596">_xlfn.XLOOKUP(D596,'Customer Details'!$A$1:$A$17,'Customer Details'!$B$1:$F$17,"No such customer",0,1)</f>
        <v>Honeywell Automation</v>
      </c>
      <c r="AA596" s="8" t="str">
        <v>1272 Harbor Road</v>
      </c>
      <c r="AB596" s="8" t="str">
        <v>Miami</v>
      </c>
      <c r="AC596" s="8" t="str">
        <v>FL</v>
      </c>
      <c r="AD596" s="8" t="str">
        <v>33732</v>
      </c>
    </row>
    <row r="597" spans="1:30">
      <c r="A597" s="8" t="s">
        <v>698</v>
      </c>
      <c r="B597" s="19">
        <v>41843</v>
      </c>
      <c r="C597" s="8" t="s">
        <v>54</v>
      </c>
      <c r="D597" s="8">
        <v>10006</v>
      </c>
      <c r="E597" s="8" t="str">
        <f>VLOOKUP($D597,'Customer Details'!$A$1:$F$17,4,FALSE)</f>
        <v>Midland</v>
      </c>
      <c r="F597" s="8" t="s">
        <v>102</v>
      </c>
      <c r="G597" s="8">
        <v>3</v>
      </c>
      <c r="H597" s="2" t="str">
        <f>VLOOKUP($D597,'Customer Details'!$A$1:$F$17,MATCH('Order SUmmary'!H$2,'Customer Details'!$A$1:$F$1,0),0)</f>
        <v>Supreme Ind</v>
      </c>
      <c r="I597" s="2" t="str">
        <f>VLOOKUP($D597,'Customer Details'!$A$1:$F$17,4,0)</f>
        <v>Midland</v>
      </c>
      <c r="J597" s="2" t="str">
        <f>VLOOKUP($D597,'Customer Details'!$A$1:$F$17,6,0)</f>
        <v>79706</v>
      </c>
      <c r="K597" s="8" t="str">
        <f>VLOOKUP(VLOOKUP(D597,'Customer Details'!$A$1:$F$17,5,0),'Region INfo'!$A$1:$C$52,3,0)</f>
        <v>Western</v>
      </c>
      <c r="L597" s="8" t="str">
        <f>INDEX(Product_List,MATCH($F597,'Product List'!$B$1:$B$299,0),MATCH('Order SUmmary'!L$2,'Product List'!$A$1:$E$1,0))</f>
        <v>Xerox 1997</v>
      </c>
      <c r="M597" s="8">
        <f>INDEX(Product_List,MATCH($F597,'Product List'!$B$1:$B$299,0),MATCH('Order SUmmary'!M$2,'Product List'!$A$1:$E$1,0))</f>
        <v>3844</v>
      </c>
      <c r="N597" s="8">
        <f>INDEX(Product_List,MATCH($F597,'Product List'!$B$1:$B$299,0),MATCH('Order SUmmary'!N$2,'Product List'!$A$1:$E$1,0))</f>
        <v>2157</v>
      </c>
      <c r="O597" s="8" t="str">
        <f>INDEX(Product_List,MATCH($F597,'Product List'!$B$1:$B$299,0),MATCH('Order SUmmary'!O$2,'Product List'!$A$1:$E$1,0))</f>
        <v>Paper</v>
      </c>
      <c r="P597" s="12">
        <f>HLOOKUP(C597,'Commission Criteria'!$A$2:$I$4,3,FALSE)</f>
        <v>3</v>
      </c>
      <c r="Q597" s="8">
        <f t="shared" si="28"/>
        <v>6471</v>
      </c>
      <c r="R597" s="8">
        <f t="shared" si="29"/>
        <v>11532</v>
      </c>
      <c r="S597" s="36">
        <f>VLOOKUP(R597,'Commission Criteria'!$L$3:$M$11,2,TRUE)</f>
        <v>0.03</v>
      </c>
      <c r="T597" s="36">
        <f>IF(P597&lt;5,VLOOKUP(R597,'Commission Criteria'!$L$3:$M$11,2,1),VLOOKUP('Order SUmmary'!R597,'Commission Criteria'!$P$3:$Q$11,2,1))</f>
        <v>0.03</v>
      </c>
      <c r="U597" s="36">
        <f>VLOOKUP(R597,IF(P597&lt;5,'Commission Criteria'!$L$3:$M$11,'Commission Criteria'!$P$3:$Q$11),2,1)</f>
        <v>0.03</v>
      </c>
      <c r="V597" s="8" t="s">
        <v>35</v>
      </c>
      <c r="W597" s="36">
        <f t="shared" ca="1" si="30"/>
        <v>0.02</v>
      </c>
      <c r="X597" s="8" t="str">
        <f>_xlfn.XLOOKUP(F597,'Product List'!$B$1:$B$299,'Product List'!$A$1:$A$299)</f>
        <v>Xerox 1997</v>
      </c>
      <c r="Y597" s="8"/>
      <c r="Z597" s="8" t="str" cm="1">
        <f t="array" ref="Z597:AD597">_xlfn.XLOOKUP(D597,'Customer Details'!$A$1:$A$17,'Customer Details'!$B$1:$F$17,"No such customer",0,1)</f>
        <v>Supreme Ind</v>
      </c>
      <c r="AA597" s="8" t="str">
        <v>P.O. Box 1367</v>
      </c>
      <c r="AB597" s="8" t="str">
        <v>Midland</v>
      </c>
      <c r="AC597" s="8" t="str">
        <v>TX</v>
      </c>
      <c r="AD597" s="8" t="str">
        <v>79706</v>
      </c>
    </row>
    <row r="598" spans="1:30">
      <c r="A598" s="8" t="s">
        <v>699</v>
      </c>
      <c r="B598" s="19">
        <v>41844</v>
      </c>
      <c r="C598" s="8" t="s">
        <v>44</v>
      </c>
      <c r="D598" s="8">
        <v>10008</v>
      </c>
      <c r="E598" s="8" t="str">
        <f>VLOOKUP($D598,'Customer Details'!$A$1:$F$17,4,FALSE)</f>
        <v>Chestnut Ridge</v>
      </c>
      <c r="F598" s="8" t="s">
        <v>315</v>
      </c>
      <c r="G598" s="8">
        <v>1</v>
      </c>
      <c r="H598" s="2" t="str">
        <f>VLOOKUP($D598,'Customer Details'!$A$1:$F$17,MATCH('Order SUmmary'!H$2,'Customer Details'!$A$1:$F$1,0),0)</f>
        <v>Reliance Industries Limited</v>
      </c>
      <c r="I598" s="2" t="str">
        <f>VLOOKUP($D598,'Customer Details'!$A$1:$F$17,4,0)</f>
        <v>Chestnut Ridge</v>
      </c>
      <c r="J598" s="2" t="str">
        <f>VLOOKUP($D598,'Customer Details'!$A$1:$F$17,6,0)</f>
        <v>10977</v>
      </c>
      <c r="K598" s="8" t="str">
        <f>VLOOKUP(VLOOKUP(D598,'Customer Details'!$A$1:$F$17,5,0),'Region INfo'!$A$1:$C$52,3,0)</f>
        <v xml:space="preserve">Northern </v>
      </c>
      <c r="L598" s="8" t="str">
        <f>INDEX(Product_List,MATCH($F598,'Product List'!$B$1:$B$299,0),MATCH('Order SUmmary'!L$2,'Product List'!$A$1:$E$1,0))</f>
        <v>Xerox 1918</v>
      </c>
      <c r="M598" s="8">
        <f>INDEX(Product_List,MATCH($F598,'Product List'!$B$1:$B$299,0),MATCH('Order SUmmary'!M$2,'Product List'!$A$1:$E$1,0))</f>
        <v>3421</v>
      </c>
      <c r="N598" s="8">
        <f>INDEX(Product_List,MATCH($F598,'Product List'!$B$1:$B$299,0),MATCH('Order SUmmary'!N$2,'Product List'!$A$1:$E$1,0))</f>
        <v>1569</v>
      </c>
      <c r="O598" s="8" t="str">
        <f>INDEX(Product_List,MATCH($F598,'Product List'!$B$1:$B$299,0),MATCH('Order SUmmary'!O$2,'Product List'!$A$1:$E$1,0))</f>
        <v>Paper</v>
      </c>
      <c r="P598" s="12">
        <f>HLOOKUP(C598,'Commission Criteria'!$A$2:$I$4,3,FALSE)</f>
        <v>4</v>
      </c>
      <c r="Q598" s="8">
        <f t="shared" si="28"/>
        <v>1569</v>
      </c>
      <c r="R598" s="8">
        <f t="shared" si="29"/>
        <v>3421</v>
      </c>
      <c r="S598" s="36">
        <f>VLOOKUP(R598,'Commission Criteria'!$L$3:$M$11,2,TRUE)</f>
        <v>0.01</v>
      </c>
      <c r="T598" s="36">
        <f>IF(P598&lt;5,VLOOKUP(R598,'Commission Criteria'!$L$3:$M$11,2,1),VLOOKUP('Order SUmmary'!R598,'Commission Criteria'!$P$3:$Q$11,2,1))</f>
        <v>0.01</v>
      </c>
      <c r="U598" s="36">
        <f>VLOOKUP(R598,IF(P598&lt;5,'Commission Criteria'!$L$3:$M$11,'Commission Criteria'!$P$3:$Q$11),2,1)</f>
        <v>0.01</v>
      </c>
      <c r="V598" s="8" t="s">
        <v>50</v>
      </c>
      <c r="W598" s="36">
        <f t="shared" ca="1" si="30"/>
        <v>0.05</v>
      </c>
      <c r="X598" s="8" t="str">
        <f>_xlfn.XLOOKUP(F598,'Product List'!$B$1:$B$299,'Product List'!$A$1:$A$299)</f>
        <v>Xerox 1918</v>
      </c>
      <c r="Y598" s="8"/>
      <c r="Z598" s="8" t="str" cm="1">
        <f t="array" ref="Z598:AD598">_xlfn.XLOOKUP(D598,'Customer Details'!$A$1:$A$17,'Customer Details'!$B$1:$F$17,"No such customer",0,1)</f>
        <v>Reliance Industries Limited</v>
      </c>
      <c r="AA598" s="8" t="str">
        <v>12020 Shamrock Rd., Suite 333</v>
      </c>
      <c r="AB598" s="8" t="str">
        <v>Chestnut Ridge</v>
      </c>
      <c r="AC598" s="8" t="str">
        <v>NY</v>
      </c>
      <c r="AD598" s="8" t="str">
        <v>10977</v>
      </c>
    </row>
    <row r="599" spans="1:30">
      <c r="A599" s="8" t="s">
        <v>699</v>
      </c>
      <c r="B599" s="19">
        <v>41844</v>
      </c>
      <c r="C599" s="8" t="s">
        <v>46</v>
      </c>
      <c r="D599" s="8">
        <v>10014</v>
      </c>
      <c r="E599" s="8" t="str">
        <f>VLOOKUP($D599,'Customer Details'!$A$1:$F$17,4,FALSE)</f>
        <v>Honolulu</v>
      </c>
      <c r="F599" s="8" t="s">
        <v>227</v>
      </c>
      <c r="G599" s="8">
        <v>3</v>
      </c>
      <c r="H599" s="2" t="str">
        <f>VLOOKUP($D599,'Customer Details'!$A$1:$F$17,MATCH('Order SUmmary'!H$2,'Customer Details'!$A$1:$F$1,0),0)</f>
        <v>Hindusthan National Glass &amp; Industries Ltd.</v>
      </c>
      <c r="I599" s="2" t="str">
        <f>VLOOKUP($D599,'Customer Details'!$A$1:$F$17,4,0)</f>
        <v>Honolulu</v>
      </c>
      <c r="J599" s="2" t="str">
        <f>VLOOKUP($D599,'Customer Details'!$A$1:$F$17,6,0)</f>
        <v>96825</v>
      </c>
      <c r="K599" s="8" t="str">
        <f>VLOOKUP(VLOOKUP(D599,'Customer Details'!$A$1:$F$17,5,0),'Region INfo'!$A$1:$C$52,3,0)</f>
        <v xml:space="preserve">Pacific   </v>
      </c>
      <c r="L599" s="8" t="str">
        <f>INDEX(Product_List,MATCH($F599,'Product List'!$B$1:$B$299,0),MATCH('Order SUmmary'!L$2,'Product List'!$A$1:$E$1,0))</f>
        <v>Xerox 21</v>
      </c>
      <c r="M599" s="8">
        <f>INDEX(Product_List,MATCH($F599,'Product List'!$B$1:$B$299,0),MATCH('Order SUmmary'!M$2,'Product List'!$A$1:$E$1,0))</f>
        <v>2787</v>
      </c>
      <c r="N599" s="8">
        <f>INDEX(Product_List,MATCH($F599,'Product List'!$B$1:$B$299,0),MATCH('Order SUmmary'!N$2,'Product List'!$A$1:$E$1,0))</f>
        <v>2020</v>
      </c>
      <c r="O599" s="8" t="str">
        <f>INDEX(Product_List,MATCH($F599,'Product List'!$B$1:$B$299,0),MATCH('Order SUmmary'!O$2,'Product List'!$A$1:$E$1,0))</f>
        <v>Paper</v>
      </c>
      <c r="P599" s="12">
        <f>HLOOKUP(C599,'Commission Criteria'!$A$2:$I$4,3,FALSE)</f>
        <v>8</v>
      </c>
      <c r="Q599" s="8">
        <f t="shared" si="28"/>
        <v>6060</v>
      </c>
      <c r="R599" s="8">
        <f t="shared" si="29"/>
        <v>8361</v>
      </c>
      <c r="S599" s="36">
        <f>VLOOKUP(R599,'Commission Criteria'!$L$3:$M$11,2,TRUE)</f>
        <v>0.03</v>
      </c>
      <c r="T599" s="36">
        <f>IF(P599&lt;5,VLOOKUP(R599,'Commission Criteria'!$L$3:$M$11,2,1),VLOOKUP('Order SUmmary'!R599,'Commission Criteria'!$P$3:$Q$11,2,1))</f>
        <v>0.02</v>
      </c>
      <c r="U599" s="36">
        <f>VLOOKUP(R599,IF(P599&lt;5,'Commission Criteria'!$L$3:$M$11,'Commission Criteria'!$P$3:$Q$11),2,1)</f>
        <v>0.02</v>
      </c>
      <c r="V599" s="8" t="s">
        <v>40</v>
      </c>
      <c r="W599" s="36">
        <f t="shared" ca="1" si="30"/>
        <v>0.05</v>
      </c>
      <c r="X599" s="8" t="str">
        <f>_xlfn.XLOOKUP(F599,'Product List'!$B$1:$B$299,'Product List'!$A$1:$A$299)</f>
        <v>Xerox 21</v>
      </c>
      <c r="Y599" s="8"/>
      <c r="Z599" s="8" t="str" cm="1">
        <f t="array" ref="Z599:AD599">_xlfn.XLOOKUP(D599,'Customer Details'!$A$1:$A$17,'Customer Details'!$B$1:$F$17,"No such customer",0,1)</f>
        <v>Hindusthan National Glass &amp; Industries Ltd.</v>
      </c>
      <c r="AA599" s="8" t="str">
        <v>11 Cathy St.</v>
      </c>
      <c r="AB599" s="8" t="str">
        <v>Honolulu</v>
      </c>
      <c r="AC599" s="8" t="str">
        <v>HI</v>
      </c>
      <c r="AD599" s="8" t="str">
        <v>96825</v>
      </c>
    </row>
    <row r="600" spans="1:30">
      <c r="A600" s="8" t="s">
        <v>700</v>
      </c>
      <c r="B600" s="19">
        <v>41847</v>
      </c>
      <c r="C600" s="8" t="s">
        <v>27</v>
      </c>
      <c r="D600" s="8">
        <v>10009</v>
      </c>
      <c r="E600" s="8" t="str">
        <f>VLOOKUP($D600,'Customer Details'!$A$1:$F$17,4,FALSE)</f>
        <v>Salt Lake City</v>
      </c>
      <c r="F600" s="8" t="s">
        <v>439</v>
      </c>
      <c r="G600" s="8">
        <v>3</v>
      </c>
      <c r="H600" s="2" t="str">
        <f>VLOOKUP($D600,'Customer Details'!$A$1:$F$17,MATCH('Order SUmmary'!H$2,'Customer Details'!$A$1:$F$1,0),0)</f>
        <v>Godfrey Philips India Ltd.</v>
      </c>
      <c r="I600" s="2" t="str">
        <f>VLOOKUP($D600,'Customer Details'!$A$1:$F$17,4,0)</f>
        <v>Salt Lake City</v>
      </c>
      <c r="J600" s="2" t="str">
        <f>VLOOKUP($D600,'Customer Details'!$A$1:$F$17,6,0)</f>
        <v>84118</v>
      </c>
      <c r="K600" s="8" t="str">
        <f>VLOOKUP(VLOOKUP(D600,'Customer Details'!$A$1:$F$17,5,0),'Region INfo'!$A$1:$C$52,3,0)</f>
        <v xml:space="preserve">Pacific   </v>
      </c>
      <c r="L600" s="8" t="str">
        <f>INDEX(Product_List,MATCH($F600,'Product List'!$B$1:$B$299,0),MATCH('Order SUmmary'!L$2,'Product List'!$A$1:$E$1,0))</f>
        <v>Xerox 1919</v>
      </c>
      <c r="M600" s="8">
        <f>INDEX(Product_List,MATCH($F600,'Product List'!$B$1:$B$299,0),MATCH('Order SUmmary'!M$2,'Product List'!$A$1:$E$1,0))</f>
        <v>2535</v>
      </c>
      <c r="N600" s="8">
        <f>INDEX(Product_List,MATCH($F600,'Product List'!$B$1:$B$299,0),MATCH('Order SUmmary'!N$2,'Product List'!$A$1:$E$1,0))</f>
        <v>1841</v>
      </c>
      <c r="O600" s="8" t="str">
        <f>INDEX(Product_List,MATCH($F600,'Product List'!$B$1:$B$299,0),MATCH('Order SUmmary'!O$2,'Product List'!$A$1:$E$1,0))</f>
        <v>Paper</v>
      </c>
      <c r="P600" s="12">
        <f>HLOOKUP(C600,'Commission Criteria'!$A$2:$I$4,3,FALSE)</f>
        <v>4</v>
      </c>
      <c r="Q600" s="8">
        <f t="shared" si="28"/>
        <v>5523</v>
      </c>
      <c r="R600" s="8">
        <f t="shared" si="29"/>
        <v>7605</v>
      </c>
      <c r="S600" s="36">
        <f>VLOOKUP(R600,'Commission Criteria'!$L$3:$M$11,2,TRUE)</f>
        <v>0.03</v>
      </c>
      <c r="T600" s="36">
        <f>IF(P600&lt;5,VLOOKUP(R600,'Commission Criteria'!$L$3:$M$11,2,1),VLOOKUP('Order SUmmary'!R600,'Commission Criteria'!$P$3:$Q$11,2,1))</f>
        <v>0.03</v>
      </c>
      <c r="U600" s="36">
        <f>VLOOKUP(R600,IF(P600&lt;5,'Commission Criteria'!$L$3:$M$11,'Commission Criteria'!$P$3:$Q$11),2,1)</f>
        <v>0.03</v>
      </c>
      <c r="V600" s="8" t="s">
        <v>50</v>
      </c>
      <c r="W600" s="36">
        <f t="shared" ca="1" si="30"/>
        <v>0.02</v>
      </c>
      <c r="X600" s="8" t="str">
        <f>_xlfn.XLOOKUP(F600,'Product List'!$B$1:$B$299,'Product List'!$A$1:$A$299)</f>
        <v>Xerox 1919</v>
      </c>
      <c r="Y600" s="8"/>
      <c r="Z600" s="8" t="str" cm="1">
        <f t="array" ref="Z600:AD600">_xlfn.XLOOKUP(D600,'Customer Details'!$A$1:$A$17,'Customer Details'!$B$1:$F$17,"No such customer",0,1)</f>
        <v>Godfrey Philips India Ltd.</v>
      </c>
      <c r="AA600" s="8" t="str">
        <v>20501 Ania Ave #2</v>
      </c>
      <c r="AB600" s="8" t="str">
        <v>Salt Lake City</v>
      </c>
      <c r="AC600" s="8" t="str">
        <v>UT</v>
      </c>
      <c r="AD600" s="8" t="str">
        <v>84118</v>
      </c>
    </row>
    <row r="601" spans="1:30">
      <c r="A601" s="8" t="s">
        <v>701</v>
      </c>
      <c r="B601" s="19">
        <v>41849</v>
      </c>
      <c r="C601" s="8" t="s">
        <v>44</v>
      </c>
      <c r="D601" s="8">
        <v>10005</v>
      </c>
      <c r="E601" s="8" t="str">
        <f>VLOOKUP($D601,'Customer Details'!$A$1:$F$17,4,FALSE)</f>
        <v>Goleta</v>
      </c>
      <c r="F601" s="8" t="s">
        <v>31</v>
      </c>
      <c r="G601" s="8">
        <v>3</v>
      </c>
      <c r="H601" s="2" t="str">
        <f>VLOOKUP($D601,'Customer Details'!$A$1:$F$17,MATCH('Order SUmmary'!H$2,'Customer Details'!$A$1:$F$1,0),0)</f>
        <v>Fortis Healthcare Ltd.</v>
      </c>
      <c r="I601" s="2" t="str">
        <f>VLOOKUP($D601,'Customer Details'!$A$1:$F$17,4,0)</f>
        <v>Goleta</v>
      </c>
      <c r="J601" s="2" t="str">
        <f>VLOOKUP($D601,'Customer Details'!$A$1:$F$17,6,0)</f>
        <v>93117</v>
      </c>
      <c r="K601" s="8" t="str">
        <f>VLOOKUP(VLOOKUP(D601,'Customer Details'!$A$1:$F$17,5,0),'Region INfo'!$A$1:$C$52,3,0)</f>
        <v xml:space="preserve">Pacific   </v>
      </c>
      <c r="L601" s="8" t="str">
        <f>INDEX(Product_List,MATCH($F601,'Product List'!$B$1:$B$299,0),MATCH('Order SUmmary'!L$2,'Product List'!$A$1:$E$1,0))</f>
        <v>Avery 494</v>
      </c>
      <c r="M601" s="8">
        <f>INDEX(Product_List,MATCH($F601,'Product List'!$B$1:$B$299,0),MATCH('Order SUmmary'!M$2,'Product List'!$A$1:$E$1,0))</f>
        <v>2923</v>
      </c>
      <c r="N601" s="8">
        <f>INDEX(Product_List,MATCH($F601,'Product List'!$B$1:$B$299,0),MATCH('Order SUmmary'!N$2,'Product List'!$A$1:$E$1,0))</f>
        <v>2480</v>
      </c>
      <c r="O601" s="8" t="str">
        <f>INDEX(Product_List,MATCH($F601,'Product List'!$B$1:$B$299,0),MATCH('Order SUmmary'!O$2,'Product List'!$A$1:$E$1,0))</f>
        <v>Labels</v>
      </c>
      <c r="P601" s="12">
        <f>HLOOKUP(C601,'Commission Criteria'!$A$2:$I$4,3,FALSE)</f>
        <v>4</v>
      </c>
      <c r="Q601" s="8">
        <f t="shared" si="28"/>
        <v>7440</v>
      </c>
      <c r="R601" s="8">
        <f t="shared" si="29"/>
        <v>8769</v>
      </c>
      <c r="S601" s="36">
        <f>VLOOKUP(R601,'Commission Criteria'!$L$3:$M$11,2,TRUE)</f>
        <v>0.03</v>
      </c>
      <c r="T601" s="36">
        <f>IF(P601&lt;5,VLOOKUP(R601,'Commission Criteria'!$L$3:$M$11,2,1),VLOOKUP('Order SUmmary'!R601,'Commission Criteria'!$P$3:$Q$11,2,1))</f>
        <v>0.03</v>
      </c>
      <c r="U601" s="36">
        <f>VLOOKUP(R601,IF(P601&lt;5,'Commission Criteria'!$L$3:$M$11,'Commission Criteria'!$P$3:$Q$11),2,1)</f>
        <v>0.03</v>
      </c>
      <c r="V601" s="8" t="s">
        <v>29</v>
      </c>
      <c r="W601" s="36">
        <f t="shared" ca="1" si="30"/>
        <v>0.01</v>
      </c>
      <c r="X601" s="8" t="str">
        <f>_xlfn.XLOOKUP(F601,'Product List'!$B$1:$B$299,'Product List'!$A$1:$A$299)</f>
        <v>Avery 494</v>
      </c>
      <c r="Y601" s="8"/>
      <c r="Z601" s="8" t="str" cm="1">
        <f t="array" ref="Z601:AD601">_xlfn.XLOOKUP(D601,'Customer Details'!$A$1:$A$17,'Customer Details'!$B$1:$F$17,"No such customer",0,1)</f>
        <v>Fortis Healthcare Ltd.</v>
      </c>
      <c r="AA601" s="8" t="str">
        <v>14 Elsworthy Terrace</v>
      </c>
      <c r="AB601" s="8" t="str">
        <v>Goleta</v>
      </c>
      <c r="AC601" s="8" t="str">
        <v>CA</v>
      </c>
      <c r="AD601" s="8" t="str">
        <v>93117</v>
      </c>
    </row>
    <row r="602" spans="1:30">
      <c r="A602" s="8" t="s">
        <v>702</v>
      </c>
      <c r="B602" s="19">
        <v>41850</v>
      </c>
      <c r="C602" s="8" t="s">
        <v>33</v>
      </c>
      <c r="D602" s="8">
        <v>10002</v>
      </c>
      <c r="E602" s="8" t="str">
        <f>VLOOKUP($D602,'Customer Details'!$A$1:$F$17,4,FALSE)</f>
        <v>Omaha</v>
      </c>
      <c r="F602" s="8" t="s">
        <v>49</v>
      </c>
      <c r="G602" s="8">
        <v>1</v>
      </c>
      <c r="H602" s="2" t="str">
        <f>VLOOKUP($D602,'Customer Details'!$A$1:$F$17,MATCH('Order SUmmary'!H$2,'Customer Details'!$A$1:$F$1,0),0)</f>
        <v>Elder Pharmaceuticals</v>
      </c>
      <c r="I602" s="2" t="str">
        <f>VLOOKUP($D602,'Customer Details'!$A$1:$F$17,4,0)</f>
        <v>Omaha</v>
      </c>
      <c r="J602" s="2" t="str">
        <f>VLOOKUP($D602,'Customer Details'!$A$1:$F$17,6,0)</f>
        <v>68127</v>
      </c>
      <c r="K602" s="8" t="str">
        <f>VLOOKUP(VLOOKUP(D602,'Customer Details'!$A$1:$F$17,5,0),'Region INfo'!$A$1:$C$52,3,0)</f>
        <v>Western</v>
      </c>
      <c r="L602" s="8" t="str">
        <f>INDEX(Product_List,MATCH($F602,'Product List'!$B$1:$B$299,0),MATCH('Order SUmmary'!L$2,'Product List'!$A$1:$E$1,0))</f>
        <v>Avery 477</v>
      </c>
      <c r="M602" s="8">
        <f>INDEX(Product_List,MATCH($F602,'Product List'!$B$1:$B$299,0),MATCH('Order SUmmary'!M$2,'Product List'!$A$1:$E$1,0))</f>
        <v>2633</v>
      </c>
      <c r="N602" s="8">
        <f>INDEX(Product_List,MATCH($F602,'Product List'!$B$1:$B$299,0),MATCH('Order SUmmary'!N$2,'Product List'!$A$1:$E$1,0))</f>
        <v>1742</v>
      </c>
      <c r="O602" s="8" t="str">
        <f>INDEX(Product_List,MATCH($F602,'Product List'!$B$1:$B$299,0),MATCH('Order SUmmary'!O$2,'Product List'!$A$1:$E$1,0))</f>
        <v>Labels</v>
      </c>
      <c r="P602" s="12">
        <f>HLOOKUP(C602,'Commission Criteria'!$A$2:$I$4,3,FALSE)</f>
        <v>1</v>
      </c>
      <c r="Q602" s="8">
        <f t="shared" si="28"/>
        <v>1742</v>
      </c>
      <c r="R602" s="8">
        <f t="shared" si="29"/>
        <v>2633</v>
      </c>
      <c r="S602" s="36">
        <f>VLOOKUP(R602,'Commission Criteria'!$L$3:$M$11,2,TRUE)</f>
        <v>0.01</v>
      </c>
      <c r="T602" s="36">
        <f>IF(P602&lt;5,VLOOKUP(R602,'Commission Criteria'!$L$3:$M$11,2,1),VLOOKUP('Order SUmmary'!R602,'Commission Criteria'!$P$3:$Q$11,2,1))</f>
        <v>0.01</v>
      </c>
      <c r="U602" s="36">
        <f>VLOOKUP(R602,IF(P602&lt;5,'Commission Criteria'!$L$3:$M$11,'Commission Criteria'!$P$3:$Q$11),2,1)</f>
        <v>0.01</v>
      </c>
      <c r="V602" s="8" t="s">
        <v>35</v>
      </c>
      <c r="W602" s="36">
        <f t="shared" ca="1" si="30"/>
        <v>0.04</v>
      </c>
      <c r="X602" s="8" t="str">
        <f>_xlfn.XLOOKUP(F602,'Product List'!$B$1:$B$299,'Product List'!$A$1:$A$299)</f>
        <v>Avery 477</v>
      </c>
      <c r="Y602" s="8"/>
      <c r="Z602" s="8" t="str" cm="1">
        <f t="array" ref="Z602:AD602">_xlfn.XLOOKUP(D602,'Customer Details'!$A$1:$A$17,'Customer Details'!$B$1:$F$17,"No such customer",0,1)</f>
        <v>Elder Pharmaceuticals</v>
      </c>
      <c r="AA602" s="8" t="str">
        <v>57 Neriba Cres</v>
      </c>
      <c r="AB602" s="8" t="str">
        <v>Omaha</v>
      </c>
      <c r="AC602" s="8" t="str">
        <v>NE</v>
      </c>
      <c r="AD602" s="8" t="str">
        <v>68127</v>
      </c>
    </row>
    <row r="603" spans="1:30">
      <c r="A603" s="8" t="s">
        <v>703</v>
      </c>
      <c r="B603" s="19">
        <v>41851</v>
      </c>
      <c r="C603" s="8" t="s">
        <v>33</v>
      </c>
      <c r="D603" s="8">
        <v>10001</v>
      </c>
      <c r="E603" s="8" t="str">
        <f>VLOOKUP($D603,'Customer Details'!$A$1:$F$17,4,FALSE)</f>
        <v>New York</v>
      </c>
      <c r="F603" s="8" t="s">
        <v>240</v>
      </c>
      <c r="G603" s="8">
        <v>12</v>
      </c>
      <c r="H603" s="2" t="str">
        <f>VLOOKUP($D603,'Customer Details'!$A$1:$F$17,MATCH('Order SUmmary'!H$2,'Customer Details'!$A$1:$F$1,0),0)</f>
        <v>Chambal Fertilisers and Chemicals Ltd.</v>
      </c>
      <c r="I603" s="2" t="str">
        <f>VLOOKUP($D603,'Customer Details'!$A$1:$F$17,4,0)</f>
        <v>New York</v>
      </c>
      <c r="J603" s="2" t="str">
        <f>VLOOKUP($D603,'Customer Details'!$A$1:$F$17,6,0)</f>
        <v>10025</v>
      </c>
      <c r="K603" s="8" t="str">
        <f>VLOOKUP(VLOOKUP(D603,'Customer Details'!$A$1:$F$17,5,0),'Region INfo'!$A$1:$C$52,3,0)</f>
        <v xml:space="preserve">Northern </v>
      </c>
      <c r="L603" s="8" t="str">
        <f>INDEX(Product_List,MATCH($F603,'Product List'!$B$1:$B$299,0),MATCH('Order SUmmary'!L$2,'Product List'!$A$1:$E$1,0))</f>
        <v>Xerox 2</v>
      </c>
      <c r="M603" s="8">
        <f>INDEX(Product_List,MATCH($F603,'Product List'!$B$1:$B$299,0),MATCH('Order SUmmary'!M$2,'Product List'!$A$1:$E$1,0))</f>
        <v>2562</v>
      </c>
      <c r="N603" s="8">
        <f>INDEX(Product_List,MATCH($F603,'Product List'!$B$1:$B$299,0),MATCH('Order SUmmary'!N$2,'Product List'!$A$1:$E$1,0))</f>
        <v>1527</v>
      </c>
      <c r="O603" s="8" t="str">
        <f>INDEX(Product_List,MATCH($F603,'Product List'!$B$1:$B$299,0),MATCH('Order SUmmary'!O$2,'Product List'!$A$1:$E$1,0))</f>
        <v>Paper</v>
      </c>
      <c r="P603" s="12">
        <f>HLOOKUP(C603,'Commission Criteria'!$A$2:$I$4,3,FALSE)</f>
        <v>1</v>
      </c>
      <c r="Q603" s="8">
        <f t="shared" si="28"/>
        <v>18324</v>
      </c>
      <c r="R603" s="8">
        <f t="shared" si="29"/>
        <v>30744</v>
      </c>
      <c r="S603" s="36">
        <f>VLOOKUP(R603,'Commission Criteria'!$L$3:$M$11,2,TRUE)</f>
        <v>0.05</v>
      </c>
      <c r="T603" s="36">
        <f>IF(P603&lt;5,VLOOKUP(R603,'Commission Criteria'!$L$3:$M$11,2,1),VLOOKUP('Order SUmmary'!R603,'Commission Criteria'!$P$3:$Q$11,2,1))</f>
        <v>0.05</v>
      </c>
      <c r="U603" s="36">
        <f>VLOOKUP(R603,IF(P603&lt;5,'Commission Criteria'!$L$3:$M$11,'Commission Criteria'!$P$3:$Q$11),2,1)</f>
        <v>0.05</v>
      </c>
      <c r="V603" s="8" t="s">
        <v>43</v>
      </c>
      <c r="W603" s="36">
        <f t="shared" ca="1" si="30"/>
        <v>0.03</v>
      </c>
      <c r="X603" s="8" t="str">
        <f>_xlfn.XLOOKUP(F603,'Product List'!$B$1:$B$299,'Product List'!$A$1:$A$299)</f>
        <v>Xerox 2</v>
      </c>
      <c r="Y603" s="8"/>
      <c r="Z603" s="8" t="str" cm="1">
        <f t="array" ref="Z603:AD603">_xlfn.XLOOKUP(D603,'Customer Details'!$A$1:$A$17,'Customer Details'!$B$1:$F$17,"No such customer",0,1)</f>
        <v>Chambal Fertilisers and Chemicals Ltd.</v>
      </c>
      <c r="AA603" s="8" t="str">
        <v>4951 Indiana Ave.</v>
      </c>
      <c r="AB603" s="8" t="str">
        <v>New York</v>
      </c>
      <c r="AC603" s="8" t="str">
        <v>NY</v>
      </c>
      <c r="AD603" s="8" t="str">
        <v>10025</v>
      </c>
    </row>
    <row r="604" spans="1:30">
      <c r="A604" s="8" t="s">
        <v>704</v>
      </c>
      <c r="B604" s="19">
        <v>41852</v>
      </c>
      <c r="C604" s="8" t="s">
        <v>33</v>
      </c>
      <c r="D604" s="8">
        <v>10007</v>
      </c>
      <c r="E604" s="8" t="str">
        <f>VLOOKUP($D604,'Customer Details'!$A$1:$F$17,4,FALSE)</f>
        <v>Richmond</v>
      </c>
      <c r="F604" s="8" t="s">
        <v>640</v>
      </c>
      <c r="G604" s="8">
        <v>1</v>
      </c>
      <c r="H604" s="2" t="str">
        <f>VLOOKUP($D604,'Customer Details'!$A$1:$F$17,MATCH('Order SUmmary'!H$2,'Customer Details'!$A$1:$F$1,0),0)</f>
        <v>GHCL Ltd.</v>
      </c>
      <c r="I604" s="2" t="str">
        <f>VLOOKUP($D604,'Customer Details'!$A$1:$F$17,4,0)</f>
        <v>Richmond</v>
      </c>
      <c r="J604" s="2" t="str">
        <f>VLOOKUP($D604,'Customer Details'!$A$1:$F$17,6,0)</f>
        <v>94805</v>
      </c>
      <c r="K604" s="8" t="str">
        <f>VLOOKUP(VLOOKUP(D604,'Customer Details'!$A$1:$F$17,5,0),'Region INfo'!$A$1:$C$52,3,0)</f>
        <v xml:space="preserve">Pacific   </v>
      </c>
      <c r="L604" s="8" t="str">
        <f>INDEX(Product_List,MATCH($F604,'Product List'!$B$1:$B$299,0),MATCH('Order SUmmary'!L$2,'Product List'!$A$1:$E$1,0))</f>
        <v>Crate-A-Files</v>
      </c>
      <c r="M604" s="8">
        <f>INDEX(Product_List,MATCH($F604,'Product List'!$B$1:$B$299,0),MATCH('Order SUmmary'!M$2,'Product List'!$A$1:$E$1,0))</f>
        <v>3445</v>
      </c>
      <c r="N604" s="8">
        <f>INDEX(Product_List,MATCH($F604,'Product List'!$B$1:$B$299,0),MATCH('Order SUmmary'!N$2,'Product List'!$A$1:$E$1,0))</f>
        <v>1909</v>
      </c>
      <c r="O604" s="8" t="str">
        <f>INDEX(Product_List,MATCH($F604,'Product List'!$B$1:$B$299,0),MATCH('Order SUmmary'!O$2,'Product List'!$A$1:$E$1,0))</f>
        <v>Storage</v>
      </c>
      <c r="P604" s="12">
        <f>HLOOKUP(C604,'Commission Criteria'!$A$2:$I$4,3,FALSE)</f>
        <v>1</v>
      </c>
      <c r="Q604" s="8">
        <f t="shared" si="28"/>
        <v>1909</v>
      </c>
      <c r="R604" s="8">
        <f t="shared" si="29"/>
        <v>3445</v>
      </c>
      <c r="S604" s="36">
        <f>VLOOKUP(R604,'Commission Criteria'!$L$3:$M$11,2,TRUE)</f>
        <v>0.01</v>
      </c>
      <c r="T604" s="36">
        <f>IF(P604&lt;5,VLOOKUP(R604,'Commission Criteria'!$L$3:$M$11,2,1),VLOOKUP('Order SUmmary'!R604,'Commission Criteria'!$P$3:$Q$11,2,1))</f>
        <v>0.01</v>
      </c>
      <c r="U604" s="36">
        <f>VLOOKUP(R604,IF(P604&lt;5,'Commission Criteria'!$L$3:$M$11,'Commission Criteria'!$P$3:$Q$11),2,1)</f>
        <v>0.01</v>
      </c>
      <c r="V604" s="8" t="s">
        <v>35</v>
      </c>
      <c r="W604" s="36">
        <f t="shared" ca="1" si="30"/>
        <v>0.05</v>
      </c>
      <c r="X604" s="8" t="str">
        <f>_xlfn.XLOOKUP(F604,'Product List'!$B$1:$B$299,'Product List'!$A$1:$A$299)</f>
        <v>Crate-A-Files</v>
      </c>
      <c r="Y604" s="8"/>
      <c r="Z604" s="8" t="str" cm="1">
        <f t="array" ref="Z604:AD604">_xlfn.XLOOKUP(D604,'Customer Details'!$A$1:$A$17,'Customer Details'!$B$1:$F$17,"No such customer",0,1)</f>
        <v>GHCL Ltd.</v>
      </c>
      <c r="AA604" s="8" t="str">
        <v>58 Clarence St</v>
      </c>
      <c r="AB604" s="8" t="str">
        <v>Richmond</v>
      </c>
      <c r="AC604" s="8" t="str">
        <v>CA</v>
      </c>
      <c r="AD604" s="8" t="str">
        <v>94805</v>
      </c>
    </row>
    <row r="605" spans="1:30">
      <c r="A605" s="8" t="s">
        <v>704</v>
      </c>
      <c r="B605" s="19">
        <v>41852</v>
      </c>
      <c r="C605" s="8" t="s">
        <v>54</v>
      </c>
      <c r="D605" s="8">
        <v>10001</v>
      </c>
      <c r="E605" s="8" t="str">
        <f>VLOOKUP($D605,'Customer Details'!$A$1:$F$17,4,FALSE)</f>
        <v>New York</v>
      </c>
      <c r="F605" s="8" t="s">
        <v>94</v>
      </c>
      <c r="G605" s="8">
        <v>2</v>
      </c>
      <c r="H605" s="2" t="str">
        <f>VLOOKUP($D605,'Customer Details'!$A$1:$F$17,MATCH('Order SUmmary'!H$2,'Customer Details'!$A$1:$F$1,0),0)</f>
        <v>Chambal Fertilisers and Chemicals Ltd.</v>
      </c>
      <c r="I605" s="2" t="str">
        <f>VLOOKUP($D605,'Customer Details'!$A$1:$F$17,4,0)</f>
        <v>New York</v>
      </c>
      <c r="J605" s="2" t="str">
        <f>VLOOKUP($D605,'Customer Details'!$A$1:$F$17,6,0)</f>
        <v>10025</v>
      </c>
      <c r="K605" s="8" t="str">
        <f>VLOOKUP(VLOOKUP(D605,'Customer Details'!$A$1:$F$17,5,0),'Region INfo'!$A$1:$C$52,3,0)</f>
        <v xml:space="preserve">Northern </v>
      </c>
      <c r="L605" s="8" t="str">
        <f>INDEX(Product_List,MATCH($F605,'Product List'!$B$1:$B$299,0),MATCH('Order SUmmary'!L$2,'Product List'!$A$1:$E$1,0))</f>
        <v>Xerox 191</v>
      </c>
      <c r="M605" s="8">
        <f>INDEX(Product_List,MATCH($F605,'Product List'!$B$1:$B$299,0),MATCH('Order SUmmary'!M$2,'Product List'!$A$1:$E$1,0))</f>
        <v>3768</v>
      </c>
      <c r="N605" s="8">
        <f>INDEX(Product_List,MATCH($F605,'Product List'!$B$1:$B$299,0),MATCH('Order SUmmary'!N$2,'Product List'!$A$1:$E$1,0))</f>
        <v>1353</v>
      </c>
      <c r="O605" s="8" t="str">
        <f>INDEX(Product_List,MATCH($F605,'Product List'!$B$1:$B$299,0),MATCH('Order SUmmary'!O$2,'Product List'!$A$1:$E$1,0))</f>
        <v>Paper</v>
      </c>
      <c r="P605" s="12">
        <f>HLOOKUP(C605,'Commission Criteria'!$A$2:$I$4,3,FALSE)</f>
        <v>3</v>
      </c>
      <c r="Q605" s="8">
        <f t="shared" si="28"/>
        <v>2706</v>
      </c>
      <c r="R605" s="8">
        <f t="shared" si="29"/>
        <v>7536</v>
      </c>
      <c r="S605" s="36">
        <f>VLOOKUP(R605,'Commission Criteria'!$L$3:$M$11,2,TRUE)</f>
        <v>0.03</v>
      </c>
      <c r="T605" s="36">
        <f>IF(P605&lt;5,VLOOKUP(R605,'Commission Criteria'!$L$3:$M$11,2,1),VLOOKUP('Order SUmmary'!R605,'Commission Criteria'!$P$3:$Q$11,2,1))</f>
        <v>0.03</v>
      </c>
      <c r="U605" s="36">
        <f>VLOOKUP(R605,IF(P605&lt;5,'Commission Criteria'!$L$3:$M$11,'Commission Criteria'!$P$3:$Q$11),2,1)</f>
        <v>0.03</v>
      </c>
      <c r="V605" s="8" t="s">
        <v>35</v>
      </c>
      <c r="W605" s="36">
        <f t="shared" ca="1" si="30"/>
        <v>0.03</v>
      </c>
      <c r="X605" s="8" t="str">
        <f>_xlfn.XLOOKUP(F605,'Product List'!$B$1:$B$299,'Product List'!$A$1:$A$299)</f>
        <v>Xerox 191</v>
      </c>
      <c r="Y605" s="8"/>
      <c r="Z605" s="8" t="str" cm="1">
        <f t="array" ref="Z605:AD605">_xlfn.XLOOKUP(D605,'Customer Details'!$A$1:$A$17,'Customer Details'!$B$1:$F$17,"No such customer",0,1)</f>
        <v>Chambal Fertilisers and Chemicals Ltd.</v>
      </c>
      <c r="AA605" s="8" t="str">
        <v>4951 Indiana Ave.</v>
      </c>
      <c r="AB605" s="8" t="str">
        <v>New York</v>
      </c>
      <c r="AC605" s="8" t="str">
        <v>NY</v>
      </c>
      <c r="AD605" s="8" t="str">
        <v>10025</v>
      </c>
    </row>
    <row r="606" spans="1:30">
      <c r="A606" s="8" t="s">
        <v>704</v>
      </c>
      <c r="B606" s="19">
        <v>41852</v>
      </c>
      <c r="C606" s="8" t="s">
        <v>51</v>
      </c>
      <c r="D606" s="8">
        <v>10003</v>
      </c>
      <c r="E606" s="8" t="str">
        <f>VLOOKUP($D606,'Customer Details'!$A$1:$F$17,4,FALSE)</f>
        <v>Miami</v>
      </c>
      <c r="F606" s="8" t="s">
        <v>436</v>
      </c>
      <c r="G606" s="8">
        <v>3</v>
      </c>
      <c r="H606" s="2" t="str">
        <f>VLOOKUP($D606,'Customer Details'!$A$1:$F$17,MATCH('Order SUmmary'!H$2,'Customer Details'!$A$1:$F$1,0),0)</f>
        <v>Honeywell Automation</v>
      </c>
      <c r="I606" s="2" t="str">
        <f>VLOOKUP($D606,'Customer Details'!$A$1:$F$17,4,0)</f>
        <v>Miami</v>
      </c>
      <c r="J606" s="2" t="str">
        <f>VLOOKUP($D606,'Customer Details'!$A$1:$F$17,6,0)</f>
        <v>33732</v>
      </c>
      <c r="K606" s="8" t="str">
        <f>VLOOKUP(VLOOKUP(D606,'Customer Details'!$A$1:$F$17,5,0),'Region INfo'!$A$1:$C$52,3,0)</f>
        <v>Southern</v>
      </c>
      <c r="L606" s="8" t="str">
        <f>INDEX(Product_List,MATCH($F606,'Product List'!$B$1:$B$299,0),MATCH('Order SUmmary'!L$2,'Product List'!$A$1:$E$1,0))</f>
        <v>Newell 338</v>
      </c>
      <c r="M606" s="8">
        <f>INDEX(Product_List,MATCH($F606,'Product List'!$B$1:$B$299,0),MATCH('Order SUmmary'!M$2,'Product List'!$A$1:$E$1,0))</f>
        <v>3686</v>
      </c>
      <c r="N606" s="8">
        <f>INDEX(Product_List,MATCH($F606,'Product List'!$B$1:$B$299,0),MATCH('Order SUmmary'!N$2,'Product List'!$A$1:$E$1,0))</f>
        <v>2401</v>
      </c>
      <c r="O606" s="8" t="str">
        <f>INDEX(Product_List,MATCH($F606,'Product List'!$B$1:$B$299,0),MATCH('Order SUmmary'!O$2,'Product List'!$A$1:$E$1,0))</f>
        <v>Art</v>
      </c>
      <c r="P606" s="12">
        <f>HLOOKUP(C606,'Commission Criteria'!$A$2:$I$4,3,FALSE)</f>
        <v>10</v>
      </c>
      <c r="Q606" s="8">
        <f t="shared" si="28"/>
        <v>7203</v>
      </c>
      <c r="R606" s="8">
        <f t="shared" si="29"/>
        <v>11058</v>
      </c>
      <c r="S606" s="36">
        <f>VLOOKUP(R606,'Commission Criteria'!$L$3:$M$11,2,TRUE)</f>
        <v>0.03</v>
      </c>
      <c r="T606" s="36">
        <f>IF(P606&lt;5,VLOOKUP(R606,'Commission Criteria'!$L$3:$M$11,2,1),VLOOKUP('Order SUmmary'!R606,'Commission Criteria'!$P$3:$Q$11,2,1))</f>
        <v>0.02</v>
      </c>
      <c r="U606" s="36">
        <f>VLOOKUP(R606,IF(P606&lt;5,'Commission Criteria'!$L$3:$M$11,'Commission Criteria'!$P$3:$Q$11),2,1)</f>
        <v>0.02</v>
      </c>
      <c r="V606" s="8" t="s">
        <v>43</v>
      </c>
      <c r="W606" s="36">
        <f t="shared" ca="1" si="30"/>
        <v>0.04</v>
      </c>
      <c r="X606" s="8" t="str">
        <f>_xlfn.XLOOKUP(F606,'Product List'!$B$1:$B$299,'Product List'!$A$1:$A$299)</f>
        <v>Newell 338</v>
      </c>
      <c r="Y606" s="8"/>
      <c r="Z606" s="8" t="str" cm="1">
        <f t="array" ref="Z606:AD606">_xlfn.XLOOKUP(D606,'Customer Details'!$A$1:$A$17,'Customer Details'!$B$1:$F$17,"No such customer",0,1)</f>
        <v>Honeywell Automation</v>
      </c>
      <c r="AA606" s="8" t="str">
        <v>1272 Harbor Road</v>
      </c>
      <c r="AB606" s="8" t="str">
        <v>Miami</v>
      </c>
      <c r="AC606" s="8" t="str">
        <v>FL</v>
      </c>
      <c r="AD606" s="8" t="str">
        <v>33732</v>
      </c>
    </row>
    <row r="607" spans="1:30">
      <c r="A607" s="8" t="s">
        <v>705</v>
      </c>
      <c r="B607" s="19">
        <v>41852</v>
      </c>
      <c r="C607" s="8" t="s">
        <v>46</v>
      </c>
      <c r="D607" s="8">
        <v>10003</v>
      </c>
      <c r="E607" s="8" t="str">
        <f>VLOOKUP($D607,'Customer Details'!$A$1:$F$17,4,FALSE)</f>
        <v>Miami</v>
      </c>
      <c r="F607" s="8" t="s">
        <v>505</v>
      </c>
      <c r="G607" s="8">
        <v>3</v>
      </c>
      <c r="H607" s="2" t="str">
        <f>VLOOKUP($D607,'Customer Details'!$A$1:$F$17,MATCH('Order SUmmary'!H$2,'Customer Details'!$A$1:$F$1,0),0)</f>
        <v>Honeywell Automation</v>
      </c>
      <c r="I607" s="2" t="str">
        <f>VLOOKUP($D607,'Customer Details'!$A$1:$F$17,4,0)</f>
        <v>Miami</v>
      </c>
      <c r="J607" s="2" t="str">
        <f>VLOOKUP($D607,'Customer Details'!$A$1:$F$17,6,0)</f>
        <v>33732</v>
      </c>
      <c r="K607" s="8" t="str">
        <f>VLOOKUP(VLOOKUP(D607,'Customer Details'!$A$1:$F$17,5,0),'Region INfo'!$A$1:$C$52,3,0)</f>
        <v>Southern</v>
      </c>
      <c r="L607" s="8" t="str">
        <f>INDEX(Product_List,MATCH($F607,'Product List'!$B$1:$B$299,0),MATCH('Order SUmmary'!L$2,'Product List'!$A$1:$E$1,0))</f>
        <v>Xerox 1934</v>
      </c>
      <c r="M607" s="8">
        <f>INDEX(Product_List,MATCH($F607,'Product List'!$B$1:$B$299,0),MATCH('Order SUmmary'!M$2,'Product List'!$A$1:$E$1,0))</f>
        <v>4307</v>
      </c>
      <c r="N607" s="8">
        <f>INDEX(Product_List,MATCH($F607,'Product List'!$B$1:$B$299,0),MATCH('Order SUmmary'!N$2,'Product List'!$A$1:$E$1,0))</f>
        <v>1503</v>
      </c>
      <c r="O607" s="8" t="str">
        <f>INDEX(Product_List,MATCH($F607,'Product List'!$B$1:$B$299,0),MATCH('Order SUmmary'!O$2,'Product List'!$A$1:$E$1,0))</f>
        <v>Paper</v>
      </c>
      <c r="P607" s="12">
        <f>HLOOKUP(C607,'Commission Criteria'!$A$2:$I$4,3,FALSE)</f>
        <v>8</v>
      </c>
      <c r="Q607" s="8">
        <f t="shared" si="28"/>
        <v>4509</v>
      </c>
      <c r="R607" s="8">
        <f t="shared" si="29"/>
        <v>12921</v>
      </c>
      <c r="S607" s="36">
        <f>VLOOKUP(R607,'Commission Criteria'!$L$3:$M$11,2,TRUE)</f>
        <v>0.03</v>
      </c>
      <c r="T607" s="36">
        <f>IF(P607&lt;5,VLOOKUP(R607,'Commission Criteria'!$L$3:$M$11,2,1),VLOOKUP('Order SUmmary'!R607,'Commission Criteria'!$P$3:$Q$11,2,1))</f>
        <v>0.02</v>
      </c>
      <c r="U607" s="36">
        <f>VLOOKUP(R607,IF(P607&lt;5,'Commission Criteria'!$L$3:$M$11,'Commission Criteria'!$P$3:$Q$11),2,1)</f>
        <v>0.02</v>
      </c>
      <c r="V607" s="8" t="s">
        <v>29</v>
      </c>
      <c r="W607" s="36">
        <f t="shared" ca="1" si="30"/>
        <v>0.03</v>
      </c>
      <c r="X607" s="8" t="str">
        <f>_xlfn.XLOOKUP(F607,'Product List'!$B$1:$B$299,'Product List'!$A$1:$A$299)</f>
        <v>Xerox 1934</v>
      </c>
      <c r="Y607" s="8"/>
      <c r="Z607" s="8" t="str" cm="1">
        <f t="array" ref="Z607:AD607">_xlfn.XLOOKUP(D607,'Customer Details'!$A$1:$A$17,'Customer Details'!$B$1:$F$17,"No such customer",0,1)</f>
        <v>Honeywell Automation</v>
      </c>
      <c r="AA607" s="8" t="str">
        <v>1272 Harbor Road</v>
      </c>
      <c r="AB607" s="8" t="str">
        <v>Miami</v>
      </c>
      <c r="AC607" s="8" t="str">
        <v>FL</v>
      </c>
      <c r="AD607" s="8" t="str">
        <v>33732</v>
      </c>
    </row>
    <row r="608" spans="1:30">
      <c r="A608" s="8" t="s">
        <v>706</v>
      </c>
      <c r="B608" s="19">
        <v>41854</v>
      </c>
      <c r="C608" s="8" t="s">
        <v>36</v>
      </c>
      <c r="D608" s="8">
        <v>10003</v>
      </c>
      <c r="E608" s="8" t="str">
        <f>VLOOKUP($D608,'Customer Details'!$A$1:$F$17,4,FALSE)</f>
        <v>Miami</v>
      </c>
      <c r="F608" s="8" t="s">
        <v>88</v>
      </c>
      <c r="G608" s="8">
        <v>1</v>
      </c>
      <c r="H608" s="2" t="str">
        <f>VLOOKUP($D608,'Customer Details'!$A$1:$F$17,MATCH('Order SUmmary'!H$2,'Customer Details'!$A$1:$F$1,0),0)</f>
        <v>Honeywell Automation</v>
      </c>
      <c r="I608" s="2" t="str">
        <f>VLOOKUP($D608,'Customer Details'!$A$1:$F$17,4,0)</f>
        <v>Miami</v>
      </c>
      <c r="J608" s="2" t="str">
        <f>VLOOKUP($D608,'Customer Details'!$A$1:$F$17,6,0)</f>
        <v>33732</v>
      </c>
      <c r="K608" s="8" t="str">
        <f>VLOOKUP(VLOOKUP(D608,'Customer Details'!$A$1:$F$17,5,0),'Region INfo'!$A$1:$C$52,3,0)</f>
        <v>Southern</v>
      </c>
      <c r="L608" s="8" t="str">
        <f>INDEX(Product_List,MATCH($F608,'Product List'!$B$1:$B$299,0),MATCH('Order SUmmary'!L$2,'Product List'!$A$1:$E$1,0))</f>
        <v>Xerox 1922</v>
      </c>
      <c r="M608" s="8">
        <f>INDEX(Product_List,MATCH($F608,'Product List'!$B$1:$B$299,0),MATCH('Order SUmmary'!M$2,'Product List'!$A$1:$E$1,0))</f>
        <v>3493</v>
      </c>
      <c r="N608" s="8">
        <f>INDEX(Product_List,MATCH($F608,'Product List'!$B$1:$B$299,0),MATCH('Order SUmmary'!N$2,'Product List'!$A$1:$E$1,0))</f>
        <v>2180</v>
      </c>
      <c r="O608" s="8" t="str">
        <f>INDEX(Product_List,MATCH($F608,'Product List'!$B$1:$B$299,0),MATCH('Order SUmmary'!O$2,'Product List'!$A$1:$E$1,0))</f>
        <v>Paper</v>
      </c>
      <c r="P608" s="12">
        <f>HLOOKUP(C608,'Commission Criteria'!$A$2:$I$4,3,FALSE)</f>
        <v>6</v>
      </c>
      <c r="Q608" s="8">
        <f t="shared" si="28"/>
        <v>2180</v>
      </c>
      <c r="R608" s="8">
        <f t="shared" si="29"/>
        <v>3493</v>
      </c>
      <c r="S608" s="36">
        <f>VLOOKUP(R608,'Commission Criteria'!$L$3:$M$11,2,TRUE)</f>
        <v>0.01</v>
      </c>
      <c r="T608" s="36">
        <f>IF(P608&lt;5,VLOOKUP(R608,'Commission Criteria'!$L$3:$M$11,2,1),VLOOKUP('Order SUmmary'!R608,'Commission Criteria'!$P$3:$Q$11,2,1))</f>
        <v>0.02</v>
      </c>
      <c r="U608" s="36">
        <f>VLOOKUP(R608,IF(P608&lt;5,'Commission Criteria'!$L$3:$M$11,'Commission Criteria'!$P$3:$Q$11),2,1)</f>
        <v>0.02</v>
      </c>
      <c r="V608" s="8" t="s">
        <v>50</v>
      </c>
      <c r="W608" s="36">
        <f t="shared" ca="1" si="30"/>
        <v>0</v>
      </c>
      <c r="X608" s="8" t="str">
        <f>_xlfn.XLOOKUP(F608,'Product List'!$B$1:$B$299,'Product List'!$A$1:$A$299)</f>
        <v>Xerox 1922</v>
      </c>
      <c r="Y608" s="8"/>
      <c r="Z608" s="8" t="str" cm="1">
        <f t="array" ref="Z608:AD608">_xlfn.XLOOKUP(D608,'Customer Details'!$A$1:$A$17,'Customer Details'!$B$1:$F$17,"No such customer",0,1)</f>
        <v>Honeywell Automation</v>
      </c>
      <c r="AA608" s="8" t="str">
        <v>1272 Harbor Road</v>
      </c>
      <c r="AB608" s="8" t="str">
        <v>Miami</v>
      </c>
      <c r="AC608" s="8" t="str">
        <v>FL</v>
      </c>
      <c r="AD608" s="8" t="str">
        <v>33732</v>
      </c>
    </row>
    <row r="609" spans="1:30">
      <c r="A609" s="8" t="s">
        <v>706</v>
      </c>
      <c r="B609" s="19">
        <v>41854</v>
      </c>
      <c r="C609" s="8" t="s">
        <v>66</v>
      </c>
      <c r="D609" s="8">
        <v>10010</v>
      </c>
      <c r="E609" s="8" t="str">
        <f>VLOOKUP($D609,'Customer Details'!$A$1:$F$17,4,FALSE)</f>
        <v>Tracy</v>
      </c>
      <c r="F609" s="8" t="s">
        <v>57</v>
      </c>
      <c r="G609" s="8">
        <v>2</v>
      </c>
      <c r="H609" s="2" t="str">
        <f>VLOOKUP($D609,'Customer Details'!$A$1:$F$17,MATCH('Order SUmmary'!H$2,'Customer Details'!$A$1:$F$1,0),0)</f>
        <v>Suzlon Energy Ltd.</v>
      </c>
      <c r="I609" s="2" t="str">
        <f>VLOOKUP($D609,'Customer Details'!$A$1:$F$17,4,0)</f>
        <v>Tracy</v>
      </c>
      <c r="J609" s="2" t="str">
        <f>VLOOKUP($D609,'Customer Details'!$A$1:$F$17,6,0)</f>
        <v>95376</v>
      </c>
      <c r="K609" s="8" t="str">
        <f>VLOOKUP(VLOOKUP(D609,'Customer Details'!$A$1:$F$17,5,0),'Region INfo'!$A$1:$C$52,3,0)</f>
        <v xml:space="preserve">Pacific   </v>
      </c>
      <c r="L609" s="8" t="str">
        <f>INDEX(Product_List,MATCH($F609,'Product List'!$B$1:$B$299,0),MATCH('Order SUmmary'!L$2,'Product List'!$A$1:$E$1,0))</f>
        <v>Xerox 1886</v>
      </c>
      <c r="M609" s="8">
        <f>INDEX(Product_List,MATCH($F609,'Product List'!$B$1:$B$299,0),MATCH('Order SUmmary'!M$2,'Product List'!$A$1:$E$1,0))</f>
        <v>3757</v>
      </c>
      <c r="N609" s="8">
        <f>INDEX(Product_List,MATCH($F609,'Product List'!$B$1:$B$299,0),MATCH('Order SUmmary'!N$2,'Product List'!$A$1:$E$1,0))</f>
        <v>2156</v>
      </c>
      <c r="O609" s="8" t="str">
        <f>INDEX(Product_List,MATCH($F609,'Product List'!$B$1:$B$299,0),MATCH('Order SUmmary'!O$2,'Product List'!$A$1:$E$1,0))</f>
        <v>Paper</v>
      </c>
      <c r="P609" s="12">
        <f>HLOOKUP(C609,'Commission Criteria'!$A$2:$I$4,3,FALSE)</f>
        <v>5</v>
      </c>
      <c r="Q609" s="8">
        <f t="shared" si="28"/>
        <v>4312</v>
      </c>
      <c r="R609" s="8">
        <f t="shared" si="29"/>
        <v>7514</v>
      </c>
      <c r="S609" s="36">
        <f>VLOOKUP(R609,'Commission Criteria'!$L$3:$M$11,2,TRUE)</f>
        <v>0.03</v>
      </c>
      <c r="T609" s="36">
        <f>IF(P609&lt;5,VLOOKUP(R609,'Commission Criteria'!$L$3:$M$11,2,1),VLOOKUP('Order SUmmary'!R609,'Commission Criteria'!$P$3:$Q$11,2,1))</f>
        <v>0.02</v>
      </c>
      <c r="U609" s="36">
        <f>VLOOKUP(R609,IF(P609&lt;5,'Commission Criteria'!$L$3:$M$11,'Commission Criteria'!$P$3:$Q$11),2,1)</f>
        <v>0.02</v>
      </c>
      <c r="V609" s="8" t="s">
        <v>40</v>
      </c>
      <c r="W609" s="36">
        <f t="shared" ca="1" si="30"/>
        <v>0.02</v>
      </c>
      <c r="X609" s="8" t="str">
        <f>_xlfn.XLOOKUP(F609,'Product List'!$B$1:$B$299,'Product List'!$A$1:$A$299)</f>
        <v>Xerox 1886</v>
      </c>
      <c r="Y609" s="8"/>
      <c r="Z609" s="8" t="str" cm="1">
        <f t="array" ref="Z609:AD609">_xlfn.XLOOKUP(D609,'Customer Details'!$A$1:$A$17,'Customer Details'!$B$1:$F$17,"No such customer",0,1)</f>
        <v>Suzlon Energy Ltd.</v>
      </c>
      <c r="AA609" s="8" t="str">
        <v>501 Marsh Trail Circle</v>
      </c>
      <c r="AB609" s="8" t="str">
        <v>Tracy</v>
      </c>
      <c r="AC609" s="8" t="str">
        <v>CA</v>
      </c>
      <c r="AD609" s="8" t="str">
        <v>95376</v>
      </c>
    </row>
    <row r="610" spans="1:30">
      <c r="A610" s="8" t="s">
        <v>707</v>
      </c>
      <c r="B610" s="19">
        <v>41855</v>
      </c>
      <c r="C610" s="8" t="s">
        <v>51</v>
      </c>
      <c r="D610" s="8">
        <v>10002</v>
      </c>
      <c r="E610" s="8" t="str">
        <f>VLOOKUP($D610,'Customer Details'!$A$1:$F$17,4,FALSE)</f>
        <v>Omaha</v>
      </c>
      <c r="F610" s="8" t="s">
        <v>62</v>
      </c>
      <c r="G610" s="8">
        <v>3</v>
      </c>
      <c r="H610" s="2" t="str">
        <f>VLOOKUP($D610,'Customer Details'!$A$1:$F$17,MATCH('Order SUmmary'!H$2,'Customer Details'!$A$1:$F$1,0),0)</f>
        <v>Elder Pharmaceuticals</v>
      </c>
      <c r="I610" s="2" t="str">
        <f>VLOOKUP($D610,'Customer Details'!$A$1:$F$17,4,0)</f>
        <v>Omaha</v>
      </c>
      <c r="J610" s="2" t="str">
        <f>VLOOKUP($D610,'Customer Details'!$A$1:$F$17,6,0)</f>
        <v>68127</v>
      </c>
      <c r="K610" s="8" t="str">
        <f>VLOOKUP(VLOOKUP(D610,'Customer Details'!$A$1:$F$17,5,0),'Region INfo'!$A$1:$C$52,3,0)</f>
        <v>Western</v>
      </c>
      <c r="L610" s="8" t="str">
        <f>INDEX(Product_List,MATCH($F610,'Product List'!$B$1:$B$299,0),MATCH('Order SUmmary'!L$2,'Product List'!$A$1:$E$1,0))</f>
        <v>Newell 308</v>
      </c>
      <c r="M610" s="8">
        <f>INDEX(Product_List,MATCH($F610,'Product List'!$B$1:$B$299,0),MATCH('Order SUmmary'!M$2,'Product List'!$A$1:$E$1,0))</f>
        <v>4515</v>
      </c>
      <c r="N610" s="8">
        <f>INDEX(Product_List,MATCH($F610,'Product List'!$B$1:$B$299,0),MATCH('Order SUmmary'!N$2,'Product List'!$A$1:$E$1,0))</f>
        <v>1550</v>
      </c>
      <c r="O610" s="8" t="str">
        <f>INDEX(Product_List,MATCH($F610,'Product List'!$B$1:$B$299,0),MATCH('Order SUmmary'!O$2,'Product List'!$A$1:$E$1,0))</f>
        <v>Art</v>
      </c>
      <c r="P610" s="12">
        <f>HLOOKUP(C610,'Commission Criteria'!$A$2:$I$4,3,FALSE)</f>
        <v>10</v>
      </c>
      <c r="Q610" s="8">
        <f t="shared" si="28"/>
        <v>4650</v>
      </c>
      <c r="R610" s="8">
        <f t="shared" si="29"/>
        <v>13545</v>
      </c>
      <c r="S610" s="36">
        <f>VLOOKUP(R610,'Commission Criteria'!$L$3:$M$11,2,TRUE)</f>
        <v>0.03</v>
      </c>
      <c r="T610" s="36">
        <f>IF(P610&lt;5,VLOOKUP(R610,'Commission Criteria'!$L$3:$M$11,2,1),VLOOKUP('Order SUmmary'!R610,'Commission Criteria'!$P$3:$Q$11,2,1))</f>
        <v>0.02</v>
      </c>
      <c r="U610" s="36">
        <f>VLOOKUP(R610,IF(P610&lt;5,'Commission Criteria'!$L$3:$M$11,'Commission Criteria'!$P$3:$Q$11),2,1)</f>
        <v>0.02</v>
      </c>
      <c r="V610" s="8" t="s">
        <v>29</v>
      </c>
      <c r="W610" s="36">
        <f t="shared" ca="1" si="30"/>
        <v>0.04</v>
      </c>
      <c r="X610" s="8" t="str">
        <f>_xlfn.XLOOKUP(F610,'Product List'!$B$1:$B$299,'Product List'!$A$1:$A$299)</f>
        <v>Newell 308</v>
      </c>
      <c r="Y610" s="8"/>
      <c r="Z610" s="8" t="str" cm="1">
        <f t="array" ref="Z610:AD610">_xlfn.XLOOKUP(D610,'Customer Details'!$A$1:$A$17,'Customer Details'!$B$1:$F$17,"No such customer",0,1)</f>
        <v>Elder Pharmaceuticals</v>
      </c>
      <c r="AA610" s="8" t="str">
        <v>57 Neriba Cres</v>
      </c>
      <c r="AB610" s="8" t="str">
        <v>Omaha</v>
      </c>
      <c r="AC610" s="8" t="str">
        <v>NE</v>
      </c>
      <c r="AD610" s="8" t="str">
        <v>68127</v>
      </c>
    </row>
    <row r="611" spans="1:30">
      <c r="A611" s="8" t="s">
        <v>708</v>
      </c>
      <c r="B611" s="19">
        <v>41858</v>
      </c>
      <c r="C611" s="8" t="s">
        <v>51</v>
      </c>
      <c r="D611" s="8">
        <v>10004</v>
      </c>
      <c r="E611" s="8" t="str">
        <f>VLOOKUP($D611,'Customer Details'!$A$1:$F$17,4,FALSE)</f>
        <v>New York</v>
      </c>
      <c r="F611" s="8" t="s">
        <v>434</v>
      </c>
      <c r="G611" s="8">
        <v>1</v>
      </c>
      <c r="H611" s="2" t="str">
        <f>VLOOKUP($D611,'Customer Details'!$A$1:$F$17,MATCH('Order SUmmary'!H$2,'Customer Details'!$A$1:$F$1,0),0)</f>
        <v>Lupin Ltd.</v>
      </c>
      <c r="I611" s="2" t="str">
        <f>VLOOKUP($D611,'Customer Details'!$A$1:$F$17,4,0)</f>
        <v>New York</v>
      </c>
      <c r="J611" s="2" t="str">
        <f>VLOOKUP($D611,'Customer Details'!$A$1:$F$17,6,0)</f>
        <v>10019</v>
      </c>
      <c r="K611" s="8" t="str">
        <f>VLOOKUP(VLOOKUP(D611,'Customer Details'!$A$1:$F$17,5,0),'Region INfo'!$A$1:$C$52,3,0)</f>
        <v xml:space="preserve">Northern </v>
      </c>
      <c r="L611" s="8" t="str">
        <f>INDEX(Product_List,MATCH($F611,'Product List'!$B$1:$B$299,0),MATCH('Order SUmmary'!L$2,'Product List'!$A$1:$E$1,0))</f>
        <v>Xerox 1952</v>
      </c>
      <c r="M611" s="8">
        <f>INDEX(Product_List,MATCH($F611,'Product List'!$B$1:$B$299,0),MATCH('Order SUmmary'!M$2,'Product List'!$A$1:$E$1,0))</f>
        <v>2996</v>
      </c>
      <c r="N611" s="8">
        <f>INDEX(Product_List,MATCH($F611,'Product List'!$B$1:$B$299,0),MATCH('Order SUmmary'!N$2,'Product List'!$A$1:$E$1,0))</f>
        <v>1641</v>
      </c>
      <c r="O611" s="8" t="str">
        <f>INDEX(Product_List,MATCH($F611,'Product List'!$B$1:$B$299,0),MATCH('Order SUmmary'!O$2,'Product List'!$A$1:$E$1,0))</f>
        <v>Paper</v>
      </c>
      <c r="P611" s="12">
        <f>HLOOKUP(C611,'Commission Criteria'!$A$2:$I$4,3,FALSE)</f>
        <v>10</v>
      </c>
      <c r="Q611" s="8">
        <f t="shared" si="28"/>
        <v>1641</v>
      </c>
      <c r="R611" s="8">
        <f t="shared" si="29"/>
        <v>2996</v>
      </c>
      <c r="S611" s="36">
        <f>VLOOKUP(R611,'Commission Criteria'!$L$3:$M$11,2,TRUE)</f>
        <v>0.01</v>
      </c>
      <c r="T611" s="36">
        <f>IF(P611&lt;5,VLOOKUP(R611,'Commission Criteria'!$L$3:$M$11,2,1),VLOOKUP('Order SUmmary'!R611,'Commission Criteria'!$P$3:$Q$11,2,1))</f>
        <v>0.02</v>
      </c>
      <c r="U611" s="36">
        <f>VLOOKUP(R611,IF(P611&lt;5,'Commission Criteria'!$L$3:$M$11,'Commission Criteria'!$P$3:$Q$11),2,1)</f>
        <v>0.02</v>
      </c>
      <c r="V611" s="8" t="s">
        <v>35</v>
      </c>
      <c r="W611" s="36">
        <f t="shared" ca="1" si="30"/>
        <v>0.04</v>
      </c>
      <c r="X611" s="8" t="str">
        <f>_xlfn.XLOOKUP(F611,'Product List'!$B$1:$B$299,'Product List'!$A$1:$A$299)</f>
        <v>Xerox 1952</v>
      </c>
      <c r="Y611" s="8"/>
      <c r="Z611" s="8" t="str" cm="1">
        <f t="array" ref="Z611:AD611">_xlfn.XLOOKUP(D611,'Customer Details'!$A$1:$A$17,'Customer Details'!$B$1:$F$17,"No such customer",0,1)</f>
        <v>Lupin Ltd.</v>
      </c>
      <c r="AA611" s="8" t="str">
        <v>Abbey Wood</v>
      </c>
      <c r="AB611" s="8" t="str">
        <v>New York</v>
      </c>
      <c r="AC611" s="8" t="str">
        <v>NY</v>
      </c>
      <c r="AD611" s="8" t="str">
        <v>10019</v>
      </c>
    </row>
    <row r="612" spans="1:30">
      <c r="A612" s="8" t="s">
        <v>709</v>
      </c>
      <c r="B612" s="19">
        <v>41858</v>
      </c>
      <c r="C612" s="8" t="s">
        <v>36</v>
      </c>
      <c r="D612" s="8">
        <v>10014</v>
      </c>
      <c r="E612" s="8" t="str">
        <f>VLOOKUP($D612,'Customer Details'!$A$1:$F$17,4,FALSE)</f>
        <v>Honolulu</v>
      </c>
      <c r="F612" s="8" t="s">
        <v>558</v>
      </c>
      <c r="G612" s="8">
        <v>1</v>
      </c>
      <c r="H612" s="2" t="str">
        <f>VLOOKUP($D612,'Customer Details'!$A$1:$F$17,MATCH('Order SUmmary'!H$2,'Customer Details'!$A$1:$F$1,0),0)</f>
        <v>Hindusthan National Glass &amp; Industries Ltd.</v>
      </c>
      <c r="I612" s="2" t="str">
        <f>VLOOKUP($D612,'Customer Details'!$A$1:$F$17,4,0)</f>
        <v>Honolulu</v>
      </c>
      <c r="J612" s="2" t="str">
        <f>VLOOKUP($D612,'Customer Details'!$A$1:$F$17,6,0)</f>
        <v>96825</v>
      </c>
      <c r="K612" s="8" t="str">
        <f>VLOOKUP(VLOOKUP(D612,'Customer Details'!$A$1:$F$17,5,0),'Region INfo'!$A$1:$C$52,3,0)</f>
        <v xml:space="preserve">Pacific   </v>
      </c>
      <c r="L612" s="8" t="str">
        <f>INDEX(Product_List,MATCH($F612,'Product List'!$B$1:$B$299,0),MATCH('Order SUmmary'!L$2,'Product List'!$A$1:$E$1,0))</f>
        <v>Xerox 206</v>
      </c>
      <c r="M612" s="8">
        <f>INDEX(Product_List,MATCH($F612,'Product List'!$B$1:$B$299,0),MATCH('Order SUmmary'!M$2,'Product List'!$A$1:$E$1,0))</f>
        <v>3408</v>
      </c>
      <c r="N612" s="8">
        <f>INDEX(Product_List,MATCH($F612,'Product List'!$B$1:$B$299,0),MATCH('Order SUmmary'!N$2,'Product List'!$A$1:$E$1,0))</f>
        <v>1465</v>
      </c>
      <c r="O612" s="8" t="str">
        <f>INDEX(Product_List,MATCH($F612,'Product List'!$B$1:$B$299,0),MATCH('Order SUmmary'!O$2,'Product List'!$A$1:$E$1,0))</f>
        <v>Paper</v>
      </c>
      <c r="P612" s="12">
        <f>HLOOKUP(C612,'Commission Criteria'!$A$2:$I$4,3,FALSE)</f>
        <v>6</v>
      </c>
      <c r="Q612" s="8">
        <f t="shared" si="28"/>
        <v>1465</v>
      </c>
      <c r="R612" s="8">
        <f t="shared" si="29"/>
        <v>3408</v>
      </c>
      <c r="S612" s="36">
        <f>VLOOKUP(R612,'Commission Criteria'!$L$3:$M$11,2,TRUE)</f>
        <v>0.01</v>
      </c>
      <c r="T612" s="36">
        <f>IF(P612&lt;5,VLOOKUP(R612,'Commission Criteria'!$L$3:$M$11,2,1),VLOOKUP('Order SUmmary'!R612,'Commission Criteria'!$P$3:$Q$11,2,1))</f>
        <v>0.02</v>
      </c>
      <c r="U612" s="36">
        <f>VLOOKUP(R612,IF(P612&lt;5,'Commission Criteria'!$L$3:$M$11,'Commission Criteria'!$P$3:$Q$11),2,1)</f>
        <v>0.02</v>
      </c>
      <c r="V612" s="8" t="s">
        <v>32</v>
      </c>
      <c r="W612" s="36">
        <f t="shared" ca="1" si="30"/>
        <v>0</v>
      </c>
      <c r="X612" s="8" t="str">
        <f>_xlfn.XLOOKUP(F612,'Product List'!$B$1:$B$299,'Product List'!$A$1:$A$299)</f>
        <v>Xerox 206</v>
      </c>
      <c r="Y612" s="8"/>
      <c r="Z612" s="8" t="str" cm="1">
        <f t="array" ref="Z612:AD612">_xlfn.XLOOKUP(D612,'Customer Details'!$A$1:$A$17,'Customer Details'!$B$1:$F$17,"No such customer",0,1)</f>
        <v>Hindusthan National Glass &amp; Industries Ltd.</v>
      </c>
      <c r="AA612" s="8" t="str">
        <v>11 Cathy St.</v>
      </c>
      <c r="AB612" s="8" t="str">
        <v>Honolulu</v>
      </c>
      <c r="AC612" s="8" t="str">
        <v>HI</v>
      </c>
      <c r="AD612" s="8" t="str">
        <v>96825</v>
      </c>
    </row>
    <row r="613" spans="1:30">
      <c r="A613" s="8" t="s">
        <v>708</v>
      </c>
      <c r="B613" s="19">
        <v>41858</v>
      </c>
      <c r="C613" s="8" t="s">
        <v>51</v>
      </c>
      <c r="D613" s="8">
        <v>10009</v>
      </c>
      <c r="E613" s="8" t="str">
        <f>VLOOKUP($D613,'Customer Details'!$A$1:$F$17,4,FALSE)</f>
        <v>Salt Lake City</v>
      </c>
      <c r="F613" s="8" t="s">
        <v>143</v>
      </c>
      <c r="G613" s="8">
        <v>1</v>
      </c>
      <c r="H613" s="2" t="str">
        <f>VLOOKUP($D613,'Customer Details'!$A$1:$F$17,MATCH('Order SUmmary'!H$2,'Customer Details'!$A$1:$F$1,0),0)</f>
        <v>Godfrey Philips India Ltd.</v>
      </c>
      <c r="I613" s="2" t="str">
        <f>VLOOKUP($D613,'Customer Details'!$A$1:$F$17,4,0)</f>
        <v>Salt Lake City</v>
      </c>
      <c r="J613" s="2" t="str">
        <f>VLOOKUP($D613,'Customer Details'!$A$1:$F$17,6,0)</f>
        <v>84118</v>
      </c>
      <c r="K613" s="8" t="str">
        <f>VLOOKUP(VLOOKUP(D613,'Customer Details'!$A$1:$F$17,5,0),'Region INfo'!$A$1:$C$52,3,0)</f>
        <v xml:space="preserve">Pacific   </v>
      </c>
      <c r="L613" s="8" t="str">
        <f>INDEX(Product_List,MATCH($F613,'Product List'!$B$1:$B$299,0),MATCH('Order SUmmary'!L$2,'Product List'!$A$1:$E$1,0))</f>
        <v>Xerox 1932</v>
      </c>
      <c r="M613" s="8">
        <f>INDEX(Product_List,MATCH($F613,'Product List'!$B$1:$B$299,0),MATCH('Order SUmmary'!M$2,'Product List'!$A$1:$E$1,0))</f>
        <v>4309</v>
      </c>
      <c r="N613" s="8">
        <f>INDEX(Product_List,MATCH($F613,'Product List'!$B$1:$B$299,0),MATCH('Order SUmmary'!N$2,'Product List'!$A$1:$E$1,0))</f>
        <v>1779</v>
      </c>
      <c r="O613" s="8" t="str">
        <f>INDEX(Product_List,MATCH($F613,'Product List'!$B$1:$B$299,0),MATCH('Order SUmmary'!O$2,'Product List'!$A$1:$E$1,0))</f>
        <v>Paper</v>
      </c>
      <c r="P613" s="12">
        <f>HLOOKUP(C613,'Commission Criteria'!$A$2:$I$4,3,FALSE)</f>
        <v>10</v>
      </c>
      <c r="Q613" s="8">
        <f t="shared" si="28"/>
        <v>1779</v>
      </c>
      <c r="R613" s="8">
        <f t="shared" si="29"/>
        <v>4309</v>
      </c>
      <c r="S613" s="36">
        <f>VLOOKUP(R613,'Commission Criteria'!$L$3:$M$11,2,TRUE)</f>
        <v>0.01</v>
      </c>
      <c r="T613" s="36">
        <f>IF(P613&lt;5,VLOOKUP(R613,'Commission Criteria'!$L$3:$M$11,2,1),VLOOKUP('Order SUmmary'!R613,'Commission Criteria'!$P$3:$Q$11,2,1))</f>
        <v>0.02</v>
      </c>
      <c r="U613" s="36">
        <f>VLOOKUP(R613,IF(P613&lt;5,'Commission Criteria'!$L$3:$M$11,'Commission Criteria'!$P$3:$Q$11),2,1)</f>
        <v>0.02</v>
      </c>
      <c r="V613" s="8" t="s">
        <v>35</v>
      </c>
      <c r="W613" s="36">
        <f t="shared" ca="1" si="30"/>
        <v>0.04</v>
      </c>
      <c r="X613" s="8" t="str">
        <f>_xlfn.XLOOKUP(F613,'Product List'!$B$1:$B$299,'Product List'!$A$1:$A$299)</f>
        <v>Xerox 1932</v>
      </c>
      <c r="Y613" s="8"/>
      <c r="Z613" s="8" t="str" cm="1">
        <f t="array" ref="Z613:AD613">_xlfn.XLOOKUP(D613,'Customer Details'!$A$1:$A$17,'Customer Details'!$B$1:$F$17,"No such customer",0,1)</f>
        <v>Godfrey Philips India Ltd.</v>
      </c>
      <c r="AA613" s="8" t="str">
        <v>20501 Ania Ave #2</v>
      </c>
      <c r="AB613" s="8" t="str">
        <v>Salt Lake City</v>
      </c>
      <c r="AC613" s="8" t="str">
        <v>UT</v>
      </c>
      <c r="AD613" s="8" t="str">
        <v>84118</v>
      </c>
    </row>
    <row r="614" spans="1:30">
      <c r="A614" s="8" t="s">
        <v>709</v>
      </c>
      <c r="B614" s="19">
        <v>41858</v>
      </c>
      <c r="C614" s="8" t="s">
        <v>66</v>
      </c>
      <c r="D614" s="8">
        <v>10001</v>
      </c>
      <c r="E614" s="8" t="str">
        <f>VLOOKUP($D614,'Customer Details'!$A$1:$F$17,4,FALSE)</f>
        <v>New York</v>
      </c>
      <c r="F614" s="8" t="s">
        <v>245</v>
      </c>
      <c r="G614" s="8">
        <v>1</v>
      </c>
      <c r="H614" s="2" t="str">
        <f>VLOOKUP($D614,'Customer Details'!$A$1:$F$17,MATCH('Order SUmmary'!H$2,'Customer Details'!$A$1:$F$1,0),0)</f>
        <v>Chambal Fertilisers and Chemicals Ltd.</v>
      </c>
      <c r="I614" s="2" t="str">
        <f>VLOOKUP($D614,'Customer Details'!$A$1:$F$17,4,0)</f>
        <v>New York</v>
      </c>
      <c r="J614" s="2" t="str">
        <f>VLOOKUP($D614,'Customer Details'!$A$1:$F$17,6,0)</f>
        <v>10025</v>
      </c>
      <c r="K614" s="8" t="str">
        <f>VLOOKUP(VLOOKUP(D614,'Customer Details'!$A$1:$F$17,5,0),'Region INfo'!$A$1:$C$52,3,0)</f>
        <v xml:space="preserve">Northern </v>
      </c>
      <c r="L614" s="8" t="str">
        <f>INDEX(Product_List,MATCH($F614,'Product List'!$B$1:$B$299,0),MATCH('Order SUmmary'!L$2,'Product List'!$A$1:$E$1,0))</f>
        <v>Avery 498</v>
      </c>
      <c r="M614" s="8">
        <f>INDEX(Product_List,MATCH($F614,'Product List'!$B$1:$B$299,0),MATCH('Order SUmmary'!M$2,'Product List'!$A$1:$E$1,0))</f>
        <v>4646</v>
      </c>
      <c r="N614" s="8">
        <f>INDEX(Product_List,MATCH($F614,'Product List'!$B$1:$B$299,0),MATCH('Order SUmmary'!N$2,'Product List'!$A$1:$E$1,0))</f>
        <v>1846</v>
      </c>
      <c r="O614" s="8" t="str">
        <f>INDEX(Product_List,MATCH($F614,'Product List'!$B$1:$B$299,0),MATCH('Order SUmmary'!O$2,'Product List'!$A$1:$E$1,0))</f>
        <v>Labels</v>
      </c>
      <c r="P614" s="12">
        <f>HLOOKUP(C614,'Commission Criteria'!$A$2:$I$4,3,FALSE)</f>
        <v>5</v>
      </c>
      <c r="Q614" s="8">
        <f t="shared" si="28"/>
        <v>1846</v>
      </c>
      <c r="R614" s="8">
        <f t="shared" si="29"/>
        <v>4646</v>
      </c>
      <c r="S614" s="36">
        <f>VLOOKUP(R614,'Commission Criteria'!$L$3:$M$11,2,TRUE)</f>
        <v>0.01</v>
      </c>
      <c r="T614" s="36">
        <f>IF(P614&lt;5,VLOOKUP(R614,'Commission Criteria'!$L$3:$M$11,2,1),VLOOKUP('Order SUmmary'!R614,'Commission Criteria'!$P$3:$Q$11,2,1))</f>
        <v>0.02</v>
      </c>
      <c r="U614" s="36">
        <f>VLOOKUP(R614,IF(P614&lt;5,'Commission Criteria'!$L$3:$M$11,'Commission Criteria'!$P$3:$Q$11),2,1)</f>
        <v>0.02</v>
      </c>
      <c r="V614" s="8" t="s">
        <v>43</v>
      </c>
      <c r="W614" s="36">
        <f t="shared" ca="1" si="30"/>
        <v>0.01</v>
      </c>
      <c r="X614" s="8" t="str">
        <f>_xlfn.XLOOKUP(F614,'Product List'!$B$1:$B$299,'Product List'!$A$1:$A$299)</f>
        <v>Avery 498</v>
      </c>
      <c r="Y614" s="8"/>
      <c r="Z614" s="8" t="str" cm="1">
        <f t="array" ref="Z614:AD614">_xlfn.XLOOKUP(D614,'Customer Details'!$A$1:$A$17,'Customer Details'!$B$1:$F$17,"No such customer",0,1)</f>
        <v>Chambal Fertilisers and Chemicals Ltd.</v>
      </c>
      <c r="AA614" s="8" t="str">
        <v>4951 Indiana Ave.</v>
      </c>
      <c r="AB614" s="8" t="str">
        <v>New York</v>
      </c>
      <c r="AC614" s="8" t="str">
        <v>NY</v>
      </c>
      <c r="AD614" s="8" t="str">
        <v>10025</v>
      </c>
    </row>
    <row r="615" spans="1:30">
      <c r="A615" s="8" t="s">
        <v>708</v>
      </c>
      <c r="B615" s="19">
        <v>41858</v>
      </c>
      <c r="C615" s="8" t="s">
        <v>54</v>
      </c>
      <c r="D615" s="8">
        <v>10006</v>
      </c>
      <c r="E615" s="8" t="str">
        <f>VLOOKUP($D615,'Customer Details'!$A$1:$F$17,4,FALSE)</f>
        <v>Midland</v>
      </c>
      <c r="F615" s="8" t="s">
        <v>275</v>
      </c>
      <c r="G615" s="8">
        <v>2</v>
      </c>
      <c r="H615" s="2" t="str">
        <f>VLOOKUP($D615,'Customer Details'!$A$1:$F$17,MATCH('Order SUmmary'!H$2,'Customer Details'!$A$1:$F$1,0),0)</f>
        <v>Supreme Ind</v>
      </c>
      <c r="I615" s="2" t="str">
        <f>VLOOKUP($D615,'Customer Details'!$A$1:$F$17,4,0)</f>
        <v>Midland</v>
      </c>
      <c r="J615" s="2" t="str">
        <f>VLOOKUP($D615,'Customer Details'!$A$1:$F$17,6,0)</f>
        <v>79706</v>
      </c>
      <c r="K615" s="8" t="str">
        <f>VLOOKUP(VLOOKUP(D615,'Customer Details'!$A$1:$F$17,5,0),'Region INfo'!$A$1:$C$52,3,0)</f>
        <v>Western</v>
      </c>
      <c r="L615" s="8" t="str">
        <f>INDEX(Product_List,MATCH($F615,'Product List'!$B$1:$B$299,0),MATCH('Order SUmmary'!L$2,'Product List'!$A$1:$E$1,0))</f>
        <v>Xerox 218</v>
      </c>
      <c r="M615" s="8">
        <f>INDEX(Product_List,MATCH($F615,'Product List'!$B$1:$B$299,0),MATCH('Order SUmmary'!M$2,'Product List'!$A$1:$E$1,0))</f>
        <v>4239</v>
      </c>
      <c r="N615" s="8">
        <f>INDEX(Product_List,MATCH($F615,'Product List'!$B$1:$B$299,0),MATCH('Order SUmmary'!N$2,'Product List'!$A$1:$E$1,0))</f>
        <v>1860</v>
      </c>
      <c r="O615" s="8" t="str">
        <f>INDEX(Product_List,MATCH($F615,'Product List'!$B$1:$B$299,0),MATCH('Order SUmmary'!O$2,'Product List'!$A$1:$E$1,0))</f>
        <v>Paper</v>
      </c>
      <c r="P615" s="12">
        <f>HLOOKUP(C615,'Commission Criteria'!$A$2:$I$4,3,FALSE)</f>
        <v>3</v>
      </c>
      <c r="Q615" s="8">
        <f t="shared" si="28"/>
        <v>3720</v>
      </c>
      <c r="R615" s="8">
        <f t="shared" si="29"/>
        <v>8478</v>
      </c>
      <c r="S615" s="36">
        <f>VLOOKUP(R615,'Commission Criteria'!$L$3:$M$11,2,TRUE)</f>
        <v>0.03</v>
      </c>
      <c r="T615" s="36">
        <f>IF(P615&lt;5,VLOOKUP(R615,'Commission Criteria'!$L$3:$M$11,2,1),VLOOKUP('Order SUmmary'!R615,'Commission Criteria'!$P$3:$Q$11,2,1))</f>
        <v>0.03</v>
      </c>
      <c r="U615" s="36">
        <f>VLOOKUP(R615,IF(P615&lt;5,'Commission Criteria'!$L$3:$M$11,'Commission Criteria'!$P$3:$Q$11),2,1)</f>
        <v>0.03</v>
      </c>
      <c r="V615" s="8" t="s">
        <v>29</v>
      </c>
      <c r="W615" s="36">
        <f t="shared" ca="1" si="30"/>
        <v>0.05</v>
      </c>
      <c r="X615" s="8" t="str">
        <f>_xlfn.XLOOKUP(F615,'Product List'!$B$1:$B$299,'Product List'!$A$1:$A$299)</f>
        <v>Xerox 218</v>
      </c>
      <c r="Y615" s="8"/>
      <c r="Z615" s="8" t="str" cm="1">
        <f t="array" ref="Z615:AD615">_xlfn.XLOOKUP(D615,'Customer Details'!$A$1:$A$17,'Customer Details'!$B$1:$F$17,"No such customer",0,1)</f>
        <v>Supreme Ind</v>
      </c>
      <c r="AA615" s="8" t="str">
        <v>P.O. Box 1367</v>
      </c>
      <c r="AB615" s="8" t="str">
        <v>Midland</v>
      </c>
      <c r="AC615" s="8" t="str">
        <v>TX</v>
      </c>
      <c r="AD615" s="8" t="str">
        <v>79706</v>
      </c>
    </row>
    <row r="616" spans="1:30">
      <c r="A616" s="8" t="s">
        <v>709</v>
      </c>
      <c r="B616" s="19">
        <v>41858</v>
      </c>
      <c r="C616" s="8" t="s">
        <v>66</v>
      </c>
      <c r="D616" s="8">
        <v>10002</v>
      </c>
      <c r="E616" s="8" t="str">
        <f>VLOOKUP($D616,'Customer Details'!$A$1:$F$17,4,FALSE)</f>
        <v>Omaha</v>
      </c>
      <c r="F616" s="8" t="s">
        <v>710</v>
      </c>
      <c r="G616" s="8">
        <v>3</v>
      </c>
      <c r="H616" s="2" t="str">
        <f>VLOOKUP($D616,'Customer Details'!$A$1:$F$17,MATCH('Order SUmmary'!H$2,'Customer Details'!$A$1:$F$1,0),0)</f>
        <v>Elder Pharmaceuticals</v>
      </c>
      <c r="I616" s="2" t="str">
        <f>VLOOKUP($D616,'Customer Details'!$A$1:$F$17,4,0)</f>
        <v>Omaha</v>
      </c>
      <c r="J616" s="2" t="str">
        <f>VLOOKUP($D616,'Customer Details'!$A$1:$F$17,6,0)</f>
        <v>68127</v>
      </c>
      <c r="K616" s="8" t="str">
        <f>VLOOKUP(VLOOKUP(D616,'Customer Details'!$A$1:$F$17,5,0),'Region INfo'!$A$1:$C$52,3,0)</f>
        <v>Western</v>
      </c>
      <c r="L616" s="8" t="str">
        <f>INDEX(Product_List,MATCH($F616,'Product List'!$B$1:$B$299,0),MATCH('Order SUmmary'!L$2,'Product List'!$A$1:$E$1,0))</f>
        <v>Xerox 195</v>
      </c>
      <c r="M616" s="8">
        <f>INDEX(Product_List,MATCH($F616,'Product List'!$B$1:$B$299,0),MATCH('Order SUmmary'!M$2,'Product List'!$A$1:$E$1,0))</f>
        <v>4531</v>
      </c>
      <c r="N616" s="8">
        <f>INDEX(Product_List,MATCH($F616,'Product List'!$B$1:$B$299,0),MATCH('Order SUmmary'!N$2,'Product List'!$A$1:$E$1,0))</f>
        <v>1566</v>
      </c>
      <c r="O616" s="8" t="str">
        <f>INDEX(Product_List,MATCH($F616,'Product List'!$B$1:$B$299,0),MATCH('Order SUmmary'!O$2,'Product List'!$A$1:$E$1,0))</f>
        <v>Paper</v>
      </c>
      <c r="P616" s="12">
        <f>HLOOKUP(C616,'Commission Criteria'!$A$2:$I$4,3,FALSE)</f>
        <v>5</v>
      </c>
      <c r="Q616" s="8">
        <f t="shared" si="28"/>
        <v>4698</v>
      </c>
      <c r="R616" s="8">
        <f t="shared" si="29"/>
        <v>13593</v>
      </c>
      <c r="S616" s="36">
        <f>VLOOKUP(R616,'Commission Criteria'!$L$3:$M$11,2,TRUE)</f>
        <v>0.03</v>
      </c>
      <c r="T616" s="36">
        <f>IF(P616&lt;5,VLOOKUP(R616,'Commission Criteria'!$L$3:$M$11,2,1),VLOOKUP('Order SUmmary'!R616,'Commission Criteria'!$P$3:$Q$11,2,1))</f>
        <v>0.02</v>
      </c>
      <c r="U616" s="36">
        <f>VLOOKUP(R616,IF(P616&lt;5,'Commission Criteria'!$L$3:$M$11,'Commission Criteria'!$P$3:$Q$11),2,1)</f>
        <v>0.02</v>
      </c>
      <c r="V616" s="8" t="s">
        <v>50</v>
      </c>
      <c r="W616" s="36">
        <f t="shared" ca="1" si="30"/>
        <v>0.03</v>
      </c>
      <c r="X616" s="8" t="str">
        <f>_xlfn.XLOOKUP(F616,'Product List'!$B$1:$B$299,'Product List'!$A$1:$A$299)</f>
        <v>Xerox 195</v>
      </c>
      <c r="Y616" s="8"/>
      <c r="Z616" s="8" t="str" cm="1">
        <f t="array" ref="Z616:AD616">_xlfn.XLOOKUP(D616,'Customer Details'!$A$1:$A$17,'Customer Details'!$B$1:$F$17,"No such customer",0,1)</f>
        <v>Elder Pharmaceuticals</v>
      </c>
      <c r="AA616" s="8" t="str">
        <v>57 Neriba Cres</v>
      </c>
      <c r="AB616" s="8" t="str">
        <v>Omaha</v>
      </c>
      <c r="AC616" s="8" t="str">
        <v>NE</v>
      </c>
      <c r="AD616" s="8" t="str">
        <v>68127</v>
      </c>
    </row>
    <row r="617" spans="1:30">
      <c r="A617" s="8" t="s">
        <v>711</v>
      </c>
      <c r="B617" s="19">
        <v>41859</v>
      </c>
      <c r="C617" s="8" t="s">
        <v>51</v>
      </c>
      <c r="D617" s="8">
        <v>10012</v>
      </c>
      <c r="E617" s="8" t="str">
        <f>VLOOKUP($D617,'Customer Details'!$A$1:$F$17,4,FALSE)</f>
        <v>Santa Barbara</v>
      </c>
      <c r="F617" s="8" t="s">
        <v>712</v>
      </c>
      <c r="G617" s="8">
        <v>1</v>
      </c>
      <c r="H617" s="2" t="str">
        <f>VLOOKUP($D617,'Customer Details'!$A$1:$F$17,MATCH('Order SUmmary'!H$2,'Customer Details'!$A$1:$F$1,0),0)</f>
        <v>Dynamatic Technologies Ltd.</v>
      </c>
      <c r="I617" s="2" t="str">
        <f>VLOOKUP($D617,'Customer Details'!$A$1:$F$17,4,0)</f>
        <v>Santa Barbara</v>
      </c>
      <c r="J617" s="2" t="str">
        <f>VLOOKUP($D617,'Customer Details'!$A$1:$F$17,6,0)</f>
        <v>93110</v>
      </c>
      <c r="K617" s="8" t="str">
        <f>VLOOKUP(VLOOKUP(D617,'Customer Details'!$A$1:$F$17,5,0),'Region INfo'!$A$1:$C$52,3,0)</f>
        <v xml:space="preserve">Pacific   </v>
      </c>
      <c r="L617" s="8" t="str">
        <f>INDEX(Product_List,MATCH($F617,'Product List'!$B$1:$B$299,0),MATCH('Order SUmmary'!L$2,'Product List'!$A$1:$E$1,0))</f>
        <v>Xerox 1929</v>
      </c>
      <c r="M617" s="8">
        <f>INDEX(Product_List,MATCH($F617,'Product List'!$B$1:$B$299,0),MATCH('Order SUmmary'!M$2,'Product List'!$A$1:$E$1,0))</f>
        <v>2856</v>
      </c>
      <c r="N617" s="8">
        <f>INDEX(Product_List,MATCH($F617,'Product List'!$B$1:$B$299,0),MATCH('Order SUmmary'!N$2,'Product List'!$A$1:$E$1,0))</f>
        <v>1780</v>
      </c>
      <c r="O617" s="8" t="str">
        <f>INDEX(Product_List,MATCH($F617,'Product List'!$B$1:$B$299,0),MATCH('Order SUmmary'!O$2,'Product List'!$A$1:$E$1,0))</f>
        <v>Paper</v>
      </c>
      <c r="P617" s="12">
        <f>HLOOKUP(C617,'Commission Criteria'!$A$2:$I$4,3,FALSE)</f>
        <v>10</v>
      </c>
      <c r="Q617" s="8">
        <f t="shared" si="28"/>
        <v>1780</v>
      </c>
      <c r="R617" s="8">
        <f t="shared" si="29"/>
        <v>2856</v>
      </c>
      <c r="S617" s="36">
        <f>VLOOKUP(R617,'Commission Criteria'!$L$3:$M$11,2,TRUE)</f>
        <v>0.01</v>
      </c>
      <c r="T617" s="36">
        <f>IF(P617&lt;5,VLOOKUP(R617,'Commission Criteria'!$L$3:$M$11,2,1),VLOOKUP('Order SUmmary'!R617,'Commission Criteria'!$P$3:$Q$11,2,1))</f>
        <v>0.02</v>
      </c>
      <c r="U617" s="36">
        <f>VLOOKUP(R617,IF(P617&lt;5,'Commission Criteria'!$L$3:$M$11,'Commission Criteria'!$P$3:$Q$11),2,1)</f>
        <v>0.02</v>
      </c>
      <c r="V617" s="8" t="s">
        <v>29</v>
      </c>
      <c r="W617" s="36">
        <f t="shared" ca="1" si="30"/>
        <v>0.03</v>
      </c>
      <c r="X617" s="8" t="str">
        <f>_xlfn.XLOOKUP(F617,'Product List'!$B$1:$B$299,'Product List'!$A$1:$A$299)</f>
        <v>Xerox 1929</v>
      </c>
      <c r="Y617" s="8"/>
      <c r="Z617" s="8" t="str" cm="1">
        <f t="array" ref="Z617:AD617">_xlfn.XLOOKUP(D617,'Customer Details'!$A$1:$A$17,'Customer Details'!$B$1:$F$17,"No such customer",0,1)</f>
        <v>Dynamatic Technologies Ltd.</v>
      </c>
      <c r="AA617" s="8" t="str">
        <v>402 Pinkster Lane</v>
      </c>
      <c r="AB617" s="8" t="str">
        <v>Santa Barbara</v>
      </c>
      <c r="AC617" s="8" t="str">
        <v>CA</v>
      </c>
      <c r="AD617" s="8" t="str">
        <v>93110</v>
      </c>
    </row>
    <row r="618" spans="1:30">
      <c r="A618" s="8" t="s">
        <v>711</v>
      </c>
      <c r="B618" s="19">
        <v>41859</v>
      </c>
      <c r="C618" s="8" t="s">
        <v>36</v>
      </c>
      <c r="D618" s="8">
        <v>10007</v>
      </c>
      <c r="E618" s="8" t="str">
        <f>VLOOKUP($D618,'Customer Details'!$A$1:$F$17,4,FALSE)</f>
        <v>Richmond</v>
      </c>
      <c r="F618" s="8" t="s">
        <v>518</v>
      </c>
      <c r="G618" s="8">
        <v>2</v>
      </c>
      <c r="H618" s="2" t="str">
        <f>VLOOKUP($D618,'Customer Details'!$A$1:$F$17,MATCH('Order SUmmary'!H$2,'Customer Details'!$A$1:$F$1,0),0)</f>
        <v>GHCL Ltd.</v>
      </c>
      <c r="I618" s="2" t="str">
        <f>VLOOKUP($D618,'Customer Details'!$A$1:$F$17,4,0)</f>
        <v>Richmond</v>
      </c>
      <c r="J618" s="2" t="str">
        <f>VLOOKUP($D618,'Customer Details'!$A$1:$F$17,6,0)</f>
        <v>94805</v>
      </c>
      <c r="K618" s="8" t="str">
        <f>VLOOKUP(VLOOKUP(D618,'Customer Details'!$A$1:$F$17,5,0),'Region INfo'!$A$1:$C$52,3,0)</f>
        <v xml:space="preserve">Pacific   </v>
      </c>
      <c r="L618" s="8" t="str">
        <f>INDEX(Product_List,MATCH($F618,'Product List'!$B$1:$B$299,0),MATCH('Order SUmmary'!L$2,'Product List'!$A$1:$E$1,0))</f>
        <v>Xerox 1931</v>
      </c>
      <c r="M618" s="8">
        <f>INDEX(Product_List,MATCH($F618,'Product List'!$B$1:$B$299,0),MATCH('Order SUmmary'!M$2,'Product List'!$A$1:$E$1,0))</f>
        <v>2706</v>
      </c>
      <c r="N618" s="8">
        <f>INDEX(Product_List,MATCH($F618,'Product List'!$B$1:$B$299,0),MATCH('Order SUmmary'!N$2,'Product List'!$A$1:$E$1,0))</f>
        <v>2310</v>
      </c>
      <c r="O618" s="8" t="str">
        <f>INDEX(Product_List,MATCH($F618,'Product List'!$B$1:$B$299,0),MATCH('Order SUmmary'!O$2,'Product List'!$A$1:$E$1,0))</f>
        <v>Paper</v>
      </c>
      <c r="P618" s="12">
        <f>HLOOKUP(C618,'Commission Criteria'!$A$2:$I$4,3,FALSE)</f>
        <v>6</v>
      </c>
      <c r="Q618" s="8">
        <f t="shared" si="28"/>
        <v>4620</v>
      </c>
      <c r="R618" s="8">
        <f t="shared" si="29"/>
        <v>5412</v>
      </c>
      <c r="S618" s="36">
        <f>VLOOKUP(R618,'Commission Criteria'!$L$3:$M$11,2,TRUE)</f>
        <v>0.03</v>
      </c>
      <c r="T618" s="36">
        <f>IF(P618&lt;5,VLOOKUP(R618,'Commission Criteria'!$L$3:$M$11,2,1),VLOOKUP('Order SUmmary'!R618,'Commission Criteria'!$P$3:$Q$11,2,1))</f>
        <v>0.02</v>
      </c>
      <c r="U618" s="36">
        <f>VLOOKUP(R618,IF(P618&lt;5,'Commission Criteria'!$L$3:$M$11,'Commission Criteria'!$P$3:$Q$11),2,1)</f>
        <v>0.02</v>
      </c>
      <c r="V618" s="8" t="s">
        <v>40</v>
      </c>
      <c r="W618" s="36">
        <f t="shared" ca="1" si="30"/>
        <v>0.01</v>
      </c>
      <c r="X618" s="8" t="str">
        <f>_xlfn.XLOOKUP(F618,'Product List'!$B$1:$B$299,'Product List'!$A$1:$A$299)</f>
        <v>Xerox 1931</v>
      </c>
      <c r="Y618" s="8"/>
      <c r="Z618" s="8" t="str" cm="1">
        <f t="array" ref="Z618:AD618">_xlfn.XLOOKUP(D618,'Customer Details'!$A$1:$A$17,'Customer Details'!$B$1:$F$17,"No such customer",0,1)</f>
        <v>GHCL Ltd.</v>
      </c>
      <c r="AA618" s="8" t="str">
        <v>58 Clarence St</v>
      </c>
      <c r="AB618" s="8" t="str">
        <v>Richmond</v>
      </c>
      <c r="AC618" s="8" t="str">
        <v>CA</v>
      </c>
      <c r="AD618" s="8" t="str">
        <v>94805</v>
      </c>
    </row>
    <row r="619" spans="1:30">
      <c r="A619" s="8" t="s">
        <v>711</v>
      </c>
      <c r="B619" s="19">
        <v>41859</v>
      </c>
      <c r="C619" s="8" t="s">
        <v>33</v>
      </c>
      <c r="D619" s="8">
        <v>10007</v>
      </c>
      <c r="E619" s="8" t="str">
        <f>VLOOKUP($D619,'Customer Details'!$A$1:$F$17,4,FALSE)</f>
        <v>Richmond</v>
      </c>
      <c r="F619" s="8" t="s">
        <v>345</v>
      </c>
      <c r="G619" s="8">
        <v>2</v>
      </c>
      <c r="H619" s="2" t="str">
        <f>VLOOKUP($D619,'Customer Details'!$A$1:$F$17,MATCH('Order SUmmary'!H$2,'Customer Details'!$A$1:$F$1,0),0)</f>
        <v>GHCL Ltd.</v>
      </c>
      <c r="I619" s="2" t="str">
        <f>VLOOKUP($D619,'Customer Details'!$A$1:$F$17,4,0)</f>
        <v>Richmond</v>
      </c>
      <c r="J619" s="2" t="str">
        <f>VLOOKUP($D619,'Customer Details'!$A$1:$F$17,6,0)</f>
        <v>94805</v>
      </c>
      <c r="K619" s="8" t="str">
        <f>VLOOKUP(VLOOKUP(D619,'Customer Details'!$A$1:$F$17,5,0),'Region INfo'!$A$1:$C$52,3,0)</f>
        <v xml:space="preserve">Pacific   </v>
      </c>
      <c r="L619" s="8" t="str">
        <f>INDEX(Product_List,MATCH($F619,'Product List'!$B$1:$B$299,0),MATCH('Order SUmmary'!L$2,'Product List'!$A$1:$E$1,0))</f>
        <v>Newell 340</v>
      </c>
      <c r="M619" s="8">
        <f>INDEX(Product_List,MATCH($F619,'Product List'!$B$1:$B$299,0),MATCH('Order SUmmary'!M$2,'Product List'!$A$1:$E$1,0))</f>
        <v>4239</v>
      </c>
      <c r="N619" s="8">
        <f>INDEX(Product_List,MATCH($F619,'Product List'!$B$1:$B$299,0),MATCH('Order SUmmary'!N$2,'Product List'!$A$1:$E$1,0))</f>
        <v>1749</v>
      </c>
      <c r="O619" s="8" t="str">
        <f>INDEX(Product_List,MATCH($F619,'Product List'!$B$1:$B$299,0),MATCH('Order SUmmary'!O$2,'Product List'!$A$1:$E$1,0))</f>
        <v>Art</v>
      </c>
      <c r="P619" s="12">
        <f>HLOOKUP(C619,'Commission Criteria'!$A$2:$I$4,3,FALSE)</f>
        <v>1</v>
      </c>
      <c r="Q619" s="8">
        <f t="shared" si="28"/>
        <v>3498</v>
      </c>
      <c r="R619" s="8">
        <f t="shared" si="29"/>
        <v>8478</v>
      </c>
      <c r="S619" s="36">
        <f>VLOOKUP(R619,'Commission Criteria'!$L$3:$M$11,2,TRUE)</f>
        <v>0.03</v>
      </c>
      <c r="T619" s="36">
        <f>IF(P619&lt;5,VLOOKUP(R619,'Commission Criteria'!$L$3:$M$11,2,1),VLOOKUP('Order SUmmary'!R619,'Commission Criteria'!$P$3:$Q$11,2,1))</f>
        <v>0.03</v>
      </c>
      <c r="U619" s="36">
        <f>VLOOKUP(R619,IF(P619&lt;5,'Commission Criteria'!$L$3:$M$11,'Commission Criteria'!$P$3:$Q$11),2,1)</f>
        <v>0.03</v>
      </c>
      <c r="V619" s="8" t="s">
        <v>43</v>
      </c>
      <c r="W619" s="36">
        <f t="shared" ca="1" si="30"/>
        <v>0</v>
      </c>
      <c r="X619" s="8" t="str">
        <f>_xlfn.XLOOKUP(F619,'Product List'!$B$1:$B$299,'Product List'!$A$1:$A$299)</f>
        <v>Newell 340</v>
      </c>
      <c r="Y619" s="8"/>
      <c r="Z619" s="8" t="str" cm="1">
        <f t="array" ref="Z619:AD619">_xlfn.XLOOKUP(D619,'Customer Details'!$A$1:$A$17,'Customer Details'!$B$1:$F$17,"No such customer",0,1)</f>
        <v>GHCL Ltd.</v>
      </c>
      <c r="AA619" s="8" t="str">
        <v>58 Clarence St</v>
      </c>
      <c r="AB619" s="8" t="str">
        <v>Richmond</v>
      </c>
      <c r="AC619" s="8" t="str">
        <v>CA</v>
      </c>
      <c r="AD619" s="8" t="str">
        <v>94805</v>
      </c>
    </row>
    <row r="620" spans="1:30">
      <c r="A620" s="8" t="s">
        <v>713</v>
      </c>
      <c r="B620" s="19">
        <v>41860</v>
      </c>
      <c r="C620" s="8" t="s">
        <v>27</v>
      </c>
      <c r="D620" s="8">
        <v>10002</v>
      </c>
      <c r="E620" s="8" t="str">
        <f>VLOOKUP($D620,'Customer Details'!$A$1:$F$17,4,FALSE)</f>
        <v>Omaha</v>
      </c>
      <c r="F620" s="8" t="s">
        <v>316</v>
      </c>
      <c r="G620" s="8">
        <v>1</v>
      </c>
      <c r="H620" s="2" t="str">
        <f>VLOOKUP($D620,'Customer Details'!$A$1:$F$17,MATCH('Order SUmmary'!H$2,'Customer Details'!$A$1:$F$1,0),0)</f>
        <v>Elder Pharmaceuticals</v>
      </c>
      <c r="I620" s="2" t="str">
        <f>VLOOKUP($D620,'Customer Details'!$A$1:$F$17,4,0)</f>
        <v>Omaha</v>
      </c>
      <c r="J620" s="2" t="str">
        <f>VLOOKUP($D620,'Customer Details'!$A$1:$F$17,6,0)</f>
        <v>68127</v>
      </c>
      <c r="K620" s="8" t="str">
        <f>VLOOKUP(VLOOKUP(D620,'Customer Details'!$A$1:$F$17,5,0),'Region INfo'!$A$1:$C$52,3,0)</f>
        <v>Western</v>
      </c>
      <c r="L620" s="8" t="str">
        <f>INDEX(Product_List,MATCH($F620,'Product List'!$B$1:$B$299,0),MATCH('Order SUmmary'!L$2,'Product List'!$A$1:$E$1,0))</f>
        <v>Xerox 1900</v>
      </c>
      <c r="M620" s="8">
        <f>INDEX(Product_List,MATCH($F620,'Product List'!$B$1:$B$299,0),MATCH('Order SUmmary'!M$2,'Product List'!$A$1:$E$1,0))</f>
        <v>4399</v>
      </c>
      <c r="N620" s="8">
        <f>INDEX(Product_List,MATCH($F620,'Product List'!$B$1:$B$299,0),MATCH('Order SUmmary'!N$2,'Product List'!$A$1:$E$1,0))</f>
        <v>2093</v>
      </c>
      <c r="O620" s="8" t="str">
        <f>INDEX(Product_List,MATCH($F620,'Product List'!$B$1:$B$299,0),MATCH('Order SUmmary'!O$2,'Product List'!$A$1:$E$1,0))</f>
        <v>Paper</v>
      </c>
      <c r="P620" s="12">
        <f>HLOOKUP(C620,'Commission Criteria'!$A$2:$I$4,3,FALSE)</f>
        <v>4</v>
      </c>
      <c r="Q620" s="8">
        <f t="shared" si="28"/>
        <v>2093</v>
      </c>
      <c r="R620" s="8">
        <f t="shared" si="29"/>
        <v>4399</v>
      </c>
      <c r="S620" s="36">
        <f>VLOOKUP(R620,'Commission Criteria'!$L$3:$M$11,2,TRUE)</f>
        <v>0.01</v>
      </c>
      <c r="T620" s="36">
        <f>IF(P620&lt;5,VLOOKUP(R620,'Commission Criteria'!$L$3:$M$11,2,1),VLOOKUP('Order SUmmary'!R620,'Commission Criteria'!$P$3:$Q$11,2,1))</f>
        <v>0.01</v>
      </c>
      <c r="U620" s="36">
        <f>VLOOKUP(R620,IF(P620&lt;5,'Commission Criteria'!$L$3:$M$11,'Commission Criteria'!$P$3:$Q$11),2,1)</f>
        <v>0.01</v>
      </c>
      <c r="V620" s="8" t="s">
        <v>32</v>
      </c>
      <c r="W620" s="36">
        <f t="shared" ca="1" si="30"/>
        <v>0</v>
      </c>
      <c r="X620" s="8" t="str">
        <f>_xlfn.XLOOKUP(F620,'Product List'!$B$1:$B$299,'Product List'!$A$1:$A$299)</f>
        <v>Xerox 1900</v>
      </c>
      <c r="Y620" s="8"/>
      <c r="Z620" s="8" t="str" cm="1">
        <f t="array" ref="Z620:AD620">_xlfn.XLOOKUP(D620,'Customer Details'!$A$1:$A$17,'Customer Details'!$B$1:$F$17,"No such customer",0,1)</f>
        <v>Elder Pharmaceuticals</v>
      </c>
      <c r="AA620" s="8" t="str">
        <v>57 Neriba Cres</v>
      </c>
      <c r="AB620" s="8" t="str">
        <v>Omaha</v>
      </c>
      <c r="AC620" s="8" t="str">
        <v>NE</v>
      </c>
      <c r="AD620" s="8" t="str">
        <v>68127</v>
      </c>
    </row>
    <row r="621" spans="1:30">
      <c r="A621" s="8" t="s">
        <v>714</v>
      </c>
      <c r="B621" s="19">
        <v>41860</v>
      </c>
      <c r="C621" s="8" t="s">
        <v>33</v>
      </c>
      <c r="D621" s="8">
        <v>10001</v>
      </c>
      <c r="E621" s="8" t="str">
        <f>VLOOKUP($D621,'Customer Details'!$A$1:$F$17,4,FALSE)</f>
        <v>New York</v>
      </c>
      <c r="F621" s="8" t="s">
        <v>356</v>
      </c>
      <c r="G621" s="8">
        <v>3</v>
      </c>
      <c r="H621" s="2" t="str">
        <f>VLOOKUP($D621,'Customer Details'!$A$1:$F$17,MATCH('Order SUmmary'!H$2,'Customer Details'!$A$1:$F$1,0),0)</f>
        <v>Chambal Fertilisers and Chemicals Ltd.</v>
      </c>
      <c r="I621" s="2" t="str">
        <f>VLOOKUP($D621,'Customer Details'!$A$1:$F$17,4,0)</f>
        <v>New York</v>
      </c>
      <c r="J621" s="2" t="str">
        <f>VLOOKUP($D621,'Customer Details'!$A$1:$F$17,6,0)</f>
        <v>10025</v>
      </c>
      <c r="K621" s="8" t="str">
        <f>VLOOKUP(VLOOKUP(D621,'Customer Details'!$A$1:$F$17,5,0),'Region INfo'!$A$1:$C$52,3,0)</f>
        <v xml:space="preserve">Northern </v>
      </c>
      <c r="L621" s="8" t="str">
        <f>INDEX(Product_List,MATCH($F621,'Product List'!$B$1:$B$299,0),MATCH('Order SUmmary'!L$2,'Product List'!$A$1:$E$1,0))</f>
        <v>Newell 32</v>
      </c>
      <c r="M621" s="8">
        <f>INDEX(Product_List,MATCH($F621,'Product List'!$B$1:$B$299,0),MATCH('Order SUmmary'!M$2,'Product List'!$A$1:$E$1,0))</f>
        <v>4051</v>
      </c>
      <c r="N621" s="8">
        <f>INDEX(Product_List,MATCH($F621,'Product List'!$B$1:$B$299,0),MATCH('Order SUmmary'!N$2,'Product List'!$A$1:$E$1,0))</f>
        <v>1962</v>
      </c>
      <c r="O621" s="8" t="str">
        <f>INDEX(Product_List,MATCH($F621,'Product List'!$B$1:$B$299,0),MATCH('Order SUmmary'!O$2,'Product List'!$A$1:$E$1,0))</f>
        <v>Art</v>
      </c>
      <c r="P621" s="12">
        <f>HLOOKUP(C621,'Commission Criteria'!$A$2:$I$4,3,FALSE)</f>
        <v>1</v>
      </c>
      <c r="Q621" s="8">
        <f t="shared" si="28"/>
        <v>5886</v>
      </c>
      <c r="R621" s="8">
        <f t="shared" si="29"/>
        <v>12153</v>
      </c>
      <c r="S621" s="36">
        <f>VLOOKUP(R621,'Commission Criteria'!$L$3:$M$11,2,TRUE)</f>
        <v>0.03</v>
      </c>
      <c r="T621" s="36">
        <f>IF(P621&lt;5,VLOOKUP(R621,'Commission Criteria'!$L$3:$M$11,2,1),VLOOKUP('Order SUmmary'!R621,'Commission Criteria'!$P$3:$Q$11,2,1))</f>
        <v>0.03</v>
      </c>
      <c r="U621" s="36">
        <f>VLOOKUP(R621,IF(P621&lt;5,'Commission Criteria'!$L$3:$M$11,'Commission Criteria'!$P$3:$Q$11),2,1)</f>
        <v>0.03</v>
      </c>
      <c r="V621" s="8" t="s">
        <v>29</v>
      </c>
      <c r="W621" s="36">
        <f t="shared" ca="1" si="30"/>
        <v>0.05</v>
      </c>
      <c r="X621" s="8" t="str">
        <f>_xlfn.XLOOKUP(F621,'Product List'!$B$1:$B$299,'Product List'!$A$1:$A$299)</f>
        <v>Newell 32</v>
      </c>
      <c r="Y621" s="8"/>
      <c r="Z621" s="8" t="str" cm="1">
        <f t="array" ref="Z621:AD621">_xlfn.XLOOKUP(D621,'Customer Details'!$A$1:$A$17,'Customer Details'!$B$1:$F$17,"No such customer",0,1)</f>
        <v>Chambal Fertilisers and Chemicals Ltd.</v>
      </c>
      <c r="AA621" s="8" t="str">
        <v>4951 Indiana Ave.</v>
      </c>
      <c r="AB621" s="8" t="str">
        <v>New York</v>
      </c>
      <c r="AC621" s="8" t="str">
        <v>NY</v>
      </c>
      <c r="AD621" s="8" t="str">
        <v>10025</v>
      </c>
    </row>
    <row r="622" spans="1:30">
      <c r="A622" s="8" t="s">
        <v>715</v>
      </c>
      <c r="B622" s="19">
        <v>41861</v>
      </c>
      <c r="C622" s="8" t="s">
        <v>36</v>
      </c>
      <c r="D622" s="8">
        <v>10007</v>
      </c>
      <c r="E622" s="8" t="str">
        <f>VLOOKUP($D622,'Customer Details'!$A$1:$F$17,4,FALSE)</f>
        <v>Richmond</v>
      </c>
      <c r="F622" s="8" t="s">
        <v>659</v>
      </c>
      <c r="G622" s="8">
        <v>1</v>
      </c>
      <c r="H622" s="2" t="str">
        <f>VLOOKUP($D622,'Customer Details'!$A$1:$F$17,MATCH('Order SUmmary'!H$2,'Customer Details'!$A$1:$F$1,0),0)</f>
        <v>GHCL Ltd.</v>
      </c>
      <c r="I622" s="2" t="str">
        <f>VLOOKUP($D622,'Customer Details'!$A$1:$F$17,4,0)</f>
        <v>Richmond</v>
      </c>
      <c r="J622" s="2" t="str">
        <f>VLOOKUP($D622,'Customer Details'!$A$1:$F$17,6,0)</f>
        <v>94805</v>
      </c>
      <c r="K622" s="8" t="str">
        <f>VLOOKUP(VLOOKUP(D622,'Customer Details'!$A$1:$F$17,5,0),'Region INfo'!$A$1:$C$52,3,0)</f>
        <v xml:space="preserve">Pacific   </v>
      </c>
      <c r="L622" s="8" t="str">
        <f>INDEX(Product_List,MATCH($F622,'Product List'!$B$1:$B$299,0),MATCH('Order SUmmary'!L$2,'Product List'!$A$1:$E$1,0))</f>
        <v>Newell 312</v>
      </c>
      <c r="M622" s="8">
        <f>INDEX(Product_List,MATCH($F622,'Product List'!$B$1:$B$299,0),MATCH('Order SUmmary'!M$2,'Product List'!$A$1:$E$1,0))</f>
        <v>4325</v>
      </c>
      <c r="N622" s="8">
        <f>INDEX(Product_List,MATCH($F622,'Product List'!$B$1:$B$299,0),MATCH('Order SUmmary'!N$2,'Product List'!$A$1:$E$1,0))</f>
        <v>1734</v>
      </c>
      <c r="O622" s="8" t="str">
        <f>INDEX(Product_List,MATCH($F622,'Product List'!$B$1:$B$299,0),MATCH('Order SUmmary'!O$2,'Product List'!$A$1:$E$1,0))</f>
        <v>Art</v>
      </c>
      <c r="P622" s="12">
        <f>HLOOKUP(C622,'Commission Criteria'!$A$2:$I$4,3,FALSE)</f>
        <v>6</v>
      </c>
      <c r="Q622" s="8">
        <f t="shared" si="28"/>
        <v>1734</v>
      </c>
      <c r="R622" s="8">
        <f t="shared" si="29"/>
        <v>4325</v>
      </c>
      <c r="S622" s="36">
        <f>VLOOKUP(R622,'Commission Criteria'!$L$3:$M$11,2,TRUE)</f>
        <v>0.01</v>
      </c>
      <c r="T622" s="36">
        <f>IF(P622&lt;5,VLOOKUP(R622,'Commission Criteria'!$L$3:$M$11,2,1),VLOOKUP('Order SUmmary'!R622,'Commission Criteria'!$P$3:$Q$11,2,1))</f>
        <v>0.02</v>
      </c>
      <c r="U622" s="36">
        <f>VLOOKUP(R622,IF(P622&lt;5,'Commission Criteria'!$L$3:$M$11,'Commission Criteria'!$P$3:$Q$11),2,1)</f>
        <v>0.02</v>
      </c>
      <c r="V622" s="8" t="s">
        <v>43</v>
      </c>
      <c r="W622" s="36">
        <f t="shared" ca="1" si="30"/>
        <v>0.04</v>
      </c>
      <c r="X622" s="8" t="str">
        <f>_xlfn.XLOOKUP(F622,'Product List'!$B$1:$B$299,'Product List'!$A$1:$A$299)</f>
        <v>Newell 312</v>
      </c>
      <c r="Y622" s="8"/>
      <c r="Z622" s="8" t="str" cm="1">
        <f t="array" ref="Z622:AD622">_xlfn.XLOOKUP(D622,'Customer Details'!$A$1:$A$17,'Customer Details'!$B$1:$F$17,"No such customer",0,1)</f>
        <v>GHCL Ltd.</v>
      </c>
      <c r="AA622" s="8" t="str">
        <v>58 Clarence St</v>
      </c>
      <c r="AB622" s="8" t="str">
        <v>Richmond</v>
      </c>
      <c r="AC622" s="8" t="str">
        <v>CA</v>
      </c>
      <c r="AD622" s="8" t="str">
        <v>94805</v>
      </c>
    </row>
    <row r="623" spans="1:30">
      <c r="A623" s="8" t="s">
        <v>715</v>
      </c>
      <c r="B623" s="19">
        <v>41861</v>
      </c>
      <c r="C623" s="8" t="s">
        <v>51</v>
      </c>
      <c r="D623" s="8">
        <v>10011</v>
      </c>
      <c r="E623" s="8" t="str">
        <f>VLOOKUP($D623,'Customer Details'!$A$1:$F$17,4,FALSE)</f>
        <v>Olympia</v>
      </c>
      <c r="F623" s="8" t="s">
        <v>716</v>
      </c>
      <c r="G623" s="8">
        <v>2</v>
      </c>
      <c r="H623" s="2" t="str">
        <f>VLOOKUP($D623,'Customer Details'!$A$1:$F$17,MATCH('Order SUmmary'!H$2,'Customer Details'!$A$1:$F$1,0),0)</f>
        <v>Sonata Software</v>
      </c>
      <c r="I623" s="2" t="str">
        <f>VLOOKUP($D623,'Customer Details'!$A$1:$F$17,4,0)</f>
        <v>Olympia</v>
      </c>
      <c r="J623" s="2" t="str">
        <f>VLOOKUP($D623,'Customer Details'!$A$1:$F$17,6,0)</f>
        <v>98502</v>
      </c>
      <c r="K623" s="8" t="str">
        <f>VLOOKUP(VLOOKUP(D623,'Customer Details'!$A$1:$F$17,5,0),'Region INfo'!$A$1:$C$52,3,0)</f>
        <v xml:space="preserve">Pacific   </v>
      </c>
      <c r="L623" s="8" t="str">
        <f>INDEX(Product_List,MATCH($F623,'Product List'!$B$1:$B$299,0),MATCH('Order SUmmary'!L$2,'Product List'!$A$1:$E$1,0))</f>
        <v>Xerox 1954</v>
      </c>
      <c r="M623" s="8">
        <f>INDEX(Product_List,MATCH($F623,'Product List'!$B$1:$B$299,0),MATCH('Order SUmmary'!M$2,'Product List'!$A$1:$E$1,0))</f>
        <v>3575</v>
      </c>
      <c r="N623" s="8">
        <f>INDEX(Product_List,MATCH($F623,'Product List'!$B$1:$B$299,0),MATCH('Order SUmmary'!N$2,'Product List'!$A$1:$E$1,0))</f>
        <v>1937</v>
      </c>
      <c r="O623" s="8" t="str">
        <f>INDEX(Product_List,MATCH($F623,'Product List'!$B$1:$B$299,0),MATCH('Order SUmmary'!O$2,'Product List'!$A$1:$E$1,0))</f>
        <v>Paper</v>
      </c>
      <c r="P623" s="12">
        <f>HLOOKUP(C623,'Commission Criteria'!$A$2:$I$4,3,FALSE)</f>
        <v>10</v>
      </c>
      <c r="Q623" s="8">
        <f t="shared" si="28"/>
        <v>3874</v>
      </c>
      <c r="R623" s="8">
        <f t="shared" si="29"/>
        <v>7150</v>
      </c>
      <c r="S623" s="36">
        <f>VLOOKUP(R623,'Commission Criteria'!$L$3:$M$11,2,TRUE)</f>
        <v>0.03</v>
      </c>
      <c r="T623" s="36">
        <f>IF(P623&lt;5,VLOOKUP(R623,'Commission Criteria'!$L$3:$M$11,2,1),VLOOKUP('Order SUmmary'!R623,'Commission Criteria'!$P$3:$Q$11,2,1))</f>
        <v>0.02</v>
      </c>
      <c r="U623" s="36">
        <f>VLOOKUP(R623,IF(P623&lt;5,'Commission Criteria'!$L$3:$M$11,'Commission Criteria'!$P$3:$Q$11),2,1)</f>
        <v>0.02</v>
      </c>
      <c r="V623" s="8" t="s">
        <v>32</v>
      </c>
      <c r="W623" s="36">
        <f t="shared" ca="1" si="30"/>
        <v>0.05</v>
      </c>
      <c r="X623" s="8" t="str">
        <f>_xlfn.XLOOKUP(F623,'Product List'!$B$1:$B$299,'Product List'!$A$1:$A$299)</f>
        <v>Xerox 1954</v>
      </c>
      <c r="Y623" s="8"/>
      <c r="Z623" s="8" t="str" cm="1">
        <f t="array" ref="Z623:AD623">_xlfn.XLOOKUP(D623,'Customer Details'!$A$1:$A$17,'Customer Details'!$B$1:$F$17,"No such customer",0,1)</f>
        <v>Sonata Software</v>
      </c>
      <c r="AA623" s="8" t="str">
        <v>1331 Kimberly Dr.</v>
      </c>
      <c r="AB623" s="8" t="str">
        <v>Olympia</v>
      </c>
      <c r="AC623" s="8" t="str">
        <v>WA</v>
      </c>
      <c r="AD623" s="8" t="str">
        <v>98502</v>
      </c>
    </row>
    <row r="624" spans="1:30">
      <c r="A624" s="8" t="s">
        <v>717</v>
      </c>
      <c r="B624" s="19">
        <v>41862</v>
      </c>
      <c r="C624" s="8" t="s">
        <v>66</v>
      </c>
      <c r="D624" s="8">
        <v>10012</v>
      </c>
      <c r="E624" s="8" t="str">
        <f>VLOOKUP($D624,'Customer Details'!$A$1:$F$17,4,FALSE)</f>
        <v>Santa Barbara</v>
      </c>
      <c r="F624" s="8" t="s">
        <v>318</v>
      </c>
      <c r="G624" s="8">
        <v>2</v>
      </c>
      <c r="H624" s="2" t="str">
        <f>VLOOKUP($D624,'Customer Details'!$A$1:$F$17,MATCH('Order SUmmary'!H$2,'Customer Details'!$A$1:$F$1,0),0)</f>
        <v>Dynamatic Technologies Ltd.</v>
      </c>
      <c r="I624" s="2" t="str">
        <f>VLOOKUP($D624,'Customer Details'!$A$1:$F$17,4,0)</f>
        <v>Santa Barbara</v>
      </c>
      <c r="J624" s="2" t="str">
        <f>VLOOKUP($D624,'Customer Details'!$A$1:$F$17,6,0)</f>
        <v>93110</v>
      </c>
      <c r="K624" s="8" t="str">
        <f>VLOOKUP(VLOOKUP(D624,'Customer Details'!$A$1:$F$17,5,0),'Region INfo'!$A$1:$C$52,3,0)</f>
        <v xml:space="preserve">Pacific   </v>
      </c>
      <c r="L624" s="8" t="str">
        <f>INDEX(Product_List,MATCH($F624,'Product List'!$B$1:$B$299,0),MATCH('Order SUmmary'!L$2,'Product List'!$A$1:$E$1,0))</f>
        <v>Newell 331</v>
      </c>
      <c r="M624" s="8">
        <f>INDEX(Product_List,MATCH($F624,'Product List'!$B$1:$B$299,0),MATCH('Order SUmmary'!M$2,'Product List'!$A$1:$E$1,0))</f>
        <v>3048</v>
      </c>
      <c r="N624" s="8">
        <f>INDEX(Product_List,MATCH($F624,'Product List'!$B$1:$B$299,0),MATCH('Order SUmmary'!N$2,'Product List'!$A$1:$E$1,0))</f>
        <v>1616</v>
      </c>
      <c r="O624" s="8" t="str">
        <f>INDEX(Product_List,MATCH($F624,'Product List'!$B$1:$B$299,0),MATCH('Order SUmmary'!O$2,'Product List'!$A$1:$E$1,0))</f>
        <v>Art</v>
      </c>
      <c r="P624" s="12">
        <f>HLOOKUP(C624,'Commission Criteria'!$A$2:$I$4,3,FALSE)</f>
        <v>5</v>
      </c>
      <c r="Q624" s="8">
        <f t="shared" si="28"/>
        <v>3232</v>
      </c>
      <c r="R624" s="8">
        <f t="shared" si="29"/>
        <v>6096</v>
      </c>
      <c r="S624" s="36">
        <f>VLOOKUP(R624,'Commission Criteria'!$L$3:$M$11,2,TRUE)</f>
        <v>0.03</v>
      </c>
      <c r="T624" s="36">
        <f>IF(P624&lt;5,VLOOKUP(R624,'Commission Criteria'!$L$3:$M$11,2,1),VLOOKUP('Order SUmmary'!R624,'Commission Criteria'!$P$3:$Q$11,2,1))</f>
        <v>0.02</v>
      </c>
      <c r="U624" s="36">
        <f>VLOOKUP(R624,IF(P624&lt;5,'Commission Criteria'!$L$3:$M$11,'Commission Criteria'!$P$3:$Q$11),2,1)</f>
        <v>0.02</v>
      </c>
      <c r="V624" s="8" t="s">
        <v>35</v>
      </c>
      <c r="W624" s="36">
        <f t="shared" ca="1" si="30"/>
        <v>0.02</v>
      </c>
      <c r="X624" s="8" t="str">
        <f>_xlfn.XLOOKUP(F624,'Product List'!$B$1:$B$299,'Product List'!$A$1:$A$299)</f>
        <v>Newell 331</v>
      </c>
      <c r="Y624" s="8"/>
      <c r="Z624" s="8" t="str" cm="1">
        <f t="array" ref="Z624:AD624">_xlfn.XLOOKUP(D624,'Customer Details'!$A$1:$A$17,'Customer Details'!$B$1:$F$17,"No such customer",0,1)</f>
        <v>Dynamatic Technologies Ltd.</v>
      </c>
      <c r="AA624" s="8" t="str">
        <v>402 Pinkster Lane</v>
      </c>
      <c r="AB624" s="8" t="str">
        <v>Santa Barbara</v>
      </c>
      <c r="AC624" s="8" t="str">
        <v>CA</v>
      </c>
      <c r="AD624" s="8" t="str">
        <v>93110</v>
      </c>
    </row>
    <row r="625" spans="1:30">
      <c r="A625" s="8" t="s">
        <v>718</v>
      </c>
      <c r="B625" s="19">
        <v>41867</v>
      </c>
      <c r="C625" s="8" t="s">
        <v>36</v>
      </c>
      <c r="D625" s="8">
        <v>10012</v>
      </c>
      <c r="E625" s="8" t="str">
        <f>VLOOKUP($D625,'Customer Details'!$A$1:$F$17,4,FALSE)</f>
        <v>Santa Barbara</v>
      </c>
      <c r="F625" s="8" t="s">
        <v>178</v>
      </c>
      <c r="G625" s="8">
        <v>1</v>
      </c>
      <c r="H625" s="2" t="str">
        <f>VLOOKUP($D625,'Customer Details'!$A$1:$F$17,MATCH('Order SUmmary'!H$2,'Customer Details'!$A$1:$F$1,0),0)</f>
        <v>Dynamatic Technologies Ltd.</v>
      </c>
      <c r="I625" s="2" t="str">
        <f>VLOOKUP($D625,'Customer Details'!$A$1:$F$17,4,0)</f>
        <v>Santa Barbara</v>
      </c>
      <c r="J625" s="2" t="str">
        <f>VLOOKUP($D625,'Customer Details'!$A$1:$F$17,6,0)</f>
        <v>93110</v>
      </c>
      <c r="K625" s="8" t="str">
        <f>VLOOKUP(VLOOKUP(D625,'Customer Details'!$A$1:$F$17,5,0),'Region INfo'!$A$1:$C$52,3,0)</f>
        <v xml:space="preserve">Pacific   </v>
      </c>
      <c r="L625" s="8" t="str">
        <f>INDEX(Product_List,MATCH($F625,'Product List'!$B$1:$B$299,0),MATCH('Order SUmmary'!L$2,'Product List'!$A$1:$E$1,0))</f>
        <v>Xerox 1912</v>
      </c>
      <c r="M625" s="8">
        <f>INDEX(Product_List,MATCH($F625,'Product List'!$B$1:$B$299,0),MATCH('Order SUmmary'!M$2,'Product List'!$A$1:$E$1,0))</f>
        <v>2803</v>
      </c>
      <c r="N625" s="8">
        <f>INDEX(Product_List,MATCH($F625,'Product List'!$B$1:$B$299,0),MATCH('Order SUmmary'!N$2,'Product List'!$A$1:$E$1,0))</f>
        <v>1344</v>
      </c>
      <c r="O625" s="8" t="str">
        <f>INDEX(Product_List,MATCH($F625,'Product List'!$B$1:$B$299,0),MATCH('Order SUmmary'!O$2,'Product List'!$A$1:$E$1,0))</f>
        <v>Paper</v>
      </c>
      <c r="P625" s="12">
        <f>HLOOKUP(C625,'Commission Criteria'!$A$2:$I$4,3,FALSE)</f>
        <v>6</v>
      </c>
      <c r="Q625" s="8">
        <f t="shared" si="28"/>
        <v>1344</v>
      </c>
      <c r="R625" s="8">
        <f t="shared" si="29"/>
        <v>2803</v>
      </c>
      <c r="S625" s="36">
        <f>VLOOKUP(R625,'Commission Criteria'!$L$3:$M$11,2,TRUE)</f>
        <v>0.01</v>
      </c>
      <c r="T625" s="36">
        <f>IF(P625&lt;5,VLOOKUP(R625,'Commission Criteria'!$L$3:$M$11,2,1),VLOOKUP('Order SUmmary'!R625,'Commission Criteria'!$P$3:$Q$11,2,1))</f>
        <v>0.02</v>
      </c>
      <c r="U625" s="36">
        <f>VLOOKUP(R625,IF(P625&lt;5,'Commission Criteria'!$L$3:$M$11,'Commission Criteria'!$P$3:$Q$11),2,1)</f>
        <v>0.02</v>
      </c>
      <c r="V625" s="8" t="s">
        <v>29</v>
      </c>
      <c r="W625" s="36">
        <f t="shared" ca="1" si="30"/>
        <v>0.01</v>
      </c>
      <c r="X625" s="8" t="str">
        <f>_xlfn.XLOOKUP(F625,'Product List'!$B$1:$B$299,'Product List'!$A$1:$A$299)</f>
        <v>Xerox 1912</v>
      </c>
      <c r="Y625" s="8"/>
      <c r="Z625" s="8" t="str" cm="1">
        <f t="array" ref="Z625:AD625">_xlfn.XLOOKUP(D625,'Customer Details'!$A$1:$A$17,'Customer Details'!$B$1:$F$17,"No such customer",0,1)</f>
        <v>Dynamatic Technologies Ltd.</v>
      </c>
      <c r="AA625" s="8" t="str">
        <v>402 Pinkster Lane</v>
      </c>
      <c r="AB625" s="8" t="str">
        <v>Santa Barbara</v>
      </c>
      <c r="AC625" s="8" t="str">
        <v>CA</v>
      </c>
      <c r="AD625" s="8" t="str">
        <v>93110</v>
      </c>
    </row>
    <row r="626" spans="1:30">
      <c r="A626" s="8" t="s">
        <v>719</v>
      </c>
      <c r="B626" s="19">
        <v>41867</v>
      </c>
      <c r="C626" s="8" t="s">
        <v>54</v>
      </c>
      <c r="D626" s="8">
        <v>10001</v>
      </c>
      <c r="E626" s="8" t="str">
        <f>VLOOKUP($D626,'Customer Details'!$A$1:$F$17,4,FALSE)</f>
        <v>New York</v>
      </c>
      <c r="F626" s="8" t="s">
        <v>291</v>
      </c>
      <c r="G626" s="8">
        <v>1</v>
      </c>
      <c r="H626" s="2" t="str">
        <f>VLOOKUP($D626,'Customer Details'!$A$1:$F$17,MATCH('Order SUmmary'!H$2,'Customer Details'!$A$1:$F$1,0),0)</f>
        <v>Chambal Fertilisers and Chemicals Ltd.</v>
      </c>
      <c r="I626" s="2" t="str">
        <f>VLOOKUP($D626,'Customer Details'!$A$1:$F$17,4,0)</f>
        <v>New York</v>
      </c>
      <c r="J626" s="2" t="str">
        <f>VLOOKUP($D626,'Customer Details'!$A$1:$F$17,6,0)</f>
        <v>10025</v>
      </c>
      <c r="K626" s="8" t="str">
        <f>VLOOKUP(VLOOKUP(D626,'Customer Details'!$A$1:$F$17,5,0),'Region INfo'!$A$1:$C$52,3,0)</f>
        <v xml:space="preserve">Northern </v>
      </c>
      <c r="L626" s="8" t="str">
        <f>INDEX(Product_List,MATCH($F626,'Product List'!$B$1:$B$299,0),MATCH('Order SUmmary'!L$2,'Product List'!$A$1:$E$1,0))</f>
        <v>Xerox 1990</v>
      </c>
      <c r="M626" s="8">
        <f>INDEX(Product_List,MATCH($F626,'Product List'!$B$1:$B$299,0),MATCH('Order SUmmary'!M$2,'Product List'!$A$1:$E$1,0))</f>
        <v>3330</v>
      </c>
      <c r="N626" s="8">
        <f>INDEX(Product_List,MATCH($F626,'Product List'!$B$1:$B$299,0),MATCH('Order SUmmary'!N$2,'Product List'!$A$1:$E$1,0))</f>
        <v>2283</v>
      </c>
      <c r="O626" s="8" t="str">
        <f>INDEX(Product_List,MATCH($F626,'Product List'!$B$1:$B$299,0),MATCH('Order SUmmary'!O$2,'Product List'!$A$1:$E$1,0))</f>
        <v>Paper</v>
      </c>
      <c r="P626" s="12">
        <f>HLOOKUP(C626,'Commission Criteria'!$A$2:$I$4,3,FALSE)</f>
        <v>3</v>
      </c>
      <c r="Q626" s="8">
        <f t="shared" si="28"/>
        <v>2283</v>
      </c>
      <c r="R626" s="8">
        <f t="shared" si="29"/>
        <v>3330</v>
      </c>
      <c r="S626" s="36">
        <f>VLOOKUP(R626,'Commission Criteria'!$L$3:$M$11,2,TRUE)</f>
        <v>0.01</v>
      </c>
      <c r="T626" s="36">
        <f>IF(P626&lt;5,VLOOKUP(R626,'Commission Criteria'!$L$3:$M$11,2,1),VLOOKUP('Order SUmmary'!R626,'Commission Criteria'!$P$3:$Q$11,2,1))</f>
        <v>0.01</v>
      </c>
      <c r="U626" s="36">
        <f>VLOOKUP(R626,IF(P626&lt;5,'Commission Criteria'!$L$3:$M$11,'Commission Criteria'!$P$3:$Q$11),2,1)</f>
        <v>0.01</v>
      </c>
      <c r="V626" s="8" t="s">
        <v>35</v>
      </c>
      <c r="W626" s="36">
        <f t="shared" ca="1" si="30"/>
        <v>0.03</v>
      </c>
      <c r="X626" s="8" t="str">
        <f>_xlfn.XLOOKUP(F626,'Product List'!$B$1:$B$299,'Product List'!$A$1:$A$299)</f>
        <v>Xerox 1990</v>
      </c>
      <c r="Y626" s="8"/>
      <c r="Z626" s="8" t="str" cm="1">
        <f t="array" ref="Z626:AD626">_xlfn.XLOOKUP(D626,'Customer Details'!$A$1:$A$17,'Customer Details'!$B$1:$F$17,"No such customer",0,1)</f>
        <v>Chambal Fertilisers and Chemicals Ltd.</v>
      </c>
      <c r="AA626" s="8" t="str">
        <v>4951 Indiana Ave.</v>
      </c>
      <c r="AB626" s="8" t="str">
        <v>New York</v>
      </c>
      <c r="AC626" s="8" t="str">
        <v>NY</v>
      </c>
      <c r="AD626" s="8" t="str">
        <v>10025</v>
      </c>
    </row>
    <row r="627" spans="1:30">
      <c r="A627" s="8" t="s">
        <v>718</v>
      </c>
      <c r="B627" s="19">
        <v>41867</v>
      </c>
      <c r="C627" s="8" t="s">
        <v>33</v>
      </c>
      <c r="D627" s="8">
        <v>10002</v>
      </c>
      <c r="E627" s="8" t="str">
        <f>VLOOKUP($D627,'Customer Details'!$A$1:$F$17,4,FALSE)</f>
        <v>Omaha</v>
      </c>
      <c r="F627" s="8" t="s">
        <v>184</v>
      </c>
      <c r="G627" s="8">
        <v>2</v>
      </c>
      <c r="H627" s="2" t="str">
        <f>VLOOKUP($D627,'Customer Details'!$A$1:$F$17,MATCH('Order SUmmary'!H$2,'Customer Details'!$A$1:$F$1,0),0)</f>
        <v>Elder Pharmaceuticals</v>
      </c>
      <c r="I627" s="2" t="str">
        <f>VLOOKUP($D627,'Customer Details'!$A$1:$F$17,4,0)</f>
        <v>Omaha</v>
      </c>
      <c r="J627" s="2" t="str">
        <f>VLOOKUP($D627,'Customer Details'!$A$1:$F$17,6,0)</f>
        <v>68127</v>
      </c>
      <c r="K627" s="8" t="str">
        <f>VLOOKUP(VLOOKUP(D627,'Customer Details'!$A$1:$F$17,5,0),'Region INfo'!$A$1:$C$52,3,0)</f>
        <v>Western</v>
      </c>
      <c r="L627" s="8" t="str">
        <f>INDEX(Product_List,MATCH($F627,'Product List'!$B$1:$B$299,0),MATCH('Order SUmmary'!L$2,'Product List'!$A$1:$E$1,0))</f>
        <v>Xerox 1983</v>
      </c>
      <c r="M627" s="8">
        <f>INDEX(Product_List,MATCH($F627,'Product List'!$B$1:$B$299,0),MATCH('Order SUmmary'!M$2,'Product List'!$A$1:$E$1,0))</f>
        <v>3514</v>
      </c>
      <c r="N627" s="8">
        <f>INDEX(Product_List,MATCH($F627,'Product List'!$B$1:$B$299,0),MATCH('Order SUmmary'!N$2,'Product List'!$A$1:$E$1,0))</f>
        <v>1257</v>
      </c>
      <c r="O627" s="8" t="str">
        <f>INDEX(Product_List,MATCH($F627,'Product List'!$B$1:$B$299,0),MATCH('Order SUmmary'!O$2,'Product List'!$A$1:$E$1,0))</f>
        <v>Paper</v>
      </c>
      <c r="P627" s="12">
        <f>HLOOKUP(C627,'Commission Criteria'!$A$2:$I$4,3,FALSE)</f>
        <v>1</v>
      </c>
      <c r="Q627" s="8">
        <f t="shared" si="28"/>
        <v>2514</v>
      </c>
      <c r="R627" s="8">
        <f t="shared" si="29"/>
        <v>7028</v>
      </c>
      <c r="S627" s="36">
        <f>VLOOKUP(R627,'Commission Criteria'!$L$3:$M$11,2,TRUE)</f>
        <v>0.03</v>
      </c>
      <c r="T627" s="36">
        <f>IF(P627&lt;5,VLOOKUP(R627,'Commission Criteria'!$L$3:$M$11,2,1),VLOOKUP('Order SUmmary'!R627,'Commission Criteria'!$P$3:$Q$11,2,1))</f>
        <v>0.03</v>
      </c>
      <c r="U627" s="36">
        <f>VLOOKUP(R627,IF(P627&lt;5,'Commission Criteria'!$L$3:$M$11,'Commission Criteria'!$P$3:$Q$11),2,1)</f>
        <v>0.03</v>
      </c>
      <c r="V627" s="8" t="s">
        <v>40</v>
      </c>
      <c r="W627" s="36">
        <f t="shared" ca="1" si="30"/>
        <v>0.02</v>
      </c>
      <c r="X627" s="8" t="str">
        <f>_xlfn.XLOOKUP(F627,'Product List'!$B$1:$B$299,'Product List'!$A$1:$A$299)</f>
        <v>Xerox 1983</v>
      </c>
      <c r="Y627" s="8"/>
      <c r="Z627" s="8" t="str" cm="1">
        <f t="array" ref="Z627:AD627">_xlfn.XLOOKUP(D627,'Customer Details'!$A$1:$A$17,'Customer Details'!$B$1:$F$17,"No such customer",0,1)</f>
        <v>Elder Pharmaceuticals</v>
      </c>
      <c r="AA627" s="8" t="str">
        <v>57 Neriba Cres</v>
      </c>
      <c r="AB627" s="8" t="str">
        <v>Omaha</v>
      </c>
      <c r="AC627" s="8" t="str">
        <v>NE</v>
      </c>
      <c r="AD627" s="8" t="str">
        <v>68127</v>
      </c>
    </row>
    <row r="628" spans="1:30">
      <c r="A628" s="8" t="s">
        <v>720</v>
      </c>
      <c r="B628" s="19">
        <v>41869</v>
      </c>
      <c r="C628" s="8" t="s">
        <v>54</v>
      </c>
      <c r="D628" s="8">
        <v>10009</v>
      </c>
      <c r="E628" s="8" t="str">
        <f>VLOOKUP($D628,'Customer Details'!$A$1:$F$17,4,FALSE)</f>
        <v>Salt Lake City</v>
      </c>
      <c r="F628" s="8" t="s">
        <v>285</v>
      </c>
      <c r="G628" s="8">
        <v>1</v>
      </c>
      <c r="H628" s="2" t="str">
        <f>VLOOKUP($D628,'Customer Details'!$A$1:$F$17,MATCH('Order SUmmary'!H$2,'Customer Details'!$A$1:$F$1,0),0)</f>
        <v>Godfrey Philips India Ltd.</v>
      </c>
      <c r="I628" s="2" t="str">
        <f>VLOOKUP($D628,'Customer Details'!$A$1:$F$17,4,0)</f>
        <v>Salt Lake City</v>
      </c>
      <c r="J628" s="2" t="str">
        <f>VLOOKUP($D628,'Customer Details'!$A$1:$F$17,6,0)</f>
        <v>84118</v>
      </c>
      <c r="K628" s="8" t="str">
        <f>VLOOKUP(VLOOKUP(D628,'Customer Details'!$A$1:$F$17,5,0),'Region INfo'!$A$1:$C$52,3,0)</f>
        <v xml:space="preserve">Pacific   </v>
      </c>
      <c r="L628" s="8" t="str">
        <f>INDEX(Product_List,MATCH($F628,'Product List'!$B$1:$B$299,0),MATCH('Order SUmmary'!L$2,'Product List'!$A$1:$E$1,0))</f>
        <v>Newell 344</v>
      </c>
      <c r="M628" s="8">
        <f>INDEX(Product_List,MATCH($F628,'Product List'!$B$1:$B$299,0),MATCH('Order SUmmary'!M$2,'Product List'!$A$1:$E$1,0))</f>
        <v>3282</v>
      </c>
      <c r="N628" s="8">
        <f>INDEX(Product_List,MATCH($F628,'Product List'!$B$1:$B$299,0),MATCH('Order SUmmary'!N$2,'Product List'!$A$1:$E$1,0))</f>
        <v>1654</v>
      </c>
      <c r="O628" s="8" t="str">
        <f>INDEX(Product_List,MATCH($F628,'Product List'!$B$1:$B$299,0),MATCH('Order SUmmary'!O$2,'Product List'!$A$1:$E$1,0))</f>
        <v>Art</v>
      </c>
      <c r="P628" s="12">
        <f>HLOOKUP(C628,'Commission Criteria'!$A$2:$I$4,3,FALSE)</f>
        <v>3</v>
      </c>
      <c r="Q628" s="8">
        <f t="shared" si="28"/>
        <v>1654</v>
      </c>
      <c r="R628" s="8">
        <f t="shared" si="29"/>
        <v>3282</v>
      </c>
      <c r="S628" s="36">
        <f>VLOOKUP(R628,'Commission Criteria'!$L$3:$M$11,2,TRUE)</f>
        <v>0.01</v>
      </c>
      <c r="T628" s="36">
        <f>IF(P628&lt;5,VLOOKUP(R628,'Commission Criteria'!$L$3:$M$11,2,1),VLOOKUP('Order SUmmary'!R628,'Commission Criteria'!$P$3:$Q$11,2,1))</f>
        <v>0.01</v>
      </c>
      <c r="U628" s="36">
        <f>VLOOKUP(R628,IF(P628&lt;5,'Commission Criteria'!$L$3:$M$11,'Commission Criteria'!$P$3:$Q$11),2,1)</f>
        <v>0.01</v>
      </c>
      <c r="V628" s="8" t="s">
        <v>35</v>
      </c>
      <c r="W628" s="36">
        <f t="shared" ca="1" si="30"/>
        <v>0.05</v>
      </c>
      <c r="X628" s="8" t="str">
        <f>_xlfn.XLOOKUP(F628,'Product List'!$B$1:$B$299,'Product List'!$A$1:$A$299)</f>
        <v>Newell 344</v>
      </c>
      <c r="Y628" s="8"/>
      <c r="Z628" s="8" t="str" cm="1">
        <f t="array" ref="Z628:AD628">_xlfn.XLOOKUP(D628,'Customer Details'!$A$1:$A$17,'Customer Details'!$B$1:$F$17,"No such customer",0,1)</f>
        <v>Godfrey Philips India Ltd.</v>
      </c>
      <c r="AA628" s="8" t="str">
        <v>20501 Ania Ave #2</v>
      </c>
      <c r="AB628" s="8" t="str">
        <v>Salt Lake City</v>
      </c>
      <c r="AC628" s="8" t="str">
        <v>UT</v>
      </c>
      <c r="AD628" s="8" t="str">
        <v>84118</v>
      </c>
    </row>
    <row r="629" spans="1:30">
      <c r="A629" s="8" t="s">
        <v>720</v>
      </c>
      <c r="B629" s="19">
        <v>41869</v>
      </c>
      <c r="C629" s="8" t="s">
        <v>54</v>
      </c>
      <c r="D629" s="8">
        <v>10005</v>
      </c>
      <c r="E629" s="8" t="str">
        <f>VLOOKUP($D629,'Customer Details'!$A$1:$F$17,4,FALSE)</f>
        <v>Goleta</v>
      </c>
      <c r="F629" s="8" t="s">
        <v>158</v>
      </c>
      <c r="G629" s="8">
        <v>1</v>
      </c>
      <c r="H629" s="2" t="str">
        <f>VLOOKUP($D629,'Customer Details'!$A$1:$F$17,MATCH('Order SUmmary'!H$2,'Customer Details'!$A$1:$F$1,0),0)</f>
        <v>Fortis Healthcare Ltd.</v>
      </c>
      <c r="I629" s="2" t="str">
        <f>VLOOKUP($D629,'Customer Details'!$A$1:$F$17,4,0)</f>
        <v>Goleta</v>
      </c>
      <c r="J629" s="2" t="str">
        <f>VLOOKUP($D629,'Customer Details'!$A$1:$F$17,6,0)</f>
        <v>93117</v>
      </c>
      <c r="K629" s="8" t="str">
        <f>VLOOKUP(VLOOKUP(D629,'Customer Details'!$A$1:$F$17,5,0),'Region INfo'!$A$1:$C$52,3,0)</f>
        <v xml:space="preserve">Pacific   </v>
      </c>
      <c r="L629" s="8" t="str">
        <f>INDEX(Product_List,MATCH($F629,'Product List'!$B$1:$B$299,0),MATCH('Order SUmmary'!L$2,'Product List'!$A$1:$E$1,0))</f>
        <v>Vtech CS6719</v>
      </c>
      <c r="M629" s="8">
        <f>INDEX(Product_List,MATCH($F629,'Product List'!$B$1:$B$299,0),MATCH('Order SUmmary'!M$2,'Product List'!$A$1:$E$1,0))</f>
        <v>3553</v>
      </c>
      <c r="N629" s="8">
        <f>INDEX(Product_List,MATCH($F629,'Product List'!$B$1:$B$299,0),MATCH('Order SUmmary'!N$2,'Product List'!$A$1:$E$1,0))</f>
        <v>2174</v>
      </c>
      <c r="O629" s="8" t="str">
        <f>INDEX(Product_List,MATCH($F629,'Product List'!$B$1:$B$299,0),MATCH('Order SUmmary'!O$2,'Product List'!$A$1:$E$1,0))</f>
        <v>Phones</v>
      </c>
      <c r="P629" s="12">
        <f>HLOOKUP(C629,'Commission Criteria'!$A$2:$I$4,3,FALSE)</f>
        <v>3</v>
      </c>
      <c r="Q629" s="8">
        <f t="shared" si="28"/>
        <v>2174</v>
      </c>
      <c r="R629" s="8">
        <f t="shared" si="29"/>
        <v>3553</v>
      </c>
      <c r="S629" s="36">
        <f>VLOOKUP(R629,'Commission Criteria'!$L$3:$M$11,2,TRUE)</f>
        <v>0.01</v>
      </c>
      <c r="T629" s="36">
        <f>IF(P629&lt;5,VLOOKUP(R629,'Commission Criteria'!$L$3:$M$11,2,1),VLOOKUP('Order SUmmary'!R629,'Commission Criteria'!$P$3:$Q$11,2,1))</f>
        <v>0.01</v>
      </c>
      <c r="U629" s="36">
        <f>VLOOKUP(R629,IF(P629&lt;5,'Commission Criteria'!$L$3:$M$11,'Commission Criteria'!$P$3:$Q$11),2,1)</f>
        <v>0.01</v>
      </c>
      <c r="V629" s="8" t="s">
        <v>43</v>
      </c>
      <c r="W629" s="36">
        <f t="shared" ca="1" si="30"/>
        <v>0.03</v>
      </c>
      <c r="X629" s="8" t="str">
        <f>_xlfn.XLOOKUP(F629,'Product List'!$B$1:$B$299,'Product List'!$A$1:$A$299)</f>
        <v>Vtech CS6719</v>
      </c>
      <c r="Y629" s="8"/>
      <c r="Z629" s="8" t="str" cm="1">
        <f t="array" ref="Z629:AD629">_xlfn.XLOOKUP(D629,'Customer Details'!$A$1:$A$17,'Customer Details'!$B$1:$F$17,"No such customer",0,1)</f>
        <v>Fortis Healthcare Ltd.</v>
      </c>
      <c r="AA629" s="8" t="str">
        <v>14 Elsworthy Terrace</v>
      </c>
      <c r="AB629" s="8" t="str">
        <v>Goleta</v>
      </c>
      <c r="AC629" s="8" t="str">
        <v>CA</v>
      </c>
      <c r="AD629" s="8" t="str">
        <v>93117</v>
      </c>
    </row>
    <row r="630" spans="1:30">
      <c r="A630" s="8" t="s">
        <v>721</v>
      </c>
      <c r="B630" s="19">
        <v>41869</v>
      </c>
      <c r="C630" s="8" t="s">
        <v>27</v>
      </c>
      <c r="D630" s="8">
        <v>10009</v>
      </c>
      <c r="E630" s="8" t="str">
        <f>VLOOKUP($D630,'Customer Details'!$A$1:$F$17,4,FALSE)</f>
        <v>Salt Lake City</v>
      </c>
      <c r="F630" s="8" t="s">
        <v>524</v>
      </c>
      <c r="G630" s="8">
        <v>3</v>
      </c>
      <c r="H630" s="2" t="str">
        <f>VLOOKUP($D630,'Customer Details'!$A$1:$F$17,MATCH('Order SUmmary'!H$2,'Customer Details'!$A$1:$F$1,0),0)</f>
        <v>Godfrey Philips India Ltd.</v>
      </c>
      <c r="I630" s="2" t="str">
        <f>VLOOKUP($D630,'Customer Details'!$A$1:$F$17,4,0)</f>
        <v>Salt Lake City</v>
      </c>
      <c r="J630" s="2" t="str">
        <f>VLOOKUP($D630,'Customer Details'!$A$1:$F$17,6,0)</f>
        <v>84118</v>
      </c>
      <c r="K630" s="8" t="str">
        <f>VLOOKUP(VLOOKUP(D630,'Customer Details'!$A$1:$F$17,5,0),'Region INfo'!$A$1:$C$52,3,0)</f>
        <v xml:space="preserve">Pacific   </v>
      </c>
      <c r="L630" s="8" t="str">
        <f>INDEX(Product_List,MATCH($F630,'Product List'!$B$1:$B$299,0),MATCH('Order SUmmary'!L$2,'Product List'!$A$1:$E$1,0))</f>
        <v>Avery 495</v>
      </c>
      <c r="M630" s="8">
        <f>INDEX(Product_List,MATCH($F630,'Product List'!$B$1:$B$299,0),MATCH('Order SUmmary'!M$2,'Product List'!$A$1:$E$1,0))</f>
        <v>4542</v>
      </c>
      <c r="N630" s="8">
        <f>INDEX(Product_List,MATCH($F630,'Product List'!$B$1:$B$299,0),MATCH('Order SUmmary'!N$2,'Product List'!$A$1:$E$1,0))</f>
        <v>1226</v>
      </c>
      <c r="O630" s="8" t="str">
        <f>INDEX(Product_List,MATCH($F630,'Product List'!$B$1:$B$299,0),MATCH('Order SUmmary'!O$2,'Product List'!$A$1:$E$1,0))</f>
        <v>Labels</v>
      </c>
      <c r="P630" s="12">
        <f>HLOOKUP(C630,'Commission Criteria'!$A$2:$I$4,3,FALSE)</f>
        <v>4</v>
      </c>
      <c r="Q630" s="8">
        <f t="shared" si="28"/>
        <v>3678</v>
      </c>
      <c r="R630" s="8">
        <f t="shared" si="29"/>
        <v>13626</v>
      </c>
      <c r="S630" s="36">
        <f>VLOOKUP(R630,'Commission Criteria'!$L$3:$M$11,2,TRUE)</f>
        <v>0.03</v>
      </c>
      <c r="T630" s="36">
        <f>IF(P630&lt;5,VLOOKUP(R630,'Commission Criteria'!$L$3:$M$11,2,1),VLOOKUP('Order SUmmary'!R630,'Commission Criteria'!$P$3:$Q$11,2,1))</f>
        <v>0.03</v>
      </c>
      <c r="U630" s="36">
        <f>VLOOKUP(R630,IF(P630&lt;5,'Commission Criteria'!$L$3:$M$11,'Commission Criteria'!$P$3:$Q$11),2,1)</f>
        <v>0.03</v>
      </c>
      <c r="V630" s="8" t="s">
        <v>35</v>
      </c>
      <c r="W630" s="36">
        <f t="shared" ca="1" si="30"/>
        <v>0.02</v>
      </c>
      <c r="X630" s="8" t="str">
        <f>_xlfn.XLOOKUP(F630,'Product List'!$B$1:$B$299,'Product List'!$A$1:$A$299)</f>
        <v>Avery 495</v>
      </c>
      <c r="Y630" s="8"/>
      <c r="Z630" s="8" t="str" cm="1">
        <f t="array" ref="Z630:AD630">_xlfn.XLOOKUP(D630,'Customer Details'!$A$1:$A$17,'Customer Details'!$B$1:$F$17,"No such customer",0,1)</f>
        <v>Godfrey Philips India Ltd.</v>
      </c>
      <c r="AA630" s="8" t="str">
        <v>20501 Ania Ave #2</v>
      </c>
      <c r="AB630" s="8" t="str">
        <v>Salt Lake City</v>
      </c>
      <c r="AC630" s="8" t="str">
        <v>UT</v>
      </c>
      <c r="AD630" s="8" t="str">
        <v>84118</v>
      </c>
    </row>
    <row r="631" spans="1:30">
      <c r="A631" s="8" t="s">
        <v>722</v>
      </c>
      <c r="B631" s="19">
        <v>41872</v>
      </c>
      <c r="C631" s="8" t="s">
        <v>54</v>
      </c>
      <c r="D631" s="8">
        <v>10007</v>
      </c>
      <c r="E631" s="8" t="str">
        <f>VLOOKUP($D631,'Customer Details'!$A$1:$F$17,4,FALSE)</f>
        <v>Richmond</v>
      </c>
      <c r="F631" s="8" t="s">
        <v>37</v>
      </c>
      <c r="G631" s="8">
        <v>1</v>
      </c>
      <c r="H631" s="2" t="str">
        <f>VLOOKUP($D631,'Customer Details'!$A$1:$F$17,MATCH('Order SUmmary'!H$2,'Customer Details'!$A$1:$F$1,0),0)</f>
        <v>GHCL Ltd.</v>
      </c>
      <c r="I631" s="2" t="str">
        <f>VLOOKUP($D631,'Customer Details'!$A$1:$F$17,4,0)</f>
        <v>Richmond</v>
      </c>
      <c r="J631" s="2" t="str">
        <f>VLOOKUP($D631,'Customer Details'!$A$1:$F$17,6,0)</f>
        <v>94805</v>
      </c>
      <c r="K631" s="8" t="str">
        <f>VLOOKUP(VLOOKUP(D631,'Customer Details'!$A$1:$F$17,5,0),'Region INfo'!$A$1:$C$52,3,0)</f>
        <v xml:space="preserve">Pacific   </v>
      </c>
      <c r="L631" s="8" t="str">
        <f>INDEX(Product_List,MATCH($F631,'Product List'!$B$1:$B$299,0),MATCH('Order SUmmary'!L$2,'Product List'!$A$1:$E$1,0))</f>
        <v>Avery 508</v>
      </c>
      <c r="M631" s="8">
        <f>INDEX(Product_List,MATCH($F631,'Product List'!$B$1:$B$299,0),MATCH('Order SUmmary'!M$2,'Product List'!$A$1:$E$1,0))</f>
        <v>3788</v>
      </c>
      <c r="N631" s="8">
        <f>INDEX(Product_List,MATCH($F631,'Product List'!$B$1:$B$299,0),MATCH('Order SUmmary'!N$2,'Product List'!$A$1:$E$1,0))</f>
        <v>2170</v>
      </c>
      <c r="O631" s="8" t="str">
        <f>INDEX(Product_List,MATCH($F631,'Product List'!$B$1:$B$299,0),MATCH('Order SUmmary'!O$2,'Product List'!$A$1:$E$1,0))</f>
        <v>Labels</v>
      </c>
      <c r="P631" s="12">
        <f>HLOOKUP(C631,'Commission Criteria'!$A$2:$I$4,3,FALSE)</f>
        <v>3</v>
      </c>
      <c r="Q631" s="8">
        <f t="shared" si="28"/>
        <v>2170</v>
      </c>
      <c r="R631" s="8">
        <f t="shared" si="29"/>
        <v>3788</v>
      </c>
      <c r="S631" s="36">
        <f>VLOOKUP(R631,'Commission Criteria'!$L$3:$M$11,2,TRUE)</f>
        <v>0.01</v>
      </c>
      <c r="T631" s="36">
        <f>IF(P631&lt;5,VLOOKUP(R631,'Commission Criteria'!$L$3:$M$11,2,1),VLOOKUP('Order SUmmary'!R631,'Commission Criteria'!$P$3:$Q$11,2,1))</f>
        <v>0.01</v>
      </c>
      <c r="U631" s="36">
        <f>VLOOKUP(R631,IF(P631&lt;5,'Commission Criteria'!$L$3:$M$11,'Commission Criteria'!$P$3:$Q$11),2,1)</f>
        <v>0.01</v>
      </c>
      <c r="V631" s="8" t="s">
        <v>43</v>
      </c>
      <c r="W631" s="36">
        <f t="shared" ca="1" si="30"/>
        <v>0.01</v>
      </c>
      <c r="X631" s="8" t="str">
        <f>_xlfn.XLOOKUP(F631,'Product List'!$B$1:$B$299,'Product List'!$A$1:$A$299)</f>
        <v>Avery 508</v>
      </c>
      <c r="Y631" s="8"/>
      <c r="Z631" s="8" t="str" cm="1">
        <f t="array" ref="Z631:AD631">_xlfn.XLOOKUP(D631,'Customer Details'!$A$1:$A$17,'Customer Details'!$B$1:$F$17,"No such customer",0,1)</f>
        <v>GHCL Ltd.</v>
      </c>
      <c r="AA631" s="8" t="str">
        <v>58 Clarence St</v>
      </c>
      <c r="AB631" s="8" t="str">
        <v>Richmond</v>
      </c>
      <c r="AC631" s="8" t="str">
        <v>CA</v>
      </c>
      <c r="AD631" s="8" t="str">
        <v>94805</v>
      </c>
    </row>
    <row r="632" spans="1:30">
      <c r="A632" s="8" t="s">
        <v>723</v>
      </c>
      <c r="B632" s="19">
        <v>41874</v>
      </c>
      <c r="C632" s="8" t="s">
        <v>33</v>
      </c>
      <c r="D632" s="8">
        <v>10012</v>
      </c>
      <c r="E632" s="8" t="str">
        <f>VLOOKUP($D632,'Customer Details'!$A$1:$F$17,4,FALSE)</f>
        <v>Santa Barbara</v>
      </c>
      <c r="F632" s="8" t="s">
        <v>368</v>
      </c>
      <c r="G632" s="8">
        <v>1</v>
      </c>
      <c r="H632" s="2" t="str">
        <f>VLOOKUP($D632,'Customer Details'!$A$1:$F$17,MATCH('Order SUmmary'!H$2,'Customer Details'!$A$1:$F$1,0),0)</f>
        <v>Dynamatic Technologies Ltd.</v>
      </c>
      <c r="I632" s="2" t="str">
        <f>VLOOKUP($D632,'Customer Details'!$A$1:$F$17,4,0)</f>
        <v>Santa Barbara</v>
      </c>
      <c r="J632" s="2" t="str">
        <f>VLOOKUP($D632,'Customer Details'!$A$1:$F$17,6,0)</f>
        <v>93110</v>
      </c>
      <c r="K632" s="8" t="str">
        <f>VLOOKUP(VLOOKUP(D632,'Customer Details'!$A$1:$F$17,5,0),'Region INfo'!$A$1:$C$52,3,0)</f>
        <v xml:space="preserve">Pacific   </v>
      </c>
      <c r="L632" s="8" t="str">
        <f>INDEX(Product_List,MATCH($F632,'Product List'!$B$1:$B$299,0),MATCH('Order SUmmary'!L$2,'Product List'!$A$1:$E$1,0))</f>
        <v>Xerox 1978</v>
      </c>
      <c r="M632" s="8">
        <f>INDEX(Product_List,MATCH($F632,'Product List'!$B$1:$B$299,0),MATCH('Order SUmmary'!M$2,'Product List'!$A$1:$E$1,0))</f>
        <v>4757</v>
      </c>
      <c r="N632" s="8">
        <f>INDEX(Product_List,MATCH($F632,'Product List'!$B$1:$B$299,0),MATCH('Order SUmmary'!N$2,'Product List'!$A$1:$E$1,0))</f>
        <v>1534</v>
      </c>
      <c r="O632" s="8" t="str">
        <f>INDEX(Product_List,MATCH($F632,'Product List'!$B$1:$B$299,0),MATCH('Order SUmmary'!O$2,'Product List'!$A$1:$E$1,0))</f>
        <v>Paper</v>
      </c>
      <c r="P632" s="12">
        <f>HLOOKUP(C632,'Commission Criteria'!$A$2:$I$4,3,FALSE)</f>
        <v>1</v>
      </c>
      <c r="Q632" s="8">
        <f t="shared" si="28"/>
        <v>1534</v>
      </c>
      <c r="R632" s="8">
        <f t="shared" si="29"/>
        <v>4757</v>
      </c>
      <c r="S632" s="36">
        <f>VLOOKUP(R632,'Commission Criteria'!$L$3:$M$11,2,TRUE)</f>
        <v>0.01</v>
      </c>
      <c r="T632" s="36">
        <f>IF(P632&lt;5,VLOOKUP(R632,'Commission Criteria'!$L$3:$M$11,2,1),VLOOKUP('Order SUmmary'!R632,'Commission Criteria'!$P$3:$Q$11,2,1))</f>
        <v>0.01</v>
      </c>
      <c r="U632" s="36">
        <f>VLOOKUP(R632,IF(P632&lt;5,'Commission Criteria'!$L$3:$M$11,'Commission Criteria'!$P$3:$Q$11),2,1)</f>
        <v>0.01</v>
      </c>
      <c r="V632" s="8" t="s">
        <v>43</v>
      </c>
      <c r="W632" s="36">
        <f t="shared" ca="1" si="30"/>
        <v>0</v>
      </c>
      <c r="X632" s="8" t="str">
        <f>_xlfn.XLOOKUP(F632,'Product List'!$B$1:$B$299,'Product List'!$A$1:$A$299)</f>
        <v>Xerox 1978</v>
      </c>
      <c r="Y632" s="8"/>
      <c r="Z632" s="8" t="str" cm="1">
        <f t="array" ref="Z632:AD632">_xlfn.XLOOKUP(D632,'Customer Details'!$A$1:$A$17,'Customer Details'!$B$1:$F$17,"No such customer",0,1)</f>
        <v>Dynamatic Technologies Ltd.</v>
      </c>
      <c r="AA632" s="8" t="str">
        <v>402 Pinkster Lane</v>
      </c>
      <c r="AB632" s="8" t="str">
        <v>Santa Barbara</v>
      </c>
      <c r="AC632" s="8" t="str">
        <v>CA</v>
      </c>
      <c r="AD632" s="8" t="str">
        <v>93110</v>
      </c>
    </row>
    <row r="633" spans="1:30">
      <c r="A633" s="8" t="s">
        <v>724</v>
      </c>
      <c r="B633" s="19">
        <v>41875</v>
      </c>
      <c r="C633" s="8" t="s">
        <v>54</v>
      </c>
      <c r="D633" s="8">
        <v>10008</v>
      </c>
      <c r="E633" s="8" t="str">
        <f>VLOOKUP($D633,'Customer Details'!$A$1:$F$17,4,FALSE)</f>
        <v>Chestnut Ridge</v>
      </c>
      <c r="F633" s="8" t="s">
        <v>249</v>
      </c>
      <c r="G633" s="8">
        <v>2</v>
      </c>
      <c r="H633" s="2" t="str">
        <f>VLOOKUP($D633,'Customer Details'!$A$1:$F$17,MATCH('Order SUmmary'!H$2,'Customer Details'!$A$1:$F$1,0),0)</f>
        <v>Reliance Industries Limited</v>
      </c>
      <c r="I633" s="2" t="str">
        <f>VLOOKUP($D633,'Customer Details'!$A$1:$F$17,4,0)</f>
        <v>Chestnut Ridge</v>
      </c>
      <c r="J633" s="2" t="str">
        <f>VLOOKUP($D633,'Customer Details'!$A$1:$F$17,6,0)</f>
        <v>10977</v>
      </c>
      <c r="K633" s="8" t="str">
        <f>VLOOKUP(VLOOKUP(D633,'Customer Details'!$A$1:$F$17,5,0),'Region INfo'!$A$1:$C$52,3,0)</f>
        <v xml:space="preserve">Northern </v>
      </c>
      <c r="L633" s="8" t="str">
        <f>INDEX(Product_List,MATCH($F633,'Product List'!$B$1:$B$299,0),MATCH('Order SUmmary'!L$2,'Product List'!$A$1:$E$1,0))</f>
        <v>Newell 315</v>
      </c>
      <c r="M633" s="8">
        <f>INDEX(Product_List,MATCH($F633,'Product List'!$B$1:$B$299,0),MATCH('Order SUmmary'!M$2,'Product List'!$A$1:$E$1,0))</f>
        <v>3646</v>
      </c>
      <c r="N633" s="8">
        <f>INDEX(Product_List,MATCH($F633,'Product List'!$B$1:$B$299,0),MATCH('Order SUmmary'!N$2,'Product List'!$A$1:$E$1,0))</f>
        <v>1603</v>
      </c>
      <c r="O633" s="8" t="str">
        <f>INDEX(Product_List,MATCH($F633,'Product List'!$B$1:$B$299,0),MATCH('Order SUmmary'!O$2,'Product List'!$A$1:$E$1,0))</f>
        <v>Art</v>
      </c>
      <c r="P633" s="12">
        <f>HLOOKUP(C633,'Commission Criteria'!$A$2:$I$4,3,FALSE)</f>
        <v>3</v>
      </c>
      <c r="Q633" s="8">
        <f t="shared" si="28"/>
        <v>3206</v>
      </c>
      <c r="R633" s="8">
        <f t="shared" si="29"/>
        <v>7292</v>
      </c>
      <c r="S633" s="36">
        <f>VLOOKUP(R633,'Commission Criteria'!$L$3:$M$11,2,TRUE)</f>
        <v>0.03</v>
      </c>
      <c r="T633" s="36">
        <f>IF(P633&lt;5,VLOOKUP(R633,'Commission Criteria'!$L$3:$M$11,2,1),VLOOKUP('Order SUmmary'!R633,'Commission Criteria'!$P$3:$Q$11,2,1))</f>
        <v>0.03</v>
      </c>
      <c r="U633" s="36">
        <f>VLOOKUP(R633,IF(P633&lt;5,'Commission Criteria'!$L$3:$M$11,'Commission Criteria'!$P$3:$Q$11),2,1)</f>
        <v>0.03</v>
      </c>
      <c r="V633" s="8" t="s">
        <v>35</v>
      </c>
      <c r="W633" s="36">
        <f t="shared" ca="1" si="30"/>
        <v>0</v>
      </c>
      <c r="X633" s="8" t="str">
        <f>_xlfn.XLOOKUP(F633,'Product List'!$B$1:$B$299,'Product List'!$A$1:$A$299)</f>
        <v>Newell 315</v>
      </c>
      <c r="Y633" s="8"/>
      <c r="Z633" s="8" t="str" cm="1">
        <f t="array" ref="Z633:AD633">_xlfn.XLOOKUP(D633,'Customer Details'!$A$1:$A$17,'Customer Details'!$B$1:$F$17,"No such customer",0,1)</f>
        <v>Reliance Industries Limited</v>
      </c>
      <c r="AA633" s="8" t="str">
        <v>12020 Shamrock Rd., Suite 333</v>
      </c>
      <c r="AB633" s="8" t="str">
        <v>Chestnut Ridge</v>
      </c>
      <c r="AC633" s="8" t="str">
        <v>NY</v>
      </c>
      <c r="AD633" s="8" t="str">
        <v>10977</v>
      </c>
    </row>
    <row r="634" spans="1:30">
      <c r="A634" s="8" t="s">
        <v>725</v>
      </c>
      <c r="B634" s="19">
        <v>41877</v>
      </c>
      <c r="C634" s="8" t="s">
        <v>51</v>
      </c>
      <c r="D634" s="8">
        <v>10011</v>
      </c>
      <c r="E634" s="8" t="str">
        <f>VLOOKUP($D634,'Customer Details'!$A$1:$F$17,4,FALSE)</f>
        <v>Olympia</v>
      </c>
      <c r="F634" s="8" t="s">
        <v>190</v>
      </c>
      <c r="G634" s="8">
        <v>1</v>
      </c>
      <c r="H634" s="2" t="str">
        <f>VLOOKUP($D634,'Customer Details'!$A$1:$F$17,MATCH('Order SUmmary'!H$2,'Customer Details'!$A$1:$F$1,0),0)</f>
        <v>Sonata Software</v>
      </c>
      <c r="I634" s="2" t="str">
        <f>VLOOKUP($D634,'Customer Details'!$A$1:$F$17,4,0)</f>
        <v>Olympia</v>
      </c>
      <c r="J634" s="2" t="str">
        <f>VLOOKUP($D634,'Customer Details'!$A$1:$F$17,6,0)</f>
        <v>98502</v>
      </c>
      <c r="K634" s="8" t="str">
        <f>VLOOKUP(VLOOKUP(D634,'Customer Details'!$A$1:$F$17,5,0),'Region INfo'!$A$1:$C$52,3,0)</f>
        <v xml:space="preserve">Pacific   </v>
      </c>
      <c r="L634" s="8" t="str">
        <f>INDEX(Product_List,MATCH($F634,'Product List'!$B$1:$B$299,0),MATCH('Order SUmmary'!L$2,'Product List'!$A$1:$E$1,0))</f>
        <v>Xerox 1887</v>
      </c>
      <c r="M634" s="8">
        <f>INDEX(Product_List,MATCH($F634,'Product List'!$B$1:$B$299,0),MATCH('Order SUmmary'!M$2,'Product List'!$A$1:$E$1,0))</f>
        <v>2887</v>
      </c>
      <c r="N634" s="8">
        <f>INDEX(Product_List,MATCH($F634,'Product List'!$B$1:$B$299,0),MATCH('Order SUmmary'!N$2,'Product List'!$A$1:$E$1,0))</f>
        <v>1491</v>
      </c>
      <c r="O634" s="8" t="str">
        <f>INDEX(Product_List,MATCH($F634,'Product List'!$B$1:$B$299,0),MATCH('Order SUmmary'!O$2,'Product List'!$A$1:$E$1,0))</f>
        <v>Paper</v>
      </c>
      <c r="P634" s="12">
        <f>HLOOKUP(C634,'Commission Criteria'!$A$2:$I$4,3,FALSE)</f>
        <v>10</v>
      </c>
      <c r="Q634" s="8">
        <f t="shared" si="28"/>
        <v>1491</v>
      </c>
      <c r="R634" s="8">
        <f t="shared" si="29"/>
        <v>2887</v>
      </c>
      <c r="S634" s="36">
        <f>VLOOKUP(R634,'Commission Criteria'!$L$3:$M$11,2,TRUE)</f>
        <v>0.01</v>
      </c>
      <c r="T634" s="36">
        <f>IF(P634&lt;5,VLOOKUP(R634,'Commission Criteria'!$L$3:$M$11,2,1),VLOOKUP('Order SUmmary'!R634,'Commission Criteria'!$P$3:$Q$11,2,1))</f>
        <v>0.02</v>
      </c>
      <c r="U634" s="36">
        <f>VLOOKUP(R634,IF(P634&lt;5,'Commission Criteria'!$L$3:$M$11,'Commission Criteria'!$P$3:$Q$11),2,1)</f>
        <v>0.02</v>
      </c>
      <c r="V634" s="8" t="s">
        <v>43</v>
      </c>
      <c r="W634" s="36">
        <f t="shared" ca="1" si="30"/>
        <v>0.04</v>
      </c>
      <c r="X634" s="8" t="str">
        <f>_xlfn.XLOOKUP(F634,'Product List'!$B$1:$B$299,'Product List'!$A$1:$A$299)</f>
        <v>Xerox 1887</v>
      </c>
      <c r="Y634" s="8"/>
      <c r="Z634" s="8" t="str" cm="1">
        <f t="array" ref="Z634:AD634">_xlfn.XLOOKUP(D634,'Customer Details'!$A$1:$A$17,'Customer Details'!$B$1:$F$17,"No such customer",0,1)</f>
        <v>Sonata Software</v>
      </c>
      <c r="AA634" s="8" t="str">
        <v>1331 Kimberly Dr.</v>
      </c>
      <c r="AB634" s="8" t="str">
        <v>Olympia</v>
      </c>
      <c r="AC634" s="8" t="str">
        <v>WA</v>
      </c>
      <c r="AD634" s="8" t="str">
        <v>98502</v>
      </c>
    </row>
    <row r="635" spans="1:30">
      <c r="A635" s="8" t="s">
        <v>726</v>
      </c>
      <c r="B635" s="19">
        <v>41879</v>
      </c>
      <c r="C635" s="8" t="s">
        <v>33</v>
      </c>
      <c r="D635" s="8">
        <v>10003</v>
      </c>
      <c r="E635" s="8" t="str">
        <f>VLOOKUP($D635,'Customer Details'!$A$1:$F$17,4,FALSE)</f>
        <v>Miami</v>
      </c>
      <c r="F635" s="8" t="s">
        <v>605</v>
      </c>
      <c r="G635" s="8">
        <v>1</v>
      </c>
      <c r="H635" s="2" t="str">
        <f>VLOOKUP($D635,'Customer Details'!$A$1:$F$17,MATCH('Order SUmmary'!H$2,'Customer Details'!$A$1:$F$1,0),0)</f>
        <v>Honeywell Automation</v>
      </c>
      <c r="I635" s="2" t="str">
        <f>VLOOKUP($D635,'Customer Details'!$A$1:$F$17,4,0)</f>
        <v>Miami</v>
      </c>
      <c r="J635" s="2" t="str">
        <f>VLOOKUP($D635,'Customer Details'!$A$1:$F$17,6,0)</f>
        <v>33732</v>
      </c>
      <c r="K635" s="8" t="str">
        <f>VLOOKUP(VLOOKUP(D635,'Customer Details'!$A$1:$F$17,5,0),'Region INfo'!$A$1:$C$52,3,0)</f>
        <v>Southern</v>
      </c>
      <c r="L635" s="8" t="str">
        <f>INDEX(Product_List,MATCH($F635,'Product List'!$B$1:$B$299,0),MATCH('Order SUmmary'!L$2,'Product List'!$A$1:$E$1,0))</f>
        <v>Pyle PMP37LED</v>
      </c>
      <c r="M635" s="8">
        <f>INDEX(Product_List,MATCH($F635,'Product List'!$B$1:$B$299,0),MATCH('Order SUmmary'!M$2,'Product List'!$A$1:$E$1,0))</f>
        <v>2808</v>
      </c>
      <c r="N635" s="8">
        <f>INDEX(Product_List,MATCH($F635,'Product List'!$B$1:$B$299,0),MATCH('Order SUmmary'!N$2,'Product List'!$A$1:$E$1,0))</f>
        <v>1759</v>
      </c>
      <c r="O635" s="8" t="str">
        <f>INDEX(Product_List,MATCH($F635,'Product List'!$B$1:$B$299,0),MATCH('Order SUmmary'!O$2,'Product List'!$A$1:$E$1,0))</f>
        <v>Phones</v>
      </c>
      <c r="P635" s="12">
        <f>HLOOKUP(C635,'Commission Criteria'!$A$2:$I$4,3,FALSE)</f>
        <v>1</v>
      </c>
      <c r="Q635" s="8">
        <f t="shared" si="28"/>
        <v>1759</v>
      </c>
      <c r="R635" s="8">
        <f t="shared" si="29"/>
        <v>2808</v>
      </c>
      <c r="S635" s="36">
        <f>VLOOKUP(R635,'Commission Criteria'!$L$3:$M$11,2,TRUE)</f>
        <v>0.01</v>
      </c>
      <c r="T635" s="36">
        <f>IF(P635&lt;5,VLOOKUP(R635,'Commission Criteria'!$L$3:$M$11,2,1),VLOOKUP('Order SUmmary'!R635,'Commission Criteria'!$P$3:$Q$11,2,1))</f>
        <v>0.01</v>
      </c>
      <c r="U635" s="36">
        <f>VLOOKUP(R635,IF(P635&lt;5,'Commission Criteria'!$L$3:$M$11,'Commission Criteria'!$P$3:$Q$11),2,1)</f>
        <v>0.01</v>
      </c>
      <c r="V635" s="8" t="s">
        <v>32</v>
      </c>
      <c r="W635" s="36">
        <f t="shared" ca="1" si="30"/>
        <v>0.05</v>
      </c>
      <c r="X635" s="8" t="str">
        <f>_xlfn.XLOOKUP(F635,'Product List'!$B$1:$B$299,'Product List'!$A$1:$A$299)</f>
        <v>Pyle PMP37LED</v>
      </c>
      <c r="Y635" s="8"/>
      <c r="Z635" s="8" t="str" cm="1">
        <f t="array" ref="Z635:AD635">_xlfn.XLOOKUP(D635,'Customer Details'!$A$1:$A$17,'Customer Details'!$B$1:$F$17,"No such customer",0,1)</f>
        <v>Honeywell Automation</v>
      </c>
      <c r="AA635" s="8" t="str">
        <v>1272 Harbor Road</v>
      </c>
      <c r="AB635" s="8" t="str">
        <v>Miami</v>
      </c>
      <c r="AC635" s="8" t="str">
        <v>FL</v>
      </c>
      <c r="AD635" s="8" t="str">
        <v>33732</v>
      </c>
    </row>
    <row r="636" spans="1:30">
      <c r="A636" s="8" t="s">
        <v>726</v>
      </c>
      <c r="B636" s="19">
        <v>41879</v>
      </c>
      <c r="C636" s="8" t="s">
        <v>46</v>
      </c>
      <c r="D636" s="8">
        <v>10013</v>
      </c>
      <c r="E636" s="8" t="str">
        <f>VLOOKUP($D636,'Customer Details'!$A$1:$F$17,4,FALSE)</f>
        <v>Naugatuck</v>
      </c>
      <c r="F636" s="8" t="s">
        <v>126</v>
      </c>
      <c r="G636" s="8">
        <v>1</v>
      </c>
      <c r="H636" s="2" t="str">
        <f>VLOOKUP($D636,'Customer Details'!$A$1:$F$17,MATCH('Order SUmmary'!H$2,'Customer Details'!$A$1:$F$1,0),0)</f>
        <v>GMR Infrastructure Ltd.</v>
      </c>
      <c r="I636" s="2" t="str">
        <f>VLOOKUP($D636,'Customer Details'!$A$1:$F$17,4,0)</f>
        <v>Naugatuck</v>
      </c>
      <c r="J636" s="2" t="str">
        <f>VLOOKUP($D636,'Customer Details'!$A$1:$F$17,6,0)</f>
        <v>06770</v>
      </c>
      <c r="K636" s="8" t="str">
        <f>VLOOKUP(VLOOKUP(D636,'Customer Details'!$A$1:$F$17,5,0),'Region INfo'!$A$1:$C$52,3,0)</f>
        <v xml:space="preserve">Northern </v>
      </c>
      <c r="L636" s="8" t="str">
        <f>INDEX(Product_List,MATCH($F636,'Product List'!$B$1:$B$299,0),MATCH('Order SUmmary'!L$2,'Product List'!$A$1:$E$1,0))</f>
        <v>Xerox 1964</v>
      </c>
      <c r="M636" s="8">
        <f>INDEX(Product_List,MATCH($F636,'Product List'!$B$1:$B$299,0),MATCH('Order SUmmary'!M$2,'Product List'!$A$1:$E$1,0))</f>
        <v>4477</v>
      </c>
      <c r="N636" s="8">
        <f>INDEX(Product_List,MATCH($F636,'Product List'!$B$1:$B$299,0),MATCH('Order SUmmary'!N$2,'Product List'!$A$1:$E$1,0))</f>
        <v>1589</v>
      </c>
      <c r="O636" s="8" t="str">
        <f>INDEX(Product_List,MATCH($F636,'Product List'!$B$1:$B$299,0),MATCH('Order SUmmary'!O$2,'Product List'!$A$1:$E$1,0))</f>
        <v>Paper</v>
      </c>
      <c r="P636" s="12">
        <f>HLOOKUP(C636,'Commission Criteria'!$A$2:$I$4,3,FALSE)</f>
        <v>8</v>
      </c>
      <c r="Q636" s="8">
        <f t="shared" si="28"/>
        <v>1589</v>
      </c>
      <c r="R636" s="8">
        <f t="shared" si="29"/>
        <v>4477</v>
      </c>
      <c r="S636" s="36">
        <f>VLOOKUP(R636,'Commission Criteria'!$L$3:$M$11,2,TRUE)</f>
        <v>0.01</v>
      </c>
      <c r="T636" s="36">
        <f>IF(P636&lt;5,VLOOKUP(R636,'Commission Criteria'!$L$3:$M$11,2,1),VLOOKUP('Order SUmmary'!R636,'Commission Criteria'!$P$3:$Q$11,2,1))</f>
        <v>0.02</v>
      </c>
      <c r="U636" s="36">
        <f>VLOOKUP(R636,IF(P636&lt;5,'Commission Criteria'!$L$3:$M$11,'Commission Criteria'!$P$3:$Q$11),2,1)</f>
        <v>0.02</v>
      </c>
      <c r="V636" s="8" t="s">
        <v>43</v>
      </c>
      <c r="W636" s="36">
        <f t="shared" ca="1" si="30"/>
        <v>0</v>
      </c>
      <c r="X636" s="8" t="str">
        <f>_xlfn.XLOOKUP(F636,'Product List'!$B$1:$B$299,'Product List'!$A$1:$A$299)</f>
        <v>Xerox 1964</v>
      </c>
      <c r="Y636" s="8"/>
      <c r="Z636" s="8" t="str" cm="1">
        <f t="array" ref="Z636:AD636">_xlfn.XLOOKUP(D636,'Customer Details'!$A$1:$A$17,'Customer Details'!$B$1:$F$17,"No such customer",0,1)</f>
        <v>GMR Infrastructure Ltd.</v>
      </c>
      <c r="AA636" s="8" t="str">
        <v>P.O. Box 4421</v>
      </c>
      <c r="AB636" s="8" t="str">
        <v>Naugatuck</v>
      </c>
      <c r="AC636" s="8" t="str">
        <v>CT</v>
      </c>
      <c r="AD636" s="8" t="str">
        <v>06770</v>
      </c>
    </row>
    <row r="637" spans="1:30">
      <c r="A637" s="8" t="s">
        <v>727</v>
      </c>
      <c r="B637" s="19">
        <v>41879</v>
      </c>
      <c r="C637" s="8" t="s">
        <v>51</v>
      </c>
      <c r="D637" s="8">
        <v>10006</v>
      </c>
      <c r="E637" s="8" t="str">
        <f>VLOOKUP($D637,'Customer Details'!$A$1:$F$17,4,FALSE)</f>
        <v>Midland</v>
      </c>
      <c r="F637" s="8" t="s">
        <v>57</v>
      </c>
      <c r="G637" s="8">
        <v>2</v>
      </c>
      <c r="H637" s="2" t="str">
        <f>VLOOKUP($D637,'Customer Details'!$A$1:$F$17,MATCH('Order SUmmary'!H$2,'Customer Details'!$A$1:$F$1,0),0)</f>
        <v>Supreme Ind</v>
      </c>
      <c r="I637" s="2" t="str">
        <f>VLOOKUP($D637,'Customer Details'!$A$1:$F$17,4,0)</f>
        <v>Midland</v>
      </c>
      <c r="J637" s="2" t="str">
        <f>VLOOKUP($D637,'Customer Details'!$A$1:$F$17,6,0)</f>
        <v>79706</v>
      </c>
      <c r="K637" s="8" t="str">
        <f>VLOOKUP(VLOOKUP(D637,'Customer Details'!$A$1:$F$17,5,0),'Region INfo'!$A$1:$C$52,3,0)</f>
        <v>Western</v>
      </c>
      <c r="L637" s="8" t="str">
        <f>INDEX(Product_List,MATCH($F637,'Product List'!$B$1:$B$299,0),MATCH('Order SUmmary'!L$2,'Product List'!$A$1:$E$1,0))</f>
        <v>Xerox 1886</v>
      </c>
      <c r="M637" s="8">
        <f>INDEX(Product_List,MATCH($F637,'Product List'!$B$1:$B$299,0),MATCH('Order SUmmary'!M$2,'Product List'!$A$1:$E$1,0))</f>
        <v>3757</v>
      </c>
      <c r="N637" s="8">
        <f>INDEX(Product_List,MATCH($F637,'Product List'!$B$1:$B$299,0),MATCH('Order SUmmary'!N$2,'Product List'!$A$1:$E$1,0))</f>
        <v>2156</v>
      </c>
      <c r="O637" s="8" t="str">
        <f>INDEX(Product_List,MATCH($F637,'Product List'!$B$1:$B$299,0),MATCH('Order SUmmary'!O$2,'Product List'!$A$1:$E$1,0))</f>
        <v>Paper</v>
      </c>
      <c r="P637" s="12">
        <f>HLOOKUP(C637,'Commission Criteria'!$A$2:$I$4,3,FALSE)</f>
        <v>10</v>
      </c>
      <c r="Q637" s="8">
        <f t="shared" si="28"/>
        <v>4312</v>
      </c>
      <c r="R637" s="8">
        <f t="shared" si="29"/>
        <v>7514</v>
      </c>
      <c r="S637" s="36">
        <f>VLOOKUP(R637,'Commission Criteria'!$L$3:$M$11,2,TRUE)</f>
        <v>0.03</v>
      </c>
      <c r="T637" s="36">
        <f>IF(P637&lt;5,VLOOKUP(R637,'Commission Criteria'!$L$3:$M$11,2,1),VLOOKUP('Order SUmmary'!R637,'Commission Criteria'!$P$3:$Q$11,2,1))</f>
        <v>0.02</v>
      </c>
      <c r="U637" s="36">
        <f>VLOOKUP(R637,IF(P637&lt;5,'Commission Criteria'!$L$3:$M$11,'Commission Criteria'!$P$3:$Q$11),2,1)</f>
        <v>0.02</v>
      </c>
      <c r="V637" s="8" t="s">
        <v>40</v>
      </c>
      <c r="W637" s="36">
        <f t="shared" ca="1" si="30"/>
        <v>0.02</v>
      </c>
      <c r="X637" s="8" t="str">
        <f>_xlfn.XLOOKUP(F637,'Product List'!$B$1:$B$299,'Product List'!$A$1:$A$299)</f>
        <v>Xerox 1886</v>
      </c>
      <c r="Y637" s="8"/>
      <c r="Z637" s="8" t="str" cm="1">
        <f t="array" ref="Z637:AD637">_xlfn.XLOOKUP(D637,'Customer Details'!$A$1:$A$17,'Customer Details'!$B$1:$F$17,"No such customer",0,1)</f>
        <v>Supreme Ind</v>
      </c>
      <c r="AA637" s="8" t="str">
        <v>P.O. Box 1367</v>
      </c>
      <c r="AB637" s="8" t="str">
        <v>Midland</v>
      </c>
      <c r="AC637" s="8" t="str">
        <v>TX</v>
      </c>
      <c r="AD637" s="8" t="str">
        <v>79706</v>
      </c>
    </row>
    <row r="638" spans="1:30">
      <c r="A638" s="8" t="s">
        <v>727</v>
      </c>
      <c r="B638" s="19">
        <v>41879</v>
      </c>
      <c r="C638" s="8" t="s">
        <v>44</v>
      </c>
      <c r="D638" s="8">
        <v>10003</v>
      </c>
      <c r="E638" s="8" t="str">
        <f>VLOOKUP($D638,'Customer Details'!$A$1:$F$17,4,FALSE)</f>
        <v>Miami</v>
      </c>
      <c r="F638" s="8" t="s">
        <v>156</v>
      </c>
      <c r="G638" s="8">
        <v>2</v>
      </c>
      <c r="H638" s="2" t="str">
        <f>VLOOKUP($D638,'Customer Details'!$A$1:$F$17,MATCH('Order SUmmary'!H$2,'Customer Details'!$A$1:$F$1,0),0)</f>
        <v>Honeywell Automation</v>
      </c>
      <c r="I638" s="2" t="str">
        <f>VLOOKUP($D638,'Customer Details'!$A$1:$F$17,4,0)</f>
        <v>Miami</v>
      </c>
      <c r="J638" s="2" t="str">
        <f>VLOOKUP($D638,'Customer Details'!$A$1:$F$17,6,0)</f>
        <v>33732</v>
      </c>
      <c r="K638" s="8" t="str">
        <f>VLOOKUP(VLOOKUP(D638,'Customer Details'!$A$1:$F$17,5,0),'Region INfo'!$A$1:$C$52,3,0)</f>
        <v>Southern</v>
      </c>
      <c r="L638" s="8" t="str">
        <f>INDEX(Product_List,MATCH($F638,'Product List'!$B$1:$B$299,0),MATCH('Order SUmmary'!L$2,'Product List'!$A$1:$E$1,0))</f>
        <v>Avery 505</v>
      </c>
      <c r="M638" s="8">
        <f>INDEX(Product_List,MATCH($F638,'Product List'!$B$1:$B$299,0),MATCH('Order SUmmary'!M$2,'Product List'!$A$1:$E$1,0))</f>
        <v>4305</v>
      </c>
      <c r="N638" s="8">
        <f>INDEX(Product_List,MATCH($F638,'Product List'!$B$1:$B$299,0),MATCH('Order SUmmary'!N$2,'Product List'!$A$1:$E$1,0))</f>
        <v>2027</v>
      </c>
      <c r="O638" s="8" t="str">
        <f>INDEX(Product_List,MATCH($F638,'Product List'!$B$1:$B$299,0),MATCH('Order SUmmary'!O$2,'Product List'!$A$1:$E$1,0))</f>
        <v>Labels</v>
      </c>
      <c r="P638" s="12">
        <f>HLOOKUP(C638,'Commission Criteria'!$A$2:$I$4,3,FALSE)</f>
        <v>4</v>
      </c>
      <c r="Q638" s="8">
        <f t="shared" si="28"/>
        <v>4054</v>
      </c>
      <c r="R638" s="8">
        <f t="shared" si="29"/>
        <v>8610</v>
      </c>
      <c r="S638" s="36">
        <f>VLOOKUP(R638,'Commission Criteria'!$L$3:$M$11,2,TRUE)</f>
        <v>0.03</v>
      </c>
      <c r="T638" s="36">
        <f>IF(P638&lt;5,VLOOKUP(R638,'Commission Criteria'!$L$3:$M$11,2,1),VLOOKUP('Order SUmmary'!R638,'Commission Criteria'!$P$3:$Q$11,2,1))</f>
        <v>0.03</v>
      </c>
      <c r="U638" s="36">
        <f>VLOOKUP(R638,IF(P638&lt;5,'Commission Criteria'!$L$3:$M$11,'Commission Criteria'!$P$3:$Q$11),2,1)</f>
        <v>0.03</v>
      </c>
      <c r="V638" s="8" t="s">
        <v>29</v>
      </c>
      <c r="W638" s="36">
        <f t="shared" ca="1" si="30"/>
        <v>0</v>
      </c>
      <c r="X638" s="8" t="str">
        <f>_xlfn.XLOOKUP(F638,'Product List'!$B$1:$B$299,'Product List'!$A$1:$A$299)</f>
        <v>Avery 505</v>
      </c>
      <c r="Y638" s="8"/>
      <c r="Z638" s="8" t="str" cm="1">
        <f t="array" ref="Z638:AD638">_xlfn.XLOOKUP(D638,'Customer Details'!$A$1:$A$17,'Customer Details'!$B$1:$F$17,"No such customer",0,1)</f>
        <v>Honeywell Automation</v>
      </c>
      <c r="AA638" s="8" t="str">
        <v>1272 Harbor Road</v>
      </c>
      <c r="AB638" s="8" t="str">
        <v>Miami</v>
      </c>
      <c r="AC638" s="8" t="str">
        <v>FL</v>
      </c>
      <c r="AD638" s="8" t="str">
        <v>33732</v>
      </c>
    </row>
    <row r="639" spans="1:30">
      <c r="A639" s="8" t="s">
        <v>726</v>
      </c>
      <c r="B639" s="19">
        <v>41879</v>
      </c>
      <c r="C639" s="8" t="s">
        <v>44</v>
      </c>
      <c r="D639" s="8">
        <v>10009</v>
      </c>
      <c r="E639" s="8" t="str">
        <f>VLOOKUP($D639,'Customer Details'!$A$1:$F$17,4,FALSE)</f>
        <v>Salt Lake City</v>
      </c>
      <c r="F639" s="8" t="s">
        <v>298</v>
      </c>
      <c r="G639" s="8">
        <v>3</v>
      </c>
      <c r="H639" s="2" t="str">
        <f>VLOOKUP($D639,'Customer Details'!$A$1:$F$17,MATCH('Order SUmmary'!H$2,'Customer Details'!$A$1:$F$1,0),0)</f>
        <v>Godfrey Philips India Ltd.</v>
      </c>
      <c r="I639" s="2" t="str">
        <f>VLOOKUP($D639,'Customer Details'!$A$1:$F$17,4,0)</f>
        <v>Salt Lake City</v>
      </c>
      <c r="J639" s="2" t="str">
        <f>VLOOKUP($D639,'Customer Details'!$A$1:$F$17,6,0)</f>
        <v>84118</v>
      </c>
      <c r="K639" s="8" t="str">
        <f>VLOOKUP(VLOOKUP(D639,'Customer Details'!$A$1:$F$17,5,0),'Region INfo'!$A$1:$C$52,3,0)</f>
        <v xml:space="preserve">Pacific   </v>
      </c>
      <c r="L639" s="8" t="str">
        <f>INDEX(Product_List,MATCH($F639,'Product List'!$B$1:$B$299,0),MATCH('Order SUmmary'!L$2,'Product List'!$A$1:$E$1,0))</f>
        <v>Xerox 216</v>
      </c>
      <c r="M639" s="8">
        <f>INDEX(Product_List,MATCH($F639,'Product List'!$B$1:$B$299,0),MATCH('Order SUmmary'!M$2,'Product List'!$A$1:$E$1,0))</f>
        <v>4719</v>
      </c>
      <c r="N639" s="8">
        <f>INDEX(Product_List,MATCH($F639,'Product List'!$B$1:$B$299,0),MATCH('Order SUmmary'!N$2,'Product List'!$A$1:$E$1,0))</f>
        <v>2043</v>
      </c>
      <c r="O639" s="8" t="str">
        <f>INDEX(Product_List,MATCH($F639,'Product List'!$B$1:$B$299,0),MATCH('Order SUmmary'!O$2,'Product List'!$A$1:$E$1,0))</f>
        <v>Paper</v>
      </c>
      <c r="P639" s="12">
        <f>HLOOKUP(C639,'Commission Criteria'!$A$2:$I$4,3,FALSE)</f>
        <v>4</v>
      </c>
      <c r="Q639" s="8">
        <f t="shared" si="28"/>
        <v>6129</v>
      </c>
      <c r="R639" s="8">
        <f t="shared" si="29"/>
        <v>14157</v>
      </c>
      <c r="S639" s="36">
        <f>VLOOKUP(R639,'Commission Criteria'!$L$3:$M$11,2,TRUE)</f>
        <v>0.03</v>
      </c>
      <c r="T639" s="36">
        <f>IF(P639&lt;5,VLOOKUP(R639,'Commission Criteria'!$L$3:$M$11,2,1),VLOOKUP('Order SUmmary'!R639,'Commission Criteria'!$P$3:$Q$11,2,1))</f>
        <v>0.03</v>
      </c>
      <c r="U639" s="36">
        <f>VLOOKUP(R639,IF(P639&lt;5,'Commission Criteria'!$L$3:$M$11,'Commission Criteria'!$P$3:$Q$11),2,1)</f>
        <v>0.03</v>
      </c>
      <c r="V639" s="8" t="s">
        <v>35</v>
      </c>
      <c r="W639" s="36">
        <f t="shared" ca="1" si="30"/>
        <v>0.04</v>
      </c>
      <c r="X639" s="8" t="str">
        <f>_xlfn.XLOOKUP(F639,'Product List'!$B$1:$B$299,'Product List'!$A$1:$A$299)</f>
        <v>Xerox 216</v>
      </c>
      <c r="Y639" s="8"/>
      <c r="Z639" s="8" t="str" cm="1">
        <f t="array" ref="Z639:AD639">_xlfn.XLOOKUP(D639,'Customer Details'!$A$1:$A$17,'Customer Details'!$B$1:$F$17,"No such customer",0,1)</f>
        <v>Godfrey Philips India Ltd.</v>
      </c>
      <c r="AA639" s="8" t="str">
        <v>20501 Ania Ave #2</v>
      </c>
      <c r="AB639" s="8" t="str">
        <v>Salt Lake City</v>
      </c>
      <c r="AC639" s="8" t="str">
        <v>UT</v>
      </c>
      <c r="AD639" s="8" t="str">
        <v>84118</v>
      </c>
    </row>
    <row r="640" spans="1:30">
      <c r="A640" s="8" t="s">
        <v>728</v>
      </c>
      <c r="B640" s="19">
        <v>41880</v>
      </c>
      <c r="C640" s="8" t="s">
        <v>33</v>
      </c>
      <c r="D640" s="8">
        <v>10014</v>
      </c>
      <c r="E640" s="8" t="str">
        <f>VLOOKUP($D640,'Customer Details'!$A$1:$F$17,4,FALSE)</f>
        <v>Honolulu</v>
      </c>
      <c r="F640" s="8" t="s">
        <v>729</v>
      </c>
      <c r="G640" s="8">
        <v>1</v>
      </c>
      <c r="H640" s="2" t="str">
        <f>VLOOKUP($D640,'Customer Details'!$A$1:$F$17,MATCH('Order SUmmary'!H$2,'Customer Details'!$A$1:$F$1,0),0)</f>
        <v>Hindusthan National Glass &amp; Industries Ltd.</v>
      </c>
      <c r="I640" s="2" t="str">
        <f>VLOOKUP($D640,'Customer Details'!$A$1:$F$17,4,0)</f>
        <v>Honolulu</v>
      </c>
      <c r="J640" s="2" t="str">
        <f>VLOOKUP($D640,'Customer Details'!$A$1:$F$17,6,0)</f>
        <v>96825</v>
      </c>
      <c r="K640" s="8" t="str">
        <f>VLOOKUP(VLOOKUP(D640,'Customer Details'!$A$1:$F$17,5,0),'Region INfo'!$A$1:$C$52,3,0)</f>
        <v xml:space="preserve">Pacific   </v>
      </c>
      <c r="L640" s="8" t="str">
        <f>INDEX(Product_List,MATCH($F640,'Product List'!$B$1:$B$299,0),MATCH('Order SUmmary'!L$2,'Product List'!$A$1:$E$1,0))</f>
        <v>Newell 324</v>
      </c>
      <c r="M640" s="8">
        <f>INDEX(Product_List,MATCH($F640,'Product List'!$B$1:$B$299,0),MATCH('Order SUmmary'!M$2,'Product List'!$A$1:$E$1,0))</f>
        <v>3859</v>
      </c>
      <c r="N640" s="8">
        <f>INDEX(Product_List,MATCH($F640,'Product List'!$B$1:$B$299,0),MATCH('Order SUmmary'!N$2,'Product List'!$A$1:$E$1,0))</f>
        <v>1465</v>
      </c>
      <c r="O640" s="8" t="str">
        <f>INDEX(Product_List,MATCH($F640,'Product List'!$B$1:$B$299,0),MATCH('Order SUmmary'!O$2,'Product List'!$A$1:$E$1,0))</f>
        <v>Art</v>
      </c>
      <c r="P640" s="12">
        <f>HLOOKUP(C640,'Commission Criteria'!$A$2:$I$4,3,FALSE)</f>
        <v>1</v>
      </c>
      <c r="Q640" s="8">
        <f t="shared" si="28"/>
        <v>1465</v>
      </c>
      <c r="R640" s="8">
        <f t="shared" si="29"/>
        <v>3859</v>
      </c>
      <c r="S640" s="36">
        <f>VLOOKUP(R640,'Commission Criteria'!$L$3:$M$11,2,TRUE)</f>
        <v>0.01</v>
      </c>
      <c r="T640" s="36">
        <f>IF(P640&lt;5,VLOOKUP(R640,'Commission Criteria'!$L$3:$M$11,2,1),VLOOKUP('Order SUmmary'!R640,'Commission Criteria'!$P$3:$Q$11,2,1))</f>
        <v>0.01</v>
      </c>
      <c r="U640" s="36">
        <f>VLOOKUP(R640,IF(P640&lt;5,'Commission Criteria'!$L$3:$M$11,'Commission Criteria'!$P$3:$Q$11),2,1)</f>
        <v>0.01</v>
      </c>
      <c r="V640" s="8" t="s">
        <v>29</v>
      </c>
      <c r="W640" s="36">
        <f t="shared" ca="1" si="30"/>
        <v>0.01</v>
      </c>
      <c r="X640" s="8" t="str">
        <f>_xlfn.XLOOKUP(F640,'Product List'!$B$1:$B$299,'Product List'!$A$1:$A$299)</f>
        <v>Newell 324</v>
      </c>
      <c r="Y640" s="8"/>
      <c r="Z640" s="8" t="str" cm="1">
        <f t="array" ref="Z640:AD640">_xlfn.XLOOKUP(D640,'Customer Details'!$A$1:$A$17,'Customer Details'!$B$1:$F$17,"No such customer",0,1)</f>
        <v>Hindusthan National Glass &amp; Industries Ltd.</v>
      </c>
      <c r="AA640" s="8" t="str">
        <v>11 Cathy St.</v>
      </c>
      <c r="AB640" s="8" t="str">
        <v>Honolulu</v>
      </c>
      <c r="AC640" s="8" t="str">
        <v>HI</v>
      </c>
      <c r="AD640" s="8" t="str">
        <v>96825</v>
      </c>
    </row>
    <row r="641" spans="1:30">
      <c r="A641" s="8" t="s">
        <v>730</v>
      </c>
      <c r="B641" s="19">
        <v>41880</v>
      </c>
      <c r="C641" s="8" t="s">
        <v>27</v>
      </c>
      <c r="D641" s="8">
        <v>10012</v>
      </c>
      <c r="E641" s="8" t="str">
        <f>VLOOKUP($D641,'Customer Details'!$A$1:$F$17,4,FALSE)</f>
        <v>Santa Barbara</v>
      </c>
      <c r="F641" s="8" t="s">
        <v>467</v>
      </c>
      <c r="G641" s="8">
        <v>2</v>
      </c>
      <c r="H641" s="2" t="str">
        <f>VLOOKUP($D641,'Customer Details'!$A$1:$F$17,MATCH('Order SUmmary'!H$2,'Customer Details'!$A$1:$F$1,0),0)</f>
        <v>Dynamatic Technologies Ltd.</v>
      </c>
      <c r="I641" s="2" t="str">
        <f>VLOOKUP($D641,'Customer Details'!$A$1:$F$17,4,0)</f>
        <v>Santa Barbara</v>
      </c>
      <c r="J641" s="2" t="str">
        <f>VLOOKUP($D641,'Customer Details'!$A$1:$F$17,6,0)</f>
        <v>93110</v>
      </c>
      <c r="K641" s="8" t="str">
        <f>VLOOKUP(VLOOKUP(D641,'Customer Details'!$A$1:$F$17,5,0),'Region INfo'!$A$1:$C$52,3,0)</f>
        <v xml:space="preserve">Pacific   </v>
      </c>
      <c r="L641" s="8" t="str">
        <f>INDEX(Product_List,MATCH($F641,'Product List'!$B$1:$B$299,0),MATCH('Order SUmmary'!L$2,'Product List'!$A$1:$E$1,0))</f>
        <v>Xerox 215</v>
      </c>
      <c r="M641" s="8">
        <f>INDEX(Product_List,MATCH($F641,'Product List'!$B$1:$B$299,0),MATCH('Order SUmmary'!M$2,'Product List'!$A$1:$E$1,0))</f>
        <v>4574</v>
      </c>
      <c r="N641" s="8">
        <f>INDEX(Product_List,MATCH($F641,'Product List'!$B$1:$B$299,0),MATCH('Order SUmmary'!N$2,'Product List'!$A$1:$E$1,0))</f>
        <v>2068</v>
      </c>
      <c r="O641" s="8" t="str">
        <f>INDEX(Product_List,MATCH($F641,'Product List'!$B$1:$B$299,0),MATCH('Order SUmmary'!O$2,'Product List'!$A$1:$E$1,0))</f>
        <v>Paper</v>
      </c>
      <c r="P641" s="12">
        <f>HLOOKUP(C641,'Commission Criteria'!$A$2:$I$4,3,FALSE)</f>
        <v>4</v>
      </c>
      <c r="Q641" s="8">
        <f t="shared" si="28"/>
        <v>4136</v>
      </c>
      <c r="R641" s="8">
        <f t="shared" si="29"/>
        <v>9148</v>
      </c>
      <c r="S641" s="36">
        <f>VLOOKUP(R641,'Commission Criteria'!$L$3:$M$11,2,TRUE)</f>
        <v>0.03</v>
      </c>
      <c r="T641" s="36">
        <f>IF(P641&lt;5,VLOOKUP(R641,'Commission Criteria'!$L$3:$M$11,2,1),VLOOKUP('Order SUmmary'!R641,'Commission Criteria'!$P$3:$Q$11,2,1))</f>
        <v>0.03</v>
      </c>
      <c r="U641" s="36">
        <f>VLOOKUP(R641,IF(P641&lt;5,'Commission Criteria'!$L$3:$M$11,'Commission Criteria'!$P$3:$Q$11),2,1)</f>
        <v>0.03</v>
      </c>
      <c r="V641" s="8" t="s">
        <v>43</v>
      </c>
      <c r="W641" s="36">
        <f t="shared" ca="1" si="30"/>
        <v>0.04</v>
      </c>
      <c r="X641" s="8" t="str">
        <f>_xlfn.XLOOKUP(F641,'Product List'!$B$1:$B$299,'Product List'!$A$1:$A$299)</f>
        <v>Xerox 215</v>
      </c>
      <c r="Y641" s="8"/>
      <c r="Z641" s="8" t="str" cm="1">
        <f t="array" ref="Z641:AD641">_xlfn.XLOOKUP(D641,'Customer Details'!$A$1:$A$17,'Customer Details'!$B$1:$F$17,"No such customer",0,1)</f>
        <v>Dynamatic Technologies Ltd.</v>
      </c>
      <c r="AA641" s="8" t="str">
        <v>402 Pinkster Lane</v>
      </c>
      <c r="AB641" s="8" t="str">
        <v>Santa Barbara</v>
      </c>
      <c r="AC641" s="8" t="str">
        <v>CA</v>
      </c>
      <c r="AD641" s="8" t="str">
        <v>93110</v>
      </c>
    </row>
    <row r="642" spans="1:30">
      <c r="A642" s="8" t="s">
        <v>730</v>
      </c>
      <c r="B642" s="19">
        <v>41880</v>
      </c>
      <c r="C642" s="8" t="s">
        <v>66</v>
      </c>
      <c r="D642" s="8">
        <v>10005</v>
      </c>
      <c r="E642" s="8" t="str">
        <f>VLOOKUP($D642,'Customer Details'!$A$1:$F$17,4,FALSE)</f>
        <v>Goleta</v>
      </c>
      <c r="F642" s="8" t="s">
        <v>467</v>
      </c>
      <c r="G642" s="8">
        <v>2</v>
      </c>
      <c r="H642" s="2" t="str">
        <f>VLOOKUP($D642,'Customer Details'!$A$1:$F$17,MATCH('Order SUmmary'!H$2,'Customer Details'!$A$1:$F$1,0),0)</f>
        <v>Fortis Healthcare Ltd.</v>
      </c>
      <c r="I642" s="2" t="str">
        <f>VLOOKUP($D642,'Customer Details'!$A$1:$F$17,4,0)</f>
        <v>Goleta</v>
      </c>
      <c r="J642" s="2" t="str">
        <f>VLOOKUP($D642,'Customer Details'!$A$1:$F$17,6,0)</f>
        <v>93117</v>
      </c>
      <c r="K642" s="8" t="str">
        <f>VLOOKUP(VLOOKUP(D642,'Customer Details'!$A$1:$F$17,5,0),'Region INfo'!$A$1:$C$52,3,0)</f>
        <v xml:space="preserve">Pacific   </v>
      </c>
      <c r="L642" s="8" t="str">
        <f>INDEX(Product_List,MATCH($F642,'Product List'!$B$1:$B$299,0),MATCH('Order SUmmary'!L$2,'Product List'!$A$1:$E$1,0))</f>
        <v>Xerox 215</v>
      </c>
      <c r="M642" s="8">
        <f>INDEX(Product_List,MATCH($F642,'Product List'!$B$1:$B$299,0),MATCH('Order SUmmary'!M$2,'Product List'!$A$1:$E$1,0))</f>
        <v>4574</v>
      </c>
      <c r="N642" s="8">
        <f>INDEX(Product_List,MATCH($F642,'Product List'!$B$1:$B$299,0),MATCH('Order SUmmary'!N$2,'Product List'!$A$1:$E$1,0))</f>
        <v>2068</v>
      </c>
      <c r="O642" s="8" t="str">
        <f>INDEX(Product_List,MATCH($F642,'Product List'!$B$1:$B$299,0),MATCH('Order SUmmary'!O$2,'Product List'!$A$1:$E$1,0))</f>
        <v>Paper</v>
      </c>
      <c r="P642" s="12">
        <f>HLOOKUP(C642,'Commission Criteria'!$A$2:$I$4,3,FALSE)</f>
        <v>5</v>
      </c>
      <c r="Q642" s="8">
        <f t="shared" si="28"/>
        <v>4136</v>
      </c>
      <c r="R642" s="8">
        <f t="shared" si="29"/>
        <v>9148</v>
      </c>
      <c r="S642" s="36">
        <f>VLOOKUP(R642,'Commission Criteria'!$L$3:$M$11,2,TRUE)</f>
        <v>0.03</v>
      </c>
      <c r="T642" s="36">
        <f>IF(P642&lt;5,VLOOKUP(R642,'Commission Criteria'!$L$3:$M$11,2,1),VLOOKUP('Order SUmmary'!R642,'Commission Criteria'!$P$3:$Q$11,2,1))</f>
        <v>0.02</v>
      </c>
      <c r="U642" s="36">
        <f>VLOOKUP(R642,IF(P642&lt;5,'Commission Criteria'!$L$3:$M$11,'Commission Criteria'!$P$3:$Q$11),2,1)</f>
        <v>0.02</v>
      </c>
      <c r="V642" s="8" t="s">
        <v>50</v>
      </c>
      <c r="W642" s="36">
        <f t="shared" ca="1" si="30"/>
        <v>0.03</v>
      </c>
      <c r="X642" s="8" t="str">
        <f>_xlfn.XLOOKUP(F642,'Product List'!$B$1:$B$299,'Product List'!$A$1:$A$299)</f>
        <v>Xerox 215</v>
      </c>
      <c r="Y642" s="8"/>
      <c r="Z642" s="8" t="str" cm="1">
        <f t="array" ref="Z642:AD642">_xlfn.XLOOKUP(D642,'Customer Details'!$A$1:$A$17,'Customer Details'!$B$1:$F$17,"No such customer",0,1)</f>
        <v>Fortis Healthcare Ltd.</v>
      </c>
      <c r="AA642" s="8" t="str">
        <v>14 Elsworthy Terrace</v>
      </c>
      <c r="AB642" s="8" t="str">
        <v>Goleta</v>
      </c>
      <c r="AC642" s="8" t="str">
        <v>CA</v>
      </c>
      <c r="AD642" s="8" t="str">
        <v>93117</v>
      </c>
    </row>
    <row r="643" spans="1:30">
      <c r="A643" s="8" t="s">
        <v>730</v>
      </c>
      <c r="B643" s="19">
        <v>41880</v>
      </c>
      <c r="C643" s="8" t="s">
        <v>66</v>
      </c>
      <c r="D643" s="8">
        <v>10007</v>
      </c>
      <c r="E643" s="8" t="str">
        <f>VLOOKUP($D643,'Customer Details'!$A$1:$F$17,4,FALSE)</f>
        <v>Richmond</v>
      </c>
      <c r="F643" s="8" t="s">
        <v>479</v>
      </c>
      <c r="G643" s="8">
        <v>3</v>
      </c>
      <c r="H643" s="2" t="str">
        <f>VLOOKUP($D643,'Customer Details'!$A$1:$F$17,MATCH('Order SUmmary'!H$2,'Customer Details'!$A$1:$F$1,0),0)</f>
        <v>GHCL Ltd.</v>
      </c>
      <c r="I643" s="2" t="str">
        <f>VLOOKUP($D643,'Customer Details'!$A$1:$F$17,4,0)</f>
        <v>Richmond</v>
      </c>
      <c r="J643" s="2" t="str">
        <f>VLOOKUP($D643,'Customer Details'!$A$1:$F$17,6,0)</f>
        <v>94805</v>
      </c>
      <c r="K643" s="8" t="str">
        <f>VLOOKUP(VLOOKUP(D643,'Customer Details'!$A$1:$F$17,5,0),'Region INfo'!$A$1:$C$52,3,0)</f>
        <v xml:space="preserve">Pacific   </v>
      </c>
      <c r="L643" s="8" t="str">
        <f>INDEX(Product_List,MATCH($F643,'Product List'!$B$1:$B$299,0),MATCH('Order SUmmary'!L$2,'Product List'!$A$1:$E$1,0))</f>
        <v>Xerox 23</v>
      </c>
      <c r="M643" s="8">
        <f>INDEX(Product_List,MATCH($F643,'Product List'!$B$1:$B$299,0),MATCH('Order SUmmary'!M$2,'Product List'!$A$1:$E$1,0))</f>
        <v>4643</v>
      </c>
      <c r="N643" s="8">
        <f>INDEX(Product_List,MATCH($F643,'Product List'!$B$1:$B$299,0),MATCH('Order SUmmary'!N$2,'Product List'!$A$1:$E$1,0))</f>
        <v>1549</v>
      </c>
      <c r="O643" s="8" t="str">
        <f>INDEX(Product_List,MATCH($F643,'Product List'!$B$1:$B$299,0),MATCH('Order SUmmary'!O$2,'Product List'!$A$1:$E$1,0))</f>
        <v>Paper</v>
      </c>
      <c r="P643" s="12">
        <f>HLOOKUP(C643,'Commission Criteria'!$A$2:$I$4,3,FALSE)</f>
        <v>5</v>
      </c>
      <c r="Q643" s="8">
        <f t="shared" si="28"/>
        <v>4647</v>
      </c>
      <c r="R643" s="8">
        <f t="shared" si="29"/>
        <v>13929</v>
      </c>
      <c r="S643" s="36">
        <f>VLOOKUP(R643,'Commission Criteria'!$L$3:$M$11,2,TRUE)</f>
        <v>0.03</v>
      </c>
      <c r="T643" s="36">
        <f>IF(P643&lt;5,VLOOKUP(R643,'Commission Criteria'!$L$3:$M$11,2,1),VLOOKUP('Order SUmmary'!R643,'Commission Criteria'!$P$3:$Q$11,2,1))</f>
        <v>0.02</v>
      </c>
      <c r="U643" s="36">
        <f>VLOOKUP(R643,IF(P643&lt;5,'Commission Criteria'!$L$3:$M$11,'Commission Criteria'!$P$3:$Q$11),2,1)</f>
        <v>0.02</v>
      </c>
      <c r="V643" s="8" t="s">
        <v>40</v>
      </c>
      <c r="W643" s="36">
        <f t="shared" ca="1" si="30"/>
        <v>0.04</v>
      </c>
      <c r="X643" s="8" t="str">
        <f>_xlfn.XLOOKUP(F643,'Product List'!$B$1:$B$299,'Product List'!$A$1:$A$299)</f>
        <v>Xerox 23</v>
      </c>
      <c r="Y643" s="8"/>
      <c r="Z643" s="8" t="str" cm="1">
        <f t="array" ref="Z643:AD643">_xlfn.XLOOKUP(D643,'Customer Details'!$A$1:$A$17,'Customer Details'!$B$1:$F$17,"No such customer",0,1)</f>
        <v>GHCL Ltd.</v>
      </c>
      <c r="AA643" s="8" t="str">
        <v>58 Clarence St</v>
      </c>
      <c r="AB643" s="8" t="str">
        <v>Richmond</v>
      </c>
      <c r="AC643" s="8" t="str">
        <v>CA</v>
      </c>
      <c r="AD643" s="8" t="str">
        <v>94805</v>
      </c>
    </row>
    <row r="644" spans="1:30">
      <c r="A644" s="8" t="s">
        <v>731</v>
      </c>
      <c r="B644" s="19">
        <v>41882</v>
      </c>
      <c r="C644" s="8" t="s">
        <v>33</v>
      </c>
      <c r="D644" s="8">
        <v>10011</v>
      </c>
      <c r="E644" s="8" t="str">
        <f>VLOOKUP($D644,'Customer Details'!$A$1:$F$17,4,FALSE)</f>
        <v>Olympia</v>
      </c>
      <c r="F644" s="8" t="s">
        <v>510</v>
      </c>
      <c r="G644" s="8">
        <v>1</v>
      </c>
      <c r="H644" s="2" t="str">
        <f>VLOOKUP($D644,'Customer Details'!$A$1:$F$17,MATCH('Order SUmmary'!H$2,'Customer Details'!$A$1:$F$1,0),0)</f>
        <v>Sonata Software</v>
      </c>
      <c r="I644" s="2" t="str">
        <f>VLOOKUP($D644,'Customer Details'!$A$1:$F$17,4,0)</f>
        <v>Olympia</v>
      </c>
      <c r="J644" s="2" t="str">
        <f>VLOOKUP($D644,'Customer Details'!$A$1:$F$17,6,0)</f>
        <v>98502</v>
      </c>
      <c r="K644" s="8" t="str">
        <f>VLOOKUP(VLOOKUP(D644,'Customer Details'!$A$1:$F$17,5,0),'Region INfo'!$A$1:$C$52,3,0)</f>
        <v xml:space="preserve">Pacific   </v>
      </c>
      <c r="L644" s="8" t="str">
        <f>INDEX(Product_List,MATCH($F644,'Product List'!$B$1:$B$299,0),MATCH('Order SUmmary'!L$2,'Product List'!$A$1:$E$1,0))</f>
        <v>Avery 507</v>
      </c>
      <c r="M644" s="8">
        <f>INDEX(Product_List,MATCH($F644,'Product List'!$B$1:$B$299,0),MATCH('Order SUmmary'!M$2,'Product List'!$A$1:$E$1,0))</f>
        <v>3473</v>
      </c>
      <c r="N644" s="8">
        <f>INDEX(Product_List,MATCH($F644,'Product List'!$B$1:$B$299,0),MATCH('Order SUmmary'!N$2,'Product List'!$A$1:$E$1,0))</f>
        <v>1493</v>
      </c>
      <c r="O644" s="8" t="str">
        <f>INDEX(Product_List,MATCH($F644,'Product List'!$B$1:$B$299,0),MATCH('Order SUmmary'!O$2,'Product List'!$A$1:$E$1,0))</f>
        <v>Labels</v>
      </c>
      <c r="P644" s="12">
        <f>HLOOKUP(C644,'Commission Criteria'!$A$2:$I$4,3,FALSE)</f>
        <v>1</v>
      </c>
      <c r="Q644" s="8">
        <f t="shared" ref="Q644:Q707" si="31">N644*G644</f>
        <v>1493</v>
      </c>
      <c r="R644" s="8">
        <f t="shared" ref="R644:R707" si="32">M644*G644</f>
        <v>3473</v>
      </c>
      <c r="S644" s="36">
        <f>VLOOKUP(R644,'Commission Criteria'!$L$3:$M$11,2,TRUE)</f>
        <v>0.01</v>
      </c>
      <c r="T644" s="36">
        <f>IF(P644&lt;5,VLOOKUP(R644,'Commission Criteria'!$L$3:$M$11,2,1),VLOOKUP('Order SUmmary'!R644,'Commission Criteria'!$P$3:$Q$11,2,1))</f>
        <v>0.01</v>
      </c>
      <c r="U644" s="36">
        <f>VLOOKUP(R644,IF(P644&lt;5,'Commission Criteria'!$L$3:$M$11,'Commission Criteria'!$P$3:$Q$11),2,1)</f>
        <v>0.01</v>
      </c>
      <c r="V644" s="8" t="s">
        <v>43</v>
      </c>
      <c r="W644" s="36">
        <f t="shared" ref="W644:W707" ca="1" si="33">VLOOKUP(F644,INDIRECT(V644&amp;"!$A$1:$B$296"),2,0)</f>
        <v>0.02</v>
      </c>
      <c r="X644" s="8" t="str">
        <f>_xlfn.XLOOKUP(F644,'Product List'!$B$1:$B$299,'Product List'!$A$1:$A$299)</f>
        <v>Avery 507</v>
      </c>
      <c r="Y644" s="8"/>
      <c r="Z644" s="8" t="str" cm="1">
        <f t="array" ref="Z644:AD644">_xlfn.XLOOKUP(D644,'Customer Details'!$A$1:$A$17,'Customer Details'!$B$1:$F$17,"No such customer",0,1)</f>
        <v>Sonata Software</v>
      </c>
      <c r="AA644" s="8" t="str">
        <v>1331 Kimberly Dr.</v>
      </c>
      <c r="AB644" s="8" t="str">
        <v>Olympia</v>
      </c>
      <c r="AC644" s="8" t="str">
        <v>WA</v>
      </c>
      <c r="AD644" s="8" t="str">
        <v>98502</v>
      </c>
    </row>
    <row r="645" spans="1:30">
      <c r="A645" s="8" t="s">
        <v>732</v>
      </c>
      <c r="B645" s="19">
        <v>41882</v>
      </c>
      <c r="C645" s="8" t="s">
        <v>51</v>
      </c>
      <c r="D645" s="8">
        <v>10015</v>
      </c>
      <c r="E645" s="8" t="str">
        <f>VLOOKUP($D645,'Customer Details'!$A$1:$F$17,4,FALSE)</f>
        <v>South Windsor</v>
      </c>
      <c r="F645" s="8" t="s">
        <v>269</v>
      </c>
      <c r="G645" s="8">
        <v>1</v>
      </c>
      <c r="H645" s="2" t="str">
        <f>VLOOKUP($D645,'Customer Details'!$A$1:$F$17,MATCH('Order SUmmary'!H$2,'Customer Details'!$A$1:$F$1,0),0)</f>
        <v>Punj Lloyd Ltd.</v>
      </c>
      <c r="I645" s="2" t="str">
        <f>VLOOKUP($D645,'Customer Details'!$A$1:$F$17,4,0)</f>
        <v>South Windsor</v>
      </c>
      <c r="J645" s="2" t="str">
        <f>VLOOKUP($D645,'Customer Details'!$A$1:$F$17,6,0)</f>
        <v>06074</v>
      </c>
      <c r="K645" s="8" t="str">
        <f>VLOOKUP(VLOOKUP(D645,'Customer Details'!$A$1:$F$17,5,0),'Region INfo'!$A$1:$C$52,3,0)</f>
        <v xml:space="preserve">Northern </v>
      </c>
      <c r="L645" s="8" t="str">
        <f>INDEX(Product_List,MATCH($F645,'Product List'!$B$1:$B$299,0),MATCH('Order SUmmary'!L$2,'Product List'!$A$1:$E$1,0))</f>
        <v>Xerox 1975</v>
      </c>
      <c r="M645" s="8">
        <f>INDEX(Product_List,MATCH($F645,'Product List'!$B$1:$B$299,0),MATCH('Order SUmmary'!M$2,'Product List'!$A$1:$E$1,0))</f>
        <v>4484</v>
      </c>
      <c r="N645" s="8">
        <f>INDEX(Product_List,MATCH($F645,'Product List'!$B$1:$B$299,0),MATCH('Order SUmmary'!N$2,'Product List'!$A$1:$E$1,0))</f>
        <v>2146</v>
      </c>
      <c r="O645" s="8" t="str">
        <f>INDEX(Product_List,MATCH($F645,'Product List'!$B$1:$B$299,0),MATCH('Order SUmmary'!O$2,'Product List'!$A$1:$E$1,0))</f>
        <v>Paper</v>
      </c>
      <c r="P645" s="12">
        <f>HLOOKUP(C645,'Commission Criteria'!$A$2:$I$4,3,FALSE)</f>
        <v>10</v>
      </c>
      <c r="Q645" s="8">
        <f t="shared" si="31"/>
        <v>2146</v>
      </c>
      <c r="R645" s="8">
        <f t="shared" si="32"/>
        <v>4484</v>
      </c>
      <c r="S645" s="36">
        <f>VLOOKUP(R645,'Commission Criteria'!$L$3:$M$11,2,TRUE)</f>
        <v>0.01</v>
      </c>
      <c r="T645" s="36">
        <f>IF(P645&lt;5,VLOOKUP(R645,'Commission Criteria'!$L$3:$M$11,2,1),VLOOKUP('Order SUmmary'!R645,'Commission Criteria'!$P$3:$Q$11,2,1))</f>
        <v>0.02</v>
      </c>
      <c r="U645" s="36">
        <f>VLOOKUP(R645,IF(P645&lt;5,'Commission Criteria'!$L$3:$M$11,'Commission Criteria'!$P$3:$Q$11),2,1)</f>
        <v>0.02</v>
      </c>
      <c r="V645" s="8" t="s">
        <v>29</v>
      </c>
      <c r="W645" s="36">
        <f t="shared" ca="1" si="33"/>
        <v>0.04</v>
      </c>
      <c r="X645" s="8" t="str">
        <f>_xlfn.XLOOKUP(F645,'Product List'!$B$1:$B$299,'Product List'!$A$1:$A$299)</f>
        <v>Xerox 1975</v>
      </c>
      <c r="Y645" s="8"/>
      <c r="Z645" s="8" t="str" cm="1">
        <f t="array" ref="Z645:AD645">_xlfn.XLOOKUP(D645,'Customer Details'!$A$1:$A$17,'Customer Details'!$B$1:$F$17,"No such customer",0,1)</f>
        <v>Punj Lloyd Ltd.</v>
      </c>
      <c r="AA645" s="8" t="str">
        <v>Box 3263</v>
      </c>
      <c r="AB645" s="8" t="str">
        <v>South Windsor</v>
      </c>
      <c r="AC645" s="8" t="str">
        <v>CT</v>
      </c>
      <c r="AD645" s="8" t="str">
        <v>06074</v>
      </c>
    </row>
    <row r="646" spans="1:30">
      <c r="A646" s="8" t="s">
        <v>731</v>
      </c>
      <c r="B646" s="19">
        <v>41882</v>
      </c>
      <c r="C646" s="8" t="s">
        <v>27</v>
      </c>
      <c r="D646" s="8">
        <v>10002</v>
      </c>
      <c r="E646" s="8" t="str">
        <f>VLOOKUP($D646,'Customer Details'!$A$1:$F$17,4,FALSE)</f>
        <v>Omaha</v>
      </c>
      <c r="F646" s="8" t="s">
        <v>674</v>
      </c>
      <c r="G646" s="8">
        <v>2</v>
      </c>
      <c r="H646" s="2" t="str">
        <f>VLOOKUP($D646,'Customer Details'!$A$1:$F$17,MATCH('Order SUmmary'!H$2,'Customer Details'!$A$1:$F$1,0),0)</f>
        <v>Elder Pharmaceuticals</v>
      </c>
      <c r="I646" s="2" t="str">
        <f>VLOOKUP($D646,'Customer Details'!$A$1:$F$17,4,0)</f>
        <v>Omaha</v>
      </c>
      <c r="J646" s="2" t="str">
        <f>VLOOKUP($D646,'Customer Details'!$A$1:$F$17,6,0)</f>
        <v>68127</v>
      </c>
      <c r="K646" s="8" t="str">
        <f>VLOOKUP(VLOOKUP(D646,'Customer Details'!$A$1:$F$17,5,0),'Region INfo'!$A$1:$C$52,3,0)</f>
        <v>Western</v>
      </c>
      <c r="L646" s="8" t="str">
        <f>INDEX(Product_List,MATCH($F646,'Product List'!$B$1:$B$299,0),MATCH('Order SUmmary'!L$2,'Product List'!$A$1:$E$1,0))</f>
        <v>Avery 491</v>
      </c>
      <c r="M646" s="8">
        <f>INDEX(Product_List,MATCH($F646,'Product List'!$B$1:$B$299,0),MATCH('Order SUmmary'!M$2,'Product List'!$A$1:$E$1,0))</f>
        <v>4092</v>
      </c>
      <c r="N646" s="8">
        <f>INDEX(Product_List,MATCH($F646,'Product List'!$B$1:$B$299,0),MATCH('Order SUmmary'!N$2,'Product List'!$A$1:$E$1,0))</f>
        <v>1482</v>
      </c>
      <c r="O646" s="8" t="str">
        <f>INDEX(Product_List,MATCH($F646,'Product List'!$B$1:$B$299,0),MATCH('Order SUmmary'!O$2,'Product List'!$A$1:$E$1,0))</f>
        <v>Labels</v>
      </c>
      <c r="P646" s="12">
        <f>HLOOKUP(C646,'Commission Criteria'!$A$2:$I$4,3,FALSE)</f>
        <v>4</v>
      </c>
      <c r="Q646" s="8">
        <f t="shared" si="31"/>
        <v>2964</v>
      </c>
      <c r="R646" s="8">
        <f t="shared" si="32"/>
        <v>8184</v>
      </c>
      <c r="S646" s="36">
        <f>VLOOKUP(R646,'Commission Criteria'!$L$3:$M$11,2,TRUE)</f>
        <v>0.03</v>
      </c>
      <c r="T646" s="36">
        <f>IF(P646&lt;5,VLOOKUP(R646,'Commission Criteria'!$L$3:$M$11,2,1),VLOOKUP('Order SUmmary'!R646,'Commission Criteria'!$P$3:$Q$11,2,1))</f>
        <v>0.03</v>
      </c>
      <c r="U646" s="36">
        <f>VLOOKUP(R646,IF(P646&lt;5,'Commission Criteria'!$L$3:$M$11,'Commission Criteria'!$P$3:$Q$11),2,1)</f>
        <v>0.03</v>
      </c>
      <c r="V646" s="8" t="s">
        <v>29</v>
      </c>
      <c r="W646" s="36">
        <f t="shared" ca="1" si="33"/>
        <v>0</v>
      </c>
      <c r="X646" s="8" t="str">
        <f>_xlfn.XLOOKUP(F646,'Product List'!$B$1:$B$299,'Product List'!$A$1:$A$299)</f>
        <v>Avery 491</v>
      </c>
      <c r="Y646" s="8"/>
      <c r="Z646" s="8" t="str" cm="1">
        <f t="array" ref="Z646:AD646">_xlfn.XLOOKUP(D646,'Customer Details'!$A$1:$A$17,'Customer Details'!$B$1:$F$17,"No such customer",0,1)</f>
        <v>Elder Pharmaceuticals</v>
      </c>
      <c r="AA646" s="8" t="str">
        <v>57 Neriba Cres</v>
      </c>
      <c r="AB646" s="8" t="str">
        <v>Omaha</v>
      </c>
      <c r="AC646" s="8" t="str">
        <v>NE</v>
      </c>
      <c r="AD646" s="8" t="str">
        <v>68127</v>
      </c>
    </row>
    <row r="647" spans="1:30">
      <c r="A647" s="8" t="s">
        <v>733</v>
      </c>
      <c r="B647" s="19">
        <v>41883</v>
      </c>
      <c r="C647" s="8" t="s">
        <v>33</v>
      </c>
      <c r="D647" s="8">
        <v>10007</v>
      </c>
      <c r="E647" s="8" t="str">
        <f>VLOOKUP($D647,'Customer Details'!$A$1:$F$17,4,FALSE)</f>
        <v>Richmond</v>
      </c>
      <c r="F647" s="8" t="s">
        <v>497</v>
      </c>
      <c r="G647" s="8">
        <v>1</v>
      </c>
      <c r="H647" s="2" t="str">
        <f>VLOOKUP($D647,'Customer Details'!$A$1:$F$17,MATCH('Order SUmmary'!H$2,'Customer Details'!$A$1:$F$1,0),0)</f>
        <v>GHCL Ltd.</v>
      </c>
      <c r="I647" s="2" t="str">
        <f>VLOOKUP($D647,'Customer Details'!$A$1:$F$17,4,0)</f>
        <v>Richmond</v>
      </c>
      <c r="J647" s="2" t="str">
        <f>VLOOKUP($D647,'Customer Details'!$A$1:$F$17,6,0)</f>
        <v>94805</v>
      </c>
      <c r="K647" s="8" t="str">
        <f>VLOOKUP(VLOOKUP(D647,'Customer Details'!$A$1:$F$17,5,0),'Region INfo'!$A$1:$C$52,3,0)</f>
        <v xml:space="preserve">Pacific   </v>
      </c>
      <c r="L647" s="8" t="str">
        <f>INDEX(Product_List,MATCH($F647,'Product List'!$B$1:$B$299,0),MATCH('Order SUmmary'!L$2,'Product List'!$A$1:$E$1,0))</f>
        <v>Xerox 232</v>
      </c>
      <c r="M647" s="8">
        <f>INDEX(Product_List,MATCH($F647,'Product List'!$B$1:$B$299,0),MATCH('Order SUmmary'!M$2,'Product List'!$A$1:$E$1,0))</f>
        <v>2814</v>
      </c>
      <c r="N647" s="8">
        <f>INDEX(Product_List,MATCH($F647,'Product List'!$B$1:$B$299,0),MATCH('Order SUmmary'!N$2,'Product List'!$A$1:$E$1,0))</f>
        <v>2437</v>
      </c>
      <c r="O647" s="8" t="str">
        <f>INDEX(Product_List,MATCH($F647,'Product List'!$B$1:$B$299,0),MATCH('Order SUmmary'!O$2,'Product List'!$A$1:$E$1,0))</f>
        <v>Paper</v>
      </c>
      <c r="P647" s="12">
        <f>HLOOKUP(C647,'Commission Criteria'!$A$2:$I$4,3,FALSE)</f>
        <v>1</v>
      </c>
      <c r="Q647" s="8">
        <f t="shared" si="31"/>
        <v>2437</v>
      </c>
      <c r="R647" s="8">
        <f t="shared" si="32"/>
        <v>2814</v>
      </c>
      <c r="S647" s="36">
        <f>VLOOKUP(R647,'Commission Criteria'!$L$3:$M$11,2,TRUE)</f>
        <v>0.01</v>
      </c>
      <c r="T647" s="36">
        <f>IF(P647&lt;5,VLOOKUP(R647,'Commission Criteria'!$L$3:$M$11,2,1),VLOOKUP('Order SUmmary'!R647,'Commission Criteria'!$P$3:$Q$11,2,1))</f>
        <v>0.01</v>
      </c>
      <c r="U647" s="36">
        <f>VLOOKUP(R647,IF(P647&lt;5,'Commission Criteria'!$L$3:$M$11,'Commission Criteria'!$P$3:$Q$11),2,1)</f>
        <v>0.01</v>
      </c>
      <c r="V647" s="8" t="s">
        <v>50</v>
      </c>
      <c r="W647" s="36">
        <f t="shared" ca="1" si="33"/>
        <v>0.04</v>
      </c>
      <c r="X647" s="8" t="str">
        <f>_xlfn.XLOOKUP(F647,'Product List'!$B$1:$B$299,'Product List'!$A$1:$A$299)</f>
        <v>Xerox 232</v>
      </c>
      <c r="Y647" s="8"/>
      <c r="Z647" s="8" t="str" cm="1">
        <f t="array" ref="Z647:AD647">_xlfn.XLOOKUP(D647,'Customer Details'!$A$1:$A$17,'Customer Details'!$B$1:$F$17,"No such customer",0,1)</f>
        <v>GHCL Ltd.</v>
      </c>
      <c r="AA647" s="8" t="str">
        <v>58 Clarence St</v>
      </c>
      <c r="AB647" s="8" t="str">
        <v>Richmond</v>
      </c>
      <c r="AC647" s="8" t="str">
        <v>CA</v>
      </c>
      <c r="AD647" s="8" t="str">
        <v>94805</v>
      </c>
    </row>
    <row r="648" spans="1:30">
      <c r="A648" s="8" t="s">
        <v>734</v>
      </c>
      <c r="B648" s="19">
        <v>41885</v>
      </c>
      <c r="C648" s="8" t="s">
        <v>33</v>
      </c>
      <c r="D648" s="8">
        <v>10006</v>
      </c>
      <c r="E648" s="8" t="str">
        <f>VLOOKUP($D648,'Customer Details'!$A$1:$F$17,4,FALSE)</f>
        <v>Midland</v>
      </c>
      <c r="F648" s="8" t="s">
        <v>321</v>
      </c>
      <c r="G648" s="8">
        <v>2</v>
      </c>
      <c r="H648" s="2" t="str">
        <f>VLOOKUP($D648,'Customer Details'!$A$1:$F$17,MATCH('Order SUmmary'!H$2,'Customer Details'!$A$1:$F$1,0),0)</f>
        <v>Supreme Ind</v>
      </c>
      <c r="I648" s="2" t="str">
        <f>VLOOKUP($D648,'Customer Details'!$A$1:$F$17,4,0)</f>
        <v>Midland</v>
      </c>
      <c r="J648" s="2" t="str">
        <f>VLOOKUP($D648,'Customer Details'!$A$1:$F$17,6,0)</f>
        <v>79706</v>
      </c>
      <c r="K648" s="8" t="str">
        <f>VLOOKUP(VLOOKUP(D648,'Customer Details'!$A$1:$F$17,5,0),'Region INfo'!$A$1:$C$52,3,0)</f>
        <v>Western</v>
      </c>
      <c r="L648" s="8" t="str">
        <f>INDEX(Product_List,MATCH($F648,'Product List'!$B$1:$B$299,0),MATCH('Order SUmmary'!L$2,'Product List'!$A$1:$E$1,0))</f>
        <v>Xerox 1938</v>
      </c>
      <c r="M648" s="8">
        <f>INDEX(Product_List,MATCH($F648,'Product List'!$B$1:$B$299,0),MATCH('Order SUmmary'!M$2,'Product List'!$A$1:$E$1,0))</f>
        <v>3626</v>
      </c>
      <c r="N648" s="8">
        <f>INDEX(Product_List,MATCH($F648,'Product List'!$B$1:$B$299,0),MATCH('Order SUmmary'!N$2,'Product List'!$A$1:$E$1,0))</f>
        <v>1590</v>
      </c>
      <c r="O648" s="8" t="str">
        <f>INDEX(Product_List,MATCH($F648,'Product List'!$B$1:$B$299,0),MATCH('Order SUmmary'!O$2,'Product List'!$A$1:$E$1,0))</f>
        <v>Paper</v>
      </c>
      <c r="P648" s="12">
        <f>HLOOKUP(C648,'Commission Criteria'!$A$2:$I$4,3,FALSE)</f>
        <v>1</v>
      </c>
      <c r="Q648" s="8">
        <f t="shared" si="31"/>
        <v>3180</v>
      </c>
      <c r="R648" s="8">
        <f t="shared" si="32"/>
        <v>7252</v>
      </c>
      <c r="S648" s="36">
        <f>VLOOKUP(R648,'Commission Criteria'!$L$3:$M$11,2,TRUE)</f>
        <v>0.03</v>
      </c>
      <c r="T648" s="36">
        <f>IF(P648&lt;5,VLOOKUP(R648,'Commission Criteria'!$L$3:$M$11,2,1),VLOOKUP('Order SUmmary'!R648,'Commission Criteria'!$P$3:$Q$11,2,1))</f>
        <v>0.03</v>
      </c>
      <c r="U648" s="36">
        <f>VLOOKUP(R648,IF(P648&lt;5,'Commission Criteria'!$L$3:$M$11,'Commission Criteria'!$P$3:$Q$11),2,1)</f>
        <v>0.03</v>
      </c>
      <c r="V648" s="8" t="s">
        <v>50</v>
      </c>
      <c r="W648" s="36">
        <f t="shared" ca="1" si="33"/>
        <v>0</v>
      </c>
      <c r="X648" s="8" t="str">
        <f>_xlfn.XLOOKUP(F648,'Product List'!$B$1:$B$299,'Product List'!$A$1:$A$299)</f>
        <v>Xerox 1938</v>
      </c>
      <c r="Y648" s="8"/>
      <c r="Z648" s="8" t="str" cm="1">
        <f t="array" ref="Z648:AD648">_xlfn.XLOOKUP(D648,'Customer Details'!$A$1:$A$17,'Customer Details'!$B$1:$F$17,"No such customer",0,1)</f>
        <v>Supreme Ind</v>
      </c>
      <c r="AA648" s="8" t="str">
        <v>P.O. Box 1367</v>
      </c>
      <c r="AB648" s="8" t="str">
        <v>Midland</v>
      </c>
      <c r="AC648" s="8" t="str">
        <v>TX</v>
      </c>
      <c r="AD648" s="8" t="str">
        <v>79706</v>
      </c>
    </row>
    <row r="649" spans="1:30">
      <c r="A649" s="8" t="s">
        <v>735</v>
      </c>
      <c r="B649" s="19">
        <v>41886</v>
      </c>
      <c r="C649" s="8" t="s">
        <v>54</v>
      </c>
      <c r="D649" s="8">
        <v>10008</v>
      </c>
      <c r="E649" s="8" t="str">
        <f>VLOOKUP($D649,'Customer Details'!$A$1:$F$17,4,FALSE)</f>
        <v>Chestnut Ridge</v>
      </c>
      <c r="F649" s="8" t="s">
        <v>736</v>
      </c>
      <c r="G649" s="8">
        <v>1</v>
      </c>
      <c r="H649" s="2" t="str">
        <f>VLOOKUP($D649,'Customer Details'!$A$1:$F$17,MATCH('Order SUmmary'!H$2,'Customer Details'!$A$1:$F$1,0),0)</f>
        <v>Reliance Industries Limited</v>
      </c>
      <c r="I649" s="2" t="str">
        <f>VLOOKUP($D649,'Customer Details'!$A$1:$F$17,4,0)</f>
        <v>Chestnut Ridge</v>
      </c>
      <c r="J649" s="2" t="str">
        <f>VLOOKUP($D649,'Customer Details'!$A$1:$F$17,6,0)</f>
        <v>10977</v>
      </c>
      <c r="K649" s="8" t="str">
        <f>VLOOKUP(VLOOKUP(D649,'Customer Details'!$A$1:$F$17,5,0),'Region INfo'!$A$1:$C$52,3,0)</f>
        <v xml:space="preserve">Northern </v>
      </c>
      <c r="L649" s="8" t="str">
        <f>INDEX(Product_List,MATCH($F649,'Product List'!$B$1:$B$299,0),MATCH('Order SUmmary'!L$2,'Product List'!$A$1:$E$1,0))</f>
        <v>Xerox 1908</v>
      </c>
      <c r="M649" s="8">
        <f>INDEX(Product_List,MATCH($F649,'Product List'!$B$1:$B$299,0),MATCH('Order SUmmary'!M$2,'Product List'!$A$1:$E$1,0))</f>
        <v>4190</v>
      </c>
      <c r="N649" s="8">
        <f>INDEX(Product_List,MATCH($F649,'Product List'!$B$1:$B$299,0),MATCH('Order SUmmary'!N$2,'Product List'!$A$1:$E$1,0))</f>
        <v>1817</v>
      </c>
      <c r="O649" s="8" t="str">
        <f>INDEX(Product_List,MATCH($F649,'Product List'!$B$1:$B$299,0),MATCH('Order SUmmary'!O$2,'Product List'!$A$1:$E$1,0))</f>
        <v>Paper</v>
      </c>
      <c r="P649" s="12">
        <f>HLOOKUP(C649,'Commission Criteria'!$A$2:$I$4,3,FALSE)</f>
        <v>3</v>
      </c>
      <c r="Q649" s="8">
        <f t="shared" si="31"/>
        <v>1817</v>
      </c>
      <c r="R649" s="8">
        <f t="shared" si="32"/>
        <v>4190</v>
      </c>
      <c r="S649" s="36">
        <f>VLOOKUP(R649,'Commission Criteria'!$L$3:$M$11,2,TRUE)</f>
        <v>0.01</v>
      </c>
      <c r="T649" s="36">
        <f>IF(P649&lt;5,VLOOKUP(R649,'Commission Criteria'!$L$3:$M$11,2,1),VLOOKUP('Order SUmmary'!R649,'Commission Criteria'!$P$3:$Q$11,2,1))</f>
        <v>0.01</v>
      </c>
      <c r="U649" s="36">
        <f>VLOOKUP(R649,IF(P649&lt;5,'Commission Criteria'!$L$3:$M$11,'Commission Criteria'!$P$3:$Q$11),2,1)</f>
        <v>0.01</v>
      </c>
      <c r="V649" s="8" t="s">
        <v>32</v>
      </c>
      <c r="W649" s="36">
        <f t="shared" ca="1" si="33"/>
        <v>0.05</v>
      </c>
      <c r="X649" s="8" t="str">
        <f>_xlfn.XLOOKUP(F649,'Product List'!$B$1:$B$299,'Product List'!$A$1:$A$299)</f>
        <v>Xerox 1908</v>
      </c>
      <c r="Y649" s="8"/>
      <c r="Z649" s="8" t="str" cm="1">
        <f t="array" ref="Z649:AD649">_xlfn.XLOOKUP(D649,'Customer Details'!$A$1:$A$17,'Customer Details'!$B$1:$F$17,"No such customer",0,1)</f>
        <v>Reliance Industries Limited</v>
      </c>
      <c r="AA649" s="8" t="str">
        <v>12020 Shamrock Rd., Suite 333</v>
      </c>
      <c r="AB649" s="8" t="str">
        <v>Chestnut Ridge</v>
      </c>
      <c r="AC649" s="8" t="str">
        <v>NY</v>
      </c>
      <c r="AD649" s="8" t="str">
        <v>10977</v>
      </c>
    </row>
    <row r="650" spans="1:30">
      <c r="A650" s="8" t="s">
        <v>737</v>
      </c>
      <c r="B650" s="19">
        <v>41887</v>
      </c>
      <c r="C650" s="8" t="s">
        <v>46</v>
      </c>
      <c r="D650" s="8">
        <v>10013</v>
      </c>
      <c r="E650" s="8" t="str">
        <f>VLOOKUP($D650,'Customer Details'!$A$1:$F$17,4,FALSE)</f>
        <v>Naugatuck</v>
      </c>
      <c r="F650" s="8" t="s">
        <v>231</v>
      </c>
      <c r="G650" s="8">
        <v>1</v>
      </c>
      <c r="H650" s="2" t="str">
        <f>VLOOKUP($D650,'Customer Details'!$A$1:$F$17,MATCH('Order SUmmary'!H$2,'Customer Details'!$A$1:$F$1,0),0)</f>
        <v>GMR Infrastructure Ltd.</v>
      </c>
      <c r="I650" s="2" t="str">
        <f>VLOOKUP($D650,'Customer Details'!$A$1:$F$17,4,0)</f>
        <v>Naugatuck</v>
      </c>
      <c r="J650" s="2" t="str">
        <f>VLOOKUP($D650,'Customer Details'!$A$1:$F$17,6,0)</f>
        <v>06770</v>
      </c>
      <c r="K650" s="8" t="str">
        <f>VLOOKUP(VLOOKUP(D650,'Customer Details'!$A$1:$F$17,5,0),'Region INfo'!$A$1:$C$52,3,0)</f>
        <v xml:space="preserve">Northern </v>
      </c>
      <c r="L650" s="8" t="str">
        <f>INDEX(Product_List,MATCH($F650,'Product List'!$B$1:$B$299,0),MATCH('Order SUmmary'!L$2,'Product List'!$A$1:$E$1,0))</f>
        <v>Newell 350</v>
      </c>
      <c r="M650" s="8">
        <f>INDEX(Product_List,MATCH($F650,'Product List'!$B$1:$B$299,0),MATCH('Order SUmmary'!M$2,'Product List'!$A$1:$E$1,0))</f>
        <v>2912</v>
      </c>
      <c r="N650" s="8">
        <f>INDEX(Product_List,MATCH($F650,'Product List'!$B$1:$B$299,0),MATCH('Order SUmmary'!N$2,'Product List'!$A$1:$E$1,0))</f>
        <v>2328</v>
      </c>
      <c r="O650" s="8" t="str">
        <f>INDEX(Product_List,MATCH($F650,'Product List'!$B$1:$B$299,0),MATCH('Order SUmmary'!O$2,'Product List'!$A$1:$E$1,0))</f>
        <v>Art</v>
      </c>
      <c r="P650" s="12">
        <f>HLOOKUP(C650,'Commission Criteria'!$A$2:$I$4,3,FALSE)</f>
        <v>8</v>
      </c>
      <c r="Q650" s="8">
        <f t="shared" si="31"/>
        <v>2328</v>
      </c>
      <c r="R650" s="8">
        <f t="shared" si="32"/>
        <v>2912</v>
      </c>
      <c r="S650" s="36">
        <f>VLOOKUP(R650,'Commission Criteria'!$L$3:$M$11,2,TRUE)</f>
        <v>0.01</v>
      </c>
      <c r="T650" s="36">
        <f>IF(P650&lt;5,VLOOKUP(R650,'Commission Criteria'!$L$3:$M$11,2,1),VLOOKUP('Order SUmmary'!R650,'Commission Criteria'!$P$3:$Q$11,2,1))</f>
        <v>0.02</v>
      </c>
      <c r="U650" s="36">
        <f>VLOOKUP(R650,IF(P650&lt;5,'Commission Criteria'!$L$3:$M$11,'Commission Criteria'!$P$3:$Q$11),2,1)</f>
        <v>0.02</v>
      </c>
      <c r="V650" s="8" t="s">
        <v>50</v>
      </c>
      <c r="W650" s="36">
        <f t="shared" ca="1" si="33"/>
        <v>0.05</v>
      </c>
      <c r="X650" s="8" t="str">
        <f>_xlfn.XLOOKUP(F650,'Product List'!$B$1:$B$299,'Product List'!$A$1:$A$299)</f>
        <v>Newell 350</v>
      </c>
      <c r="Y650" s="8"/>
      <c r="Z650" s="8" t="str" cm="1">
        <f t="array" ref="Z650:AD650">_xlfn.XLOOKUP(D650,'Customer Details'!$A$1:$A$17,'Customer Details'!$B$1:$F$17,"No such customer",0,1)</f>
        <v>GMR Infrastructure Ltd.</v>
      </c>
      <c r="AA650" s="8" t="str">
        <v>P.O. Box 4421</v>
      </c>
      <c r="AB650" s="8" t="str">
        <v>Naugatuck</v>
      </c>
      <c r="AC650" s="8" t="str">
        <v>CT</v>
      </c>
      <c r="AD650" s="8" t="str">
        <v>06770</v>
      </c>
    </row>
    <row r="651" spans="1:30">
      <c r="A651" s="8" t="s">
        <v>738</v>
      </c>
      <c r="B651" s="19">
        <v>41888</v>
      </c>
      <c r="C651" s="8" t="s">
        <v>33</v>
      </c>
      <c r="D651" s="8">
        <v>10007</v>
      </c>
      <c r="E651" s="8" t="str">
        <f>VLOOKUP($D651,'Customer Details'!$A$1:$F$17,4,FALSE)</f>
        <v>Richmond</v>
      </c>
      <c r="F651" s="8" t="s">
        <v>62</v>
      </c>
      <c r="G651" s="8">
        <v>2</v>
      </c>
      <c r="H651" s="2" t="str">
        <f>VLOOKUP($D651,'Customer Details'!$A$1:$F$17,MATCH('Order SUmmary'!H$2,'Customer Details'!$A$1:$F$1,0),0)</f>
        <v>GHCL Ltd.</v>
      </c>
      <c r="I651" s="2" t="str">
        <f>VLOOKUP($D651,'Customer Details'!$A$1:$F$17,4,0)</f>
        <v>Richmond</v>
      </c>
      <c r="J651" s="2" t="str">
        <f>VLOOKUP($D651,'Customer Details'!$A$1:$F$17,6,0)</f>
        <v>94805</v>
      </c>
      <c r="K651" s="8" t="str">
        <f>VLOOKUP(VLOOKUP(D651,'Customer Details'!$A$1:$F$17,5,0),'Region INfo'!$A$1:$C$52,3,0)</f>
        <v xml:space="preserve">Pacific   </v>
      </c>
      <c r="L651" s="8" t="str">
        <f>INDEX(Product_List,MATCH($F651,'Product List'!$B$1:$B$299,0),MATCH('Order SUmmary'!L$2,'Product List'!$A$1:$E$1,0))</f>
        <v>Newell 308</v>
      </c>
      <c r="M651" s="8">
        <f>INDEX(Product_List,MATCH($F651,'Product List'!$B$1:$B$299,0),MATCH('Order SUmmary'!M$2,'Product List'!$A$1:$E$1,0))</f>
        <v>4515</v>
      </c>
      <c r="N651" s="8">
        <f>INDEX(Product_List,MATCH($F651,'Product List'!$B$1:$B$299,0),MATCH('Order SUmmary'!N$2,'Product List'!$A$1:$E$1,0))</f>
        <v>1550</v>
      </c>
      <c r="O651" s="8" t="str">
        <f>INDEX(Product_List,MATCH($F651,'Product List'!$B$1:$B$299,0),MATCH('Order SUmmary'!O$2,'Product List'!$A$1:$E$1,0))</f>
        <v>Art</v>
      </c>
      <c r="P651" s="12">
        <f>HLOOKUP(C651,'Commission Criteria'!$A$2:$I$4,3,FALSE)</f>
        <v>1</v>
      </c>
      <c r="Q651" s="8">
        <f t="shared" si="31"/>
        <v>3100</v>
      </c>
      <c r="R651" s="8">
        <f t="shared" si="32"/>
        <v>9030</v>
      </c>
      <c r="S651" s="36">
        <f>VLOOKUP(R651,'Commission Criteria'!$L$3:$M$11,2,TRUE)</f>
        <v>0.03</v>
      </c>
      <c r="T651" s="36">
        <f>IF(P651&lt;5,VLOOKUP(R651,'Commission Criteria'!$L$3:$M$11,2,1),VLOOKUP('Order SUmmary'!R651,'Commission Criteria'!$P$3:$Q$11,2,1))</f>
        <v>0.03</v>
      </c>
      <c r="U651" s="36">
        <f>VLOOKUP(R651,IF(P651&lt;5,'Commission Criteria'!$L$3:$M$11,'Commission Criteria'!$P$3:$Q$11),2,1)</f>
        <v>0.03</v>
      </c>
      <c r="V651" s="8" t="s">
        <v>50</v>
      </c>
      <c r="W651" s="36">
        <f t="shared" ca="1" si="33"/>
        <v>0.01</v>
      </c>
      <c r="X651" s="8" t="str">
        <f>_xlfn.XLOOKUP(F651,'Product List'!$B$1:$B$299,'Product List'!$A$1:$A$299)</f>
        <v>Newell 308</v>
      </c>
      <c r="Y651" s="8"/>
      <c r="Z651" s="8" t="str" cm="1">
        <f t="array" ref="Z651:AD651">_xlfn.XLOOKUP(D651,'Customer Details'!$A$1:$A$17,'Customer Details'!$B$1:$F$17,"No such customer",0,1)</f>
        <v>GHCL Ltd.</v>
      </c>
      <c r="AA651" s="8" t="str">
        <v>58 Clarence St</v>
      </c>
      <c r="AB651" s="8" t="str">
        <v>Richmond</v>
      </c>
      <c r="AC651" s="8" t="str">
        <v>CA</v>
      </c>
      <c r="AD651" s="8" t="str">
        <v>94805</v>
      </c>
    </row>
    <row r="652" spans="1:30">
      <c r="A652" s="8" t="s">
        <v>738</v>
      </c>
      <c r="B652" s="19">
        <v>41888</v>
      </c>
      <c r="C652" s="8" t="s">
        <v>44</v>
      </c>
      <c r="D652" s="8">
        <v>10015</v>
      </c>
      <c r="E652" s="8" t="str">
        <f>VLOOKUP($D652,'Customer Details'!$A$1:$F$17,4,FALSE)</f>
        <v>South Windsor</v>
      </c>
      <c r="F652" s="8" t="s">
        <v>298</v>
      </c>
      <c r="G652" s="8">
        <v>2</v>
      </c>
      <c r="H652" s="2" t="str">
        <f>VLOOKUP($D652,'Customer Details'!$A$1:$F$17,MATCH('Order SUmmary'!H$2,'Customer Details'!$A$1:$F$1,0),0)</f>
        <v>Punj Lloyd Ltd.</v>
      </c>
      <c r="I652" s="2" t="str">
        <f>VLOOKUP($D652,'Customer Details'!$A$1:$F$17,4,0)</f>
        <v>South Windsor</v>
      </c>
      <c r="J652" s="2" t="str">
        <f>VLOOKUP($D652,'Customer Details'!$A$1:$F$17,6,0)</f>
        <v>06074</v>
      </c>
      <c r="K652" s="8" t="str">
        <f>VLOOKUP(VLOOKUP(D652,'Customer Details'!$A$1:$F$17,5,0),'Region INfo'!$A$1:$C$52,3,0)</f>
        <v xml:space="preserve">Northern </v>
      </c>
      <c r="L652" s="8" t="str">
        <f>INDEX(Product_List,MATCH($F652,'Product List'!$B$1:$B$299,0),MATCH('Order SUmmary'!L$2,'Product List'!$A$1:$E$1,0))</f>
        <v>Xerox 216</v>
      </c>
      <c r="M652" s="8">
        <f>INDEX(Product_List,MATCH($F652,'Product List'!$B$1:$B$299,0),MATCH('Order SUmmary'!M$2,'Product List'!$A$1:$E$1,0))</f>
        <v>4719</v>
      </c>
      <c r="N652" s="8">
        <f>INDEX(Product_List,MATCH($F652,'Product List'!$B$1:$B$299,0),MATCH('Order SUmmary'!N$2,'Product List'!$A$1:$E$1,0))</f>
        <v>2043</v>
      </c>
      <c r="O652" s="8" t="str">
        <f>INDEX(Product_List,MATCH($F652,'Product List'!$B$1:$B$299,0),MATCH('Order SUmmary'!O$2,'Product List'!$A$1:$E$1,0))</f>
        <v>Paper</v>
      </c>
      <c r="P652" s="12">
        <f>HLOOKUP(C652,'Commission Criteria'!$A$2:$I$4,3,FALSE)</f>
        <v>4</v>
      </c>
      <c r="Q652" s="8">
        <f t="shared" si="31"/>
        <v>4086</v>
      </c>
      <c r="R652" s="8">
        <f t="shared" si="32"/>
        <v>9438</v>
      </c>
      <c r="S652" s="36">
        <f>VLOOKUP(R652,'Commission Criteria'!$L$3:$M$11,2,TRUE)</f>
        <v>0.03</v>
      </c>
      <c r="T652" s="36">
        <f>IF(P652&lt;5,VLOOKUP(R652,'Commission Criteria'!$L$3:$M$11,2,1),VLOOKUP('Order SUmmary'!R652,'Commission Criteria'!$P$3:$Q$11,2,1))</f>
        <v>0.03</v>
      </c>
      <c r="U652" s="36">
        <f>VLOOKUP(R652,IF(P652&lt;5,'Commission Criteria'!$L$3:$M$11,'Commission Criteria'!$P$3:$Q$11),2,1)</f>
        <v>0.03</v>
      </c>
      <c r="V652" s="8" t="s">
        <v>32</v>
      </c>
      <c r="W652" s="36">
        <f t="shared" ca="1" si="33"/>
        <v>0</v>
      </c>
      <c r="X652" s="8" t="str">
        <f>_xlfn.XLOOKUP(F652,'Product List'!$B$1:$B$299,'Product List'!$A$1:$A$299)</f>
        <v>Xerox 216</v>
      </c>
      <c r="Y652" s="8"/>
      <c r="Z652" s="8" t="str" cm="1">
        <f t="array" ref="Z652:AD652">_xlfn.XLOOKUP(D652,'Customer Details'!$A$1:$A$17,'Customer Details'!$B$1:$F$17,"No such customer",0,1)</f>
        <v>Punj Lloyd Ltd.</v>
      </c>
      <c r="AA652" s="8" t="str">
        <v>Box 3263</v>
      </c>
      <c r="AB652" s="8" t="str">
        <v>South Windsor</v>
      </c>
      <c r="AC652" s="8" t="str">
        <v>CT</v>
      </c>
      <c r="AD652" s="8" t="str">
        <v>06074</v>
      </c>
    </row>
    <row r="653" spans="1:30">
      <c r="A653" s="8" t="s">
        <v>739</v>
      </c>
      <c r="B653" s="19">
        <v>41889</v>
      </c>
      <c r="C653" s="8" t="s">
        <v>33</v>
      </c>
      <c r="D653" s="8">
        <v>10008</v>
      </c>
      <c r="E653" s="8" t="str">
        <f>VLOOKUP($D653,'Customer Details'!$A$1:$F$17,4,FALSE)</f>
        <v>Chestnut Ridge</v>
      </c>
      <c r="F653" s="8" t="s">
        <v>184</v>
      </c>
      <c r="G653" s="8">
        <v>4</v>
      </c>
      <c r="H653" s="2" t="str">
        <f>VLOOKUP($D653,'Customer Details'!$A$1:$F$17,MATCH('Order SUmmary'!H$2,'Customer Details'!$A$1:$F$1,0),0)</f>
        <v>Reliance Industries Limited</v>
      </c>
      <c r="I653" s="2" t="str">
        <f>VLOOKUP($D653,'Customer Details'!$A$1:$F$17,4,0)</f>
        <v>Chestnut Ridge</v>
      </c>
      <c r="J653" s="2" t="str">
        <f>VLOOKUP($D653,'Customer Details'!$A$1:$F$17,6,0)</f>
        <v>10977</v>
      </c>
      <c r="K653" s="8" t="str">
        <f>VLOOKUP(VLOOKUP(D653,'Customer Details'!$A$1:$F$17,5,0),'Region INfo'!$A$1:$C$52,3,0)</f>
        <v xml:space="preserve">Northern </v>
      </c>
      <c r="L653" s="8" t="str">
        <f>INDEX(Product_List,MATCH($F653,'Product List'!$B$1:$B$299,0),MATCH('Order SUmmary'!L$2,'Product List'!$A$1:$E$1,0))</f>
        <v>Xerox 1983</v>
      </c>
      <c r="M653" s="8">
        <f>INDEX(Product_List,MATCH($F653,'Product List'!$B$1:$B$299,0),MATCH('Order SUmmary'!M$2,'Product List'!$A$1:$E$1,0))</f>
        <v>3514</v>
      </c>
      <c r="N653" s="8">
        <f>INDEX(Product_List,MATCH($F653,'Product List'!$B$1:$B$299,0),MATCH('Order SUmmary'!N$2,'Product List'!$A$1:$E$1,0))</f>
        <v>1257</v>
      </c>
      <c r="O653" s="8" t="str">
        <f>INDEX(Product_List,MATCH($F653,'Product List'!$B$1:$B$299,0),MATCH('Order SUmmary'!O$2,'Product List'!$A$1:$E$1,0))</f>
        <v>Paper</v>
      </c>
      <c r="P653" s="12">
        <f>HLOOKUP(C653,'Commission Criteria'!$A$2:$I$4,3,FALSE)</f>
        <v>1</v>
      </c>
      <c r="Q653" s="8">
        <f t="shared" si="31"/>
        <v>5028</v>
      </c>
      <c r="R653" s="8">
        <f t="shared" si="32"/>
        <v>14056</v>
      </c>
      <c r="S653" s="36">
        <f>VLOOKUP(R653,'Commission Criteria'!$L$3:$M$11,2,TRUE)</f>
        <v>0.03</v>
      </c>
      <c r="T653" s="36">
        <f>IF(P653&lt;5,VLOOKUP(R653,'Commission Criteria'!$L$3:$M$11,2,1),VLOOKUP('Order SUmmary'!R653,'Commission Criteria'!$P$3:$Q$11,2,1))</f>
        <v>0.03</v>
      </c>
      <c r="U653" s="36">
        <f>VLOOKUP(R653,IF(P653&lt;5,'Commission Criteria'!$L$3:$M$11,'Commission Criteria'!$P$3:$Q$11),2,1)</f>
        <v>0.03</v>
      </c>
      <c r="V653" s="8" t="s">
        <v>43</v>
      </c>
      <c r="W653" s="36">
        <f t="shared" ca="1" si="33"/>
        <v>0.04</v>
      </c>
      <c r="X653" s="8" t="str">
        <f>_xlfn.XLOOKUP(F653,'Product List'!$B$1:$B$299,'Product List'!$A$1:$A$299)</f>
        <v>Xerox 1983</v>
      </c>
      <c r="Y653" s="8"/>
      <c r="Z653" s="8" t="str" cm="1">
        <f t="array" ref="Z653:AD653">_xlfn.XLOOKUP(D653,'Customer Details'!$A$1:$A$17,'Customer Details'!$B$1:$F$17,"No such customer",0,1)</f>
        <v>Reliance Industries Limited</v>
      </c>
      <c r="AA653" s="8" t="str">
        <v>12020 Shamrock Rd., Suite 333</v>
      </c>
      <c r="AB653" s="8" t="str">
        <v>Chestnut Ridge</v>
      </c>
      <c r="AC653" s="8" t="str">
        <v>NY</v>
      </c>
      <c r="AD653" s="8" t="str">
        <v>10977</v>
      </c>
    </row>
    <row r="654" spans="1:30">
      <c r="A654" s="8" t="s">
        <v>740</v>
      </c>
      <c r="B654" s="19">
        <v>41891</v>
      </c>
      <c r="C654" s="8" t="s">
        <v>27</v>
      </c>
      <c r="D654" s="8">
        <v>10001</v>
      </c>
      <c r="E654" s="8" t="str">
        <f>VLOOKUP($D654,'Customer Details'!$A$1:$F$17,4,FALSE)</f>
        <v>New York</v>
      </c>
      <c r="F654" s="8" t="s">
        <v>73</v>
      </c>
      <c r="G654" s="8">
        <v>2</v>
      </c>
      <c r="H654" s="2" t="str">
        <f>VLOOKUP($D654,'Customer Details'!$A$1:$F$17,MATCH('Order SUmmary'!H$2,'Customer Details'!$A$1:$F$1,0),0)</f>
        <v>Chambal Fertilisers and Chemicals Ltd.</v>
      </c>
      <c r="I654" s="2" t="str">
        <f>VLOOKUP($D654,'Customer Details'!$A$1:$F$17,4,0)</f>
        <v>New York</v>
      </c>
      <c r="J654" s="2" t="str">
        <f>VLOOKUP($D654,'Customer Details'!$A$1:$F$17,6,0)</f>
        <v>10025</v>
      </c>
      <c r="K654" s="8" t="str">
        <f>VLOOKUP(VLOOKUP(D654,'Customer Details'!$A$1:$F$17,5,0),'Region INfo'!$A$1:$C$52,3,0)</f>
        <v xml:space="preserve">Northern </v>
      </c>
      <c r="L654" s="8" t="str">
        <f>INDEX(Product_List,MATCH($F654,'Product List'!$B$1:$B$299,0),MATCH('Order SUmmary'!L$2,'Product List'!$A$1:$E$1,0))</f>
        <v>Xerox 1916</v>
      </c>
      <c r="M654" s="8">
        <f>INDEX(Product_List,MATCH($F654,'Product List'!$B$1:$B$299,0),MATCH('Order SUmmary'!M$2,'Product List'!$A$1:$E$1,0))</f>
        <v>3499</v>
      </c>
      <c r="N654" s="8">
        <f>INDEX(Product_List,MATCH($F654,'Product List'!$B$1:$B$299,0),MATCH('Order SUmmary'!N$2,'Product List'!$A$1:$E$1,0))</f>
        <v>2342</v>
      </c>
      <c r="O654" s="8" t="str">
        <f>INDEX(Product_List,MATCH($F654,'Product List'!$B$1:$B$299,0),MATCH('Order SUmmary'!O$2,'Product List'!$A$1:$E$1,0))</f>
        <v>Paper</v>
      </c>
      <c r="P654" s="12">
        <f>HLOOKUP(C654,'Commission Criteria'!$A$2:$I$4,3,FALSE)</f>
        <v>4</v>
      </c>
      <c r="Q654" s="8">
        <f t="shared" si="31"/>
        <v>4684</v>
      </c>
      <c r="R654" s="8">
        <f t="shared" si="32"/>
        <v>6998</v>
      </c>
      <c r="S654" s="36">
        <f>VLOOKUP(R654,'Commission Criteria'!$L$3:$M$11,2,TRUE)</f>
        <v>0.03</v>
      </c>
      <c r="T654" s="36">
        <f>IF(P654&lt;5,VLOOKUP(R654,'Commission Criteria'!$L$3:$M$11,2,1),VLOOKUP('Order SUmmary'!R654,'Commission Criteria'!$P$3:$Q$11,2,1))</f>
        <v>0.03</v>
      </c>
      <c r="U654" s="36">
        <f>VLOOKUP(R654,IF(P654&lt;5,'Commission Criteria'!$L$3:$M$11,'Commission Criteria'!$P$3:$Q$11),2,1)</f>
        <v>0.03</v>
      </c>
      <c r="V654" s="8" t="s">
        <v>35</v>
      </c>
      <c r="W654" s="36">
        <f t="shared" ca="1" si="33"/>
        <v>0.04</v>
      </c>
      <c r="X654" s="8" t="str">
        <f>_xlfn.XLOOKUP(F654,'Product List'!$B$1:$B$299,'Product List'!$A$1:$A$299)</f>
        <v>Xerox 1916</v>
      </c>
      <c r="Y654" s="8"/>
      <c r="Z654" s="8" t="str" cm="1">
        <f t="array" ref="Z654:AD654">_xlfn.XLOOKUP(D654,'Customer Details'!$A$1:$A$17,'Customer Details'!$B$1:$F$17,"No such customer",0,1)</f>
        <v>Chambal Fertilisers and Chemicals Ltd.</v>
      </c>
      <c r="AA654" s="8" t="str">
        <v>4951 Indiana Ave.</v>
      </c>
      <c r="AB654" s="8" t="str">
        <v>New York</v>
      </c>
      <c r="AC654" s="8" t="str">
        <v>NY</v>
      </c>
      <c r="AD654" s="8" t="str">
        <v>10025</v>
      </c>
    </row>
    <row r="655" spans="1:30">
      <c r="A655" s="8" t="s">
        <v>741</v>
      </c>
      <c r="B655" s="19">
        <v>41894</v>
      </c>
      <c r="C655" s="8" t="s">
        <v>51</v>
      </c>
      <c r="D655" s="8">
        <v>10001</v>
      </c>
      <c r="E655" s="8" t="str">
        <f>VLOOKUP($D655,'Customer Details'!$A$1:$F$17,4,FALSE)</f>
        <v>New York</v>
      </c>
      <c r="F655" s="8" t="s">
        <v>434</v>
      </c>
      <c r="G655" s="8">
        <v>1</v>
      </c>
      <c r="H655" s="2" t="str">
        <f>VLOOKUP($D655,'Customer Details'!$A$1:$F$17,MATCH('Order SUmmary'!H$2,'Customer Details'!$A$1:$F$1,0),0)</f>
        <v>Chambal Fertilisers and Chemicals Ltd.</v>
      </c>
      <c r="I655" s="2" t="str">
        <f>VLOOKUP($D655,'Customer Details'!$A$1:$F$17,4,0)</f>
        <v>New York</v>
      </c>
      <c r="J655" s="2" t="str">
        <f>VLOOKUP($D655,'Customer Details'!$A$1:$F$17,6,0)</f>
        <v>10025</v>
      </c>
      <c r="K655" s="8" t="str">
        <f>VLOOKUP(VLOOKUP(D655,'Customer Details'!$A$1:$F$17,5,0),'Region INfo'!$A$1:$C$52,3,0)</f>
        <v xml:space="preserve">Northern </v>
      </c>
      <c r="L655" s="8" t="str">
        <f>INDEX(Product_List,MATCH($F655,'Product List'!$B$1:$B$299,0),MATCH('Order SUmmary'!L$2,'Product List'!$A$1:$E$1,0))</f>
        <v>Xerox 1952</v>
      </c>
      <c r="M655" s="8">
        <f>INDEX(Product_List,MATCH($F655,'Product List'!$B$1:$B$299,0),MATCH('Order SUmmary'!M$2,'Product List'!$A$1:$E$1,0))</f>
        <v>2996</v>
      </c>
      <c r="N655" s="8">
        <f>INDEX(Product_List,MATCH($F655,'Product List'!$B$1:$B$299,0),MATCH('Order SUmmary'!N$2,'Product List'!$A$1:$E$1,0))</f>
        <v>1641</v>
      </c>
      <c r="O655" s="8" t="str">
        <f>INDEX(Product_List,MATCH($F655,'Product List'!$B$1:$B$299,0),MATCH('Order SUmmary'!O$2,'Product List'!$A$1:$E$1,0))</f>
        <v>Paper</v>
      </c>
      <c r="P655" s="12">
        <f>HLOOKUP(C655,'Commission Criteria'!$A$2:$I$4,3,FALSE)</f>
        <v>10</v>
      </c>
      <c r="Q655" s="8">
        <f t="shared" si="31"/>
        <v>1641</v>
      </c>
      <c r="R655" s="8">
        <f t="shared" si="32"/>
        <v>2996</v>
      </c>
      <c r="S655" s="36">
        <f>VLOOKUP(R655,'Commission Criteria'!$L$3:$M$11,2,TRUE)</f>
        <v>0.01</v>
      </c>
      <c r="T655" s="36">
        <f>IF(P655&lt;5,VLOOKUP(R655,'Commission Criteria'!$L$3:$M$11,2,1),VLOOKUP('Order SUmmary'!R655,'Commission Criteria'!$P$3:$Q$11,2,1))</f>
        <v>0.02</v>
      </c>
      <c r="U655" s="36">
        <f>VLOOKUP(R655,IF(P655&lt;5,'Commission Criteria'!$L$3:$M$11,'Commission Criteria'!$P$3:$Q$11),2,1)</f>
        <v>0.02</v>
      </c>
      <c r="V655" s="8" t="s">
        <v>29</v>
      </c>
      <c r="W655" s="36">
        <f t="shared" ca="1" si="33"/>
        <v>0.04</v>
      </c>
      <c r="X655" s="8" t="str">
        <f>_xlfn.XLOOKUP(F655,'Product List'!$B$1:$B$299,'Product List'!$A$1:$A$299)</f>
        <v>Xerox 1952</v>
      </c>
      <c r="Y655" s="8"/>
      <c r="Z655" s="8" t="str" cm="1">
        <f t="array" ref="Z655:AD655">_xlfn.XLOOKUP(D655,'Customer Details'!$A$1:$A$17,'Customer Details'!$B$1:$F$17,"No such customer",0,1)</f>
        <v>Chambal Fertilisers and Chemicals Ltd.</v>
      </c>
      <c r="AA655" s="8" t="str">
        <v>4951 Indiana Ave.</v>
      </c>
      <c r="AB655" s="8" t="str">
        <v>New York</v>
      </c>
      <c r="AC655" s="8" t="str">
        <v>NY</v>
      </c>
      <c r="AD655" s="8" t="str">
        <v>10025</v>
      </c>
    </row>
    <row r="656" spans="1:30">
      <c r="A656" s="8" t="s">
        <v>741</v>
      </c>
      <c r="B656" s="19">
        <v>41894</v>
      </c>
      <c r="C656" s="8" t="s">
        <v>66</v>
      </c>
      <c r="D656" s="8">
        <v>10008</v>
      </c>
      <c r="E656" s="8" t="str">
        <f>VLOOKUP($D656,'Customer Details'!$A$1:$F$17,4,FALSE)</f>
        <v>Chestnut Ridge</v>
      </c>
      <c r="F656" s="8" t="s">
        <v>347</v>
      </c>
      <c r="G656" s="8">
        <v>2</v>
      </c>
      <c r="H656" s="2" t="str">
        <f>VLOOKUP($D656,'Customer Details'!$A$1:$F$17,MATCH('Order SUmmary'!H$2,'Customer Details'!$A$1:$F$1,0),0)</f>
        <v>Reliance Industries Limited</v>
      </c>
      <c r="I656" s="2" t="str">
        <f>VLOOKUP($D656,'Customer Details'!$A$1:$F$17,4,0)</f>
        <v>Chestnut Ridge</v>
      </c>
      <c r="J656" s="2" t="str">
        <f>VLOOKUP($D656,'Customer Details'!$A$1:$F$17,6,0)</f>
        <v>10977</v>
      </c>
      <c r="K656" s="8" t="str">
        <f>VLOOKUP(VLOOKUP(D656,'Customer Details'!$A$1:$F$17,5,0),'Region INfo'!$A$1:$C$52,3,0)</f>
        <v xml:space="preserve">Northern </v>
      </c>
      <c r="L656" s="8" t="str">
        <f>INDEX(Product_List,MATCH($F656,'Product List'!$B$1:$B$299,0),MATCH('Order SUmmary'!L$2,'Product List'!$A$1:$E$1,0))</f>
        <v>Avery 511</v>
      </c>
      <c r="M656" s="8">
        <f>INDEX(Product_List,MATCH($F656,'Product List'!$B$1:$B$299,0),MATCH('Order SUmmary'!M$2,'Product List'!$A$1:$E$1,0))</f>
        <v>4706</v>
      </c>
      <c r="N656" s="8">
        <f>INDEX(Product_List,MATCH($F656,'Product List'!$B$1:$B$299,0),MATCH('Order SUmmary'!N$2,'Product List'!$A$1:$E$1,0))</f>
        <v>1714</v>
      </c>
      <c r="O656" s="8" t="str">
        <f>INDEX(Product_List,MATCH($F656,'Product List'!$B$1:$B$299,0),MATCH('Order SUmmary'!O$2,'Product List'!$A$1:$E$1,0))</f>
        <v>Labels</v>
      </c>
      <c r="P656" s="12">
        <f>HLOOKUP(C656,'Commission Criteria'!$A$2:$I$4,3,FALSE)</f>
        <v>5</v>
      </c>
      <c r="Q656" s="8">
        <f t="shared" si="31"/>
        <v>3428</v>
      </c>
      <c r="R656" s="8">
        <f t="shared" si="32"/>
        <v>9412</v>
      </c>
      <c r="S656" s="36">
        <f>VLOOKUP(R656,'Commission Criteria'!$L$3:$M$11,2,TRUE)</f>
        <v>0.03</v>
      </c>
      <c r="T656" s="36">
        <f>IF(P656&lt;5,VLOOKUP(R656,'Commission Criteria'!$L$3:$M$11,2,1),VLOOKUP('Order SUmmary'!R656,'Commission Criteria'!$P$3:$Q$11,2,1))</f>
        <v>0.02</v>
      </c>
      <c r="U656" s="36">
        <f>VLOOKUP(R656,IF(P656&lt;5,'Commission Criteria'!$L$3:$M$11,'Commission Criteria'!$P$3:$Q$11),2,1)</f>
        <v>0.02</v>
      </c>
      <c r="V656" s="8" t="s">
        <v>35</v>
      </c>
      <c r="W656" s="36">
        <f t="shared" ca="1" si="33"/>
        <v>0.04</v>
      </c>
      <c r="X656" s="8" t="str">
        <f>_xlfn.XLOOKUP(F656,'Product List'!$B$1:$B$299,'Product List'!$A$1:$A$299)</f>
        <v>Avery 511</v>
      </c>
      <c r="Y656" s="8"/>
      <c r="Z656" s="8" t="str" cm="1">
        <f t="array" ref="Z656:AD656">_xlfn.XLOOKUP(D656,'Customer Details'!$A$1:$A$17,'Customer Details'!$B$1:$F$17,"No such customer",0,1)</f>
        <v>Reliance Industries Limited</v>
      </c>
      <c r="AA656" s="8" t="str">
        <v>12020 Shamrock Rd., Suite 333</v>
      </c>
      <c r="AB656" s="8" t="str">
        <v>Chestnut Ridge</v>
      </c>
      <c r="AC656" s="8" t="str">
        <v>NY</v>
      </c>
      <c r="AD656" s="8" t="str">
        <v>10977</v>
      </c>
    </row>
    <row r="657" spans="1:30">
      <c r="A657" s="8" t="s">
        <v>742</v>
      </c>
      <c r="B657" s="19">
        <v>41897</v>
      </c>
      <c r="C657" s="8" t="s">
        <v>36</v>
      </c>
      <c r="D657" s="8">
        <v>10006</v>
      </c>
      <c r="E657" s="8" t="str">
        <f>VLOOKUP($D657,'Customer Details'!$A$1:$F$17,4,FALSE)</f>
        <v>Midland</v>
      </c>
      <c r="F657" s="8" t="s">
        <v>642</v>
      </c>
      <c r="G657" s="8">
        <v>1</v>
      </c>
      <c r="H657" s="2" t="str">
        <f>VLOOKUP($D657,'Customer Details'!$A$1:$F$17,MATCH('Order SUmmary'!H$2,'Customer Details'!$A$1:$F$1,0),0)</f>
        <v>Supreme Ind</v>
      </c>
      <c r="I657" s="2" t="str">
        <f>VLOOKUP($D657,'Customer Details'!$A$1:$F$17,4,0)</f>
        <v>Midland</v>
      </c>
      <c r="J657" s="2" t="str">
        <f>VLOOKUP($D657,'Customer Details'!$A$1:$F$17,6,0)</f>
        <v>79706</v>
      </c>
      <c r="K657" s="8" t="str">
        <f>VLOOKUP(VLOOKUP(D657,'Customer Details'!$A$1:$F$17,5,0),'Region INfo'!$A$1:$C$52,3,0)</f>
        <v>Western</v>
      </c>
      <c r="L657" s="8" t="str">
        <f>INDEX(Product_List,MATCH($F657,'Product List'!$B$1:$B$299,0),MATCH('Order SUmmary'!L$2,'Product List'!$A$1:$E$1,0))</f>
        <v>Xerox 1984</v>
      </c>
      <c r="M657" s="8">
        <f>INDEX(Product_List,MATCH($F657,'Product List'!$B$1:$B$299,0),MATCH('Order SUmmary'!M$2,'Product List'!$A$1:$E$1,0))</f>
        <v>4057</v>
      </c>
      <c r="N657" s="8">
        <f>INDEX(Product_List,MATCH($F657,'Product List'!$B$1:$B$299,0),MATCH('Order SUmmary'!N$2,'Product List'!$A$1:$E$1,0))</f>
        <v>1816</v>
      </c>
      <c r="O657" s="8" t="str">
        <f>INDEX(Product_List,MATCH($F657,'Product List'!$B$1:$B$299,0),MATCH('Order SUmmary'!O$2,'Product List'!$A$1:$E$1,0))</f>
        <v>Paper</v>
      </c>
      <c r="P657" s="12">
        <f>HLOOKUP(C657,'Commission Criteria'!$A$2:$I$4,3,FALSE)</f>
        <v>6</v>
      </c>
      <c r="Q657" s="8">
        <f t="shared" si="31"/>
        <v>1816</v>
      </c>
      <c r="R657" s="8">
        <f t="shared" si="32"/>
        <v>4057</v>
      </c>
      <c r="S657" s="36">
        <f>VLOOKUP(R657,'Commission Criteria'!$L$3:$M$11,2,TRUE)</f>
        <v>0.01</v>
      </c>
      <c r="T657" s="36">
        <f>IF(P657&lt;5,VLOOKUP(R657,'Commission Criteria'!$L$3:$M$11,2,1),VLOOKUP('Order SUmmary'!R657,'Commission Criteria'!$P$3:$Q$11,2,1))</f>
        <v>0.02</v>
      </c>
      <c r="U657" s="36">
        <f>VLOOKUP(R657,IF(P657&lt;5,'Commission Criteria'!$L$3:$M$11,'Commission Criteria'!$P$3:$Q$11),2,1)</f>
        <v>0.02</v>
      </c>
      <c r="V657" s="8" t="s">
        <v>43</v>
      </c>
      <c r="W657" s="36">
        <f t="shared" ca="1" si="33"/>
        <v>0.04</v>
      </c>
      <c r="X657" s="8" t="str">
        <f>_xlfn.XLOOKUP(F657,'Product List'!$B$1:$B$299,'Product List'!$A$1:$A$299)</f>
        <v>Xerox 1984</v>
      </c>
      <c r="Y657" s="8"/>
      <c r="Z657" s="8" t="str" cm="1">
        <f t="array" ref="Z657:AD657">_xlfn.XLOOKUP(D657,'Customer Details'!$A$1:$A$17,'Customer Details'!$B$1:$F$17,"No such customer",0,1)</f>
        <v>Supreme Ind</v>
      </c>
      <c r="AA657" s="8" t="str">
        <v>P.O. Box 1367</v>
      </c>
      <c r="AB657" s="8" t="str">
        <v>Midland</v>
      </c>
      <c r="AC657" s="8" t="str">
        <v>TX</v>
      </c>
      <c r="AD657" s="8" t="str">
        <v>79706</v>
      </c>
    </row>
    <row r="658" spans="1:30">
      <c r="A658" s="8" t="s">
        <v>742</v>
      </c>
      <c r="B658" s="19">
        <v>41897</v>
      </c>
      <c r="C658" s="8" t="s">
        <v>54</v>
      </c>
      <c r="D658" s="8">
        <v>10008</v>
      </c>
      <c r="E658" s="8" t="str">
        <f>VLOOKUP($D658,'Customer Details'!$A$1:$F$17,4,FALSE)</f>
        <v>Chestnut Ridge</v>
      </c>
      <c r="F658" s="8" t="s">
        <v>743</v>
      </c>
      <c r="G658" s="8">
        <v>1</v>
      </c>
      <c r="H658" s="2" t="str">
        <f>VLOOKUP($D658,'Customer Details'!$A$1:$F$17,MATCH('Order SUmmary'!H$2,'Customer Details'!$A$1:$F$1,0),0)</f>
        <v>Reliance Industries Limited</v>
      </c>
      <c r="I658" s="2" t="str">
        <f>VLOOKUP($D658,'Customer Details'!$A$1:$F$17,4,0)</f>
        <v>Chestnut Ridge</v>
      </c>
      <c r="J658" s="2" t="str">
        <f>VLOOKUP($D658,'Customer Details'!$A$1:$F$17,6,0)</f>
        <v>10977</v>
      </c>
      <c r="K658" s="8" t="str">
        <f>VLOOKUP(VLOOKUP(D658,'Customer Details'!$A$1:$F$17,5,0),'Region INfo'!$A$1:$C$52,3,0)</f>
        <v xml:space="preserve">Northern </v>
      </c>
      <c r="L658" s="8" t="str">
        <f>INDEX(Product_List,MATCH($F658,'Product List'!$B$1:$B$299,0),MATCH('Order SUmmary'!L$2,'Product List'!$A$1:$E$1,0))</f>
        <v>Xerox 207</v>
      </c>
      <c r="M658" s="8">
        <f>INDEX(Product_List,MATCH($F658,'Product List'!$B$1:$B$299,0),MATCH('Order SUmmary'!M$2,'Product List'!$A$1:$E$1,0))</f>
        <v>4454</v>
      </c>
      <c r="N658" s="8">
        <f>INDEX(Product_List,MATCH($F658,'Product List'!$B$1:$B$299,0),MATCH('Order SUmmary'!N$2,'Product List'!$A$1:$E$1,0))</f>
        <v>1884</v>
      </c>
      <c r="O658" s="8" t="str">
        <f>INDEX(Product_List,MATCH($F658,'Product List'!$B$1:$B$299,0),MATCH('Order SUmmary'!O$2,'Product List'!$A$1:$E$1,0))</f>
        <v>Paper</v>
      </c>
      <c r="P658" s="12">
        <f>HLOOKUP(C658,'Commission Criteria'!$A$2:$I$4,3,FALSE)</f>
        <v>3</v>
      </c>
      <c r="Q658" s="8">
        <f t="shared" si="31"/>
        <v>1884</v>
      </c>
      <c r="R658" s="8">
        <f t="shared" si="32"/>
        <v>4454</v>
      </c>
      <c r="S658" s="36">
        <f>VLOOKUP(R658,'Commission Criteria'!$L$3:$M$11,2,TRUE)</f>
        <v>0.01</v>
      </c>
      <c r="T658" s="36">
        <f>IF(P658&lt;5,VLOOKUP(R658,'Commission Criteria'!$L$3:$M$11,2,1),VLOOKUP('Order SUmmary'!R658,'Commission Criteria'!$P$3:$Q$11,2,1))</f>
        <v>0.01</v>
      </c>
      <c r="U658" s="36">
        <f>VLOOKUP(R658,IF(P658&lt;5,'Commission Criteria'!$L$3:$M$11,'Commission Criteria'!$P$3:$Q$11),2,1)</f>
        <v>0.01</v>
      </c>
      <c r="V658" s="8" t="s">
        <v>32</v>
      </c>
      <c r="W658" s="36">
        <f t="shared" ca="1" si="33"/>
        <v>0.05</v>
      </c>
      <c r="X658" s="8" t="str">
        <f>_xlfn.XLOOKUP(F658,'Product List'!$B$1:$B$299,'Product List'!$A$1:$A$299)</f>
        <v>Xerox 207</v>
      </c>
      <c r="Y658" s="8"/>
      <c r="Z658" s="8" t="str" cm="1">
        <f t="array" ref="Z658:AD658">_xlfn.XLOOKUP(D658,'Customer Details'!$A$1:$A$17,'Customer Details'!$B$1:$F$17,"No such customer",0,1)</f>
        <v>Reliance Industries Limited</v>
      </c>
      <c r="AA658" s="8" t="str">
        <v>12020 Shamrock Rd., Suite 333</v>
      </c>
      <c r="AB658" s="8" t="str">
        <v>Chestnut Ridge</v>
      </c>
      <c r="AC658" s="8" t="str">
        <v>NY</v>
      </c>
      <c r="AD658" s="8" t="str">
        <v>10977</v>
      </c>
    </row>
    <row r="659" spans="1:30">
      <c r="A659" s="8" t="s">
        <v>744</v>
      </c>
      <c r="B659" s="19">
        <v>41899</v>
      </c>
      <c r="C659" s="8" t="s">
        <v>46</v>
      </c>
      <c r="D659" s="8">
        <v>10014</v>
      </c>
      <c r="E659" s="8" t="str">
        <f>VLOOKUP($D659,'Customer Details'!$A$1:$F$17,4,FALSE)</f>
        <v>Honolulu</v>
      </c>
      <c r="F659" s="8" t="s">
        <v>745</v>
      </c>
      <c r="G659" s="8">
        <v>1</v>
      </c>
      <c r="H659" s="2" t="str">
        <f>VLOOKUP($D659,'Customer Details'!$A$1:$F$17,MATCH('Order SUmmary'!H$2,'Customer Details'!$A$1:$F$1,0),0)</f>
        <v>Hindusthan National Glass &amp; Industries Ltd.</v>
      </c>
      <c r="I659" s="2" t="str">
        <f>VLOOKUP($D659,'Customer Details'!$A$1:$F$17,4,0)</f>
        <v>Honolulu</v>
      </c>
      <c r="J659" s="2" t="str">
        <f>VLOOKUP($D659,'Customer Details'!$A$1:$F$17,6,0)</f>
        <v>96825</v>
      </c>
      <c r="K659" s="8" t="str">
        <f>VLOOKUP(VLOOKUP(D659,'Customer Details'!$A$1:$F$17,5,0),'Region INfo'!$A$1:$C$52,3,0)</f>
        <v xml:space="preserve">Pacific   </v>
      </c>
      <c r="L659" s="8" t="str">
        <f>INDEX(Product_List,MATCH($F659,'Product List'!$B$1:$B$299,0),MATCH('Order SUmmary'!L$2,'Product List'!$A$1:$E$1,0))</f>
        <v>Xerox 209</v>
      </c>
      <c r="M659" s="8">
        <f>INDEX(Product_List,MATCH($F659,'Product List'!$B$1:$B$299,0),MATCH('Order SUmmary'!M$2,'Product List'!$A$1:$E$1,0))</f>
        <v>3448</v>
      </c>
      <c r="N659" s="8">
        <f>INDEX(Product_List,MATCH($F659,'Product List'!$B$1:$B$299,0),MATCH('Order SUmmary'!N$2,'Product List'!$A$1:$E$1,0))</f>
        <v>2141</v>
      </c>
      <c r="O659" s="8" t="str">
        <f>INDEX(Product_List,MATCH($F659,'Product List'!$B$1:$B$299,0),MATCH('Order SUmmary'!O$2,'Product List'!$A$1:$E$1,0))</f>
        <v>Paper</v>
      </c>
      <c r="P659" s="12">
        <f>HLOOKUP(C659,'Commission Criteria'!$A$2:$I$4,3,FALSE)</f>
        <v>8</v>
      </c>
      <c r="Q659" s="8">
        <f t="shared" si="31"/>
        <v>2141</v>
      </c>
      <c r="R659" s="8">
        <f t="shared" si="32"/>
        <v>3448</v>
      </c>
      <c r="S659" s="36">
        <f>VLOOKUP(R659,'Commission Criteria'!$L$3:$M$11,2,TRUE)</f>
        <v>0.01</v>
      </c>
      <c r="T659" s="36">
        <f>IF(P659&lt;5,VLOOKUP(R659,'Commission Criteria'!$L$3:$M$11,2,1),VLOOKUP('Order SUmmary'!R659,'Commission Criteria'!$P$3:$Q$11,2,1))</f>
        <v>0.02</v>
      </c>
      <c r="U659" s="36">
        <f>VLOOKUP(R659,IF(P659&lt;5,'Commission Criteria'!$L$3:$M$11,'Commission Criteria'!$P$3:$Q$11),2,1)</f>
        <v>0.02</v>
      </c>
      <c r="V659" s="8" t="s">
        <v>40</v>
      </c>
      <c r="W659" s="36">
        <f t="shared" ca="1" si="33"/>
        <v>0.01</v>
      </c>
      <c r="X659" s="8" t="str">
        <f>_xlfn.XLOOKUP(F659,'Product List'!$B$1:$B$299,'Product List'!$A$1:$A$299)</f>
        <v>Xerox 209</v>
      </c>
      <c r="Y659" s="8"/>
      <c r="Z659" s="8" t="str" cm="1">
        <f t="array" ref="Z659:AD659">_xlfn.XLOOKUP(D659,'Customer Details'!$A$1:$A$17,'Customer Details'!$B$1:$F$17,"No such customer",0,1)</f>
        <v>Hindusthan National Glass &amp; Industries Ltd.</v>
      </c>
      <c r="AA659" s="8" t="str">
        <v>11 Cathy St.</v>
      </c>
      <c r="AB659" s="8" t="str">
        <v>Honolulu</v>
      </c>
      <c r="AC659" s="8" t="str">
        <v>HI</v>
      </c>
      <c r="AD659" s="8" t="str">
        <v>96825</v>
      </c>
    </row>
    <row r="660" spans="1:30">
      <c r="A660" s="8" t="s">
        <v>746</v>
      </c>
      <c r="B660" s="19">
        <v>41899</v>
      </c>
      <c r="C660" s="8" t="s">
        <v>33</v>
      </c>
      <c r="D660" s="8">
        <v>10005</v>
      </c>
      <c r="E660" s="8" t="str">
        <f>VLOOKUP($D660,'Customer Details'!$A$1:$F$17,4,FALSE)</f>
        <v>Goleta</v>
      </c>
      <c r="F660" s="8" t="s">
        <v>462</v>
      </c>
      <c r="G660" s="8">
        <v>1</v>
      </c>
      <c r="H660" s="2" t="str">
        <f>VLOOKUP($D660,'Customer Details'!$A$1:$F$17,MATCH('Order SUmmary'!H$2,'Customer Details'!$A$1:$F$1,0),0)</f>
        <v>Fortis Healthcare Ltd.</v>
      </c>
      <c r="I660" s="2" t="str">
        <f>VLOOKUP($D660,'Customer Details'!$A$1:$F$17,4,0)</f>
        <v>Goleta</v>
      </c>
      <c r="J660" s="2" t="str">
        <f>VLOOKUP($D660,'Customer Details'!$A$1:$F$17,6,0)</f>
        <v>93117</v>
      </c>
      <c r="K660" s="8" t="str">
        <f>VLOOKUP(VLOOKUP(D660,'Customer Details'!$A$1:$F$17,5,0),'Region INfo'!$A$1:$C$52,3,0)</f>
        <v xml:space="preserve">Pacific   </v>
      </c>
      <c r="L660" s="8" t="str">
        <f>INDEX(Product_List,MATCH($F660,'Product List'!$B$1:$B$299,0),MATCH('Order SUmmary'!L$2,'Product List'!$A$1:$E$1,0))</f>
        <v>Newell 322</v>
      </c>
      <c r="M660" s="8">
        <f>INDEX(Product_List,MATCH($F660,'Product List'!$B$1:$B$299,0),MATCH('Order SUmmary'!M$2,'Product List'!$A$1:$E$1,0))</f>
        <v>3472</v>
      </c>
      <c r="N660" s="8">
        <f>INDEX(Product_List,MATCH($F660,'Product List'!$B$1:$B$299,0),MATCH('Order SUmmary'!N$2,'Product List'!$A$1:$E$1,0))</f>
        <v>2239</v>
      </c>
      <c r="O660" s="8" t="str">
        <f>INDEX(Product_List,MATCH($F660,'Product List'!$B$1:$B$299,0),MATCH('Order SUmmary'!O$2,'Product List'!$A$1:$E$1,0))</f>
        <v>Art</v>
      </c>
      <c r="P660" s="12">
        <f>HLOOKUP(C660,'Commission Criteria'!$A$2:$I$4,3,FALSE)</f>
        <v>1</v>
      </c>
      <c r="Q660" s="8">
        <f t="shared" si="31"/>
        <v>2239</v>
      </c>
      <c r="R660" s="8">
        <f t="shared" si="32"/>
        <v>3472</v>
      </c>
      <c r="S660" s="36">
        <f>VLOOKUP(R660,'Commission Criteria'!$L$3:$M$11,2,TRUE)</f>
        <v>0.01</v>
      </c>
      <c r="T660" s="36">
        <f>IF(P660&lt;5,VLOOKUP(R660,'Commission Criteria'!$L$3:$M$11,2,1),VLOOKUP('Order SUmmary'!R660,'Commission Criteria'!$P$3:$Q$11,2,1))</f>
        <v>0.01</v>
      </c>
      <c r="U660" s="36">
        <f>VLOOKUP(R660,IF(P660&lt;5,'Commission Criteria'!$L$3:$M$11,'Commission Criteria'!$P$3:$Q$11),2,1)</f>
        <v>0.01</v>
      </c>
      <c r="V660" s="8" t="s">
        <v>40</v>
      </c>
      <c r="W660" s="36">
        <f t="shared" ca="1" si="33"/>
        <v>0.02</v>
      </c>
      <c r="X660" s="8" t="str">
        <f>_xlfn.XLOOKUP(F660,'Product List'!$B$1:$B$299,'Product List'!$A$1:$A$299)</f>
        <v>Newell 322</v>
      </c>
      <c r="Y660" s="8"/>
      <c r="Z660" s="8" t="str" cm="1">
        <f t="array" ref="Z660:AD660">_xlfn.XLOOKUP(D660,'Customer Details'!$A$1:$A$17,'Customer Details'!$B$1:$F$17,"No such customer",0,1)</f>
        <v>Fortis Healthcare Ltd.</v>
      </c>
      <c r="AA660" s="8" t="str">
        <v>14 Elsworthy Terrace</v>
      </c>
      <c r="AB660" s="8" t="str">
        <v>Goleta</v>
      </c>
      <c r="AC660" s="8" t="str">
        <v>CA</v>
      </c>
      <c r="AD660" s="8" t="str">
        <v>93117</v>
      </c>
    </row>
    <row r="661" spans="1:30">
      <c r="A661" s="8" t="s">
        <v>747</v>
      </c>
      <c r="B661" s="19">
        <v>41899</v>
      </c>
      <c r="C661" s="8" t="s">
        <v>54</v>
      </c>
      <c r="D661" s="8">
        <v>10013</v>
      </c>
      <c r="E661" s="8" t="str">
        <f>VLOOKUP($D661,'Customer Details'!$A$1:$F$17,4,FALSE)</f>
        <v>Naugatuck</v>
      </c>
      <c r="F661" s="8" t="s">
        <v>470</v>
      </c>
      <c r="G661" s="8">
        <v>2</v>
      </c>
      <c r="H661" s="2" t="str">
        <f>VLOOKUP($D661,'Customer Details'!$A$1:$F$17,MATCH('Order SUmmary'!H$2,'Customer Details'!$A$1:$F$1,0),0)</f>
        <v>GMR Infrastructure Ltd.</v>
      </c>
      <c r="I661" s="2" t="str">
        <f>VLOOKUP($D661,'Customer Details'!$A$1:$F$17,4,0)</f>
        <v>Naugatuck</v>
      </c>
      <c r="J661" s="2" t="str">
        <f>VLOOKUP($D661,'Customer Details'!$A$1:$F$17,6,0)</f>
        <v>06770</v>
      </c>
      <c r="K661" s="8" t="str">
        <f>VLOOKUP(VLOOKUP(D661,'Customer Details'!$A$1:$F$17,5,0),'Region INfo'!$A$1:$C$52,3,0)</f>
        <v xml:space="preserve">Northern </v>
      </c>
      <c r="L661" s="8" t="str">
        <f>INDEX(Product_List,MATCH($F661,'Product List'!$B$1:$B$299,0),MATCH('Order SUmmary'!L$2,'Product List'!$A$1:$E$1,0))</f>
        <v>Xerox 1884</v>
      </c>
      <c r="M661" s="8">
        <f>INDEX(Product_List,MATCH($F661,'Product List'!$B$1:$B$299,0),MATCH('Order SUmmary'!M$2,'Product List'!$A$1:$E$1,0))</f>
        <v>3025</v>
      </c>
      <c r="N661" s="8">
        <f>INDEX(Product_List,MATCH($F661,'Product List'!$B$1:$B$299,0),MATCH('Order SUmmary'!N$2,'Product List'!$A$1:$E$1,0))</f>
        <v>1863</v>
      </c>
      <c r="O661" s="8" t="str">
        <f>INDEX(Product_List,MATCH($F661,'Product List'!$B$1:$B$299,0),MATCH('Order SUmmary'!O$2,'Product List'!$A$1:$E$1,0))</f>
        <v>Paper</v>
      </c>
      <c r="P661" s="12">
        <f>HLOOKUP(C661,'Commission Criteria'!$A$2:$I$4,3,FALSE)</f>
        <v>3</v>
      </c>
      <c r="Q661" s="8">
        <f t="shared" si="31"/>
        <v>3726</v>
      </c>
      <c r="R661" s="8">
        <f t="shared" si="32"/>
        <v>6050</v>
      </c>
      <c r="S661" s="36">
        <f>VLOOKUP(R661,'Commission Criteria'!$L$3:$M$11,2,TRUE)</f>
        <v>0.03</v>
      </c>
      <c r="T661" s="36">
        <f>IF(P661&lt;5,VLOOKUP(R661,'Commission Criteria'!$L$3:$M$11,2,1),VLOOKUP('Order SUmmary'!R661,'Commission Criteria'!$P$3:$Q$11,2,1))</f>
        <v>0.03</v>
      </c>
      <c r="U661" s="36">
        <f>VLOOKUP(R661,IF(P661&lt;5,'Commission Criteria'!$L$3:$M$11,'Commission Criteria'!$P$3:$Q$11),2,1)</f>
        <v>0.03</v>
      </c>
      <c r="V661" s="8" t="s">
        <v>32</v>
      </c>
      <c r="W661" s="36">
        <f t="shared" ca="1" si="33"/>
        <v>0.05</v>
      </c>
      <c r="X661" s="8" t="str">
        <f>_xlfn.XLOOKUP(F661,'Product List'!$B$1:$B$299,'Product List'!$A$1:$A$299)</f>
        <v>Xerox 1884</v>
      </c>
      <c r="Y661" s="8"/>
      <c r="Z661" s="8" t="str" cm="1">
        <f t="array" ref="Z661:AD661">_xlfn.XLOOKUP(D661,'Customer Details'!$A$1:$A$17,'Customer Details'!$B$1:$F$17,"No such customer",0,1)</f>
        <v>GMR Infrastructure Ltd.</v>
      </c>
      <c r="AA661" s="8" t="str">
        <v>P.O. Box 4421</v>
      </c>
      <c r="AB661" s="8" t="str">
        <v>Naugatuck</v>
      </c>
      <c r="AC661" s="8" t="str">
        <v>CT</v>
      </c>
      <c r="AD661" s="8" t="str">
        <v>06770</v>
      </c>
    </row>
    <row r="662" spans="1:30">
      <c r="A662" s="8" t="s">
        <v>747</v>
      </c>
      <c r="B662" s="19">
        <v>41899</v>
      </c>
      <c r="C662" s="8" t="s">
        <v>33</v>
      </c>
      <c r="D662" s="8">
        <v>10006</v>
      </c>
      <c r="E662" s="8" t="str">
        <f>VLOOKUP($D662,'Customer Details'!$A$1:$F$17,4,FALSE)</f>
        <v>Midland</v>
      </c>
      <c r="F662" s="8" t="s">
        <v>535</v>
      </c>
      <c r="G662" s="8">
        <v>2</v>
      </c>
      <c r="H662" s="2" t="str">
        <f>VLOOKUP($D662,'Customer Details'!$A$1:$F$17,MATCH('Order SUmmary'!H$2,'Customer Details'!$A$1:$F$1,0),0)</f>
        <v>Supreme Ind</v>
      </c>
      <c r="I662" s="2" t="str">
        <f>VLOOKUP($D662,'Customer Details'!$A$1:$F$17,4,0)</f>
        <v>Midland</v>
      </c>
      <c r="J662" s="2" t="str">
        <f>VLOOKUP($D662,'Customer Details'!$A$1:$F$17,6,0)</f>
        <v>79706</v>
      </c>
      <c r="K662" s="8" t="str">
        <f>VLOOKUP(VLOOKUP(D662,'Customer Details'!$A$1:$F$17,5,0),'Region INfo'!$A$1:$C$52,3,0)</f>
        <v>Western</v>
      </c>
      <c r="L662" s="8" t="str">
        <f>INDEX(Product_List,MATCH($F662,'Product List'!$B$1:$B$299,0),MATCH('Order SUmmary'!L$2,'Product List'!$A$1:$E$1,0))</f>
        <v>Newell 325</v>
      </c>
      <c r="M662" s="8">
        <f>INDEX(Product_List,MATCH($F662,'Product List'!$B$1:$B$299,0),MATCH('Order SUmmary'!M$2,'Product List'!$A$1:$E$1,0))</f>
        <v>4420</v>
      </c>
      <c r="N662" s="8">
        <f>INDEX(Product_List,MATCH($F662,'Product List'!$B$1:$B$299,0),MATCH('Order SUmmary'!N$2,'Product List'!$A$1:$E$1,0))</f>
        <v>1797</v>
      </c>
      <c r="O662" s="8" t="str">
        <f>INDEX(Product_List,MATCH($F662,'Product List'!$B$1:$B$299,0),MATCH('Order SUmmary'!O$2,'Product List'!$A$1:$E$1,0))</f>
        <v>Art</v>
      </c>
      <c r="P662" s="12">
        <f>HLOOKUP(C662,'Commission Criteria'!$A$2:$I$4,3,FALSE)</f>
        <v>1</v>
      </c>
      <c r="Q662" s="8">
        <f t="shared" si="31"/>
        <v>3594</v>
      </c>
      <c r="R662" s="8">
        <f t="shared" si="32"/>
        <v>8840</v>
      </c>
      <c r="S662" s="36">
        <f>VLOOKUP(R662,'Commission Criteria'!$L$3:$M$11,2,TRUE)</f>
        <v>0.03</v>
      </c>
      <c r="T662" s="36">
        <f>IF(P662&lt;5,VLOOKUP(R662,'Commission Criteria'!$L$3:$M$11,2,1),VLOOKUP('Order SUmmary'!R662,'Commission Criteria'!$P$3:$Q$11,2,1))</f>
        <v>0.03</v>
      </c>
      <c r="U662" s="36">
        <f>VLOOKUP(R662,IF(P662&lt;5,'Commission Criteria'!$L$3:$M$11,'Commission Criteria'!$P$3:$Q$11),2,1)</f>
        <v>0.03</v>
      </c>
      <c r="V662" s="8" t="s">
        <v>35</v>
      </c>
      <c r="W662" s="36">
        <f t="shared" ca="1" si="33"/>
        <v>0.01</v>
      </c>
      <c r="X662" s="8" t="str">
        <f>_xlfn.XLOOKUP(F662,'Product List'!$B$1:$B$299,'Product List'!$A$1:$A$299)</f>
        <v>Newell 325</v>
      </c>
      <c r="Y662" s="8"/>
      <c r="Z662" s="8" t="str" cm="1">
        <f t="array" ref="Z662:AD662">_xlfn.XLOOKUP(D662,'Customer Details'!$A$1:$A$17,'Customer Details'!$B$1:$F$17,"No such customer",0,1)</f>
        <v>Supreme Ind</v>
      </c>
      <c r="AA662" s="8" t="str">
        <v>P.O. Box 1367</v>
      </c>
      <c r="AB662" s="8" t="str">
        <v>Midland</v>
      </c>
      <c r="AC662" s="8" t="str">
        <v>TX</v>
      </c>
      <c r="AD662" s="8" t="str">
        <v>79706</v>
      </c>
    </row>
    <row r="663" spans="1:30">
      <c r="A663" s="8" t="s">
        <v>747</v>
      </c>
      <c r="B663" s="19">
        <v>41899</v>
      </c>
      <c r="C663" s="8" t="s">
        <v>66</v>
      </c>
      <c r="D663" s="8">
        <v>10006</v>
      </c>
      <c r="E663" s="8" t="str">
        <f>VLOOKUP($D663,'Customer Details'!$A$1:$F$17,4,FALSE)</f>
        <v>Midland</v>
      </c>
      <c r="F663" s="8" t="s">
        <v>507</v>
      </c>
      <c r="G663" s="8">
        <v>3</v>
      </c>
      <c r="H663" s="2" t="str">
        <f>VLOOKUP($D663,'Customer Details'!$A$1:$F$17,MATCH('Order SUmmary'!H$2,'Customer Details'!$A$1:$F$1,0),0)</f>
        <v>Supreme Ind</v>
      </c>
      <c r="I663" s="2" t="str">
        <f>VLOOKUP($D663,'Customer Details'!$A$1:$F$17,4,0)</f>
        <v>Midland</v>
      </c>
      <c r="J663" s="2" t="str">
        <f>VLOOKUP($D663,'Customer Details'!$A$1:$F$17,6,0)</f>
        <v>79706</v>
      </c>
      <c r="K663" s="8" t="str">
        <f>VLOOKUP(VLOOKUP(D663,'Customer Details'!$A$1:$F$17,5,0),'Region INfo'!$A$1:$C$52,3,0)</f>
        <v>Western</v>
      </c>
      <c r="L663" s="8" t="str">
        <f>INDEX(Product_List,MATCH($F663,'Product List'!$B$1:$B$299,0),MATCH('Order SUmmary'!L$2,'Product List'!$A$1:$E$1,0))</f>
        <v>Xerox 1905</v>
      </c>
      <c r="M663" s="8">
        <f>INDEX(Product_List,MATCH($F663,'Product List'!$B$1:$B$299,0),MATCH('Order SUmmary'!M$2,'Product List'!$A$1:$E$1,0))</f>
        <v>4858</v>
      </c>
      <c r="N663" s="8">
        <f>INDEX(Product_List,MATCH($F663,'Product List'!$B$1:$B$299,0),MATCH('Order SUmmary'!N$2,'Product List'!$A$1:$E$1,0))</f>
        <v>2491</v>
      </c>
      <c r="O663" s="8" t="str">
        <f>INDEX(Product_List,MATCH($F663,'Product List'!$B$1:$B$299,0),MATCH('Order SUmmary'!O$2,'Product List'!$A$1:$E$1,0))</f>
        <v>Paper</v>
      </c>
      <c r="P663" s="12">
        <f>HLOOKUP(C663,'Commission Criteria'!$A$2:$I$4,3,FALSE)</f>
        <v>5</v>
      </c>
      <c r="Q663" s="8">
        <f t="shared" si="31"/>
        <v>7473</v>
      </c>
      <c r="R663" s="8">
        <f t="shared" si="32"/>
        <v>14574</v>
      </c>
      <c r="S663" s="36">
        <f>VLOOKUP(R663,'Commission Criteria'!$L$3:$M$11,2,TRUE)</f>
        <v>0.03</v>
      </c>
      <c r="T663" s="36">
        <f>IF(P663&lt;5,VLOOKUP(R663,'Commission Criteria'!$L$3:$M$11,2,1),VLOOKUP('Order SUmmary'!R663,'Commission Criteria'!$P$3:$Q$11,2,1))</f>
        <v>0.02</v>
      </c>
      <c r="U663" s="36">
        <f>VLOOKUP(R663,IF(P663&lt;5,'Commission Criteria'!$L$3:$M$11,'Commission Criteria'!$P$3:$Q$11),2,1)</f>
        <v>0.02</v>
      </c>
      <c r="V663" s="8" t="s">
        <v>40</v>
      </c>
      <c r="W663" s="36">
        <f t="shared" ca="1" si="33"/>
        <v>0.02</v>
      </c>
      <c r="X663" s="8" t="str">
        <f>_xlfn.XLOOKUP(F663,'Product List'!$B$1:$B$299,'Product List'!$A$1:$A$299)</f>
        <v>Xerox 1905</v>
      </c>
      <c r="Y663" s="8"/>
      <c r="Z663" s="8" t="str" cm="1">
        <f t="array" ref="Z663:AD663">_xlfn.XLOOKUP(D663,'Customer Details'!$A$1:$A$17,'Customer Details'!$B$1:$F$17,"No such customer",0,1)</f>
        <v>Supreme Ind</v>
      </c>
      <c r="AA663" s="8" t="str">
        <v>P.O. Box 1367</v>
      </c>
      <c r="AB663" s="8" t="str">
        <v>Midland</v>
      </c>
      <c r="AC663" s="8" t="str">
        <v>TX</v>
      </c>
      <c r="AD663" s="8" t="str">
        <v>79706</v>
      </c>
    </row>
    <row r="664" spans="1:30">
      <c r="A664" s="8" t="s">
        <v>748</v>
      </c>
      <c r="B664" s="19">
        <v>41901</v>
      </c>
      <c r="C664" s="8" t="s">
        <v>27</v>
      </c>
      <c r="D664" s="8">
        <v>10008</v>
      </c>
      <c r="E664" s="8" t="str">
        <f>VLOOKUP($D664,'Customer Details'!$A$1:$F$17,4,FALSE)</f>
        <v>Chestnut Ridge</v>
      </c>
      <c r="F664" s="8" t="s">
        <v>156</v>
      </c>
      <c r="G664" s="8">
        <v>2</v>
      </c>
      <c r="H664" s="2" t="str">
        <f>VLOOKUP($D664,'Customer Details'!$A$1:$F$17,MATCH('Order SUmmary'!H$2,'Customer Details'!$A$1:$F$1,0),0)</f>
        <v>Reliance Industries Limited</v>
      </c>
      <c r="I664" s="2" t="str">
        <f>VLOOKUP($D664,'Customer Details'!$A$1:$F$17,4,0)</f>
        <v>Chestnut Ridge</v>
      </c>
      <c r="J664" s="2" t="str">
        <f>VLOOKUP($D664,'Customer Details'!$A$1:$F$17,6,0)</f>
        <v>10977</v>
      </c>
      <c r="K664" s="8" t="str">
        <f>VLOOKUP(VLOOKUP(D664,'Customer Details'!$A$1:$F$17,5,0),'Region INfo'!$A$1:$C$52,3,0)</f>
        <v xml:space="preserve">Northern </v>
      </c>
      <c r="L664" s="8" t="str">
        <f>INDEX(Product_List,MATCH($F664,'Product List'!$B$1:$B$299,0),MATCH('Order SUmmary'!L$2,'Product List'!$A$1:$E$1,0))</f>
        <v>Avery 505</v>
      </c>
      <c r="M664" s="8">
        <f>INDEX(Product_List,MATCH($F664,'Product List'!$B$1:$B$299,0),MATCH('Order SUmmary'!M$2,'Product List'!$A$1:$E$1,0))</f>
        <v>4305</v>
      </c>
      <c r="N664" s="8">
        <f>INDEX(Product_List,MATCH($F664,'Product List'!$B$1:$B$299,0),MATCH('Order SUmmary'!N$2,'Product List'!$A$1:$E$1,0))</f>
        <v>2027</v>
      </c>
      <c r="O664" s="8" t="str">
        <f>INDEX(Product_List,MATCH($F664,'Product List'!$B$1:$B$299,0),MATCH('Order SUmmary'!O$2,'Product List'!$A$1:$E$1,0))</f>
        <v>Labels</v>
      </c>
      <c r="P664" s="12">
        <f>HLOOKUP(C664,'Commission Criteria'!$A$2:$I$4,3,FALSE)</f>
        <v>4</v>
      </c>
      <c r="Q664" s="8">
        <f t="shared" si="31"/>
        <v>4054</v>
      </c>
      <c r="R664" s="8">
        <f t="shared" si="32"/>
        <v>8610</v>
      </c>
      <c r="S664" s="36">
        <f>VLOOKUP(R664,'Commission Criteria'!$L$3:$M$11,2,TRUE)</f>
        <v>0.03</v>
      </c>
      <c r="T664" s="36">
        <f>IF(P664&lt;5,VLOOKUP(R664,'Commission Criteria'!$L$3:$M$11,2,1),VLOOKUP('Order SUmmary'!R664,'Commission Criteria'!$P$3:$Q$11,2,1))</f>
        <v>0.03</v>
      </c>
      <c r="U664" s="36">
        <f>VLOOKUP(R664,IF(P664&lt;5,'Commission Criteria'!$L$3:$M$11,'Commission Criteria'!$P$3:$Q$11),2,1)</f>
        <v>0.03</v>
      </c>
      <c r="V664" s="8" t="s">
        <v>32</v>
      </c>
      <c r="W664" s="36">
        <f t="shared" ca="1" si="33"/>
        <v>0.01</v>
      </c>
      <c r="X664" s="8" t="str">
        <f>_xlfn.XLOOKUP(F664,'Product List'!$B$1:$B$299,'Product List'!$A$1:$A$299)</f>
        <v>Avery 505</v>
      </c>
      <c r="Y664" s="8"/>
      <c r="Z664" s="8" t="str" cm="1">
        <f t="array" ref="Z664:AD664">_xlfn.XLOOKUP(D664,'Customer Details'!$A$1:$A$17,'Customer Details'!$B$1:$F$17,"No such customer",0,1)</f>
        <v>Reliance Industries Limited</v>
      </c>
      <c r="AA664" s="8" t="str">
        <v>12020 Shamrock Rd., Suite 333</v>
      </c>
      <c r="AB664" s="8" t="str">
        <v>Chestnut Ridge</v>
      </c>
      <c r="AC664" s="8" t="str">
        <v>NY</v>
      </c>
      <c r="AD664" s="8" t="str">
        <v>10977</v>
      </c>
    </row>
    <row r="665" spans="1:30">
      <c r="A665" s="8" t="s">
        <v>749</v>
      </c>
      <c r="B665" s="19">
        <v>41902</v>
      </c>
      <c r="C665" s="8" t="s">
        <v>36</v>
      </c>
      <c r="D665" s="8">
        <v>10005</v>
      </c>
      <c r="E665" s="8" t="str">
        <f>VLOOKUP($D665,'Customer Details'!$A$1:$F$17,4,FALSE)</f>
        <v>Goleta</v>
      </c>
      <c r="F665" s="8" t="s">
        <v>750</v>
      </c>
      <c r="G665" s="8">
        <v>1</v>
      </c>
      <c r="H665" s="2" t="str">
        <f>VLOOKUP($D665,'Customer Details'!$A$1:$F$17,MATCH('Order SUmmary'!H$2,'Customer Details'!$A$1:$F$1,0),0)</f>
        <v>Fortis Healthcare Ltd.</v>
      </c>
      <c r="I665" s="2" t="str">
        <f>VLOOKUP($D665,'Customer Details'!$A$1:$F$17,4,0)</f>
        <v>Goleta</v>
      </c>
      <c r="J665" s="2" t="str">
        <f>VLOOKUP($D665,'Customer Details'!$A$1:$F$17,6,0)</f>
        <v>93117</v>
      </c>
      <c r="K665" s="8" t="str">
        <f>VLOOKUP(VLOOKUP(D665,'Customer Details'!$A$1:$F$17,5,0),'Region INfo'!$A$1:$C$52,3,0)</f>
        <v xml:space="preserve">Pacific   </v>
      </c>
      <c r="L665" s="8" t="str">
        <f>INDEX(Product_List,MATCH($F665,'Product List'!$B$1:$B$299,0),MATCH('Order SUmmary'!L$2,'Product List'!$A$1:$E$1,0))</f>
        <v>Xerox 1897</v>
      </c>
      <c r="M665" s="8">
        <f>INDEX(Product_List,MATCH($F665,'Product List'!$B$1:$B$299,0),MATCH('Order SUmmary'!M$2,'Product List'!$A$1:$E$1,0))</f>
        <v>3836</v>
      </c>
      <c r="N665" s="8">
        <f>INDEX(Product_List,MATCH($F665,'Product List'!$B$1:$B$299,0),MATCH('Order SUmmary'!N$2,'Product List'!$A$1:$E$1,0))</f>
        <v>2089</v>
      </c>
      <c r="O665" s="8" t="str">
        <f>INDEX(Product_List,MATCH($F665,'Product List'!$B$1:$B$299,0),MATCH('Order SUmmary'!O$2,'Product List'!$A$1:$E$1,0))</f>
        <v>Paper</v>
      </c>
      <c r="P665" s="12">
        <f>HLOOKUP(C665,'Commission Criteria'!$A$2:$I$4,3,FALSE)</f>
        <v>6</v>
      </c>
      <c r="Q665" s="8">
        <f t="shared" si="31"/>
        <v>2089</v>
      </c>
      <c r="R665" s="8">
        <f t="shared" si="32"/>
        <v>3836</v>
      </c>
      <c r="S665" s="36">
        <f>VLOOKUP(R665,'Commission Criteria'!$L$3:$M$11,2,TRUE)</f>
        <v>0.01</v>
      </c>
      <c r="T665" s="36">
        <f>IF(P665&lt;5,VLOOKUP(R665,'Commission Criteria'!$L$3:$M$11,2,1),VLOOKUP('Order SUmmary'!R665,'Commission Criteria'!$P$3:$Q$11,2,1))</f>
        <v>0.02</v>
      </c>
      <c r="U665" s="36">
        <f>VLOOKUP(R665,IF(P665&lt;5,'Commission Criteria'!$L$3:$M$11,'Commission Criteria'!$P$3:$Q$11),2,1)</f>
        <v>0.02</v>
      </c>
      <c r="V665" s="8" t="s">
        <v>43</v>
      </c>
      <c r="W665" s="36">
        <f t="shared" ca="1" si="33"/>
        <v>0</v>
      </c>
      <c r="X665" s="8" t="str">
        <f>_xlfn.XLOOKUP(F665,'Product List'!$B$1:$B$299,'Product List'!$A$1:$A$299)</f>
        <v>Xerox 1897</v>
      </c>
      <c r="Y665" s="8"/>
      <c r="Z665" s="8" t="str" cm="1">
        <f t="array" ref="Z665:AD665">_xlfn.XLOOKUP(D665,'Customer Details'!$A$1:$A$17,'Customer Details'!$B$1:$F$17,"No such customer",0,1)</f>
        <v>Fortis Healthcare Ltd.</v>
      </c>
      <c r="AA665" s="8" t="str">
        <v>14 Elsworthy Terrace</v>
      </c>
      <c r="AB665" s="8" t="str">
        <v>Goleta</v>
      </c>
      <c r="AC665" s="8" t="str">
        <v>CA</v>
      </c>
      <c r="AD665" s="8" t="str">
        <v>93117</v>
      </c>
    </row>
    <row r="666" spans="1:30">
      <c r="A666" s="8" t="s">
        <v>751</v>
      </c>
      <c r="B666" s="19">
        <v>41903</v>
      </c>
      <c r="C666" s="8" t="s">
        <v>66</v>
      </c>
      <c r="D666" s="8">
        <v>10008</v>
      </c>
      <c r="E666" s="8" t="str">
        <f>VLOOKUP($D666,'Customer Details'!$A$1:$F$17,4,FALSE)</f>
        <v>Chestnut Ridge</v>
      </c>
      <c r="F666" s="8" t="s">
        <v>610</v>
      </c>
      <c r="G666" s="8">
        <v>2</v>
      </c>
      <c r="H666" s="2" t="str">
        <f>VLOOKUP($D666,'Customer Details'!$A$1:$F$17,MATCH('Order SUmmary'!H$2,'Customer Details'!$A$1:$F$1,0),0)</f>
        <v>Reliance Industries Limited</v>
      </c>
      <c r="I666" s="2" t="str">
        <f>VLOOKUP($D666,'Customer Details'!$A$1:$F$17,4,0)</f>
        <v>Chestnut Ridge</v>
      </c>
      <c r="J666" s="2" t="str">
        <f>VLOOKUP($D666,'Customer Details'!$A$1:$F$17,6,0)</f>
        <v>10977</v>
      </c>
      <c r="K666" s="8" t="str">
        <f>VLOOKUP(VLOOKUP(D666,'Customer Details'!$A$1:$F$17,5,0),'Region INfo'!$A$1:$C$52,3,0)</f>
        <v xml:space="preserve">Northern </v>
      </c>
      <c r="L666" s="8" t="str">
        <f>INDEX(Product_List,MATCH($F666,'Product List'!$B$1:$B$299,0),MATCH('Order SUmmary'!L$2,'Product List'!$A$1:$E$1,0))</f>
        <v>Newell 311</v>
      </c>
      <c r="M666" s="8">
        <f>INDEX(Product_List,MATCH($F666,'Product List'!$B$1:$B$299,0),MATCH('Order SUmmary'!M$2,'Product List'!$A$1:$E$1,0))</f>
        <v>4689</v>
      </c>
      <c r="N666" s="8">
        <f>INDEX(Product_List,MATCH($F666,'Product List'!$B$1:$B$299,0),MATCH('Order SUmmary'!N$2,'Product List'!$A$1:$E$1,0))</f>
        <v>1796</v>
      </c>
      <c r="O666" s="8" t="str">
        <f>INDEX(Product_List,MATCH($F666,'Product List'!$B$1:$B$299,0),MATCH('Order SUmmary'!O$2,'Product List'!$A$1:$E$1,0))</f>
        <v>Art</v>
      </c>
      <c r="P666" s="12">
        <f>HLOOKUP(C666,'Commission Criteria'!$A$2:$I$4,3,FALSE)</f>
        <v>5</v>
      </c>
      <c r="Q666" s="8">
        <f t="shared" si="31"/>
        <v>3592</v>
      </c>
      <c r="R666" s="8">
        <f t="shared" si="32"/>
        <v>9378</v>
      </c>
      <c r="S666" s="36">
        <f>VLOOKUP(R666,'Commission Criteria'!$L$3:$M$11,2,TRUE)</f>
        <v>0.03</v>
      </c>
      <c r="T666" s="36">
        <f>IF(P666&lt;5,VLOOKUP(R666,'Commission Criteria'!$L$3:$M$11,2,1),VLOOKUP('Order SUmmary'!R666,'Commission Criteria'!$P$3:$Q$11,2,1))</f>
        <v>0.02</v>
      </c>
      <c r="U666" s="36">
        <f>VLOOKUP(R666,IF(P666&lt;5,'Commission Criteria'!$L$3:$M$11,'Commission Criteria'!$P$3:$Q$11),2,1)</f>
        <v>0.02</v>
      </c>
      <c r="V666" s="8" t="s">
        <v>50</v>
      </c>
      <c r="W666" s="36">
        <f t="shared" ca="1" si="33"/>
        <v>0.01</v>
      </c>
      <c r="X666" s="8" t="str">
        <f>_xlfn.XLOOKUP(F666,'Product List'!$B$1:$B$299,'Product List'!$A$1:$A$299)</f>
        <v>Newell 311</v>
      </c>
      <c r="Y666" s="8"/>
      <c r="Z666" s="8" t="str" cm="1">
        <f t="array" ref="Z666:AD666">_xlfn.XLOOKUP(D666,'Customer Details'!$A$1:$A$17,'Customer Details'!$B$1:$F$17,"No such customer",0,1)</f>
        <v>Reliance Industries Limited</v>
      </c>
      <c r="AA666" s="8" t="str">
        <v>12020 Shamrock Rd., Suite 333</v>
      </c>
      <c r="AB666" s="8" t="str">
        <v>Chestnut Ridge</v>
      </c>
      <c r="AC666" s="8" t="str">
        <v>NY</v>
      </c>
      <c r="AD666" s="8" t="str">
        <v>10977</v>
      </c>
    </row>
    <row r="667" spans="1:30">
      <c r="A667" s="8" t="s">
        <v>752</v>
      </c>
      <c r="B667" s="19">
        <v>41905</v>
      </c>
      <c r="C667" s="8" t="s">
        <v>44</v>
      </c>
      <c r="D667" s="8">
        <v>10015</v>
      </c>
      <c r="E667" s="8" t="str">
        <f>VLOOKUP($D667,'Customer Details'!$A$1:$F$17,4,FALSE)</f>
        <v>South Windsor</v>
      </c>
      <c r="F667" s="8" t="s">
        <v>97</v>
      </c>
      <c r="G667" s="8">
        <v>2</v>
      </c>
      <c r="H667" s="2" t="str">
        <f>VLOOKUP($D667,'Customer Details'!$A$1:$F$17,MATCH('Order SUmmary'!H$2,'Customer Details'!$A$1:$F$1,0),0)</f>
        <v>Punj Lloyd Ltd.</v>
      </c>
      <c r="I667" s="2" t="str">
        <f>VLOOKUP($D667,'Customer Details'!$A$1:$F$17,4,0)</f>
        <v>South Windsor</v>
      </c>
      <c r="J667" s="2" t="str">
        <f>VLOOKUP($D667,'Customer Details'!$A$1:$F$17,6,0)</f>
        <v>06074</v>
      </c>
      <c r="K667" s="8" t="str">
        <f>VLOOKUP(VLOOKUP(D667,'Customer Details'!$A$1:$F$17,5,0),'Region INfo'!$A$1:$C$52,3,0)</f>
        <v xml:space="preserve">Northern </v>
      </c>
      <c r="L667" s="8" t="str">
        <f>INDEX(Product_List,MATCH($F667,'Product List'!$B$1:$B$299,0),MATCH('Order SUmmary'!L$2,'Product List'!$A$1:$E$1,0))</f>
        <v>Xerox 204</v>
      </c>
      <c r="M667" s="8">
        <f>INDEX(Product_List,MATCH($F667,'Product List'!$B$1:$B$299,0),MATCH('Order SUmmary'!M$2,'Product List'!$A$1:$E$1,0))</f>
        <v>3245</v>
      </c>
      <c r="N667" s="8">
        <f>INDEX(Product_List,MATCH($F667,'Product List'!$B$1:$B$299,0),MATCH('Order SUmmary'!N$2,'Product List'!$A$1:$E$1,0))</f>
        <v>1964</v>
      </c>
      <c r="O667" s="8" t="str">
        <f>INDEX(Product_List,MATCH($F667,'Product List'!$B$1:$B$299,0),MATCH('Order SUmmary'!O$2,'Product List'!$A$1:$E$1,0))</f>
        <v>Paper</v>
      </c>
      <c r="P667" s="12">
        <f>HLOOKUP(C667,'Commission Criteria'!$A$2:$I$4,3,FALSE)</f>
        <v>4</v>
      </c>
      <c r="Q667" s="8">
        <f t="shared" si="31"/>
        <v>3928</v>
      </c>
      <c r="R667" s="8">
        <f t="shared" si="32"/>
        <v>6490</v>
      </c>
      <c r="S667" s="36">
        <f>VLOOKUP(R667,'Commission Criteria'!$L$3:$M$11,2,TRUE)</f>
        <v>0.03</v>
      </c>
      <c r="T667" s="36">
        <f>IF(P667&lt;5,VLOOKUP(R667,'Commission Criteria'!$L$3:$M$11,2,1),VLOOKUP('Order SUmmary'!R667,'Commission Criteria'!$P$3:$Q$11,2,1))</f>
        <v>0.03</v>
      </c>
      <c r="U667" s="36">
        <f>VLOOKUP(R667,IF(P667&lt;5,'Commission Criteria'!$L$3:$M$11,'Commission Criteria'!$P$3:$Q$11),2,1)</f>
        <v>0.03</v>
      </c>
      <c r="V667" s="8" t="s">
        <v>40</v>
      </c>
      <c r="W667" s="36">
        <f t="shared" ca="1" si="33"/>
        <v>0.05</v>
      </c>
      <c r="X667" s="8" t="str">
        <f>_xlfn.XLOOKUP(F667,'Product List'!$B$1:$B$299,'Product List'!$A$1:$A$299)</f>
        <v>Xerox 204</v>
      </c>
      <c r="Y667" s="8"/>
      <c r="Z667" s="8" t="str" cm="1">
        <f t="array" ref="Z667:AD667">_xlfn.XLOOKUP(D667,'Customer Details'!$A$1:$A$17,'Customer Details'!$B$1:$F$17,"No such customer",0,1)</f>
        <v>Punj Lloyd Ltd.</v>
      </c>
      <c r="AA667" s="8" t="str">
        <v>Box 3263</v>
      </c>
      <c r="AB667" s="8" t="str">
        <v>South Windsor</v>
      </c>
      <c r="AC667" s="8" t="str">
        <v>CT</v>
      </c>
      <c r="AD667" s="8" t="str">
        <v>06074</v>
      </c>
    </row>
    <row r="668" spans="1:30">
      <c r="A668" s="8" t="s">
        <v>753</v>
      </c>
      <c r="B668" s="19">
        <v>41906</v>
      </c>
      <c r="C668" s="8" t="s">
        <v>54</v>
      </c>
      <c r="D668" s="8">
        <v>10015</v>
      </c>
      <c r="E668" s="8" t="str">
        <f>VLOOKUP($D668,'Customer Details'!$A$1:$F$17,4,FALSE)</f>
        <v>South Windsor</v>
      </c>
      <c r="F668" s="8" t="s">
        <v>151</v>
      </c>
      <c r="G668" s="8">
        <v>1</v>
      </c>
      <c r="H668" s="2" t="str">
        <f>VLOOKUP($D668,'Customer Details'!$A$1:$F$17,MATCH('Order SUmmary'!H$2,'Customer Details'!$A$1:$F$1,0),0)</f>
        <v>Punj Lloyd Ltd.</v>
      </c>
      <c r="I668" s="2" t="str">
        <f>VLOOKUP($D668,'Customer Details'!$A$1:$F$17,4,0)</f>
        <v>South Windsor</v>
      </c>
      <c r="J668" s="2" t="str">
        <f>VLOOKUP($D668,'Customer Details'!$A$1:$F$17,6,0)</f>
        <v>06074</v>
      </c>
      <c r="K668" s="8" t="str">
        <f>VLOOKUP(VLOOKUP(D668,'Customer Details'!$A$1:$F$17,5,0),'Region INfo'!$A$1:$C$52,3,0)</f>
        <v xml:space="preserve">Northern </v>
      </c>
      <c r="L668" s="8" t="str">
        <f>INDEX(Product_List,MATCH($F668,'Product List'!$B$1:$B$299,0),MATCH('Order SUmmary'!L$2,'Product List'!$A$1:$E$1,0))</f>
        <v>Newell 346</v>
      </c>
      <c r="M668" s="8">
        <f>INDEX(Product_List,MATCH($F668,'Product List'!$B$1:$B$299,0),MATCH('Order SUmmary'!M$2,'Product List'!$A$1:$E$1,0))</f>
        <v>3039</v>
      </c>
      <c r="N668" s="8">
        <f>INDEX(Product_List,MATCH($F668,'Product List'!$B$1:$B$299,0),MATCH('Order SUmmary'!N$2,'Product List'!$A$1:$E$1,0))</f>
        <v>2426</v>
      </c>
      <c r="O668" s="8" t="str">
        <f>INDEX(Product_List,MATCH($F668,'Product List'!$B$1:$B$299,0),MATCH('Order SUmmary'!O$2,'Product List'!$A$1:$E$1,0))</f>
        <v>Art</v>
      </c>
      <c r="P668" s="12">
        <f>HLOOKUP(C668,'Commission Criteria'!$A$2:$I$4,3,FALSE)</f>
        <v>3</v>
      </c>
      <c r="Q668" s="8">
        <f t="shared" si="31"/>
        <v>2426</v>
      </c>
      <c r="R668" s="8">
        <f t="shared" si="32"/>
        <v>3039</v>
      </c>
      <c r="S668" s="36">
        <f>VLOOKUP(R668,'Commission Criteria'!$L$3:$M$11,2,TRUE)</f>
        <v>0.01</v>
      </c>
      <c r="T668" s="36">
        <f>IF(P668&lt;5,VLOOKUP(R668,'Commission Criteria'!$L$3:$M$11,2,1),VLOOKUP('Order SUmmary'!R668,'Commission Criteria'!$P$3:$Q$11,2,1))</f>
        <v>0.01</v>
      </c>
      <c r="U668" s="36">
        <f>VLOOKUP(R668,IF(P668&lt;5,'Commission Criteria'!$L$3:$M$11,'Commission Criteria'!$P$3:$Q$11),2,1)</f>
        <v>0.01</v>
      </c>
      <c r="V668" s="8" t="s">
        <v>43</v>
      </c>
      <c r="W668" s="36">
        <f t="shared" ca="1" si="33"/>
        <v>0.02</v>
      </c>
      <c r="X668" s="8" t="str">
        <f>_xlfn.XLOOKUP(F668,'Product List'!$B$1:$B$299,'Product List'!$A$1:$A$299)</f>
        <v>Newell 346</v>
      </c>
      <c r="Y668" s="8"/>
      <c r="Z668" s="8" t="str" cm="1">
        <f t="array" ref="Z668:AD668">_xlfn.XLOOKUP(D668,'Customer Details'!$A$1:$A$17,'Customer Details'!$B$1:$F$17,"No such customer",0,1)</f>
        <v>Punj Lloyd Ltd.</v>
      </c>
      <c r="AA668" s="8" t="str">
        <v>Box 3263</v>
      </c>
      <c r="AB668" s="8" t="str">
        <v>South Windsor</v>
      </c>
      <c r="AC668" s="8" t="str">
        <v>CT</v>
      </c>
      <c r="AD668" s="8" t="str">
        <v>06074</v>
      </c>
    </row>
    <row r="669" spans="1:30">
      <c r="A669" s="8" t="s">
        <v>754</v>
      </c>
      <c r="B669" s="19">
        <v>41906</v>
      </c>
      <c r="C669" s="8" t="s">
        <v>54</v>
      </c>
      <c r="D669" s="8">
        <v>10011</v>
      </c>
      <c r="E669" s="8" t="str">
        <f>VLOOKUP($D669,'Customer Details'!$A$1:$F$17,4,FALSE)</f>
        <v>Olympia</v>
      </c>
      <c r="F669" s="8" t="s">
        <v>299</v>
      </c>
      <c r="G669" s="8">
        <v>1</v>
      </c>
      <c r="H669" s="2" t="str">
        <f>VLOOKUP($D669,'Customer Details'!$A$1:$F$17,MATCH('Order SUmmary'!H$2,'Customer Details'!$A$1:$F$1,0),0)</f>
        <v>Sonata Software</v>
      </c>
      <c r="I669" s="2" t="str">
        <f>VLOOKUP($D669,'Customer Details'!$A$1:$F$17,4,0)</f>
        <v>Olympia</v>
      </c>
      <c r="J669" s="2" t="str">
        <f>VLOOKUP($D669,'Customer Details'!$A$1:$F$17,6,0)</f>
        <v>98502</v>
      </c>
      <c r="K669" s="8" t="str">
        <f>VLOOKUP(VLOOKUP(D669,'Customer Details'!$A$1:$F$17,5,0),'Region INfo'!$A$1:$C$52,3,0)</f>
        <v xml:space="preserve">Pacific   </v>
      </c>
      <c r="L669" s="8" t="str">
        <f>INDEX(Product_List,MATCH($F669,'Product List'!$B$1:$B$299,0),MATCH('Order SUmmary'!L$2,'Product List'!$A$1:$E$1,0))</f>
        <v>Xerox 1987</v>
      </c>
      <c r="M669" s="8">
        <f>INDEX(Product_List,MATCH($F669,'Product List'!$B$1:$B$299,0),MATCH('Order SUmmary'!M$2,'Product List'!$A$1:$E$1,0))</f>
        <v>3176</v>
      </c>
      <c r="N669" s="8">
        <f>INDEX(Product_List,MATCH($F669,'Product List'!$B$1:$B$299,0),MATCH('Order SUmmary'!N$2,'Product List'!$A$1:$E$1,0))</f>
        <v>1801</v>
      </c>
      <c r="O669" s="8" t="str">
        <f>INDEX(Product_List,MATCH($F669,'Product List'!$B$1:$B$299,0),MATCH('Order SUmmary'!O$2,'Product List'!$A$1:$E$1,0))</f>
        <v>Paper</v>
      </c>
      <c r="P669" s="12">
        <f>HLOOKUP(C669,'Commission Criteria'!$A$2:$I$4,3,FALSE)</f>
        <v>3</v>
      </c>
      <c r="Q669" s="8">
        <f t="shared" si="31"/>
        <v>1801</v>
      </c>
      <c r="R669" s="8">
        <f t="shared" si="32"/>
        <v>3176</v>
      </c>
      <c r="S669" s="36">
        <f>VLOOKUP(R669,'Commission Criteria'!$L$3:$M$11,2,TRUE)</f>
        <v>0.01</v>
      </c>
      <c r="T669" s="36">
        <f>IF(P669&lt;5,VLOOKUP(R669,'Commission Criteria'!$L$3:$M$11,2,1),VLOOKUP('Order SUmmary'!R669,'Commission Criteria'!$P$3:$Q$11,2,1))</f>
        <v>0.01</v>
      </c>
      <c r="U669" s="36">
        <f>VLOOKUP(R669,IF(P669&lt;5,'Commission Criteria'!$L$3:$M$11,'Commission Criteria'!$P$3:$Q$11),2,1)</f>
        <v>0.01</v>
      </c>
      <c r="V669" s="8" t="s">
        <v>50</v>
      </c>
      <c r="W669" s="36">
        <f t="shared" ca="1" si="33"/>
        <v>0.03</v>
      </c>
      <c r="X669" s="8" t="str">
        <f>_xlfn.XLOOKUP(F669,'Product List'!$B$1:$B$299,'Product List'!$A$1:$A$299)</f>
        <v>Xerox 1987</v>
      </c>
      <c r="Y669" s="8"/>
      <c r="Z669" s="8" t="str" cm="1">
        <f t="array" ref="Z669:AD669">_xlfn.XLOOKUP(D669,'Customer Details'!$A$1:$A$17,'Customer Details'!$B$1:$F$17,"No such customer",0,1)</f>
        <v>Sonata Software</v>
      </c>
      <c r="AA669" s="8" t="str">
        <v>1331 Kimberly Dr.</v>
      </c>
      <c r="AB669" s="8" t="str">
        <v>Olympia</v>
      </c>
      <c r="AC669" s="8" t="str">
        <v>WA</v>
      </c>
      <c r="AD669" s="8" t="str">
        <v>98502</v>
      </c>
    </row>
    <row r="670" spans="1:30">
      <c r="A670" s="8" t="s">
        <v>755</v>
      </c>
      <c r="B670" s="19">
        <v>41906</v>
      </c>
      <c r="C670" s="8" t="s">
        <v>66</v>
      </c>
      <c r="D670" s="8">
        <v>10001</v>
      </c>
      <c r="E670" s="8" t="str">
        <f>VLOOKUP($D670,'Customer Details'!$A$1:$F$17,4,FALSE)</f>
        <v>New York</v>
      </c>
      <c r="F670" s="8" t="s">
        <v>123</v>
      </c>
      <c r="G670" s="8">
        <v>2</v>
      </c>
      <c r="H670" s="2" t="str">
        <f>VLOOKUP($D670,'Customer Details'!$A$1:$F$17,MATCH('Order SUmmary'!H$2,'Customer Details'!$A$1:$F$1,0),0)</f>
        <v>Chambal Fertilisers and Chemicals Ltd.</v>
      </c>
      <c r="I670" s="2" t="str">
        <f>VLOOKUP($D670,'Customer Details'!$A$1:$F$17,4,0)</f>
        <v>New York</v>
      </c>
      <c r="J670" s="2" t="str">
        <f>VLOOKUP($D670,'Customer Details'!$A$1:$F$17,6,0)</f>
        <v>10025</v>
      </c>
      <c r="K670" s="8" t="str">
        <f>VLOOKUP(VLOOKUP(D670,'Customer Details'!$A$1:$F$17,5,0),'Region INfo'!$A$1:$C$52,3,0)</f>
        <v xml:space="preserve">Northern </v>
      </c>
      <c r="L670" s="8" t="str">
        <f>INDEX(Product_List,MATCH($F670,'Product List'!$B$1:$B$299,0),MATCH('Order SUmmary'!L$2,'Product List'!$A$1:$E$1,0))</f>
        <v>Avery 503</v>
      </c>
      <c r="M670" s="8">
        <f>INDEX(Product_List,MATCH($F670,'Product List'!$B$1:$B$299,0),MATCH('Order SUmmary'!M$2,'Product List'!$A$1:$E$1,0))</f>
        <v>2820</v>
      </c>
      <c r="N670" s="8">
        <f>INDEX(Product_List,MATCH($F670,'Product List'!$B$1:$B$299,0),MATCH('Order SUmmary'!N$2,'Product List'!$A$1:$E$1,0))</f>
        <v>1504</v>
      </c>
      <c r="O670" s="8" t="str">
        <f>INDEX(Product_List,MATCH($F670,'Product List'!$B$1:$B$299,0),MATCH('Order SUmmary'!O$2,'Product List'!$A$1:$E$1,0))</f>
        <v>Labels</v>
      </c>
      <c r="P670" s="12">
        <f>HLOOKUP(C670,'Commission Criteria'!$A$2:$I$4,3,FALSE)</f>
        <v>5</v>
      </c>
      <c r="Q670" s="8">
        <f t="shared" si="31"/>
        <v>3008</v>
      </c>
      <c r="R670" s="8">
        <f t="shared" si="32"/>
        <v>5640</v>
      </c>
      <c r="S670" s="36">
        <f>VLOOKUP(R670,'Commission Criteria'!$L$3:$M$11,2,TRUE)</f>
        <v>0.03</v>
      </c>
      <c r="T670" s="36">
        <f>IF(P670&lt;5,VLOOKUP(R670,'Commission Criteria'!$L$3:$M$11,2,1),VLOOKUP('Order SUmmary'!R670,'Commission Criteria'!$P$3:$Q$11,2,1))</f>
        <v>0.02</v>
      </c>
      <c r="U670" s="36">
        <f>VLOOKUP(R670,IF(P670&lt;5,'Commission Criteria'!$L$3:$M$11,'Commission Criteria'!$P$3:$Q$11),2,1)</f>
        <v>0.02</v>
      </c>
      <c r="V670" s="8" t="s">
        <v>29</v>
      </c>
      <c r="W670" s="36">
        <f t="shared" ca="1" si="33"/>
        <v>0</v>
      </c>
      <c r="X670" s="8" t="str">
        <f>_xlfn.XLOOKUP(F670,'Product List'!$B$1:$B$299,'Product List'!$A$1:$A$299)</f>
        <v>Avery 503</v>
      </c>
      <c r="Y670" s="8"/>
      <c r="Z670" s="8" t="str" cm="1">
        <f t="array" ref="Z670:AD670">_xlfn.XLOOKUP(D670,'Customer Details'!$A$1:$A$17,'Customer Details'!$B$1:$F$17,"No such customer",0,1)</f>
        <v>Chambal Fertilisers and Chemicals Ltd.</v>
      </c>
      <c r="AA670" s="8" t="str">
        <v>4951 Indiana Ave.</v>
      </c>
      <c r="AB670" s="8" t="str">
        <v>New York</v>
      </c>
      <c r="AC670" s="8" t="str">
        <v>NY</v>
      </c>
      <c r="AD670" s="8" t="str">
        <v>10025</v>
      </c>
    </row>
    <row r="671" spans="1:30">
      <c r="A671" s="8" t="s">
        <v>755</v>
      </c>
      <c r="B671" s="19">
        <v>41906</v>
      </c>
      <c r="C671" s="8" t="s">
        <v>51</v>
      </c>
      <c r="D671" s="8">
        <v>10006</v>
      </c>
      <c r="E671" s="8" t="str">
        <f>VLOOKUP($D671,'Customer Details'!$A$1:$F$17,4,FALSE)</f>
        <v>Midland</v>
      </c>
      <c r="F671" s="8" t="s">
        <v>497</v>
      </c>
      <c r="G671" s="8">
        <v>3</v>
      </c>
      <c r="H671" s="2" t="str">
        <f>VLOOKUP($D671,'Customer Details'!$A$1:$F$17,MATCH('Order SUmmary'!H$2,'Customer Details'!$A$1:$F$1,0),0)</f>
        <v>Supreme Ind</v>
      </c>
      <c r="I671" s="2" t="str">
        <f>VLOOKUP($D671,'Customer Details'!$A$1:$F$17,4,0)</f>
        <v>Midland</v>
      </c>
      <c r="J671" s="2" t="str">
        <f>VLOOKUP($D671,'Customer Details'!$A$1:$F$17,6,0)</f>
        <v>79706</v>
      </c>
      <c r="K671" s="8" t="str">
        <f>VLOOKUP(VLOOKUP(D671,'Customer Details'!$A$1:$F$17,5,0),'Region INfo'!$A$1:$C$52,3,0)</f>
        <v>Western</v>
      </c>
      <c r="L671" s="8" t="str">
        <f>INDEX(Product_List,MATCH($F671,'Product List'!$B$1:$B$299,0),MATCH('Order SUmmary'!L$2,'Product List'!$A$1:$E$1,0))</f>
        <v>Xerox 232</v>
      </c>
      <c r="M671" s="8">
        <f>INDEX(Product_List,MATCH($F671,'Product List'!$B$1:$B$299,0),MATCH('Order SUmmary'!M$2,'Product List'!$A$1:$E$1,0))</f>
        <v>2814</v>
      </c>
      <c r="N671" s="8">
        <f>INDEX(Product_List,MATCH($F671,'Product List'!$B$1:$B$299,0),MATCH('Order SUmmary'!N$2,'Product List'!$A$1:$E$1,0))</f>
        <v>2437</v>
      </c>
      <c r="O671" s="8" t="str">
        <f>INDEX(Product_List,MATCH($F671,'Product List'!$B$1:$B$299,0),MATCH('Order SUmmary'!O$2,'Product List'!$A$1:$E$1,0))</f>
        <v>Paper</v>
      </c>
      <c r="P671" s="12">
        <f>HLOOKUP(C671,'Commission Criteria'!$A$2:$I$4,3,FALSE)</f>
        <v>10</v>
      </c>
      <c r="Q671" s="8">
        <f t="shared" si="31"/>
        <v>7311</v>
      </c>
      <c r="R671" s="8">
        <f t="shared" si="32"/>
        <v>8442</v>
      </c>
      <c r="S671" s="36">
        <f>VLOOKUP(R671,'Commission Criteria'!$L$3:$M$11,2,TRUE)</f>
        <v>0.03</v>
      </c>
      <c r="T671" s="36">
        <f>IF(P671&lt;5,VLOOKUP(R671,'Commission Criteria'!$L$3:$M$11,2,1),VLOOKUP('Order SUmmary'!R671,'Commission Criteria'!$P$3:$Q$11,2,1))</f>
        <v>0.02</v>
      </c>
      <c r="U671" s="36">
        <f>VLOOKUP(R671,IF(P671&lt;5,'Commission Criteria'!$L$3:$M$11,'Commission Criteria'!$P$3:$Q$11),2,1)</f>
        <v>0.02</v>
      </c>
      <c r="V671" s="8" t="s">
        <v>50</v>
      </c>
      <c r="W671" s="36">
        <f t="shared" ca="1" si="33"/>
        <v>0.04</v>
      </c>
      <c r="X671" s="8" t="str">
        <f>_xlfn.XLOOKUP(F671,'Product List'!$B$1:$B$299,'Product List'!$A$1:$A$299)</f>
        <v>Xerox 232</v>
      </c>
      <c r="Y671" s="8"/>
      <c r="Z671" s="8" t="str" cm="1">
        <f t="array" ref="Z671:AD671">_xlfn.XLOOKUP(D671,'Customer Details'!$A$1:$A$17,'Customer Details'!$B$1:$F$17,"No such customer",0,1)</f>
        <v>Supreme Ind</v>
      </c>
      <c r="AA671" s="8" t="str">
        <v>P.O. Box 1367</v>
      </c>
      <c r="AB671" s="8" t="str">
        <v>Midland</v>
      </c>
      <c r="AC671" s="8" t="str">
        <v>TX</v>
      </c>
      <c r="AD671" s="8" t="str">
        <v>79706</v>
      </c>
    </row>
    <row r="672" spans="1:30">
      <c r="A672" s="8" t="s">
        <v>756</v>
      </c>
      <c r="B672" s="19">
        <v>41908</v>
      </c>
      <c r="C672" s="8" t="s">
        <v>51</v>
      </c>
      <c r="D672" s="8">
        <v>10006</v>
      </c>
      <c r="E672" s="8" t="str">
        <f>VLOOKUP($D672,'Customer Details'!$A$1:$F$17,4,FALSE)</f>
        <v>Midland</v>
      </c>
      <c r="F672" s="8" t="s">
        <v>107</v>
      </c>
      <c r="G672" s="8">
        <v>1</v>
      </c>
      <c r="H672" s="2" t="str">
        <f>VLOOKUP($D672,'Customer Details'!$A$1:$F$17,MATCH('Order SUmmary'!H$2,'Customer Details'!$A$1:$F$1,0),0)</f>
        <v>Supreme Ind</v>
      </c>
      <c r="I672" s="2" t="str">
        <f>VLOOKUP($D672,'Customer Details'!$A$1:$F$17,4,0)</f>
        <v>Midland</v>
      </c>
      <c r="J672" s="2" t="str">
        <f>VLOOKUP($D672,'Customer Details'!$A$1:$F$17,6,0)</f>
        <v>79706</v>
      </c>
      <c r="K672" s="8" t="str">
        <f>VLOOKUP(VLOOKUP(D672,'Customer Details'!$A$1:$F$17,5,0),'Region INfo'!$A$1:$C$52,3,0)</f>
        <v>Western</v>
      </c>
      <c r="L672" s="8" t="str">
        <f>INDEX(Product_List,MATCH($F672,'Product List'!$B$1:$B$299,0),MATCH('Order SUmmary'!L$2,'Product List'!$A$1:$E$1,0))</f>
        <v>Avery 493</v>
      </c>
      <c r="M672" s="8">
        <f>INDEX(Product_List,MATCH($F672,'Product List'!$B$1:$B$299,0),MATCH('Order SUmmary'!M$2,'Product List'!$A$1:$E$1,0))</f>
        <v>3457</v>
      </c>
      <c r="N672" s="8">
        <f>INDEX(Product_List,MATCH($F672,'Product List'!$B$1:$B$299,0),MATCH('Order SUmmary'!N$2,'Product List'!$A$1:$E$1,0))</f>
        <v>2070</v>
      </c>
      <c r="O672" s="8" t="str">
        <f>INDEX(Product_List,MATCH($F672,'Product List'!$B$1:$B$299,0),MATCH('Order SUmmary'!O$2,'Product List'!$A$1:$E$1,0))</f>
        <v>Labels</v>
      </c>
      <c r="P672" s="12">
        <f>HLOOKUP(C672,'Commission Criteria'!$A$2:$I$4,3,FALSE)</f>
        <v>10</v>
      </c>
      <c r="Q672" s="8">
        <f t="shared" si="31"/>
        <v>2070</v>
      </c>
      <c r="R672" s="8">
        <f t="shared" si="32"/>
        <v>3457</v>
      </c>
      <c r="S672" s="36">
        <f>VLOOKUP(R672,'Commission Criteria'!$L$3:$M$11,2,TRUE)</f>
        <v>0.01</v>
      </c>
      <c r="T672" s="36">
        <f>IF(P672&lt;5,VLOOKUP(R672,'Commission Criteria'!$L$3:$M$11,2,1),VLOOKUP('Order SUmmary'!R672,'Commission Criteria'!$P$3:$Q$11,2,1))</f>
        <v>0.02</v>
      </c>
      <c r="U672" s="36">
        <f>VLOOKUP(R672,IF(P672&lt;5,'Commission Criteria'!$L$3:$M$11,'Commission Criteria'!$P$3:$Q$11),2,1)</f>
        <v>0.02</v>
      </c>
      <c r="V672" s="8" t="s">
        <v>35</v>
      </c>
      <c r="W672" s="36">
        <f t="shared" ca="1" si="33"/>
        <v>0</v>
      </c>
      <c r="X672" s="8" t="str">
        <f>_xlfn.XLOOKUP(F672,'Product List'!$B$1:$B$299,'Product List'!$A$1:$A$299)</f>
        <v>Avery 493</v>
      </c>
      <c r="Y672" s="8"/>
      <c r="Z672" s="8" t="str" cm="1">
        <f t="array" ref="Z672:AD672">_xlfn.XLOOKUP(D672,'Customer Details'!$A$1:$A$17,'Customer Details'!$B$1:$F$17,"No such customer",0,1)</f>
        <v>Supreme Ind</v>
      </c>
      <c r="AA672" s="8" t="str">
        <v>P.O. Box 1367</v>
      </c>
      <c r="AB672" s="8" t="str">
        <v>Midland</v>
      </c>
      <c r="AC672" s="8" t="str">
        <v>TX</v>
      </c>
      <c r="AD672" s="8" t="str">
        <v>79706</v>
      </c>
    </row>
    <row r="673" spans="1:30">
      <c r="A673" s="8" t="s">
        <v>757</v>
      </c>
      <c r="B673" s="19">
        <v>41910</v>
      </c>
      <c r="C673" s="8" t="s">
        <v>46</v>
      </c>
      <c r="D673" s="8">
        <v>10002</v>
      </c>
      <c r="E673" s="8" t="str">
        <f>VLOOKUP($D673,'Customer Details'!$A$1:$F$17,4,FALSE)</f>
        <v>Omaha</v>
      </c>
      <c r="F673" s="8" t="s">
        <v>69</v>
      </c>
      <c r="G673" s="8">
        <v>1</v>
      </c>
      <c r="H673" s="2" t="str">
        <f>VLOOKUP($D673,'Customer Details'!$A$1:$F$17,MATCH('Order SUmmary'!H$2,'Customer Details'!$A$1:$F$1,0),0)</f>
        <v>Elder Pharmaceuticals</v>
      </c>
      <c r="I673" s="2" t="str">
        <f>VLOOKUP($D673,'Customer Details'!$A$1:$F$17,4,0)</f>
        <v>Omaha</v>
      </c>
      <c r="J673" s="2" t="str">
        <f>VLOOKUP($D673,'Customer Details'!$A$1:$F$17,6,0)</f>
        <v>68127</v>
      </c>
      <c r="K673" s="8" t="str">
        <f>VLOOKUP(VLOOKUP(D673,'Customer Details'!$A$1:$F$17,5,0),'Region INfo'!$A$1:$C$52,3,0)</f>
        <v>Western</v>
      </c>
      <c r="L673" s="8" t="str">
        <f>INDEX(Product_List,MATCH($F673,'Product List'!$B$1:$B$299,0),MATCH('Order SUmmary'!L$2,'Product List'!$A$1:$E$1,0))</f>
        <v>Newell 330</v>
      </c>
      <c r="M673" s="8">
        <f>INDEX(Product_List,MATCH($F673,'Product List'!$B$1:$B$299,0),MATCH('Order SUmmary'!M$2,'Product List'!$A$1:$E$1,0))</f>
        <v>2895</v>
      </c>
      <c r="N673" s="8">
        <f>INDEX(Product_List,MATCH($F673,'Product List'!$B$1:$B$299,0),MATCH('Order SUmmary'!N$2,'Product List'!$A$1:$E$1,0))</f>
        <v>1871</v>
      </c>
      <c r="O673" s="8" t="str">
        <f>INDEX(Product_List,MATCH($F673,'Product List'!$B$1:$B$299,0),MATCH('Order SUmmary'!O$2,'Product List'!$A$1:$E$1,0))</f>
        <v>Art</v>
      </c>
      <c r="P673" s="12">
        <f>HLOOKUP(C673,'Commission Criteria'!$A$2:$I$4,3,FALSE)</f>
        <v>8</v>
      </c>
      <c r="Q673" s="8">
        <f t="shared" si="31"/>
        <v>1871</v>
      </c>
      <c r="R673" s="8">
        <f t="shared" si="32"/>
        <v>2895</v>
      </c>
      <c r="S673" s="36">
        <f>VLOOKUP(R673,'Commission Criteria'!$L$3:$M$11,2,TRUE)</f>
        <v>0.01</v>
      </c>
      <c r="T673" s="36">
        <f>IF(P673&lt;5,VLOOKUP(R673,'Commission Criteria'!$L$3:$M$11,2,1),VLOOKUP('Order SUmmary'!R673,'Commission Criteria'!$P$3:$Q$11,2,1))</f>
        <v>0.02</v>
      </c>
      <c r="U673" s="36">
        <f>VLOOKUP(R673,IF(P673&lt;5,'Commission Criteria'!$L$3:$M$11,'Commission Criteria'!$P$3:$Q$11),2,1)</f>
        <v>0.02</v>
      </c>
      <c r="V673" s="8" t="s">
        <v>40</v>
      </c>
      <c r="W673" s="36">
        <f t="shared" ca="1" si="33"/>
        <v>0.03</v>
      </c>
      <c r="X673" s="8" t="str">
        <f>_xlfn.XLOOKUP(F673,'Product List'!$B$1:$B$299,'Product List'!$A$1:$A$299)</f>
        <v>Newell 330</v>
      </c>
      <c r="Y673" s="8"/>
      <c r="Z673" s="8" t="str" cm="1">
        <f t="array" ref="Z673:AD673">_xlfn.XLOOKUP(D673,'Customer Details'!$A$1:$A$17,'Customer Details'!$B$1:$F$17,"No such customer",0,1)</f>
        <v>Elder Pharmaceuticals</v>
      </c>
      <c r="AA673" s="8" t="str">
        <v>57 Neriba Cres</v>
      </c>
      <c r="AB673" s="8" t="str">
        <v>Omaha</v>
      </c>
      <c r="AC673" s="8" t="str">
        <v>NE</v>
      </c>
      <c r="AD673" s="8" t="str">
        <v>68127</v>
      </c>
    </row>
    <row r="674" spans="1:30">
      <c r="A674" s="8" t="s">
        <v>757</v>
      </c>
      <c r="B674" s="19">
        <v>41910</v>
      </c>
      <c r="C674" s="8" t="s">
        <v>33</v>
      </c>
      <c r="D674" s="8">
        <v>10015</v>
      </c>
      <c r="E674" s="8" t="str">
        <f>VLOOKUP($D674,'Customer Details'!$A$1:$F$17,4,FALSE)</f>
        <v>South Windsor</v>
      </c>
      <c r="F674" s="8" t="s">
        <v>472</v>
      </c>
      <c r="G674" s="8">
        <v>1</v>
      </c>
      <c r="H674" s="2" t="str">
        <f>VLOOKUP($D674,'Customer Details'!$A$1:$F$17,MATCH('Order SUmmary'!H$2,'Customer Details'!$A$1:$F$1,0),0)</f>
        <v>Punj Lloyd Ltd.</v>
      </c>
      <c r="I674" s="2" t="str">
        <f>VLOOKUP($D674,'Customer Details'!$A$1:$F$17,4,0)</f>
        <v>South Windsor</v>
      </c>
      <c r="J674" s="2" t="str">
        <f>VLOOKUP($D674,'Customer Details'!$A$1:$F$17,6,0)</f>
        <v>06074</v>
      </c>
      <c r="K674" s="8" t="str">
        <f>VLOOKUP(VLOOKUP(D674,'Customer Details'!$A$1:$F$17,5,0),'Region INfo'!$A$1:$C$52,3,0)</f>
        <v xml:space="preserve">Northern </v>
      </c>
      <c r="L674" s="8" t="str">
        <f>INDEX(Product_List,MATCH($F674,'Product List'!$B$1:$B$299,0),MATCH('Order SUmmary'!L$2,'Product List'!$A$1:$E$1,0))</f>
        <v>Avery 488</v>
      </c>
      <c r="M674" s="8">
        <f>INDEX(Product_List,MATCH($F674,'Product List'!$B$1:$B$299,0),MATCH('Order SUmmary'!M$2,'Product List'!$A$1:$E$1,0))</f>
        <v>3663</v>
      </c>
      <c r="N674" s="8">
        <f>INDEX(Product_List,MATCH($F674,'Product List'!$B$1:$B$299,0),MATCH('Order SUmmary'!N$2,'Product List'!$A$1:$E$1,0))</f>
        <v>1550</v>
      </c>
      <c r="O674" s="8" t="str">
        <f>INDEX(Product_List,MATCH($F674,'Product List'!$B$1:$B$299,0),MATCH('Order SUmmary'!O$2,'Product List'!$A$1:$E$1,0))</f>
        <v>Labels</v>
      </c>
      <c r="P674" s="12">
        <f>HLOOKUP(C674,'Commission Criteria'!$A$2:$I$4,3,FALSE)</f>
        <v>1</v>
      </c>
      <c r="Q674" s="8">
        <f t="shared" si="31"/>
        <v>1550</v>
      </c>
      <c r="R674" s="8">
        <f t="shared" si="32"/>
        <v>3663</v>
      </c>
      <c r="S674" s="36">
        <f>VLOOKUP(R674,'Commission Criteria'!$L$3:$M$11,2,TRUE)</f>
        <v>0.01</v>
      </c>
      <c r="T674" s="36">
        <f>IF(P674&lt;5,VLOOKUP(R674,'Commission Criteria'!$L$3:$M$11,2,1),VLOOKUP('Order SUmmary'!R674,'Commission Criteria'!$P$3:$Q$11,2,1))</f>
        <v>0.01</v>
      </c>
      <c r="U674" s="36">
        <f>VLOOKUP(R674,IF(P674&lt;5,'Commission Criteria'!$L$3:$M$11,'Commission Criteria'!$P$3:$Q$11),2,1)</f>
        <v>0.01</v>
      </c>
      <c r="V674" s="8" t="s">
        <v>40</v>
      </c>
      <c r="W674" s="36">
        <f t="shared" ca="1" si="33"/>
        <v>0.04</v>
      </c>
      <c r="X674" s="8" t="str">
        <f>_xlfn.XLOOKUP(F674,'Product List'!$B$1:$B$299,'Product List'!$A$1:$A$299)</f>
        <v>Avery 488</v>
      </c>
      <c r="Y674" s="8"/>
      <c r="Z674" s="8" t="str" cm="1">
        <f t="array" ref="Z674:AD674">_xlfn.XLOOKUP(D674,'Customer Details'!$A$1:$A$17,'Customer Details'!$B$1:$F$17,"No such customer",0,1)</f>
        <v>Punj Lloyd Ltd.</v>
      </c>
      <c r="AA674" s="8" t="str">
        <v>Box 3263</v>
      </c>
      <c r="AB674" s="8" t="str">
        <v>South Windsor</v>
      </c>
      <c r="AC674" s="8" t="str">
        <v>CT</v>
      </c>
      <c r="AD674" s="8" t="str">
        <v>06074</v>
      </c>
    </row>
    <row r="675" spans="1:30">
      <c r="A675" s="8" t="s">
        <v>758</v>
      </c>
      <c r="B675" s="19">
        <v>41910</v>
      </c>
      <c r="C675" s="8" t="s">
        <v>54</v>
      </c>
      <c r="D675" s="8">
        <v>10015</v>
      </c>
      <c r="E675" s="8" t="str">
        <f>VLOOKUP($D675,'Customer Details'!$A$1:$F$17,4,FALSE)</f>
        <v>South Windsor</v>
      </c>
      <c r="F675" s="8" t="s">
        <v>541</v>
      </c>
      <c r="G675" s="8">
        <v>2</v>
      </c>
      <c r="H675" s="2" t="str">
        <f>VLOOKUP($D675,'Customer Details'!$A$1:$F$17,MATCH('Order SUmmary'!H$2,'Customer Details'!$A$1:$F$1,0),0)</f>
        <v>Punj Lloyd Ltd.</v>
      </c>
      <c r="I675" s="2" t="str">
        <f>VLOOKUP($D675,'Customer Details'!$A$1:$F$17,4,0)</f>
        <v>South Windsor</v>
      </c>
      <c r="J675" s="2" t="str">
        <f>VLOOKUP($D675,'Customer Details'!$A$1:$F$17,6,0)</f>
        <v>06074</v>
      </c>
      <c r="K675" s="8" t="str">
        <f>VLOOKUP(VLOOKUP(D675,'Customer Details'!$A$1:$F$17,5,0),'Region INfo'!$A$1:$C$52,3,0)</f>
        <v xml:space="preserve">Northern </v>
      </c>
      <c r="L675" s="8" t="str">
        <f>INDEX(Product_List,MATCH($F675,'Product List'!$B$1:$B$299,0),MATCH('Order SUmmary'!L$2,'Product List'!$A$1:$E$1,0))</f>
        <v>Xerox 221</v>
      </c>
      <c r="M675" s="8">
        <f>INDEX(Product_List,MATCH($F675,'Product List'!$B$1:$B$299,0),MATCH('Order SUmmary'!M$2,'Product List'!$A$1:$E$1,0))</f>
        <v>4152</v>
      </c>
      <c r="N675" s="8">
        <f>INDEX(Product_List,MATCH($F675,'Product List'!$B$1:$B$299,0),MATCH('Order SUmmary'!N$2,'Product List'!$A$1:$E$1,0))</f>
        <v>1278</v>
      </c>
      <c r="O675" s="8" t="str">
        <f>INDEX(Product_List,MATCH($F675,'Product List'!$B$1:$B$299,0),MATCH('Order SUmmary'!O$2,'Product List'!$A$1:$E$1,0))</f>
        <v>Paper</v>
      </c>
      <c r="P675" s="12">
        <f>HLOOKUP(C675,'Commission Criteria'!$A$2:$I$4,3,FALSE)</f>
        <v>3</v>
      </c>
      <c r="Q675" s="8">
        <f t="shared" si="31"/>
        <v>2556</v>
      </c>
      <c r="R675" s="8">
        <f t="shared" si="32"/>
        <v>8304</v>
      </c>
      <c r="S675" s="36">
        <f>VLOOKUP(R675,'Commission Criteria'!$L$3:$M$11,2,TRUE)</f>
        <v>0.03</v>
      </c>
      <c r="T675" s="36">
        <f>IF(P675&lt;5,VLOOKUP(R675,'Commission Criteria'!$L$3:$M$11,2,1),VLOOKUP('Order SUmmary'!R675,'Commission Criteria'!$P$3:$Q$11,2,1))</f>
        <v>0.03</v>
      </c>
      <c r="U675" s="36">
        <f>VLOOKUP(R675,IF(P675&lt;5,'Commission Criteria'!$L$3:$M$11,'Commission Criteria'!$P$3:$Q$11),2,1)</f>
        <v>0.03</v>
      </c>
      <c r="V675" s="8" t="s">
        <v>50</v>
      </c>
      <c r="W675" s="36">
        <f t="shared" ca="1" si="33"/>
        <v>0.05</v>
      </c>
      <c r="X675" s="8" t="str">
        <f>_xlfn.XLOOKUP(F675,'Product List'!$B$1:$B$299,'Product List'!$A$1:$A$299)</f>
        <v>Xerox 221</v>
      </c>
      <c r="Y675" s="8"/>
      <c r="Z675" s="8" t="str" cm="1">
        <f t="array" ref="Z675:AD675">_xlfn.XLOOKUP(D675,'Customer Details'!$A$1:$A$17,'Customer Details'!$B$1:$F$17,"No such customer",0,1)</f>
        <v>Punj Lloyd Ltd.</v>
      </c>
      <c r="AA675" s="8" t="str">
        <v>Box 3263</v>
      </c>
      <c r="AB675" s="8" t="str">
        <v>South Windsor</v>
      </c>
      <c r="AC675" s="8" t="str">
        <v>CT</v>
      </c>
      <c r="AD675" s="8" t="str">
        <v>06074</v>
      </c>
    </row>
    <row r="676" spans="1:30">
      <c r="A676" s="8" t="s">
        <v>758</v>
      </c>
      <c r="B676" s="19">
        <v>41910</v>
      </c>
      <c r="C676" s="8" t="s">
        <v>51</v>
      </c>
      <c r="D676" s="8">
        <v>10003</v>
      </c>
      <c r="E676" s="8" t="str">
        <f>VLOOKUP($D676,'Customer Details'!$A$1:$F$17,4,FALSE)</f>
        <v>Miami</v>
      </c>
      <c r="F676" s="8" t="s">
        <v>67</v>
      </c>
      <c r="G676" s="8">
        <v>2</v>
      </c>
      <c r="H676" s="2" t="str">
        <f>VLOOKUP($D676,'Customer Details'!$A$1:$F$17,MATCH('Order SUmmary'!H$2,'Customer Details'!$A$1:$F$1,0),0)</f>
        <v>Honeywell Automation</v>
      </c>
      <c r="I676" s="2" t="str">
        <f>VLOOKUP($D676,'Customer Details'!$A$1:$F$17,4,0)</f>
        <v>Miami</v>
      </c>
      <c r="J676" s="2" t="str">
        <f>VLOOKUP($D676,'Customer Details'!$A$1:$F$17,6,0)</f>
        <v>33732</v>
      </c>
      <c r="K676" s="8" t="str">
        <f>VLOOKUP(VLOOKUP(D676,'Customer Details'!$A$1:$F$17,5,0),'Region INfo'!$A$1:$C$52,3,0)</f>
        <v>Southern</v>
      </c>
      <c r="L676" s="8" t="str">
        <f>INDEX(Product_List,MATCH($F676,'Product List'!$B$1:$B$299,0),MATCH('Order SUmmary'!L$2,'Product List'!$A$1:$E$1,0))</f>
        <v>Xerox 1927</v>
      </c>
      <c r="M676" s="8">
        <f>INDEX(Product_List,MATCH($F676,'Product List'!$B$1:$B$299,0),MATCH('Order SUmmary'!M$2,'Product List'!$A$1:$E$1,0))</f>
        <v>4392</v>
      </c>
      <c r="N676" s="8">
        <f>INDEX(Product_List,MATCH($F676,'Product List'!$B$1:$B$299,0),MATCH('Order SUmmary'!N$2,'Product List'!$A$1:$E$1,0))</f>
        <v>1542</v>
      </c>
      <c r="O676" s="8" t="str">
        <f>INDEX(Product_List,MATCH($F676,'Product List'!$B$1:$B$299,0),MATCH('Order SUmmary'!O$2,'Product List'!$A$1:$E$1,0))</f>
        <v>Paper</v>
      </c>
      <c r="P676" s="12">
        <f>HLOOKUP(C676,'Commission Criteria'!$A$2:$I$4,3,FALSE)</f>
        <v>10</v>
      </c>
      <c r="Q676" s="8">
        <f t="shared" si="31"/>
        <v>3084</v>
      </c>
      <c r="R676" s="8">
        <f t="shared" si="32"/>
        <v>8784</v>
      </c>
      <c r="S676" s="36">
        <f>VLOOKUP(R676,'Commission Criteria'!$L$3:$M$11,2,TRUE)</f>
        <v>0.03</v>
      </c>
      <c r="T676" s="36">
        <f>IF(P676&lt;5,VLOOKUP(R676,'Commission Criteria'!$L$3:$M$11,2,1),VLOOKUP('Order SUmmary'!R676,'Commission Criteria'!$P$3:$Q$11,2,1))</f>
        <v>0.02</v>
      </c>
      <c r="U676" s="36">
        <f>VLOOKUP(R676,IF(P676&lt;5,'Commission Criteria'!$L$3:$M$11,'Commission Criteria'!$P$3:$Q$11),2,1)</f>
        <v>0.02</v>
      </c>
      <c r="V676" s="8" t="s">
        <v>40</v>
      </c>
      <c r="W676" s="36">
        <f t="shared" ca="1" si="33"/>
        <v>0.02</v>
      </c>
      <c r="X676" s="8" t="str">
        <f>_xlfn.XLOOKUP(F676,'Product List'!$B$1:$B$299,'Product List'!$A$1:$A$299)</f>
        <v>Xerox 1927</v>
      </c>
      <c r="Y676" s="8"/>
      <c r="Z676" s="8" t="str" cm="1">
        <f t="array" ref="Z676:AD676">_xlfn.XLOOKUP(D676,'Customer Details'!$A$1:$A$17,'Customer Details'!$B$1:$F$17,"No such customer",0,1)</f>
        <v>Honeywell Automation</v>
      </c>
      <c r="AA676" s="8" t="str">
        <v>1272 Harbor Road</v>
      </c>
      <c r="AB676" s="8" t="str">
        <v>Miami</v>
      </c>
      <c r="AC676" s="8" t="str">
        <v>FL</v>
      </c>
      <c r="AD676" s="8" t="str">
        <v>33732</v>
      </c>
    </row>
    <row r="677" spans="1:30">
      <c r="A677" s="8" t="s">
        <v>758</v>
      </c>
      <c r="B677" s="19">
        <v>41910</v>
      </c>
      <c r="C677" s="8" t="s">
        <v>54</v>
      </c>
      <c r="D677" s="8">
        <v>10013</v>
      </c>
      <c r="E677" s="8" t="str">
        <f>VLOOKUP($D677,'Customer Details'!$A$1:$F$17,4,FALSE)</f>
        <v>Naugatuck</v>
      </c>
      <c r="F677" s="8" t="s">
        <v>205</v>
      </c>
      <c r="G677" s="8">
        <v>3</v>
      </c>
      <c r="H677" s="2" t="str">
        <f>VLOOKUP($D677,'Customer Details'!$A$1:$F$17,MATCH('Order SUmmary'!H$2,'Customer Details'!$A$1:$F$1,0),0)</f>
        <v>GMR Infrastructure Ltd.</v>
      </c>
      <c r="I677" s="2" t="str">
        <f>VLOOKUP($D677,'Customer Details'!$A$1:$F$17,4,0)</f>
        <v>Naugatuck</v>
      </c>
      <c r="J677" s="2" t="str">
        <f>VLOOKUP($D677,'Customer Details'!$A$1:$F$17,6,0)</f>
        <v>06770</v>
      </c>
      <c r="K677" s="8" t="str">
        <f>VLOOKUP(VLOOKUP(D677,'Customer Details'!$A$1:$F$17,5,0),'Region INfo'!$A$1:$C$52,3,0)</f>
        <v xml:space="preserve">Northern </v>
      </c>
      <c r="L677" s="8" t="str">
        <f>INDEX(Product_List,MATCH($F677,'Product List'!$B$1:$B$299,0),MATCH('Order SUmmary'!L$2,'Product List'!$A$1:$E$1,0))</f>
        <v>AT&amp;T TR1909W</v>
      </c>
      <c r="M677" s="8">
        <f>INDEX(Product_List,MATCH($F677,'Product List'!$B$1:$B$299,0),MATCH('Order SUmmary'!M$2,'Product List'!$A$1:$E$1,0))</f>
        <v>4378</v>
      </c>
      <c r="N677" s="8">
        <f>INDEX(Product_List,MATCH($F677,'Product List'!$B$1:$B$299,0),MATCH('Order SUmmary'!N$2,'Product List'!$A$1:$E$1,0))</f>
        <v>1998</v>
      </c>
      <c r="O677" s="8" t="str">
        <f>INDEX(Product_List,MATCH($F677,'Product List'!$B$1:$B$299,0),MATCH('Order SUmmary'!O$2,'Product List'!$A$1:$E$1,0))</f>
        <v>Phones</v>
      </c>
      <c r="P677" s="12">
        <f>HLOOKUP(C677,'Commission Criteria'!$A$2:$I$4,3,FALSE)</f>
        <v>3</v>
      </c>
      <c r="Q677" s="8">
        <f t="shared" si="31"/>
        <v>5994</v>
      </c>
      <c r="R677" s="8">
        <f t="shared" si="32"/>
        <v>13134</v>
      </c>
      <c r="S677" s="36">
        <f>VLOOKUP(R677,'Commission Criteria'!$L$3:$M$11,2,TRUE)</f>
        <v>0.03</v>
      </c>
      <c r="T677" s="36">
        <f>IF(P677&lt;5,VLOOKUP(R677,'Commission Criteria'!$L$3:$M$11,2,1),VLOOKUP('Order SUmmary'!R677,'Commission Criteria'!$P$3:$Q$11,2,1))</f>
        <v>0.03</v>
      </c>
      <c r="U677" s="36">
        <f>VLOOKUP(R677,IF(P677&lt;5,'Commission Criteria'!$L$3:$M$11,'Commission Criteria'!$P$3:$Q$11),2,1)</f>
        <v>0.03</v>
      </c>
      <c r="V677" s="8" t="s">
        <v>29</v>
      </c>
      <c r="W677" s="36">
        <f t="shared" ca="1" si="33"/>
        <v>0</v>
      </c>
      <c r="X677" s="8" t="str">
        <f>_xlfn.XLOOKUP(F677,'Product List'!$B$1:$B$299,'Product List'!$A$1:$A$299)</f>
        <v>AT&amp;T TR1909W</v>
      </c>
      <c r="Y677" s="8"/>
      <c r="Z677" s="8" t="str" cm="1">
        <f t="array" ref="Z677:AD677">_xlfn.XLOOKUP(D677,'Customer Details'!$A$1:$A$17,'Customer Details'!$B$1:$F$17,"No such customer",0,1)</f>
        <v>GMR Infrastructure Ltd.</v>
      </c>
      <c r="AA677" s="8" t="str">
        <v>P.O. Box 4421</v>
      </c>
      <c r="AB677" s="8" t="str">
        <v>Naugatuck</v>
      </c>
      <c r="AC677" s="8" t="str">
        <v>CT</v>
      </c>
      <c r="AD677" s="8" t="str">
        <v>06770</v>
      </c>
    </row>
    <row r="678" spans="1:30">
      <c r="A678" s="8" t="s">
        <v>759</v>
      </c>
      <c r="B678" s="19">
        <v>41912</v>
      </c>
      <c r="C678" s="8" t="s">
        <v>27</v>
      </c>
      <c r="D678" s="8">
        <v>10009</v>
      </c>
      <c r="E678" s="8" t="str">
        <f>VLOOKUP($D678,'Customer Details'!$A$1:$F$17,4,FALSE)</f>
        <v>Salt Lake City</v>
      </c>
      <c r="F678" s="8" t="s">
        <v>160</v>
      </c>
      <c r="G678" s="8">
        <v>1</v>
      </c>
      <c r="H678" s="2" t="str">
        <f>VLOOKUP($D678,'Customer Details'!$A$1:$F$17,MATCH('Order SUmmary'!H$2,'Customer Details'!$A$1:$F$1,0),0)</f>
        <v>Godfrey Philips India Ltd.</v>
      </c>
      <c r="I678" s="2" t="str">
        <f>VLOOKUP($D678,'Customer Details'!$A$1:$F$17,4,0)</f>
        <v>Salt Lake City</v>
      </c>
      <c r="J678" s="2" t="str">
        <f>VLOOKUP($D678,'Customer Details'!$A$1:$F$17,6,0)</f>
        <v>84118</v>
      </c>
      <c r="K678" s="8" t="str">
        <f>VLOOKUP(VLOOKUP(D678,'Customer Details'!$A$1:$F$17,5,0),'Region INfo'!$A$1:$C$52,3,0)</f>
        <v xml:space="preserve">Pacific   </v>
      </c>
      <c r="L678" s="8" t="str">
        <f>INDEX(Product_List,MATCH($F678,'Product List'!$B$1:$B$299,0),MATCH('Order SUmmary'!L$2,'Product List'!$A$1:$E$1,0))</f>
        <v>Newell 34</v>
      </c>
      <c r="M678" s="8">
        <f>INDEX(Product_List,MATCH($F678,'Product List'!$B$1:$B$299,0),MATCH('Order SUmmary'!M$2,'Product List'!$A$1:$E$1,0))</f>
        <v>2616</v>
      </c>
      <c r="N678" s="8">
        <f>INDEX(Product_List,MATCH($F678,'Product List'!$B$1:$B$299,0),MATCH('Order SUmmary'!N$2,'Product List'!$A$1:$E$1,0))</f>
        <v>1965</v>
      </c>
      <c r="O678" s="8" t="str">
        <f>INDEX(Product_List,MATCH($F678,'Product List'!$B$1:$B$299,0),MATCH('Order SUmmary'!O$2,'Product List'!$A$1:$E$1,0))</f>
        <v>Art</v>
      </c>
      <c r="P678" s="12">
        <f>HLOOKUP(C678,'Commission Criteria'!$A$2:$I$4,3,FALSE)</f>
        <v>4</v>
      </c>
      <c r="Q678" s="8">
        <f t="shared" si="31"/>
        <v>1965</v>
      </c>
      <c r="R678" s="8">
        <f t="shared" si="32"/>
        <v>2616</v>
      </c>
      <c r="S678" s="36">
        <f>VLOOKUP(R678,'Commission Criteria'!$L$3:$M$11,2,TRUE)</f>
        <v>0.01</v>
      </c>
      <c r="T678" s="36">
        <f>IF(P678&lt;5,VLOOKUP(R678,'Commission Criteria'!$L$3:$M$11,2,1),VLOOKUP('Order SUmmary'!R678,'Commission Criteria'!$P$3:$Q$11,2,1))</f>
        <v>0.01</v>
      </c>
      <c r="U678" s="36">
        <f>VLOOKUP(R678,IF(P678&lt;5,'Commission Criteria'!$L$3:$M$11,'Commission Criteria'!$P$3:$Q$11),2,1)</f>
        <v>0.01</v>
      </c>
      <c r="V678" s="8" t="s">
        <v>35</v>
      </c>
      <c r="W678" s="36">
        <f t="shared" ca="1" si="33"/>
        <v>0.05</v>
      </c>
      <c r="X678" s="8" t="str">
        <f>_xlfn.XLOOKUP(F678,'Product List'!$B$1:$B$299,'Product List'!$A$1:$A$299)</f>
        <v>Newell 34</v>
      </c>
      <c r="Y678" s="8"/>
      <c r="Z678" s="8" t="str" cm="1">
        <f t="array" ref="Z678:AD678">_xlfn.XLOOKUP(D678,'Customer Details'!$A$1:$A$17,'Customer Details'!$B$1:$F$17,"No such customer",0,1)</f>
        <v>Godfrey Philips India Ltd.</v>
      </c>
      <c r="AA678" s="8" t="str">
        <v>20501 Ania Ave #2</v>
      </c>
      <c r="AB678" s="8" t="str">
        <v>Salt Lake City</v>
      </c>
      <c r="AC678" s="8" t="str">
        <v>UT</v>
      </c>
      <c r="AD678" s="8" t="str">
        <v>84118</v>
      </c>
    </row>
    <row r="679" spans="1:30">
      <c r="A679" s="8" t="s">
        <v>759</v>
      </c>
      <c r="B679" s="19">
        <v>41912</v>
      </c>
      <c r="C679" s="8" t="s">
        <v>36</v>
      </c>
      <c r="D679" s="8">
        <v>10014</v>
      </c>
      <c r="E679" s="8" t="str">
        <f>VLOOKUP($D679,'Customer Details'!$A$1:$F$17,4,FALSE)</f>
        <v>Honolulu</v>
      </c>
      <c r="F679" s="8" t="s">
        <v>760</v>
      </c>
      <c r="G679" s="8">
        <v>1</v>
      </c>
      <c r="H679" s="2" t="str">
        <f>VLOOKUP($D679,'Customer Details'!$A$1:$F$17,MATCH('Order SUmmary'!H$2,'Customer Details'!$A$1:$F$1,0),0)</f>
        <v>Hindusthan National Glass &amp; Industries Ltd.</v>
      </c>
      <c r="I679" s="2" t="str">
        <f>VLOOKUP($D679,'Customer Details'!$A$1:$F$17,4,0)</f>
        <v>Honolulu</v>
      </c>
      <c r="J679" s="2" t="str">
        <f>VLOOKUP($D679,'Customer Details'!$A$1:$F$17,6,0)</f>
        <v>96825</v>
      </c>
      <c r="K679" s="8" t="str">
        <f>VLOOKUP(VLOOKUP(D679,'Customer Details'!$A$1:$F$17,5,0),'Region INfo'!$A$1:$C$52,3,0)</f>
        <v xml:space="preserve">Pacific   </v>
      </c>
      <c r="L679" s="8" t="str">
        <f>INDEX(Product_List,MATCH($F679,'Product List'!$B$1:$B$299,0),MATCH('Order SUmmary'!L$2,'Product List'!$A$1:$E$1,0))</f>
        <v>Xerox 1898</v>
      </c>
      <c r="M679" s="8">
        <f>INDEX(Product_List,MATCH($F679,'Product List'!$B$1:$B$299,0),MATCH('Order SUmmary'!M$2,'Product List'!$A$1:$E$1,0))</f>
        <v>3495</v>
      </c>
      <c r="N679" s="8">
        <f>INDEX(Product_List,MATCH($F679,'Product List'!$B$1:$B$299,0),MATCH('Order SUmmary'!N$2,'Product List'!$A$1:$E$1,0))</f>
        <v>2172</v>
      </c>
      <c r="O679" s="8" t="str">
        <f>INDEX(Product_List,MATCH($F679,'Product List'!$B$1:$B$299,0),MATCH('Order SUmmary'!O$2,'Product List'!$A$1:$E$1,0))</f>
        <v>Paper</v>
      </c>
      <c r="P679" s="12">
        <f>HLOOKUP(C679,'Commission Criteria'!$A$2:$I$4,3,FALSE)</f>
        <v>6</v>
      </c>
      <c r="Q679" s="8">
        <f t="shared" si="31"/>
        <v>2172</v>
      </c>
      <c r="R679" s="8">
        <f t="shared" si="32"/>
        <v>3495</v>
      </c>
      <c r="S679" s="36">
        <f>VLOOKUP(R679,'Commission Criteria'!$L$3:$M$11,2,TRUE)</f>
        <v>0.01</v>
      </c>
      <c r="T679" s="36">
        <f>IF(P679&lt;5,VLOOKUP(R679,'Commission Criteria'!$L$3:$M$11,2,1),VLOOKUP('Order SUmmary'!R679,'Commission Criteria'!$P$3:$Q$11,2,1))</f>
        <v>0.02</v>
      </c>
      <c r="U679" s="36">
        <f>VLOOKUP(R679,IF(P679&lt;5,'Commission Criteria'!$L$3:$M$11,'Commission Criteria'!$P$3:$Q$11),2,1)</f>
        <v>0.02</v>
      </c>
      <c r="V679" s="8" t="s">
        <v>32</v>
      </c>
      <c r="W679" s="36">
        <f t="shared" ca="1" si="33"/>
        <v>0</v>
      </c>
      <c r="X679" s="8" t="str">
        <f>_xlfn.XLOOKUP(F679,'Product List'!$B$1:$B$299,'Product List'!$A$1:$A$299)</f>
        <v>Xerox 1898</v>
      </c>
      <c r="Y679" s="8"/>
      <c r="Z679" s="8" t="str" cm="1">
        <f t="array" ref="Z679:AD679">_xlfn.XLOOKUP(D679,'Customer Details'!$A$1:$A$17,'Customer Details'!$B$1:$F$17,"No such customer",0,1)</f>
        <v>Hindusthan National Glass &amp; Industries Ltd.</v>
      </c>
      <c r="AA679" s="8" t="str">
        <v>11 Cathy St.</v>
      </c>
      <c r="AB679" s="8" t="str">
        <v>Honolulu</v>
      </c>
      <c r="AC679" s="8" t="str">
        <v>HI</v>
      </c>
      <c r="AD679" s="8" t="str">
        <v>96825</v>
      </c>
    </row>
    <row r="680" spans="1:30">
      <c r="A680" s="8" t="s">
        <v>761</v>
      </c>
      <c r="B680" s="19">
        <v>41912</v>
      </c>
      <c r="C680" s="8" t="s">
        <v>33</v>
      </c>
      <c r="D680" s="8">
        <v>10010</v>
      </c>
      <c r="E680" s="8" t="str">
        <f>VLOOKUP($D680,'Customer Details'!$A$1:$F$17,4,FALSE)</f>
        <v>Tracy</v>
      </c>
      <c r="F680" s="8" t="s">
        <v>449</v>
      </c>
      <c r="G680" s="8">
        <v>1</v>
      </c>
      <c r="H680" s="2" t="str">
        <f>VLOOKUP($D680,'Customer Details'!$A$1:$F$17,MATCH('Order SUmmary'!H$2,'Customer Details'!$A$1:$F$1,0),0)</f>
        <v>Suzlon Energy Ltd.</v>
      </c>
      <c r="I680" s="2" t="str">
        <f>VLOOKUP($D680,'Customer Details'!$A$1:$F$17,4,0)</f>
        <v>Tracy</v>
      </c>
      <c r="J680" s="2" t="str">
        <f>VLOOKUP($D680,'Customer Details'!$A$1:$F$17,6,0)</f>
        <v>95376</v>
      </c>
      <c r="K680" s="8" t="str">
        <f>VLOOKUP(VLOOKUP(D680,'Customer Details'!$A$1:$F$17,5,0),'Region INfo'!$A$1:$C$52,3,0)</f>
        <v xml:space="preserve">Pacific   </v>
      </c>
      <c r="L680" s="8" t="str">
        <f>INDEX(Product_List,MATCH($F680,'Product List'!$B$1:$B$299,0),MATCH('Order SUmmary'!L$2,'Product List'!$A$1:$E$1,0))</f>
        <v>AT&amp;T CL82213</v>
      </c>
      <c r="M680" s="8">
        <f>INDEX(Product_List,MATCH($F680,'Product List'!$B$1:$B$299,0),MATCH('Order SUmmary'!M$2,'Product List'!$A$1:$E$1,0))</f>
        <v>3759</v>
      </c>
      <c r="N680" s="8">
        <f>INDEX(Product_List,MATCH($F680,'Product List'!$B$1:$B$299,0),MATCH('Order SUmmary'!N$2,'Product List'!$A$1:$E$1,0))</f>
        <v>2258</v>
      </c>
      <c r="O680" s="8" t="str">
        <f>INDEX(Product_List,MATCH($F680,'Product List'!$B$1:$B$299,0),MATCH('Order SUmmary'!O$2,'Product List'!$A$1:$E$1,0))</f>
        <v>Phones</v>
      </c>
      <c r="P680" s="12">
        <f>HLOOKUP(C680,'Commission Criteria'!$A$2:$I$4,3,FALSE)</f>
        <v>1</v>
      </c>
      <c r="Q680" s="8">
        <f t="shared" si="31"/>
        <v>2258</v>
      </c>
      <c r="R680" s="8">
        <f t="shared" si="32"/>
        <v>3759</v>
      </c>
      <c r="S680" s="36">
        <f>VLOOKUP(R680,'Commission Criteria'!$L$3:$M$11,2,TRUE)</f>
        <v>0.01</v>
      </c>
      <c r="T680" s="36">
        <f>IF(P680&lt;5,VLOOKUP(R680,'Commission Criteria'!$L$3:$M$11,2,1),VLOOKUP('Order SUmmary'!R680,'Commission Criteria'!$P$3:$Q$11,2,1))</f>
        <v>0.01</v>
      </c>
      <c r="U680" s="36">
        <f>VLOOKUP(R680,IF(P680&lt;5,'Commission Criteria'!$L$3:$M$11,'Commission Criteria'!$P$3:$Q$11),2,1)</f>
        <v>0.01</v>
      </c>
      <c r="V680" s="8" t="s">
        <v>40</v>
      </c>
      <c r="W680" s="36">
        <f t="shared" ca="1" si="33"/>
        <v>0.01</v>
      </c>
      <c r="X680" s="8" t="str">
        <f>_xlfn.XLOOKUP(F680,'Product List'!$B$1:$B$299,'Product List'!$A$1:$A$299)</f>
        <v>AT&amp;T CL82213</v>
      </c>
      <c r="Y680" s="8"/>
      <c r="Z680" s="8" t="str" cm="1">
        <f t="array" ref="Z680:AD680">_xlfn.XLOOKUP(D680,'Customer Details'!$A$1:$A$17,'Customer Details'!$B$1:$F$17,"No such customer",0,1)</f>
        <v>Suzlon Energy Ltd.</v>
      </c>
      <c r="AA680" s="8" t="str">
        <v>501 Marsh Trail Circle</v>
      </c>
      <c r="AB680" s="8" t="str">
        <v>Tracy</v>
      </c>
      <c r="AC680" s="8" t="str">
        <v>CA</v>
      </c>
      <c r="AD680" s="8" t="str">
        <v>95376</v>
      </c>
    </row>
    <row r="681" spans="1:30">
      <c r="A681" s="8" t="s">
        <v>761</v>
      </c>
      <c r="B681" s="19">
        <v>41912</v>
      </c>
      <c r="C681" s="8" t="s">
        <v>36</v>
      </c>
      <c r="D681" s="8">
        <v>10004</v>
      </c>
      <c r="E681" s="8" t="str">
        <f>VLOOKUP($D681,'Customer Details'!$A$1:$F$17,4,FALSE)</f>
        <v>New York</v>
      </c>
      <c r="F681" s="8" t="s">
        <v>143</v>
      </c>
      <c r="G681" s="8">
        <v>2</v>
      </c>
      <c r="H681" s="2" t="str">
        <f>VLOOKUP($D681,'Customer Details'!$A$1:$F$17,MATCH('Order SUmmary'!H$2,'Customer Details'!$A$1:$F$1,0),0)</f>
        <v>Lupin Ltd.</v>
      </c>
      <c r="I681" s="2" t="str">
        <f>VLOOKUP($D681,'Customer Details'!$A$1:$F$17,4,0)</f>
        <v>New York</v>
      </c>
      <c r="J681" s="2" t="str">
        <f>VLOOKUP($D681,'Customer Details'!$A$1:$F$17,6,0)</f>
        <v>10019</v>
      </c>
      <c r="K681" s="8" t="str">
        <f>VLOOKUP(VLOOKUP(D681,'Customer Details'!$A$1:$F$17,5,0),'Region INfo'!$A$1:$C$52,3,0)</f>
        <v xml:space="preserve">Northern </v>
      </c>
      <c r="L681" s="8" t="str">
        <f>INDEX(Product_List,MATCH($F681,'Product List'!$B$1:$B$299,0),MATCH('Order SUmmary'!L$2,'Product List'!$A$1:$E$1,0))</f>
        <v>Xerox 1932</v>
      </c>
      <c r="M681" s="8">
        <f>INDEX(Product_List,MATCH($F681,'Product List'!$B$1:$B$299,0),MATCH('Order SUmmary'!M$2,'Product List'!$A$1:$E$1,0))</f>
        <v>4309</v>
      </c>
      <c r="N681" s="8">
        <f>INDEX(Product_List,MATCH($F681,'Product List'!$B$1:$B$299,0),MATCH('Order SUmmary'!N$2,'Product List'!$A$1:$E$1,0))</f>
        <v>1779</v>
      </c>
      <c r="O681" s="8" t="str">
        <f>INDEX(Product_List,MATCH($F681,'Product List'!$B$1:$B$299,0),MATCH('Order SUmmary'!O$2,'Product List'!$A$1:$E$1,0))</f>
        <v>Paper</v>
      </c>
      <c r="P681" s="12">
        <f>HLOOKUP(C681,'Commission Criteria'!$A$2:$I$4,3,FALSE)</f>
        <v>6</v>
      </c>
      <c r="Q681" s="8">
        <f t="shared" si="31"/>
        <v>3558</v>
      </c>
      <c r="R681" s="8">
        <f t="shared" si="32"/>
        <v>8618</v>
      </c>
      <c r="S681" s="36">
        <f>VLOOKUP(R681,'Commission Criteria'!$L$3:$M$11,2,TRUE)</f>
        <v>0.03</v>
      </c>
      <c r="T681" s="36">
        <f>IF(P681&lt;5,VLOOKUP(R681,'Commission Criteria'!$L$3:$M$11,2,1),VLOOKUP('Order SUmmary'!R681,'Commission Criteria'!$P$3:$Q$11,2,1))</f>
        <v>0.02</v>
      </c>
      <c r="U681" s="36">
        <f>VLOOKUP(R681,IF(P681&lt;5,'Commission Criteria'!$L$3:$M$11,'Commission Criteria'!$P$3:$Q$11),2,1)</f>
        <v>0.02</v>
      </c>
      <c r="V681" s="8" t="s">
        <v>43</v>
      </c>
      <c r="W681" s="36">
        <f t="shared" ca="1" si="33"/>
        <v>0.02</v>
      </c>
      <c r="X681" s="8" t="str">
        <f>_xlfn.XLOOKUP(F681,'Product List'!$B$1:$B$299,'Product List'!$A$1:$A$299)</f>
        <v>Xerox 1932</v>
      </c>
      <c r="Y681" s="8"/>
      <c r="Z681" s="8" t="str" cm="1">
        <f t="array" ref="Z681:AD681">_xlfn.XLOOKUP(D681,'Customer Details'!$A$1:$A$17,'Customer Details'!$B$1:$F$17,"No such customer",0,1)</f>
        <v>Lupin Ltd.</v>
      </c>
      <c r="AA681" s="8" t="str">
        <v>Abbey Wood</v>
      </c>
      <c r="AB681" s="8" t="str">
        <v>New York</v>
      </c>
      <c r="AC681" s="8" t="str">
        <v>NY</v>
      </c>
      <c r="AD681" s="8" t="str">
        <v>10019</v>
      </c>
    </row>
    <row r="682" spans="1:30">
      <c r="A682" s="8" t="s">
        <v>762</v>
      </c>
      <c r="B682" s="19">
        <v>41912</v>
      </c>
      <c r="C682" s="8" t="s">
        <v>51</v>
      </c>
      <c r="D682" s="8">
        <v>10001</v>
      </c>
      <c r="E682" s="8" t="str">
        <f>VLOOKUP($D682,'Customer Details'!$A$1:$F$17,4,FALSE)</f>
        <v>New York</v>
      </c>
      <c r="F682" s="8" t="s">
        <v>125</v>
      </c>
      <c r="G682" s="8">
        <v>3</v>
      </c>
      <c r="H682" s="2" t="str">
        <f>VLOOKUP($D682,'Customer Details'!$A$1:$F$17,MATCH('Order SUmmary'!H$2,'Customer Details'!$A$1:$F$1,0),0)</f>
        <v>Chambal Fertilisers and Chemicals Ltd.</v>
      </c>
      <c r="I682" s="2" t="str">
        <f>VLOOKUP($D682,'Customer Details'!$A$1:$F$17,4,0)</f>
        <v>New York</v>
      </c>
      <c r="J682" s="2" t="str">
        <f>VLOOKUP($D682,'Customer Details'!$A$1:$F$17,6,0)</f>
        <v>10025</v>
      </c>
      <c r="K682" s="8" t="str">
        <f>VLOOKUP(VLOOKUP(D682,'Customer Details'!$A$1:$F$17,5,0),'Region INfo'!$A$1:$C$52,3,0)</f>
        <v xml:space="preserve">Northern </v>
      </c>
      <c r="L682" s="8" t="str">
        <f>INDEX(Product_List,MATCH($F682,'Product List'!$B$1:$B$299,0),MATCH('Order SUmmary'!L$2,'Product List'!$A$1:$E$1,0))</f>
        <v>Xerox 1921</v>
      </c>
      <c r="M682" s="8">
        <f>INDEX(Product_List,MATCH($F682,'Product List'!$B$1:$B$299,0),MATCH('Order SUmmary'!M$2,'Product List'!$A$1:$E$1,0))</f>
        <v>3150</v>
      </c>
      <c r="N682" s="8">
        <f>INDEX(Product_List,MATCH($F682,'Product List'!$B$1:$B$299,0),MATCH('Order SUmmary'!N$2,'Product List'!$A$1:$E$1,0))</f>
        <v>1218</v>
      </c>
      <c r="O682" s="8" t="str">
        <f>INDEX(Product_List,MATCH($F682,'Product List'!$B$1:$B$299,0),MATCH('Order SUmmary'!O$2,'Product List'!$A$1:$E$1,0))</f>
        <v>Paper</v>
      </c>
      <c r="P682" s="12">
        <f>HLOOKUP(C682,'Commission Criteria'!$A$2:$I$4,3,FALSE)</f>
        <v>10</v>
      </c>
      <c r="Q682" s="8">
        <f t="shared" si="31"/>
        <v>3654</v>
      </c>
      <c r="R682" s="8">
        <f t="shared" si="32"/>
        <v>9450</v>
      </c>
      <c r="S682" s="36">
        <f>VLOOKUP(R682,'Commission Criteria'!$L$3:$M$11,2,TRUE)</f>
        <v>0.03</v>
      </c>
      <c r="T682" s="36">
        <f>IF(P682&lt;5,VLOOKUP(R682,'Commission Criteria'!$L$3:$M$11,2,1),VLOOKUP('Order SUmmary'!R682,'Commission Criteria'!$P$3:$Q$11,2,1))</f>
        <v>0.02</v>
      </c>
      <c r="U682" s="36">
        <f>VLOOKUP(R682,IF(P682&lt;5,'Commission Criteria'!$L$3:$M$11,'Commission Criteria'!$P$3:$Q$11),2,1)</f>
        <v>0.02</v>
      </c>
      <c r="V682" s="8" t="s">
        <v>43</v>
      </c>
      <c r="W682" s="36">
        <f t="shared" ca="1" si="33"/>
        <v>0.02</v>
      </c>
      <c r="X682" s="8" t="str">
        <f>_xlfn.XLOOKUP(F682,'Product List'!$B$1:$B$299,'Product List'!$A$1:$A$299)</f>
        <v>Xerox 1921</v>
      </c>
      <c r="Y682" s="8"/>
      <c r="Z682" s="8" t="str" cm="1">
        <f t="array" ref="Z682:AD682">_xlfn.XLOOKUP(D682,'Customer Details'!$A$1:$A$17,'Customer Details'!$B$1:$F$17,"No such customer",0,1)</f>
        <v>Chambal Fertilisers and Chemicals Ltd.</v>
      </c>
      <c r="AA682" s="8" t="str">
        <v>4951 Indiana Ave.</v>
      </c>
      <c r="AB682" s="8" t="str">
        <v>New York</v>
      </c>
      <c r="AC682" s="8" t="str">
        <v>NY</v>
      </c>
      <c r="AD682" s="8" t="str">
        <v>10025</v>
      </c>
    </row>
    <row r="683" spans="1:30">
      <c r="A683" s="8" t="s">
        <v>761</v>
      </c>
      <c r="B683" s="19">
        <v>41912</v>
      </c>
      <c r="C683" s="8" t="s">
        <v>51</v>
      </c>
      <c r="D683" s="8">
        <v>10010</v>
      </c>
      <c r="E683" s="8" t="str">
        <f>VLOOKUP($D683,'Customer Details'!$A$1:$F$17,4,FALSE)</f>
        <v>Tracy</v>
      </c>
      <c r="F683" s="8" t="s">
        <v>299</v>
      </c>
      <c r="G683" s="8">
        <v>3</v>
      </c>
      <c r="H683" s="2" t="str">
        <f>VLOOKUP($D683,'Customer Details'!$A$1:$F$17,MATCH('Order SUmmary'!H$2,'Customer Details'!$A$1:$F$1,0),0)</f>
        <v>Suzlon Energy Ltd.</v>
      </c>
      <c r="I683" s="2" t="str">
        <f>VLOOKUP($D683,'Customer Details'!$A$1:$F$17,4,0)</f>
        <v>Tracy</v>
      </c>
      <c r="J683" s="2" t="str">
        <f>VLOOKUP($D683,'Customer Details'!$A$1:$F$17,6,0)</f>
        <v>95376</v>
      </c>
      <c r="K683" s="8" t="str">
        <f>VLOOKUP(VLOOKUP(D683,'Customer Details'!$A$1:$F$17,5,0),'Region INfo'!$A$1:$C$52,3,0)</f>
        <v xml:space="preserve">Pacific   </v>
      </c>
      <c r="L683" s="8" t="str">
        <f>INDEX(Product_List,MATCH($F683,'Product List'!$B$1:$B$299,0),MATCH('Order SUmmary'!L$2,'Product List'!$A$1:$E$1,0))</f>
        <v>Xerox 1987</v>
      </c>
      <c r="M683" s="8">
        <f>INDEX(Product_List,MATCH($F683,'Product List'!$B$1:$B$299,0),MATCH('Order SUmmary'!M$2,'Product List'!$A$1:$E$1,0))</f>
        <v>3176</v>
      </c>
      <c r="N683" s="8">
        <f>INDEX(Product_List,MATCH($F683,'Product List'!$B$1:$B$299,0),MATCH('Order SUmmary'!N$2,'Product List'!$A$1:$E$1,0))</f>
        <v>1801</v>
      </c>
      <c r="O683" s="8" t="str">
        <f>INDEX(Product_List,MATCH($F683,'Product List'!$B$1:$B$299,0),MATCH('Order SUmmary'!O$2,'Product List'!$A$1:$E$1,0))</f>
        <v>Paper</v>
      </c>
      <c r="P683" s="12">
        <f>HLOOKUP(C683,'Commission Criteria'!$A$2:$I$4,3,FALSE)</f>
        <v>10</v>
      </c>
      <c r="Q683" s="8">
        <f t="shared" si="31"/>
        <v>5403</v>
      </c>
      <c r="R683" s="8">
        <f t="shared" si="32"/>
        <v>9528</v>
      </c>
      <c r="S683" s="36">
        <f>VLOOKUP(R683,'Commission Criteria'!$L$3:$M$11,2,TRUE)</f>
        <v>0.03</v>
      </c>
      <c r="T683" s="36">
        <f>IF(P683&lt;5,VLOOKUP(R683,'Commission Criteria'!$L$3:$M$11,2,1),VLOOKUP('Order SUmmary'!R683,'Commission Criteria'!$P$3:$Q$11,2,1))</f>
        <v>0.02</v>
      </c>
      <c r="U683" s="36">
        <f>VLOOKUP(R683,IF(P683&lt;5,'Commission Criteria'!$L$3:$M$11,'Commission Criteria'!$P$3:$Q$11),2,1)</f>
        <v>0.02</v>
      </c>
      <c r="V683" s="8" t="s">
        <v>35</v>
      </c>
      <c r="W683" s="36">
        <f t="shared" ca="1" si="33"/>
        <v>0.04</v>
      </c>
      <c r="X683" s="8" t="str">
        <f>_xlfn.XLOOKUP(F683,'Product List'!$B$1:$B$299,'Product List'!$A$1:$A$299)</f>
        <v>Xerox 1987</v>
      </c>
      <c r="Y683" s="8"/>
      <c r="Z683" s="8" t="str" cm="1">
        <f t="array" ref="Z683:AD683">_xlfn.XLOOKUP(D683,'Customer Details'!$A$1:$A$17,'Customer Details'!$B$1:$F$17,"No such customer",0,1)</f>
        <v>Suzlon Energy Ltd.</v>
      </c>
      <c r="AA683" s="8" t="str">
        <v>501 Marsh Trail Circle</v>
      </c>
      <c r="AB683" s="8" t="str">
        <v>Tracy</v>
      </c>
      <c r="AC683" s="8" t="str">
        <v>CA</v>
      </c>
      <c r="AD683" s="8" t="str">
        <v>95376</v>
      </c>
    </row>
    <row r="684" spans="1:30">
      <c r="A684" s="8" t="s">
        <v>763</v>
      </c>
      <c r="B684" s="19">
        <v>41915</v>
      </c>
      <c r="C684" s="8" t="s">
        <v>44</v>
      </c>
      <c r="D684" s="8">
        <v>10013</v>
      </c>
      <c r="E684" s="8" t="str">
        <f>VLOOKUP($D684,'Customer Details'!$A$1:$F$17,4,FALSE)</f>
        <v>Naugatuck</v>
      </c>
      <c r="F684" s="8" t="s">
        <v>147</v>
      </c>
      <c r="G684" s="8">
        <v>3</v>
      </c>
      <c r="H684" s="2" t="str">
        <f>VLOOKUP($D684,'Customer Details'!$A$1:$F$17,MATCH('Order SUmmary'!H$2,'Customer Details'!$A$1:$F$1,0),0)</f>
        <v>GMR Infrastructure Ltd.</v>
      </c>
      <c r="I684" s="2" t="str">
        <f>VLOOKUP($D684,'Customer Details'!$A$1:$F$17,4,0)</f>
        <v>Naugatuck</v>
      </c>
      <c r="J684" s="2" t="str">
        <f>VLOOKUP($D684,'Customer Details'!$A$1:$F$17,6,0)</f>
        <v>06770</v>
      </c>
      <c r="K684" s="8" t="str">
        <f>VLOOKUP(VLOOKUP(D684,'Customer Details'!$A$1:$F$17,5,0),'Region INfo'!$A$1:$C$52,3,0)</f>
        <v xml:space="preserve">Northern </v>
      </c>
      <c r="L684" s="8" t="str">
        <f>INDEX(Product_List,MATCH($F684,'Product List'!$B$1:$B$299,0),MATCH('Order SUmmary'!L$2,'Product List'!$A$1:$E$1,0))</f>
        <v>Xerox 1936</v>
      </c>
      <c r="M684" s="8">
        <f>INDEX(Product_List,MATCH($F684,'Product List'!$B$1:$B$299,0),MATCH('Order SUmmary'!M$2,'Product List'!$A$1:$E$1,0))</f>
        <v>2539</v>
      </c>
      <c r="N684" s="8">
        <f>INDEX(Product_List,MATCH($F684,'Product List'!$B$1:$B$299,0),MATCH('Order SUmmary'!N$2,'Product List'!$A$1:$E$1,0))</f>
        <v>1656</v>
      </c>
      <c r="O684" s="8" t="str">
        <f>INDEX(Product_List,MATCH($F684,'Product List'!$B$1:$B$299,0),MATCH('Order SUmmary'!O$2,'Product List'!$A$1:$E$1,0))</f>
        <v>Paper</v>
      </c>
      <c r="P684" s="12">
        <f>HLOOKUP(C684,'Commission Criteria'!$A$2:$I$4,3,FALSE)</f>
        <v>4</v>
      </c>
      <c r="Q684" s="8">
        <f t="shared" si="31"/>
        <v>4968</v>
      </c>
      <c r="R684" s="8">
        <f t="shared" si="32"/>
        <v>7617</v>
      </c>
      <c r="S684" s="36">
        <f>VLOOKUP(R684,'Commission Criteria'!$L$3:$M$11,2,TRUE)</f>
        <v>0.03</v>
      </c>
      <c r="T684" s="36">
        <f>IF(P684&lt;5,VLOOKUP(R684,'Commission Criteria'!$L$3:$M$11,2,1),VLOOKUP('Order SUmmary'!R684,'Commission Criteria'!$P$3:$Q$11,2,1))</f>
        <v>0.03</v>
      </c>
      <c r="U684" s="36">
        <f>VLOOKUP(R684,IF(P684&lt;5,'Commission Criteria'!$L$3:$M$11,'Commission Criteria'!$P$3:$Q$11),2,1)</f>
        <v>0.03</v>
      </c>
      <c r="V684" s="8" t="s">
        <v>43</v>
      </c>
      <c r="W684" s="36">
        <f t="shared" ca="1" si="33"/>
        <v>0.02</v>
      </c>
      <c r="X684" s="8" t="str">
        <f>_xlfn.XLOOKUP(F684,'Product List'!$B$1:$B$299,'Product List'!$A$1:$A$299)</f>
        <v>Xerox 1936</v>
      </c>
      <c r="Y684" s="8"/>
      <c r="Z684" s="8" t="str" cm="1">
        <f t="array" ref="Z684:AD684">_xlfn.XLOOKUP(D684,'Customer Details'!$A$1:$A$17,'Customer Details'!$B$1:$F$17,"No such customer",0,1)</f>
        <v>GMR Infrastructure Ltd.</v>
      </c>
      <c r="AA684" s="8" t="str">
        <v>P.O. Box 4421</v>
      </c>
      <c r="AB684" s="8" t="str">
        <v>Naugatuck</v>
      </c>
      <c r="AC684" s="8" t="str">
        <v>CT</v>
      </c>
      <c r="AD684" s="8" t="str">
        <v>06770</v>
      </c>
    </row>
    <row r="685" spans="1:30">
      <c r="A685" s="8" t="s">
        <v>764</v>
      </c>
      <c r="B685" s="19">
        <v>41918</v>
      </c>
      <c r="C685" s="8" t="s">
        <v>44</v>
      </c>
      <c r="D685" s="8">
        <v>10011</v>
      </c>
      <c r="E685" s="8" t="str">
        <f>VLOOKUP($D685,'Customer Details'!$A$1:$F$17,4,FALSE)</f>
        <v>Olympia</v>
      </c>
      <c r="F685" s="8" t="s">
        <v>322</v>
      </c>
      <c r="G685" s="8">
        <v>2</v>
      </c>
      <c r="H685" s="2" t="str">
        <f>VLOOKUP($D685,'Customer Details'!$A$1:$F$17,MATCH('Order SUmmary'!H$2,'Customer Details'!$A$1:$F$1,0),0)</f>
        <v>Sonata Software</v>
      </c>
      <c r="I685" s="2" t="str">
        <f>VLOOKUP($D685,'Customer Details'!$A$1:$F$17,4,0)</f>
        <v>Olympia</v>
      </c>
      <c r="J685" s="2" t="str">
        <f>VLOOKUP($D685,'Customer Details'!$A$1:$F$17,6,0)</f>
        <v>98502</v>
      </c>
      <c r="K685" s="8" t="str">
        <f>VLOOKUP(VLOOKUP(D685,'Customer Details'!$A$1:$F$17,5,0),'Region INfo'!$A$1:$C$52,3,0)</f>
        <v xml:space="preserve">Pacific   </v>
      </c>
      <c r="L685" s="8" t="str">
        <f>INDEX(Product_List,MATCH($F685,'Product List'!$B$1:$B$299,0),MATCH('Order SUmmary'!L$2,'Product List'!$A$1:$E$1,0))</f>
        <v>Xerox 1966</v>
      </c>
      <c r="M685" s="8">
        <f>INDEX(Product_List,MATCH($F685,'Product List'!$B$1:$B$299,0),MATCH('Order SUmmary'!M$2,'Product List'!$A$1:$E$1,0))</f>
        <v>4476</v>
      </c>
      <c r="N685" s="8">
        <f>INDEX(Product_List,MATCH($F685,'Product List'!$B$1:$B$299,0),MATCH('Order SUmmary'!N$2,'Product List'!$A$1:$E$1,0))</f>
        <v>2494</v>
      </c>
      <c r="O685" s="8" t="str">
        <f>INDEX(Product_List,MATCH($F685,'Product List'!$B$1:$B$299,0),MATCH('Order SUmmary'!O$2,'Product List'!$A$1:$E$1,0))</f>
        <v>Paper</v>
      </c>
      <c r="P685" s="12">
        <f>HLOOKUP(C685,'Commission Criteria'!$A$2:$I$4,3,FALSE)</f>
        <v>4</v>
      </c>
      <c r="Q685" s="8">
        <f t="shared" si="31"/>
        <v>4988</v>
      </c>
      <c r="R685" s="8">
        <f t="shared" si="32"/>
        <v>8952</v>
      </c>
      <c r="S685" s="36">
        <f>VLOOKUP(R685,'Commission Criteria'!$L$3:$M$11,2,TRUE)</f>
        <v>0.03</v>
      </c>
      <c r="T685" s="36">
        <f>IF(P685&lt;5,VLOOKUP(R685,'Commission Criteria'!$L$3:$M$11,2,1),VLOOKUP('Order SUmmary'!R685,'Commission Criteria'!$P$3:$Q$11,2,1))</f>
        <v>0.03</v>
      </c>
      <c r="U685" s="36">
        <f>VLOOKUP(R685,IF(P685&lt;5,'Commission Criteria'!$L$3:$M$11,'Commission Criteria'!$P$3:$Q$11),2,1)</f>
        <v>0.03</v>
      </c>
      <c r="V685" s="8" t="s">
        <v>32</v>
      </c>
      <c r="W685" s="36">
        <f t="shared" ca="1" si="33"/>
        <v>0</v>
      </c>
      <c r="X685" s="8" t="str">
        <f>_xlfn.XLOOKUP(F685,'Product List'!$B$1:$B$299,'Product List'!$A$1:$A$299)</f>
        <v>Xerox 1966</v>
      </c>
      <c r="Y685" s="8"/>
      <c r="Z685" s="8" t="str" cm="1">
        <f t="array" ref="Z685:AD685">_xlfn.XLOOKUP(D685,'Customer Details'!$A$1:$A$17,'Customer Details'!$B$1:$F$17,"No such customer",0,1)</f>
        <v>Sonata Software</v>
      </c>
      <c r="AA685" s="8" t="str">
        <v>1331 Kimberly Dr.</v>
      </c>
      <c r="AB685" s="8" t="str">
        <v>Olympia</v>
      </c>
      <c r="AC685" s="8" t="str">
        <v>WA</v>
      </c>
      <c r="AD685" s="8" t="str">
        <v>98502</v>
      </c>
    </row>
    <row r="686" spans="1:30">
      <c r="A686" s="8" t="s">
        <v>765</v>
      </c>
      <c r="B686" s="19">
        <v>41919</v>
      </c>
      <c r="C686" s="8" t="s">
        <v>36</v>
      </c>
      <c r="D686" s="8">
        <v>10015</v>
      </c>
      <c r="E686" s="8" t="str">
        <f>VLOOKUP($D686,'Customer Details'!$A$1:$F$17,4,FALSE)</f>
        <v>South Windsor</v>
      </c>
      <c r="F686" s="8" t="s">
        <v>330</v>
      </c>
      <c r="G686" s="8">
        <v>1</v>
      </c>
      <c r="H686" s="2" t="str">
        <f>VLOOKUP($D686,'Customer Details'!$A$1:$F$17,MATCH('Order SUmmary'!H$2,'Customer Details'!$A$1:$F$1,0),0)</f>
        <v>Punj Lloyd Ltd.</v>
      </c>
      <c r="I686" s="2" t="str">
        <f>VLOOKUP($D686,'Customer Details'!$A$1:$F$17,4,0)</f>
        <v>South Windsor</v>
      </c>
      <c r="J686" s="2" t="str">
        <f>VLOOKUP($D686,'Customer Details'!$A$1:$F$17,6,0)</f>
        <v>06074</v>
      </c>
      <c r="K686" s="8" t="str">
        <f>VLOOKUP(VLOOKUP(D686,'Customer Details'!$A$1:$F$17,5,0),'Region INfo'!$A$1:$C$52,3,0)</f>
        <v xml:space="preserve">Northern </v>
      </c>
      <c r="L686" s="8" t="str">
        <f>INDEX(Product_List,MATCH($F686,'Product List'!$B$1:$B$299,0),MATCH('Order SUmmary'!L$2,'Product List'!$A$1:$E$1,0))</f>
        <v>Xerox 1909</v>
      </c>
      <c r="M686" s="8">
        <f>INDEX(Product_List,MATCH($F686,'Product List'!$B$1:$B$299,0),MATCH('Order SUmmary'!M$2,'Product List'!$A$1:$E$1,0))</f>
        <v>2628</v>
      </c>
      <c r="N686" s="8">
        <f>INDEX(Product_List,MATCH($F686,'Product List'!$B$1:$B$299,0),MATCH('Order SUmmary'!N$2,'Product List'!$A$1:$E$1,0))</f>
        <v>1803</v>
      </c>
      <c r="O686" s="8" t="str">
        <f>INDEX(Product_List,MATCH($F686,'Product List'!$B$1:$B$299,0),MATCH('Order SUmmary'!O$2,'Product List'!$A$1:$E$1,0))</f>
        <v>Paper</v>
      </c>
      <c r="P686" s="12">
        <f>HLOOKUP(C686,'Commission Criteria'!$A$2:$I$4,3,FALSE)</f>
        <v>6</v>
      </c>
      <c r="Q686" s="8">
        <f t="shared" si="31"/>
        <v>1803</v>
      </c>
      <c r="R686" s="8">
        <f t="shared" si="32"/>
        <v>2628</v>
      </c>
      <c r="S686" s="36">
        <f>VLOOKUP(R686,'Commission Criteria'!$L$3:$M$11,2,TRUE)</f>
        <v>0.01</v>
      </c>
      <c r="T686" s="36">
        <f>IF(P686&lt;5,VLOOKUP(R686,'Commission Criteria'!$L$3:$M$11,2,1),VLOOKUP('Order SUmmary'!R686,'Commission Criteria'!$P$3:$Q$11,2,1))</f>
        <v>0.02</v>
      </c>
      <c r="U686" s="36">
        <f>VLOOKUP(R686,IF(P686&lt;5,'Commission Criteria'!$L$3:$M$11,'Commission Criteria'!$P$3:$Q$11),2,1)</f>
        <v>0.02</v>
      </c>
      <c r="V686" s="8" t="s">
        <v>50</v>
      </c>
      <c r="W686" s="36">
        <f t="shared" ca="1" si="33"/>
        <v>0.02</v>
      </c>
      <c r="X686" s="8" t="str">
        <f>_xlfn.XLOOKUP(F686,'Product List'!$B$1:$B$299,'Product List'!$A$1:$A$299)</f>
        <v>Xerox 1909</v>
      </c>
      <c r="Y686" s="8"/>
      <c r="Z686" s="8" t="str" cm="1">
        <f t="array" ref="Z686:AD686">_xlfn.XLOOKUP(D686,'Customer Details'!$A$1:$A$17,'Customer Details'!$B$1:$F$17,"No such customer",0,1)</f>
        <v>Punj Lloyd Ltd.</v>
      </c>
      <c r="AA686" s="8" t="str">
        <v>Box 3263</v>
      </c>
      <c r="AB686" s="8" t="str">
        <v>South Windsor</v>
      </c>
      <c r="AC686" s="8" t="str">
        <v>CT</v>
      </c>
      <c r="AD686" s="8" t="str">
        <v>06074</v>
      </c>
    </row>
    <row r="687" spans="1:30">
      <c r="A687" s="8" t="s">
        <v>765</v>
      </c>
      <c r="B687" s="19">
        <v>41919</v>
      </c>
      <c r="C687" s="8" t="s">
        <v>54</v>
      </c>
      <c r="D687" s="8">
        <v>10004</v>
      </c>
      <c r="E687" s="8" t="str">
        <f>VLOOKUP($D687,'Customer Details'!$A$1:$F$17,4,FALSE)</f>
        <v>New York</v>
      </c>
      <c r="F687" s="8" t="s">
        <v>390</v>
      </c>
      <c r="G687" s="8">
        <v>1</v>
      </c>
      <c r="H687" s="2" t="str">
        <f>VLOOKUP($D687,'Customer Details'!$A$1:$F$17,MATCH('Order SUmmary'!H$2,'Customer Details'!$A$1:$F$1,0),0)</f>
        <v>Lupin Ltd.</v>
      </c>
      <c r="I687" s="2" t="str">
        <f>VLOOKUP($D687,'Customer Details'!$A$1:$F$17,4,0)</f>
        <v>New York</v>
      </c>
      <c r="J687" s="2" t="str">
        <f>VLOOKUP($D687,'Customer Details'!$A$1:$F$17,6,0)</f>
        <v>10019</v>
      </c>
      <c r="K687" s="8" t="str">
        <f>VLOOKUP(VLOOKUP(D687,'Customer Details'!$A$1:$F$17,5,0),'Region INfo'!$A$1:$C$52,3,0)</f>
        <v xml:space="preserve">Northern </v>
      </c>
      <c r="L687" s="8" t="str">
        <f>INDEX(Product_List,MATCH($F687,'Product List'!$B$1:$B$299,0),MATCH('Order SUmmary'!L$2,'Product List'!$A$1:$E$1,0))</f>
        <v>Avery 502</v>
      </c>
      <c r="M687" s="8">
        <f>INDEX(Product_List,MATCH($F687,'Product List'!$B$1:$B$299,0),MATCH('Order SUmmary'!M$2,'Product List'!$A$1:$E$1,0))</f>
        <v>2645</v>
      </c>
      <c r="N687" s="8">
        <f>INDEX(Product_List,MATCH($F687,'Product List'!$B$1:$B$299,0),MATCH('Order SUmmary'!N$2,'Product List'!$A$1:$E$1,0))</f>
        <v>1547</v>
      </c>
      <c r="O687" s="8" t="str">
        <f>INDEX(Product_List,MATCH($F687,'Product List'!$B$1:$B$299,0),MATCH('Order SUmmary'!O$2,'Product List'!$A$1:$E$1,0))</f>
        <v>Labels</v>
      </c>
      <c r="P687" s="12">
        <f>HLOOKUP(C687,'Commission Criteria'!$A$2:$I$4,3,FALSE)</f>
        <v>3</v>
      </c>
      <c r="Q687" s="8">
        <f t="shared" si="31"/>
        <v>1547</v>
      </c>
      <c r="R687" s="8">
        <f t="shared" si="32"/>
        <v>2645</v>
      </c>
      <c r="S687" s="36">
        <f>VLOOKUP(R687,'Commission Criteria'!$L$3:$M$11,2,TRUE)</f>
        <v>0.01</v>
      </c>
      <c r="T687" s="36">
        <f>IF(P687&lt;5,VLOOKUP(R687,'Commission Criteria'!$L$3:$M$11,2,1),VLOOKUP('Order SUmmary'!R687,'Commission Criteria'!$P$3:$Q$11,2,1))</f>
        <v>0.01</v>
      </c>
      <c r="U687" s="36">
        <f>VLOOKUP(R687,IF(P687&lt;5,'Commission Criteria'!$L$3:$M$11,'Commission Criteria'!$P$3:$Q$11),2,1)</f>
        <v>0.01</v>
      </c>
      <c r="V687" s="8" t="s">
        <v>43</v>
      </c>
      <c r="W687" s="36">
        <f t="shared" ca="1" si="33"/>
        <v>0.05</v>
      </c>
      <c r="X687" s="8" t="str">
        <f>_xlfn.XLOOKUP(F687,'Product List'!$B$1:$B$299,'Product List'!$A$1:$A$299)</f>
        <v>Avery 502</v>
      </c>
      <c r="Y687" s="8"/>
      <c r="Z687" s="8" t="str" cm="1">
        <f t="array" ref="Z687:AD687">_xlfn.XLOOKUP(D687,'Customer Details'!$A$1:$A$17,'Customer Details'!$B$1:$F$17,"No such customer",0,1)</f>
        <v>Lupin Ltd.</v>
      </c>
      <c r="AA687" s="8" t="str">
        <v>Abbey Wood</v>
      </c>
      <c r="AB687" s="8" t="str">
        <v>New York</v>
      </c>
      <c r="AC687" s="8" t="str">
        <v>NY</v>
      </c>
      <c r="AD687" s="8" t="str">
        <v>10019</v>
      </c>
    </row>
    <row r="688" spans="1:30">
      <c r="A688" s="8" t="s">
        <v>766</v>
      </c>
      <c r="B688" s="19">
        <v>41919</v>
      </c>
      <c r="C688" s="8" t="s">
        <v>66</v>
      </c>
      <c r="D688" s="8">
        <v>10010</v>
      </c>
      <c r="E688" s="8" t="str">
        <f>VLOOKUP($D688,'Customer Details'!$A$1:$F$17,4,FALSE)</f>
        <v>Tracy</v>
      </c>
      <c r="F688" s="8" t="s">
        <v>69</v>
      </c>
      <c r="G688" s="8">
        <v>1</v>
      </c>
      <c r="H688" s="2" t="str">
        <f>VLOOKUP($D688,'Customer Details'!$A$1:$F$17,MATCH('Order SUmmary'!H$2,'Customer Details'!$A$1:$F$1,0),0)</f>
        <v>Suzlon Energy Ltd.</v>
      </c>
      <c r="I688" s="2" t="str">
        <f>VLOOKUP($D688,'Customer Details'!$A$1:$F$17,4,0)</f>
        <v>Tracy</v>
      </c>
      <c r="J688" s="2" t="str">
        <f>VLOOKUP($D688,'Customer Details'!$A$1:$F$17,6,0)</f>
        <v>95376</v>
      </c>
      <c r="K688" s="8" t="str">
        <f>VLOOKUP(VLOOKUP(D688,'Customer Details'!$A$1:$F$17,5,0),'Region INfo'!$A$1:$C$52,3,0)</f>
        <v xml:space="preserve">Pacific   </v>
      </c>
      <c r="L688" s="8" t="str">
        <f>INDEX(Product_List,MATCH($F688,'Product List'!$B$1:$B$299,0),MATCH('Order SUmmary'!L$2,'Product List'!$A$1:$E$1,0))</f>
        <v>Newell 330</v>
      </c>
      <c r="M688" s="8">
        <f>INDEX(Product_List,MATCH($F688,'Product List'!$B$1:$B$299,0),MATCH('Order SUmmary'!M$2,'Product List'!$A$1:$E$1,0))</f>
        <v>2895</v>
      </c>
      <c r="N688" s="8">
        <f>INDEX(Product_List,MATCH($F688,'Product List'!$B$1:$B$299,0),MATCH('Order SUmmary'!N$2,'Product List'!$A$1:$E$1,0))</f>
        <v>1871</v>
      </c>
      <c r="O688" s="8" t="str">
        <f>INDEX(Product_List,MATCH($F688,'Product List'!$B$1:$B$299,0),MATCH('Order SUmmary'!O$2,'Product List'!$A$1:$E$1,0))</f>
        <v>Art</v>
      </c>
      <c r="P688" s="12">
        <f>HLOOKUP(C688,'Commission Criteria'!$A$2:$I$4,3,FALSE)</f>
        <v>5</v>
      </c>
      <c r="Q688" s="8">
        <f t="shared" si="31"/>
        <v>1871</v>
      </c>
      <c r="R688" s="8">
        <f t="shared" si="32"/>
        <v>2895</v>
      </c>
      <c r="S688" s="36">
        <f>VLOOKUP(R688,'Commission Criteria'!$L$3:$M$11,2,TRUE)</f>
        <v>0.01</v>
      </c>
      <c r="T688" s="36">
        <f>IF(P688&lt;5,VLOOKUP(R688,'Commission Criteria'!$L$3:$M$11,2,1),VLOOKUP('Order SUmmary'!R688,'Commission Criteria'!$P$3:$Q$11,2,1))</f>
        <v>0.02</v>
      </c>
      <c r="U688" s="36">
        <f>VLOOKUP(R688,IF(P688&lt;5,'Commission Criteria'!$L$3:$M$11,'Commission Criteria'!$P$3:$Q$11),2,1)</f>
        <v>0.02</v>
      </c>
      <c r="V688" s="8" t="s">
        <v>35</v>
      </c>
      <c r="W688" s="36">
        <f t="shared" ca="1" si="33"/>
        <v>0.05</v>
      </c>
      <c r="X688" s="8" t="str">
        <f>_xlfn.XLOOKUP(F688,'Product List'!$B$1:$B$299,'Product List'!$A$1:$A$299)</f>
        <v>Newell 330</v>
      </c>
      <c r="Y688" s="8"/>
      <c r="Z688" s="8" t="str" cm="1">
        <f t="array" ref="Z688:AD688">_xlfn.XLOOKUP(D688,'Customer Details'!$A$1:$A$17,'Customer Details'!$B$1:$F$17,"No such customer",0,1)</f>
        <v>Suzlon Energy Ltd.</v>
      </c>
      <c r="AA688" s="8" t="str">
        <v>501 Marsh Trail Circle</v>
      </c>
      <c r="AB688" s="8" t="str">
        <v>Tracy</v>
      </c>
      <c r="AC688" s="8" t="str">
        <v>CA</v>
      </c>
      <c r="AD688" s="8" t="str">
        <v>95376</v>
      </c>
    </row>
    <row r="689" spans="1:30">
      <c r="A689" s="8" t="s">
        <v>765</v>
      </c>
      <c r="B689" s="19">
        <v>41919</v>
      </c>
      <c r="C689" s="8" t="s">
        <v>66</v>
      </c>
      <c r="D689" s="8">
        <v>10005</v>
      </c>
      <c r="E689" s="8" t="str">
        <f>VLOOKUP($D689,'Customer Details'!$A$1:$F$17,4,FALSE)</f>
        <v>Goleta</v>
      </c>
      <c r="F689" s="8" t="s">
        <v>257</v>
      </c>
      <c r="G689" s="8">
        <v>3</v>
      </c>
      <c r="H689" s="2" t="str">
        <f>VLOOKUP($D689,'Customer Details'!$A$1:$F$17,MATCH('Order SUmmary'!H$2,'Customer Details'!$A$1:$F$1,0),0)</f>
        <v>Fortis Healthcare Ltd.</v>
      </c>
      <c r="I689" s="2" t="str">
        <f>VLOOKUP($D689,'Customer Details'!$A$1:$F$17,4,0)</f>
        <v>Goleta</v>
      </c>
      <c r="J689" s="2" t="str">
        <f>VLOOKUP($D689,'Customer Details'!$A$1:$F$17,6,0)</f>
        <v>93117</v>
      </c>
      <c r="K689" s="8" t="str">
        <f>VLOOKUP(VLOOKUP(D689,'Customer Details'!$A$1:$F$17,5,0),'Region INfo'!$A$1:$C$52,3,0)</f>
        <v xml:space="preserve">Pacific   </v>
      </c>
      <c r="L689" s="8" t="str">
        <f>INDEX(Product_List,MATCH($F689,'Product List'!$B$1:$B$299,0),MATCH('Order SUmmary'!L$2,'Product List'!$A$1:$E$1,0))</f>
        <v>Xerox 1977</v>
      </c>
      <c r="M689" s="8">
        <f>INDEX(Product_List,MATCH($F689,'Product List'!$B$1:$B$299,0),MATCH('Order SUmmary'!M$2,'Product List'!$A$1:$E$1,0))</f>
        <v>3649</v>
      </c>
      <c r="N689" s="8">
        <f>INDEX(Product_List,MATCH($F689,'Product List'!$B$1:$B$299,0),MATCH('Order SUmmary'!N$2,'Product List'!$A$1:$E$1,0))</f>
        <v>2295</v>
      </c>
      <c r="O689" s="8" t="str">
        <f>INDEX(Product_List,MATCH($F689,'Product List'!$B$1:$B$299,0),MATCH('Order SUmmary'!O$2,'Product List'!$A$1:$E$1,0))</f>
        <v>Paper</v>
      </c>
      <c r="P689" s="12">
        <f>HLOOKUP(C689,'Commission Criteria'!$A$2:$I$4,3,FALSE)</f>
        <v>5</v>
      </c>
      <c r="Q689" s="8">
        <f t="shared" si="31"/>
        <v>6885</v>
      </c>
      <c r="R689" s="8">
        <f t="shared" si="32"/>
        <v>10947</v>
      </c>
      <c r="S689" s="36">
        <f>VLOOKUP(R689,'Commission Criteria'!$L$3:$M$11,2,TRUE)</f>
        <v>0.03</v>
      </c>
      <c r="T689" s="36">
        <f>IF(P689&lt;5,VLOOKUP(R689,'Commission Criteria'!$L$3:$M$11,2,1),VLOOKUP('Order SUmmary'!R689,'Commission Criteria'!$P$3:$Q$11,2,1))</f>
        <v>0.02</v>
      </c>
      <c r="U689" s="36">
        <f>VLOOKUP(R689,IF(P689&lt;5,'Commission Criteria'!$L$3:$M$11,'Commission Criteria'!$P$3:$Q$11),2,1)</f>
        <v>0.02</v>
      </c>
      <c r="V689" s="8" t="s">
        <v>32</v>
      </c>
      <c r="W689" s="36">
        <f t="shared" ca="1" si="33"/>
        <v>0.02</v>
      </c>
      <c r="X689" s="8" t="str">
        <f>_xlfn.XLOOKUP(F689,'Product List'!$B$1:$B$299,'Product List'!$A$1:$A$299)</f>
        <v>Xerox 1977</v>
      </c>
      <c r="Y689" s="8"/>
      <c r="Z689" s="8" t="str" cm="1">
        <f t="array" ref="Z689:AD689">_xlfn.XLOOKUP(D689,'Customer Details'!$A$1:$A$17,'Customer Details'!$B$1:$F$17,"No such customer",0,1)</f>
        <v>Fortis Healthcare Ltd.</v>
      </c>
      <c r="AA689" s="8" t="str">
        <v>14 Elsworthy Terrace</v>
      </c>
      <c r="AB689" s="8" t="str">
        <v>Goleta</v>
      </c>
      <c r="AC689" s="8" t="str">
        <v>CA</v>
      </c>
      <c r="AD689" s="8" t="str">
        <v>93117</v>
      </c>
    </row>
    <row r="690" spans="1:30">
      <c r="A690" s="8" t="s">
        <v>767</v>
      </c>
      <c r="B690" s="19">
        <v>41922</v>
      </c>
      <c r="C690" s="8" t="s">
        <v>36</v>
      </c>
      <c r="D690" s="8">
        <v>10002</v>
      </c>
      <c r="E690" s="8" t="str">
        <f>VLOOKUP($D690,'Customer Details'!$A$1:$F$17,4,FALSE)</f>
        <v>Omaha</v>
      </c>
      <c r="F690" s="8" t="s">
        <v>137</v>
      </c>
      <c r="G690" s="8">
        <v>1</v>
      </c>
      <c r="H690" s="2" t="str">
        <f>VLOOKUP($D690,'Customer Details'!$A$1:$F$17,MATCH('Order SUmmary'!H$2,'Customer Details'!$A$1:$F$1,0),0)</f>
        <v>Elder Pharmaceuticals</v>
      </c>
      <c r="I690" s="2" t="str">
        <f>VLOOKUP($D690,'Customer Details'!$A$1:$F$17,4,0)</f>
        <v>Omaha</v>
      </c>
      <c r="J690" s="2" t="str">
        <f>VLOOKUP($D690,'Customer Details'!$A$1:$F$17,6,0)</f>
        <v>68127</v>
      </c>
      <c r="K690" s="8" t="str">
        <f>VLOOKUP(VLOOKUP(D690,'Customer Details'!$A$1:$F$17,5,0),'Region INfo'!$A$1:$C$52,3,0)</f>
        <v>Western</v>
      </c>
      <c r="L690" s="8" t="str">
        <f>INDEX(Product_List,MATCH($F690,'Product List'!$B$1:$B$299,0),MATCH('Order SUmmary'!L$2,'Product List'!$A$1:$E$1,0))</f>
        <v>Newell 35</v>
      </c>
      <c r="M690" s="8">
        <f>INDEX(Product_List,MATCH($F690,'Product List'!$B$1:$B$299,0),MATCH('Order SUmmary'!M$2,'Product List'!$A$1:$E$1,0))</f>
        <v>4209</v>
      </c>
      <c r="N690" s="8">
        <f>INDEX(Product_List,MATCH($F690,'Product List'!$B$1:$B$299,0),MATCH('Order SUmmary'!N$2,'Product List'!$A$1:$E$1,0))</f>
        <v>1692</v>
      </c>
      <c r="O690" s="8" t="str">
        <f>INDEX(Product_List,MATCH($F690,'Product List'!$B$1:$B$299,0),MATCH('Order SUmmary'!O$2,'Product List'!$A$1:$E$1,0))</f>
        <v>Art</v>
      </c>
      <c r="P690" s="12">
        <f>HLOOKUP(C690,'Commission Criteria'!$A$2:$I$4,3,FALSE)</f>
        <v>6</v>
      </c>
      <c r="Q690" s="8">
        <f t="shared" si="31"/>
        <v>1692</v>
      </c>
      <c r="R690" s="8">
        <f t="shared" si="32"/>
        <v>4209</v>
      </c>
      <c r="S690" s="36">
        <f>VLOOKUP(R690,'Commission Criteria'!$L$3:$M$11,2,TRUE)</f>
        <v>0.01</v>
      </c>
      <c r="T690" s="36">
        <f>IF(P690&lt;5,VLOOKUP(R690,'Commission Criteria'!$L$3:$M$11,2,1),VLOOKUP('Order SUmmary'!R690,'Commission Criteria'!$P$3:$Q$11,2,1))</f>
        <v>0.02</v>
      </c>
      <c r="U690" s="36">
        <f>VLOOKUP(R690,IF(P690&lt;5,'Commission Criteria'!$L$3:$M$11,'Commission Criteria'!$P$3:$Q$11),2,1)</f>
        <v>0.02</v>
      </c>
      <c r="V690" s="8" t="s">
        <v>43</v>
      </c>
      <c r="W690" s="36">
        <f t="shared" ca="1" si="33"/>
        <v>0.05</v>
      </c>
      <c r="X690" s="8" t="str">
        <f>_xlfn.XLOOKUP(F690,'Product List'!$B$1:$B$299,'Product List'!$A$1:$A$299)</f>
        <v>Newell 35</v>
      </c>
      <c r="Y690" s="8"/>
      <c r="Z690" s="8" t="str" cm="1">
        <f t="array" ref="Z690:AD690">_xlfn.XLOOKUP(D690,'Customer Details'!$A$1:$A$17,'Customer Details'!$B$1:$F$17,"No such customer",0,1)</f>
        <v>Elder Pharmaceuticals</v>
      </c>
      <c r="AA690" s="8" t="str">
        <v>57 Neriba Cres</v>
      </c>
      <c r="AB690" s="8" t="str">
        <v>Omaha</v>
      </c>
      <c r="AC690" s="8" t="str">
        <v>NE</v>
      </c>
      <c r="AD690" s="8" t="str">
        <v>68127</v>
      </c>
    </row>
    <row r="691" spans="1:30">
      <c r="A691" s="8" t="s">
        <v>768</v>
      </c>
      <c r="B691" s="19">
        <v>41923</v>
      </c>
      <c r="C691" s="8" t="s">
        <v>27</v>
      </c>
      <c r="D691" s="8">
        <v>10012</v>
      </c>
      <c r="E691" s="8" t="str">
        <f>VLOOKUP($D691,'Customer Details'!$A$1:$F$17,4,FALSE)</f>
        <v>Santa Barbara</v>
      </c>
      <c r="F691" s="8" t="s">
        <v>367</v>
      </c>
      <c r="G691" s="8">
        <v>2</v>
      </c>
      <c r="H691" s="2" t="str">
        <f>VLOOKUP($D691,'Customer Details'!$A$1:$F$17,MATCH('Order SUmmary'!H$2,'Customer Details'!$A$1:$F$1,0),0)</f>
        <v>Dynamatic Technologies Ltd.</v>
      </c>
      <c r="I691" s="2" t="str">
        <f>VLOOKUP($D691,'Customer Details'!$A$1:$F$17,4,0)</f>
        <v>Santa Barbara</v>
      </c>
      <c r="J691" s="2" t="str">
        <f>VLOOKUP($D691,'Customer Details'!$A$1:$F$17,6,0)</f>
        <v>93110</v>
      </c>
      <c r="K691" s="8" t="str">
        <f>VLOOKUP(VLOOKUP(D691,'Customer Details'!$A$1:$F$17,5,0),'Region INfo'!$A$1:$C$52,3,0)</f>
        <v xml:space="preserve">Pacific   </v>
      </c>
      <c r="L691" s="8" t="str">
        <f>INDEX(Product_List,MATCH($F691,'Product List'!$B$1:$B$299,0),MATCH('Order SUmmary'!L$2,'Product List'!$A$1:$E$1,0))</f>
        <v>Xerox 196</v>
      </c>
      <c r="M691" s="8">
        <f>INDEX(Product_List,MATCH($F691,'Product List'!$B$1:$B$299,0),MATCH('Order SUmmary'!M$2,'Product List'!$A$1:$E$1,0))</f>
        <v>3018</v>
      </c>
      <c r="N691" s="8">
        <f>INDEX(Product_List,MATCH($F691,'Product List'!$B$1:$B$299,0),MATCH('Order SUmmary'!N$2,'Product List'!$A$1:$E$1,0))</f>
        <v>1286</v>
      </c>
      <c r="O691" s="8" t="str">
        <f>INDEX(Product_List,MATCH($F691,'Product List'!$B$1:$B$299,0),MATCH('Order SUmmary'!O$2,'Product List'!$A$1:$E$1,0))</f>
        <v>Paper</v>
      </c>
      <c r="P691" s="12">
        <f>HLOOKUP(C691,'Commission Criteria'!$A$2:$I$4,3,FALSE)</f>
        <v>4</v>
      </c>
      <c r="Q691" s="8">
        <f t="shared" si="31"/>
        <v>2572</v>
      </c>
      <c r="R691" s="8">
        <f t="shared" si="32"/>
        <v>6036</v>
      </c>
      <c r="S691" s="36">
        <f>VLOOKUP(R691,'Commission Criteria'!$L$3:$M$11,2,TRUE)</f>
        <v>0.03</v>
      </c>
      <c r="T691" s="36">
        <f>IF(P691&lt;5,VLOOKUP(R691,'Commission Criteria'!$L$3:$M$11,2,1),VLOOKUP('Order SUmmary'!R691,'Commission Criteria'!$P$3:$Q$11,2,1))</f>
        <v>0.03</v>
      </c>
      <c r="U691" s="36">
        <f>VLOOKUP(R691,IF(P691&lt;5,'Commission Criteria'!$L$3:$M$11,'Commission Criteria'!$P$3:$Q$11),2,1)</f>
        <v>0.03</v>
      </c>
      <c r="V691" s="8" t="s">
        <v>40</v>
      </c>
      <c r="W691" s="36">
        <f t="shared" ca="1" si="33"/>
        <v>0.02</v>
      </c>
      <c r="X691" s="8" t="str">
        <f>_xlfn.XLOOKUP(F691,'Product List'!$B$1:$B$299,'Product List'!$A$1:$A$299)</f>
        <v>Xerox 196</v>
      </c>
      <c r="Y691" s="8"/>
      <c r="Z691" s="8" t="str" cm="1">
        <f t="array" ref="Z691:AD691">_xlfn.XLOOKUP(D691,'Customer Details'!$A$1:$A$17,'Customer Details'!$B$1:$F$17,"No such customer",0,1)</f>
        <v>Dynamatic Technologies Ltd.</v>
      </c>
      <c r="AA691" s="8" t="str">
        <v>402 Pinkster Lane</v>
      </c>
      <c r="AB691" s="8" t="str">
        <v>Santa Barbara</v>
      </c>
      <c r="AC691" s="8" t="str">
        <v>CA</v>
      </c>
      <c r="AD691" s="8" t="str">
        <v>93110</v>
      </c>
    </row>
    <row r="692" spans="1:30">
      <c r="A692" s="8" t="s">
        <v>769</v>
      </c>
      <c r="B692" s="19">
        <v>41924</v>
      </c>
      <c r="C692" s="8" t="s">
        <v>46</v>
      </c>
      <c r="D692" s="8">
        <v>10004</v>
      </c>
      <c r="E692" s="8" t="str">
        <f>VLOOKUP($D692,'Customer Details'!$A$1:$F$17,4,FALSE)</f>
        <v>New York</v>
      </c>
      <c r="F692" s="8" t="s">
        <v>94</v>
      </c>
      <c r="G692" s="8">
        <v>1</v>
      </c>
      <c r="H692" s="2" t="str">
        <f>VLOOKUP($D692,'Customer Details'!$A$1:$F$17,MATCH('Order SUmmary'!H$2,'Customer Details'!$A$1:$F$1,0),0)</f>
        <v>Lupin Ltd.</v>
      </c>
      <c r="I692" s="2" t="str">
        <f>VLOOKUP($D692,'Customer Details'!$A$1:$F$17,4,0)</f>
        <v>New York</v>
      </c>
      <c r="J692" s="2" t="str">
        <f>VLOOKUP($D692,'Customer Details'!$A$1:$F$17,6,0)</f>
        <v>10019</v>
      </c>
      <c r="K692" s="8" t="str">
        <f>VLOOKUP(VLOOKUP(D692,'Customer Details'!$A$1:$F$17,5,0),'Region INfo'!$A$1:$C$52,3,0)</f>
        <v xml:space="preserve">Northern </v>
      </c>
      <c r="L692" s="8" t="str">
        <f>INDEX(Product_List,MATCH($F692,'Product List'!$B$1:$B$299,0),MATCH('Order SUmmary'!L$2,'Product List'!$A$1:$E$1,0))</f>
        <v>Xerox 191</v>
      </c>
      <c r="M692" s="8">
        <f>INDEX(Product_List,MATCH($F692,'Product List'!$B$1:$B$299,0),MATCH('Order SUmmary'!M$2,'Product List'!$A$1:$E$1,0))</f>
        <v>3768</v>
      </c>
      <c r="N692" s="8">
        <f>INDEX(Product_List,MATCH($F692,'Product List'!$B$1:$B$299,0),MATCH('Order SUmmary'!N$2,'Product List'!$A$1:$E$1,0))</f>
        <v>1353</v>
      </c>
      <c r="O692" s="8" t="str">
        <f>INDEX(Product_List,MATCH($F692,'Product List'!$B$1:$B$299,0),MATCH('Order SUmmary'!O$2,'Product List'!$A$1:$E$1,0))</f>
        <v>Paper</v>
      </c>
      <c r="P692" s="12">
        <f>HLOOKUP(C692,'Commission Criteria'!$A$2:$I$4,3,FALSE)</f>
        <v>8</v>
      </c>
      <c r="Q692" s="8">
        <f t="shared" si="31"/>
        <v>1353</v>
      </c>
      <c r="R692" s="8">
        <f t="shared" si="32"/>
        <v>3768</v>
      </c>
      <c r="S692" s="36">
        <f>VLOOKUP(R692,'Commission Criteria'!$L$3:$M$11,2,TRUE)</f>
        <v>0.01</v>
      </c>
      <c r="T692" s="36">
        <f>IF(P692&lt;5,VLOOKUP(R692,'Commission Criteria'!$L$3:$M$11,2,1),VLOOKUP('Order SUmmary'!R692,'Commission Criteria'!$P$3:$Q$11,2,1))</f>
        <v>0.02</v>
      </c>
      <c r="U692" s="36">
        <f>VLOOKUP(R692,IF(P692&lt;5,'Commission Criteria'!$L$3:$M$11,'Commission Criteria'!$P$3:$Q$11),2,1)</f>
        <v>0.02</v>
      </c>
      <c r="V692" s="8" t="s">
        <v>40</v>
      </c>
      <c r="W692" s="36">
        <f t="shared" ca="1" si="33"/>
        <v>0.05</v>
      </c>
      <c r="X692" s="8" t="str">
        <f>_xlfn.XLOOKUP(F692,'Product List'!$B$1:$B$299,'Product List'!$A$1:$A$299)</f>
        <v>Xerox 191</v>
      </c>
      <c r="Y692" s="8"/>
      <c r="Z692" s="8" t="str" cm="1">
        <f t="array" ref="Z692:AD692">_xlfn.XLOOKUP(D692,'Customer Details'!$A$1:$A$17,'Customer Details'!$B$1:$F$17,"No such customer",0,1)</f>
        <v>Lupin Ltd.</v>
      </c>
      <c r="AA692" s="8" t="str">
        <v>Abbey Wood</v>
      </c>
      <c r="AB692" s="8" t="str">
        <v>New York</v>
      </c>
      <c r="AC692" s="8" t="str">
        <v>NY</v>
      </c>
      <c r="AD692" s="8" t="str">
        <v>10019</v>
      </c>
    </row>
    <row r="693" spans="1:30">
      <c r="A693" s="8" t="s">
        <v>770</v>
      </c>
      <c r="B693" s="19">
        <v>41924</v>
      </c>
      <c r="C693" s="8" t="s">
        <v>27</v>
      </c>
      <c r="D693" s="8">
        <v>10013</v>
      </c>
      <c r="E693" s="8" t="str">
        <f>VLOOKUP($D693,'Customer Details'!$A$1:$F$17,4,FALSE)</f>
        <v>Naugatuck</v>
      </c>
      <c r="F693" s="8" t="s">
        <v>535</v>
      </c>
      <c r="G693" s="8">
        <v>2</v>
      </c>
      <c r="H693" s="2" t="str">
        <f>VLOOKUP($D693,'Customer Details'!$A$1:$F$17,MATCH('Order SUmmary'!H$2,'Customer Details'!$A$1:$F$1,0),0)</f>
        <v>GMR Infrastructure Ltd.</v>
      </c>
      <c r="I693" s="2" t="str">
        <f>VLOOKUP($D693,'Customer Details'!$A$1:$F$17,4,0)</f>
        <v>Naugatuck</v>
      </c>
      <c r="J693" s="2" t="str">
        <f>VLOOKUP($D693,'Customer Details'!$A$1:$F$17,6,0)</f>
        <v>06770</v>
      </c>
      <c r="K693" s="8" t="str">
        <f>VLOOKUP(VLOOKUP(D693,'Customer Details'!$A$1:$F$17,5,0),'Region INfo'!$A$1:$C$52,3,0)</f>
        <v xml:space="preserve">Northern </v>
      </c>
      <c r="L693" s="8" t="str">
        <f>INDEX(Product_List,MATCH($F693,'Product List'!$B$1:$B$299,0),MATCH('Order SUmmary'!L$2,'Product List'!$A$1:$E$1,0))</f>
        <v>Newell 325</v>
      </c>
      <c r="M693" s="8">
        <f>INDEX(Product_List,MATCH($F693,'Product List'!$B$1:$B$299,0),MATCH('Order SUmmary'!M$2,'Product List'!$A$1:$E$1,0))</f>
        <v>4420</v>
      </c>
      <c r="N693" s="8">
        <f>INDEX(Product_List,MATCH($F693,'Product List'!$B$1:$B$299,0),MATCH('Order SUmmary'!N$2,'Product List'!$A$1:$E$1,0))</f>
        <v>1797</v>
      </c>
      <c r="O693" s="8" t="str">
        <f>INDEX(Product_List,MATCH($F693,'Product List'!$B$1:$B$299,0),MATCH('Order SUmmary'!O$2,'Product List'!$A$1:$E$1,0))</f>
        <v>Art</v>
      </c>
      <c r="P693" s="12">
        <f>HLOOKUP(C693,'Commission Criteria'!$A$2:$I$4,3,FALSE)</f>
        <v>4</v>
      </c>
      <c r="Q693" s="8">
        <f t="shared" si="31"/>
        <v>3594</v>
      </c>
      <c r="R693" s="8">
        <f t="shared" si="32"/>
        <v>8840</v>
      </c>
      <c r="S693" s="36">
        <f>VLOOKUP(R693,'Commission Criteria'!$L$3:$M$11,2,TRUE)</f>
        <v>0.03</v>
      </c>
      <c r="T693" s="36">
        <f>IF(P693&lt;5,VLOOKUP(R693,'Commission Criteria'!$L$3:$M$11,2,1),VLOOKUP('Order SUmmary'!R693,'Commission Criteria'!$P$3:$Q$11,2,1))</f>
        <v>0.03</v>
      </c>
      <c r="U693" s="36">
        <f>VLOOKUP(R693,IF(P693&lt;5,'Commission Criteria'!$L$3:$M$11,'Commission Criteria'!$P$3:$Q$11),2,1)</f>
        <v>0.03</v>
      </c>
      <c r="V693" s="8" t="s">
        <v>43</v>
      </c>
      <c r="W693" s="36">
        <f t="shared" ca="1" si="33"/>
        <v>0.05</v>
      </c>
      <c r="X693" s="8" t="str">
        <f>_xlfn.XLOOKUP(F693,'Product List'!$B$1:$B$299,'Product List'!$A$1:$A$299)</f>
        <v>Newell 325</v>
      </c>
      <c r="Y693" s="8"/>
      <c r="Z693" s="8" t="str" cm="1">
        <f t="array" ref="Z693:AD693">_xlfn.XLOOKUP(D693,'Customer Details'!$A$1:$A$17,'Customer Details'!$B$1:$F$17,"No such customer",0,1)</f>
        <v>GMR Infrastructure Ltd.</v>
      </c>
      <c r="AA693" s="8" t="str">
        <v>P.O. Box 4421</v>
      </c>
      <c r="AB693" s="8" t="str">
        <v>Naugatuck</v>
      </c>
      <c r="AC693" s="8" t="str">
        <v>CT</v>
      </c>
      <c r="AD693" s="8" t="str">
        <v>06770</v>
      </c>
    </row>
    <row r="694" spans="1:30">
      <c r="A694" s="8" t="s">
        <v>771</v>
      </c>
      <c r="B694" s="19">
        <v>41925</v>
      </c>
      <c r="C694" s="8" t="s">
        <v>44</v>
      </c>
      <c r="D694" s="8">
        <v>10003</v>
      </c>
      <c r="E694" s="8" t="str">
        <f>VLOOKUP($D694,'Customer Details'!$A$1:$F$17,4,FALSE)</f>
        <v>Miami</v>
      </c>
      <c r="F694" s="8" t="s">
        <v>505</v>
      </c>
      <c r="G694" s="8">
        <v>1</v>
      </c>
      <c r="H694" s="2" t="str">
        <f>VLOOKUP($D694,'Customer Details'!$A$1:$F$17,MATCH('Order SUmmary'!H$2,'Customer Details'!$A$1:$F$1,0),0)</f>
        <v>Honeywell Automation</v>
      </c>
      <c r="I694" s="2" t="str">
        <f>VLOOKUP($D694,'Customer Details'!$A$1:$F$17,4,0)</f>
        <v>Miami</v>
      </c>
      <c r="J694" s="2" t="str">
        <f>VLOOKUP($D694,'Customer Details'!$A$1:$F$17,6,0)</f>
        <v>33732</v>
      </c>
      <c r="K694" s="8" t="str">
        <f>VLOOKUP(VLOOKUP(D694,'Customer Details'!$A$1:$F$17,5,0),'Region INfo'!$A$1:$C$52,3,0)</f>
        <v>Southern</v>
      </c>
      <c r="L694" s="8" t="str">
        <f>INDEX(Product_List,MATCH($F694,'Product List'!$B$1:$B$299,0),MATCH('Order SUmmary'!L$2,'Product List'!$A$1:$E$1,0))</f>
        <v>Xerox 1934</v>
      </c>
      <c r="M694" s="8">
        <f>INDEX(Product_List,MATCH($F694,'Product List'!$B$1:$B$299,0),MATCH('Order SUmmary'!M$2,'Product List'!$A$1:$E$1,0))</f>
        <v>4307</v>
      </c>
      <c r="N694" s="8">
        <f>INDEX(Product_List,MATCH($F694,'Product List'!$B$1:$B$299,0),MATCH('Order SUmmary'!N$2,'Product List'!$A$1:$E$1,0))</f>
        <v>1503</v>
      </c>
      <c r="O694" s="8" t="str">
        <f>INDEX(Product_List,MATCH($F694,'Product List'!$B$1:$B$299,0),MATCH('Order SUmmary'!O$2,'Product List'!$A$1:$E$1,0))</f>
        <v>Paper</v>
      </c>
      <c r="P694" s="12">
        <f>HLOOKUP(C694,'Commission Criteria'!$A$2:$I$4,3,FALSE)</f>
        <v>4</v>
      </c>
      <c r="Q694" s="8">
        <f t="shared" si="31"/>
        <v>1503</v>
      </c>
      <c r="R694" s="8">
        <f t="shared" si="32"/>
        <v>4307</v>
      </c>
      <c r="S694" s="36">
        <f>VLOOKUP(R694,'Commission Criteria'!$L$3:$M$11,2,TRUE)</f>
        <v>0.01</v>
      </c>
      <c r="T694" s="36">
        <f>IF(P694&lt;5,VLOOKUP(R694,'Commission Criteria'!$L$3:$M$11,2,1),VLOOKUP('Order SUmmary'!R694,'Commission Criteria'!$P$3:$Q$11,2,1))</f>
        <v>0.01</v>
      </c>
      <c r="U694" s="36">
        <f>VLOOKUP(R694,IF(P694&lt;5,'Commission Criteria'!$L$3:$M$11,'Commission Criteria'!$P$3:$Q$11),2,1)</f>
        <v>0.01</v>
      </c>
      <c r="V694" s="8" t="s">
        <v>50</v>
      </c>
      <c r="W694" s="36">
        <f t="shared" ca="1" si="33"/>
        <v>0.04</v>
      </c>
      <c r="X694" s="8" t="str">
        <f>_xlfn.XLOOKUP(F694,'Product List'!$B$1:$B$299,'Product List'!$A$1:$A$299)</f>
        <v>Xerox 1934</v>
      </c>
      <c r="Y694" s="8"/>
      <c r="Z694" s="8" t="str" cm="1">
        <f t="array" ref="Z694:AD694">_xlfn.XLOOKUP(D694,'Customer Details'!$A$1:$A$17,'Customer Details'!$B$1:$F$17,"No such customer",0,1)</f>
        <v>Honeywell Automation</v>
      </c>
      <c r="AA694" s="8" t="str">
        <v>1272 Harbor Road</v>
      </c>
      <c r="AB694" s="8" t="str">
        <v>Miami</v>
      </c>
      <c r="AC694" s="8" t="str">
        <v>FL</v>
      </c>
      <c r="AD694" s="8" t="str">
        <v>33732</v>
      </c>
    </row>
    <row r="695" spans="1:30">
      <c r="A695" s="8" t="s">
        <v>771</v>
      </c>
      <c r="B695" s="19">
        <v>41925</v>
      </c>
      <c r="C695" s="8" t="s">
        <v>44</v>
      </c>
      <c r="D695" s="8">
        <v>10014</v>
      </c>
      <c r="E695" s="8" t="str">
        <f>VLOOKUP($D695,'Customer Details'!$A$1:$F$17,4,FALSE)</f>
        <v>Honolulu</v>
      </c>
      <c r="F695" s="8" t="s">
        <v>474</v>
      </c>
      <c r="G695" s="8">
        <v>1</v>
      </c>
      <c r="H695" s="2" t="str">
        <f>VLOOKUP($D695,'Customer Details'!$A$1:$F$17,MATCH('Order SUmmary'!H$2,'Customer Details'!$A$1:$F$1,0),0)</f>
        <v>Hindusthan National Glass &amp; Industries Ltd.</v>
      </c>
      <c r="I695" s="2" t="str">
        <f>VLOOKUP($D695,'Customer Details'!$A$1:$F$17,4,0)</f>
        <v>Honolulu</v>
      </c>
      <c r="J695" s="2" t="str">
        <f>VLOOKUP($D695,'Customer Details'!$A$1:$F$17,6,0)</f>
        <v>96825</v>
      </c>
      <c r="K695" s="8" t="str">
        <f>VLOOKUP(VLOOKUP(D695,'Customer Details'!$A$1:$F$17,5,0),'Region INfo'!$A$1:$C$52,3,0)</f>
        <v xml:space="preserve">Pacific   </v>
      </c>
      <c r="L695" s="8" t="str">
        <f>INDEX(Product_List,MATCH($F695,'Product List'!$B$1:$B$299,0),MATCH('Order SUmmary'!L$2,'Product List'!$A$1:$E$1,0))</f>
        <v>Ideal Clamps</v>
      </c>
      <c r="M695" s="8">
        <f>INDEX(Product_List,MATCH($F695,'Product List'!$B$1:$B$299,0),MATCH('Order SUmmary'!M$2,'Product List'!$A$1:$E$1,0))</f>
        <v>4459</v>
      </c>
      <c r="N695" s="8">
        <f>INDEX(Product_List,MATCH($F695,'Product List'!$B$1:$B$299,0),MATCH('Order SUmmary'!N$2,'Product List'!$A$1:$E$1,0))</f>
        <v>1722</v>
      </c>
      <c r="O695" s="8" t="str">
        <f>INDEX(Product_List,MATCH($F695,'Product List'!$B$1:$B$299,0),MATCH('Order SUmmary'!O$2,'Product List'!$A$1:$E$1,0))</f>
        <v>Fasteners</v>
      </c>
      <c r="P695" s="12">
        <f>HLOOKUP(C695,'Commission Criteria'!$A$2:$I$4,3,FALSE)</f>
        <v>4</v>
      </c>
      <c r="Q695" s="8">
        <f t="shared" si="31"/>
        <v>1722</v>
      </c>
      <c r="R695" s="8">
        <f t="shared" si="32"/>
        <v>4459</v>
      </c>
      <c r="S695" s="36">
        <f>VLOOKUP(R695,'Commission Criteria'!$L$3:$M$11,2,TRUE)</f>
        <v>0.01</v>
      </c>
      <c r="T695" s="36">
        <f>IF(P695&lt;5,VLOOKUP(R695,'Commission Criteria'!$L$3:$M$11,2,1),VLOOKUP('Order SUmmary'!R695,'Commission Criteria'!$P$3:$Q$11,2,1))</f>
        <v>0.01</v>
      </c>
      <c r="U695" s="36">
        <f>VLOOKUP(R695,IF(P695&lt;5,'Commission Criteria'!$L$3:$M$11,'Commission Criteria'!$P$3:$Q$11),2,1)</f>
        <v>0.01</v>
      </c>
      <c r="V695" s="8" t="s">
        <v>43</v>
      </c>
      <c r="W695" s="36">
        <f t="shared" ca="1" si="33"/>
        <v>0.05</v>
      </c>
      <c r="X695" s="8" t="str">
        <f>_xlfn.XLOOKUP(F695,'Product List'!$B$1:$B$299,'Product List'!$A$1:$A$299)</f>
        <v>Ideal Clamps</v>
      </c>
      <c r="Y695" s="8"/>
      <c r="Z695" s="8" t="str" cm="1">
        <f t="array" ref="Z695:AD695">_xlfn.XLOOKUP(D695,'Customer Details'!$A$1:$A$17,'Customer Details'!$B$1:$F$17,"No such customer",0,1)</f>
        <v>Hindusthan National Glass &amp; Industries Ltd.</v>
      </c>
      <c r="AA695" s="8" t="str">
        <v>11 Cathy St.</v>
      </c>
      <c r="AB695" s="8" t="str">
        <v>Honolulu</v>
      </c>
      <c r="AC695" s="8" t="str">
        <v>HI</v>
      </c>
      <c r="AD695" s="8" t="str">
        <v>96825</v>
      </c>
    </row>
    <row r="696" spans="1:30">
      <c r="A696" s="8" t="s">
        <v>772</v>
      </c>
      <c r="B696" s="19">
        <v>41925</v>
      </c>
      <c r="C696" s="8" t="s">
        <v>66</v>
      </c>
      <c r="D696" s="8">
        <v>10003</v>
      </c>
      <c r="E696" s="8" t="str">
        <f>VLOOKUP($D696,'Customer Details'!$A$1:$F$17,4,FALSE)</f>
        <v>Miami</v>
      </c>
      <c r="F696" s="8" t="s">
        <v>123</v>
      </c>
      <c r="G696" s="8">
        <v>2</v>
      </c>
      <c r="H696" s="2" t="str">
        <f>VLOOKUP($D696,'Customer Details'!$A$1:$F$17,MATCH('Order SUmmary'!H$2,'Customer Details'!$A$1:$F$1,0),0)</f>
        <v>Honeywell Automation</v>
      </c>
      <c r="I696" s="2" t="str">
        <f>VLOOKUP($D696,'Customer Details'!$A$1:$F$17,4,0)</f>
        <v>Miami</v>
      </c>
      <c r="J696" s="2" t="str">
        <f>VLOOKUP($D696,'Customer Details'!$A$1:$F$17,6,0)</f>
        <v>33732</v>
      </c>
      <c r="K696" s="8" t="str">
        <f>VLOOKUP(VLOOKUP(D696,'Customer Details'!$A$1:$F$17,5,0),'Region INfo'!$A$1:$C$52,3,0)</f>
        <v>Southern</v>
      </c>
      <c r="L696" s="8" t="str">
        <f>INDEX(Product_List,MATCH($F696,'Product List'!$B$1:$B$299,0),MATCH('Order SUmmary'!L$2,'Product List'!$A$1:$E$1,0))</f>
        <v>Avery 503</v>
      </c>
      <c r="M696" s="8">
        <f>INDEX(Product_List,MATCH($F696,'Product List'!$B$1:$B$299,0),MATCH('Order SUmmary'!M$2,'Product List'!$A$1:$E$1,0))</f>
        <v>2820</v>
      </c>
      <c r="N696" s="8">
        <f>INDEX(Product_List,MATCH($F696,'Product List'!$B$1:$B$299,0),MATCH('Order SUmmary'!N$2,'Product List'!$A$1:$E$1,0))</f>
        <v>1504</v>
      </c>
      <c r="O696" s="8" t="str">
        <f>INDEX(Product_List,MATCH($F696,'Product List'!$B$1:$B$299,0),MATCH('Order SUmmary'!O$2,'Product List'!$A$1:$E$1,0))</f>
        <v>Labels</v>
      </c>
      <c r="P696" s="12">
        <f>HLOOKUP(C696,'Commission Criteria'!$A$2:$I$4,3,FALSE)</f>
        <v>5</v>
      </c>
      <c r="Q696" s="8">
        <f t="shared" si="31"/>
        <v>3008</v>
      </c>
      <c r="R696" s="8">
        <f t="shared" si="32"/>
        <v>5640</v>
      </c>
      <c r="S696" s="36">
        <f>VLOOKUP(R696,'Commission Criteria'!$L$3:$M$11,2,TRUE)</f>
        <v>0.03</v>
      </c>
      <c r="T696" s="36">
        <f>IF(P696&lt;5,VLOOKUP(R696,'Commission Criteria'!$L$3:$M$11,2,1),VLOOKUP('Order SUmmary'!R696,'Commission Criteria'!$P$3:$Q$11,2,1))</f>
        <v>0.02</v>
      </c>
      <c r="U696" s="36">
        <f>VLOOKUP(R696,IF(P696&lt;5,'Commission Criteria'!$L$3:$M$11,'Commission Criteria'!$P$3:$Q$11),2,1)</f>
        <v>0.02</v>
      </c>
      <c r="V696" s="8" t="s">
        <v>40</v>
      </c>
      <c r="W696" s="36">
        <f t="shared" ca="1" si="33"/>
        <v>0.02</v>
      </c>
      <c r="X696" s="8" t="str">
        <f>_xlfn.XLOOKUP(F696,'Product List'!$B$1:$B$299,'Product List'!$A$1:$A$299)</f>
        <v>Avery 503</v>
      </c>
      <c r="Y696" s="8"/>
      <c r="Z696" s="8" t="str" cm="1">
        <f t="array" ref="Z696:AD696">_xlfn.XLOOKUP(D696,'Customer Details'!$A$1:$A$17,'Customer Details'!$B$1:$F$17,"No such customer",0,1)</f>
        <v>Honeywell Automation</v>
      </c>
      <c r="AA696" s="8" t="str">
        <v>1272 Harbor Road</v>
      </c>
      <c r="AB696" s="8" t="str">
        <v>Miami</v>
      </c>
      <c r="AC696" s="8" t="str">
        <v>FL</v>
      </c>
      <c r="AD696" s="8" t="str">
        <v>33732</v>
      </c>
    </row>
    <row r="697" spans="1:30">
      <c r="A697" s="8" t="s">
        <v>771</v>
      </c>
      <c r="B697" s="19">
        <v>41925</v>
      </c>
      <c r="C697" s="8" t="s">
        <v>27</v>
      </c>
      <c r="D697" s="8">
        <v>10009</v>
      </c>
      <c r="E697" s="8" t="str">
        <f>VLOOKUP($D697,'Customer Details'!$A$1:$F$17,4,FALSE)</f>
        <v>Salt Lake City</v>
      </c>
      <c r="F697" s="8" t="s">
        <v>470</v>
      </c>
      <c r="G697" s="8">
        <v>3</v>
      </c>
      <c r="H697" s="2" t="str">
        <f>VLOOKUP($D697,'Customer Details'!$A$1:$F$17,MATCH('Order SUmmary'!H$2,'Customer Details'!$A$1:$F$1,0),0)</f>
        <v>Godfrey Philips India Ltd.</v>
      </c>
      <c r="I697" s="2" t="str">
        <f>VLOOKUP($D697,'Customer Details'!$A$1:$F$17,4,0)</f>
        <v>Salt Lake City</v>
      </c>
      <c r="J697" s="2" t="str">
        <f>VLOOKUP($D697,'Customer Details'!$A$1:$F$17,6,0)</f>
        <v>84118</v>
      </c>
      <c r="K697" s="8" t="str">
        <f>VLOOKUP(VLOOKUP(D697,'Customer Details'!$A$1:$F$17,5,0),'Region INfo'!$A$1:$C$52,3,0)</f>
        <v xml:space="preserve">Pacific   </v>
      </c>
      <c r="L697" s="8" t="str">
        <f>INDEX(Product_List,MATCH($F697,'Product List'!$B$1:$B$299,0),MATCH('Order SUmmary'!L$2,'Product List'!$A$1:$E$1,0))</f>
        <v>Xerox 1884</v>
      </c>
      <c r="M697" s="8">
        <f>INDEX(Product_List,MATCH($F697,'Product List'!$B$1:$B$299,0),MATCH('Order SUmmary'!M$2,'Product List'!$A$1:$E$1,0))</f>
        <v>3025</v>
      </c>
      <c r="N697" s="8">
        <f>INDEX(Product_List,MATCH($F697,'Product List'!$B$1:$B$299,0),MATCH('Order SUmmary'!N$2,'Product List'!$A$1:$E$1,0))</f>
        <v>1863</v>
      </c>
      <c r="O697" s="8" t="str">
        <f>INDEX(Product_List,MATCH($F697,'Product List'!$B$1:$B$299,0),MATCH('Order SUmmary'!O$2,'Product List'!$A$1:$E$1,0))</f>
        <v>Paper</v>
      </c>
      <c r="P697" s="12">
        <f>HLOOKUP(C697,'Commission Criteria'!$A$2:$I$4,3,FALSE)</f>
        <v>4</v>
      </c>
      <c r="Q697" s="8">
        <f t="shared" si="31"/>
        <v>5589</v>
      </c>
      <c r="R697" s="8">
        <f t="shared" si="32"/>
        <v>9075</v>
      </c>
      <c r="S697" s="36">
        <f>VLOOKUP(R697,'Commission Criteria'!$L$3:$M$11,2,TRUE)</f>
        <v>0.03</v>
      </c>
      <c r="T697" s="36">
        <f>IF(P697&lt;5,VLOOKUP(R697,'Commission Criteria'!$L$3:$M$11,2,1),VLOOKUP('Order SUmmary'!R697,'Commission Criteria'!$P$3:$Q$11,2,1))</f>
        <v>0.03</v>
      </c>
      <c r="U697" s="36">
        <f>VLOOKUP(R697,IF(P697&lt;5,'Commission Criteria'!$L$3:$M$11,'Commission Criteria'!$P$3:$Q$11),2,1)</f>
        <v>0.03</v>
      </c>
      <c r="V697" s="8" t="s">
        <v>29</v>
      </c>
      <c r="W697" s="36">
        <f t="shared" ca="1" si="33"/>
        <v>0.04</v>
      </c>
      <c r="X697" s="8" t="str">
        <f>_xlfn.XLOOKUP(F697,'Product List'!$B$1:$B$299,'Product List'!$A$1:$A$299)</f>
        <v>Xerox 1884</v>
      </c>
      <c r="Y697" s="8"/>
      <c r="Z697" s="8" t="str" cm="1">
        <f t="array" ref="Z697:AD697">_xlfn.XLOOKUP(D697,'Customer Details'!$A$1:$A$17,'Customer Details'!$B$1:$F$17,"No such customer",0,1)</f>
        <v>Godfrey Philips India Ltd.</v>
      </c>
      <c r="AA697" s="8" t="str">
        <v>20501 Ania Ave #2</v>
      </c>
      <c r="AB697" s="8" t="str">
        <v>Salt Lake City</v>
      </c>
      <c r="AC697" s="8" t="str">
        <v>UT</v>
      </c>
      <c r="AD697" s="8" t="str">
        <v>84118</v>
      </c>
    </row>
    <row r="698" spans="1:30">
      <c r="A698" s="8" t="s">
        <v>773</v>
      </c>
      <c r="B698" s="19">
        <v>41926</v>
      </c>
      <c r="C698" s="8" t="s">
        <v>54</v>
      </c>
      <c r="D698" s="8">
        <v>10005</v>
      </c>
      <c r="E698" s="8" t="str">
        <f>VLOOKUP($D698,'Customer Details'!$A$1:$F$17,4,FALSE)</f>
        <v>Goleta</v>
      </c>
      <c r="F698" s="8" t="s">
        <v>467</v>
      </c>
      <c r="G698" s="8">
        <v>1</v>
      </c>
      <c r="H698" s="2" t="str">
        <f>VLOOKUP($D698,'Customer Details'!$A$1:$F$17,MATCH('Order SUmmary'!H$2,'Customer Details'!$A$1:$F$1,0),0)</f>
        <v>Fortis Healthcare Ltd.</v>
      </c>
      <c r="I698" s="2" t="str">
        <f>VLOOKUP($D698,'Customer Details'!$A$1:$F$17,4,0)</f>
        <v>Goleta</v>
      </c>
      <c r="J698" s="2" t="str">
        <f>VLOOKUP($D698,'Customer Details'!$A$1:$F$17,6,0)</f>
        <v>93117</v>
      </c>
      <c r="K698" s="8" t="str">
        <f>VLOOKUP(VLOOKUP(D698,'Customer Details'!$A$1:$F$17,5,0),'Region INfo'!$A$1:$C$52,3,0)</f>
        <v xml:space="preserve">Pacific   </v>
      </c>
      <c r="L698" s="8" t="str">
        <f>INDEX(Product_List,MATCH($F698,'Product List'!$B$1:$B$299,0),MATCH('Order SUmmary'!L$2,'Product List'!$A$1:$E$1,0))</f>
        <v>Xerox 215</v>
      </c>
      <c r="M698" s="8">
        <f>INDEX(Product_List,MATCH($F698,'Product List'!$B$1:$B$299,0),MATCH('Order SUmmary'!M$2,'Product List'!$A$1:$E$1,0))</f>
        <v>4574</v>
      </c>
      <c r="N698" s="8">
        <f>INDEX(Product_List,MATCH($F698,'Product List'!$B$1:$B$299,0),MATCH('Order SUmmary'!N$2,'Product List'!$A$1:$E$1,0))</f>
        <v>2068</v>
      </c>
      <c r="O698" s="8" t="str">
        <f>INDEX(Product_List,MATCH($F698,'Product List'!$B$1:$B$299,0),MATCH('Order SUmmary'!O$2,'Product List'!$A$1:$E$1,0))</f>
        <v>Paper</v>
      </c>
      <c r="P698" s="12">
        <f>HLOOKUP(C698,'Commission Criteria'!$A$2:$I$4,3,FALSE)</f>
        <v>3</v>
      </c>
      <c r="Q698" s="8">
        <f t="shared" si="31"/>
        <v>2068</v>
      </c>
      <c r="R698" s="8">
        <f t="shared" si="32"/>
        <v>4574</v>
      </c>
      <c r="S698" s="36">
        <f>VLOOKUP(R698,'Commission Criteria'!$L$3:$M$11,2,TRUE)</f>
        <v>0.01</v>
      </c>
      <c r="T698" s="36">
        <f>IF(P698&lt;5,VLOOKUP(R698,'Commission Criteria'!$L$3:$M$11,2,1),VLOOKUP('Order SUmmary'!R698,'Commission Criteria'!$P$3:$Q$11,2,1))</f>
        <v>0.01</v>
      </c>
      <c r="U698" s="36">
        <f>VLOOKUP(R698,IF(P698&lt;5,'Commission Criteria'!$L$3:$M$11,'Commission Criteria'!$P$3:$Q$11),2,1)</f>
        <v>0.01</v>
      </c>
      <c r="V698" s="8" t="s">
        <v>35</v>
      </c>
      <c r="W698" s="36">
        <f t="shared" ca="1" si="33"/>
        <v>0.05</v>
      </c>
      <c r="X698" s="8" t="str">
        <f>_xlfn.XLOOKUP(F698,'Product List'!$B$1:$B$299,'Product List'!$A$1:$A$299)</f>
        <v>Xerox 215</v>
      </c>
      <c r="Y698" s="8"/>
      <c r="Z698" s="8" t="str" cm="1">
        <f t="array" ref="Z698:AD698">_xlfn.XLOOKUP(D698,'Customer Details'!$A$1:$A$17,'Customer Details'!$B$1:$F$17,"No such customer",0,1)</f>
        <v>Fortis Healthcare Ltd.</v>
      </c>
      <c r="AA698" s="8" t="str">
        <v>14 Elsworthy Terrace</v>
      </c>
      <c r="AB698" s="8" t="str">
        <v>Goleta</v>
      </c>
      <c r="AC698" s="8" t="str">
        <v>CA</v>
      </c>
      <c r="AD698" s="8" t="str">
        <v>93117</v>
      </c>
    </row>
    <row r="699" spans="1:30">
      <c r="A699" s="8" t="s">
        <v>774</v>
      </c>
      <c r="B699" s="19">
        <v>41927</v>
      </c>
      <c r="C699" s="8" t="s">
        <v>36</v>
      </c>
      <c r="D699" s="8">
        <v>10003</v>
      </c>
      <c r="E699" s="8" t="str">
        <f>VLOOKUP($D699,'Customer Details'!$A$1:$F$17,4,FALSE)</f>
        <v>Miami</v>
      </c>
      <c r="F699" s="8" t="s">
        <v>307</v>
      </c>
      <c r="G699" s="8">
        <v>1</v>
      </c>
      <c r="H699" s="2" t="str">
        <f>VLOOKUP($D699,'Customer Details'!$A$1:$F$17,MATCH('Order SUmmary'!H$2,'Customer Details'!$A$1:$F$1,0),0)</f>
        <v>Honeywell Automation</v>
      </c>
      <c r="I699" s="2" t="str">
        <f>VLOOKUP($D699,'Customer Details'!$A$1:$F$17,4,0)</f>
        <v>Miami</v>
      </c>
      <c r="J699" s="2" t="str">
        <f>VLOOKUP($D699,'Customer Details'!$A$1:$F$17,6,0)</f>
        <v>33732</v>
      </c>
      <c r="K699" s="8" t="str">
        <f>VLOOKUP(VLOOKUP(D699,'Customer Details'!$A$1:$F$17,5,0),'Region INfo'!$A$1:$C$52,3,0)</f>
        <v>Southern</v>
      </c>
      <c r="L699" s="8" t="str">
        <f>INDEX(Product_List,MATCH($F699,'Product List'!$B$1:$B$299,0),MATCH('Order SUmmary'!L$2,'Product List'!$A$1:$E$1,0))</f>
        <v>Avery 519</v>
      </c>
      <c r="M699" s="8">
        <f>INDEX(Product_List,MATCH($F699,'Product List'!$B$1:$B$299,0),MATCH('Order SUmmary'!M$2,'Product List'!$A$1:$E$1,0))</f>
        <v>3491</v>
      </c>
      <c r="N699" s="8">
        <f>INDEX(Product_List,MATCH($F699,'Product List'!$B$1:$B$299,0),MATCH('Order SUmmary'!N$2,'Product List'!$A$1:$E$1,0))</f>
        <v>1257</v>
      </c>
      <c r="O699" s="8" t="str">
        <f>INDEX(Product_List,MATCH($F699,'Product List'!$B$1:$B$299,0),MATCH('Order SUmmary'!O$2,'Product List'!$A$1:$E$1,0))</f>
        <v>Labels</v>
      </c>
      <c r="P699" s="12">
        <f>HLOOKUP(C699,'Commission Criteria'!$A$2:$I$4,3,FALSE)</f>
        <v>6</v>
      </c>
      <c r="Q699" s="8">
        <f t="shared" si="31"/>
        <v>1257</v>
      </c>
      <c r="R699" s="8">
        <f t="shared" si="32"/>
        <v>3491</v>
      </c>
      <c r="S699" s="36">
        <f>VLOOKUP(R699,'Commission Criteria'!$L$3:$M$11,2,TRUE)</f>
        <v>0.01</v>
      </c>
      <c r="T699" s="36">
        <f>IF(P699&lt;5,VLOOKUP(R699,'Commission Criteria'!$L$3:$M$11,2,1),VLOOKUP('Order SUmmary'!R699,'Commission Criteria'!$P$3:$Q$11,2,1))</f>
        <v>0.02</v>
      </c>
      <c r="U699" s="36">
        <f>VLOOKUP(R699,IF(P699&lt;5,'Commission Criteria'!$L$3:$M$11,'Commission Criteria'!$P$3:$Q$11),2,1)</f>
        <v>0.02</v>
      </c>
      <c r="V699" s="8" t="s">
        <v>50</v>
      </c>
      <c r="W699" s="36">
        <f t="shared" ca="1" si="33"/>
        <v>0.03</v>
      </c>
      <c r="X699" s="8" t="str">
        <f>_xlfn.XLOOKUP(F699,'Product List'!$B$1:$B$299,'Product List'!$A$1:$A$299)</f>
        <v>Avery 519</v>
      </c>
      <c r="Y699" s="8"/>
      <c r="Z699" s="8" t="str" cm="1">
        <f t="array" ref="Z699:AD699">_xlfn.XLOOKUP(D699,'Customer Details'!$A$1:$A$17,'Customer Details'!$B$1:$F$17,"No such customer",0,1)</f>
        <v>Honeywell Automation</v>
      </c>
      <c r="AA699" s="8" t="str">
        <v>1272 Harbor Road</v>
      </c>
      <c r="AB699" s="8" t="str">
        <v>Miami</v>
      </c>
      <c r="AC699" s="8" t="str">
        <v>FL</v>
      </c>
      <c r="AD699" s="8" t="str">
        <v>33732</v>
      </c>
    </row>
    <row r="700" spans="1:30">
      <c r="A700" s="8" t="s">
        <v>774</v>
      </c>
      <c r="B700" s="19">
        <v>41927</v>
      </c>
      <c r="C700" s="8" t="s">
        <v>27</v>
      </c>
      <c r="D700" s="8">
        <v>10014</v>
      </c>
      <c r="E700" s="8" t="str">
        <f>VLOOKUP($D700,'Customer Details'!$A$1:$F$17,4,FALSE)</f>
        <v>Honolulu</v>
      </c>
      <c r="F700" s="8" t="s">
        <v>71</v>
      </c>
      <c r="G700" s="8">
        <v>2</v>
      </c>
      <c r="H700" s="2" t="str">
        <f>VLOOKUP($D700,'Customer Details'!$A$1:$F$17,MATCH('Order SUmmary'!H$2,'Customer Details'!$A$1:$F$1,0),0)</f>
        <v>Hindusthan National Glass &amp; Industries Ltd.</v>
      </c>
      <c r="I700" s="2" t="str">
        <f>VLOOKUP($D700,'Customer Details'!$A$1:$F$17,4,0)</f>
        <v>Honolulu</v>
      </c>
      <c r="J700" s="2" t="str">
        <f>VLOOKUP($D700,'Customer Details'!$A$1:$F$17,6,0)</f>
        <v>96825</v>
      </c>
      <c r="K700" s="8" t="str">
        <f>VLOOKUP(VLOOKUP(D700,'Customer Details'!$A$1:$F$17,5,0),'Region INfo'!$A$1:$C$52,3,0)</f>
        <v xml:space="preserve">Pacific   </v>
      </c>
      <c r="L700" s="8" t="str">
        <f>INDEX(Product_List,MATCH($F700,'Product List'!$B$1:$B$299,0),MATCH('Order SUmmary'!L$2,'Product List'!$A$1:$E$1,0))</f>
        <v>GE 30522EE2</v>
      </c>
      <c r="M700" s="8">
        <f>INDEX(Product_List,MATCH($F700,'Product List'!$B$1:$B$299,0),MATCH('Order SUmmary'!M$2,'Product List'!$A$1:$E$1,0))</f>
        <v>3055</v>
      </c>
      <c r="N700" s="8">
        <f>INDEX(Product_List,MATCH($F700,'Product List'!$B$1:$B$299,0),MATCH('Order SUmmary'!N$2,'Product List'!$A$1:$E$1,0))</f>
        <v>2269</v>
      </c>
      <c r="O700" s="8" t="str">
        <f>INDEX(Product_List,MATCH($F700,'Product List'!$B$1:$B$299,0),MATCH('Order SUmmary'!O$2,'Product List'!$A$1:$E$1,0))</f>
        <v>Phones</v>
      </c>
      <c r="P700" s="12">
        <f>HLOOKUP(C700,'Commission Criteria'!$A$2:$I$4,3,FALSE)</f>
        <v>4</v>
      </c>
      <c r="Q700" s="8">
        <f t="shared" si="31"/>
        <v>4538</v>
      </c>
      <c r="R700" s="8">
        <f t="shared" si="32"/>
        <v>6110</v>
      </c>
      <c r="S700" s="36">
        <f>VLOOKUP(R700,'Commission Criteria'!$L$3:$M$11,2,TRUE)</f>
        <v>0.03</v>
      </c>
      <c r="T700" s="36">
        <f>IF(P700&lt;5,VLOOKUP(R700,'Commission Criteria'!$L$3:$M$11,2,1),VLOOKUP('Order SUmmary'!R700,'Commission Criteria'!$P$3:$Q$11,2,1))</f>
        <v>0.03</v>
      </c>
      <c r="U700" s="36">
        <f>VLOOKUP(R700,IF(P700&lt;5,'Commission Criteria'!$L$3:$M$11,'Commission Criteria'!$P$3:$Q$11),2,1)</f>
        <v>0.03</v>
      </c>
      <c r="V700" s="8" t="s">
        <v>43</v>
      </c>
      <c r="W700" s="36">
        <f t="shared" ca="1" si="33"/>
        <v>0.02</v>
      </c>
      <c r="X700" s="8" t="str">
        <f>_xlfn.XLOOKUP(F700,'Product List'!$B$1:$B$299,'Product List'!$A$1:$A$299)</f>
        <v>GE 30522EE2</v>
      </c>
      <c r="Y700" s="8"/>
      <c r="Z700" s="8" t="str" cm="1">
        <f t="array" ref="Z700:AD700">_xlfn.XLOOKUP(D700,'Customer Details'!$A$1:$A$17,'Customer Details'!$B$1:$F$17,"No such customer",0,1)</f>
        <v>Hindusthan National Glass &amp; Industries Ltd.</v>
      </c>
      <c r="AA700" s="8" t="str">
        <v>11 Cathy St.</v>
      </c>
      <c r="AB700" s="8" t="str">
        <v>Honolulu</v>
      </c>
      <c r="AC700" s="8" t="str">
        <v>HI</v>
      </c>
      <c r="AD700" s="8" t="str">
        <v>96825</v>
      </c>
    </row>
    <row r="701" spans="1:30">
      <c r="A701" s="8" t="s">
        <v>774</v>
      </c>
      <c r="B701" s="19">
        <v>41927</v>
      </c>
      <c r="C701" s="8" t="s">
        <v>27</v>
      </c>
      <c r="D701" s="8">
        <v>10010</v>
      </c>
      <c r="E701" s="8" t="str">
        <f>VLOOKUP($D701,'Customer Details'!$A$1:$F$17,4,FALSE)</f>
        <v>Tracy</v>
      </c>
      <c r="F701" s="8" t="s">
        <v>524</v>
      </c>
      <c r="G701" s="8">
        <v>3</v>
      </c>
      <c r="H701" s="2" t="str">
        <f>VLOOKUP($D701,'Customer Details'!$A$1:$F$17,MATCH('Order SUmmary'!H$2,'Customer Details'!$A$1:$F$1,0),0)</f>
        <v>Suzlon Energy Ltd.</v>
      </c>
      <c r="I701" s="2" t="str">
        <f>VLOOKUP($D701,'Customer Details'!$A$1:$F$17,4,0)</f>
        <v>Tracy</v>
      </c>
      <c r="J701" s="2" t="str">
        <f>VLOOKUP($D701,'Customer Details'!$A$1:$F$17,6,0)</f>
        <v>95376</v>
      </c>
      <c r="K701" s="8" t="str">
        <f>VLOOKUP(VLOOKUP(D701,'Customer Details'!$A$1:$F$17,5,0),'Region INfo'!$A$1:$C$52,3,0)</f>
        <v xml:space="preserve">Pacific   </v>
      </c>
      <c r="L701" s="8" t="str">
        <f>INDEX(Product_List,MATCH($F701,'Product List'!$B$1:$B$299,0),MATCH('Order SUmmary'!L$2,'Product List'!$A$1:$E$1,0))</f>
        <v>Avery 495</v>
      </c>
      <c r="M701" s="8">
        <f>INDEX(Product_List,MATCH($F701,'Product List'!$B$1:$B$299,0),MATCH('Order SUmmary'!M$2,'Product List'!$A$1:$E$1,0))</f>
        <v>4542</v>
      </c>
      <c r="N701" s="8">
        <f>INDEX(Product_List,MATCH($F701,'Product List'!$B$1:$B$299,0),MATCH('Order SUmmary'!N$2,'Product List'!$A$1:$E$1,0))</f>
        <v>1226</v>
      </c>
      <c r="O701" s="8" t="str">
        <f>INDEX(Product_List,MATCH($F701,'Product List'!$B$1:$B$299,0),MATCH('Order SUmmary'!O$2,'Product List'!$A$1:$E$1,0))</f>
        <v>Labels</v>
      </c>
      <c r="P701" s="12">
        <f>HLOOKUP(C701,'Commission Criteria'!$A$2:$I$4,3,FALSE)</f>
        <v>4</v>
      </c>
      <c r="Q701" s="8">
        <f t="shared" si="31"/>
        <v>3678</v>
      </c>
      <c r="R701" s="8">
        <f t="shared" si="32"/>
        <v>13626</v>
      </c>
      <c r="S701" s="36">
        <f>VLOOKUP(R701,'Commission Criteria'!$L$3:$M$11,2,TRUE)</f>
        <v>0.03</v>
      </c>
      <c r="T701" s="36">
        <f>IF(P701&lt;5,VLOOKUP(R701,'Commission Criteria'!$L$3:$M$11,2,1),VLOOKUP('Order SUmmary'!R701,'Commission Criteria'!$P$3:$Q$11,2,1))</f>
        <v>0.03</v>
      </c>
      <c r="U701" s="36">
        <f>VLOOKUP(R701,IF(P701&lt;5,'Commission Criteria'!$L$3:$M$11,'Commission Criteria'!$P$3:$Q$11),2,1)</f>
        <v>0.03</v>
      </c>
      <c r="V701" s="8" t="s">
        <v>43</v>
      </c>
      <c r="W701" s="36">
        <f t="shared" ca="1" si="33"/>
        <v>0.03</v>
      </c>
      <c r="X701" s="8" t="str">
        <f>_xlfn.XLOOKUP(F701,'Product List'!$B$1:$B$299,'Product List'!$A$1:$A$299)</f>
        <v>Avery 495</v>
      </c>
      <c r="Y701" s="8"/>
      <c r="Z701" s="8" t="str" cm="1">
        <f t="array" ref="Z701:AD701">_xlfn.XLOOKUP(D701,'Customer Details'!$A$1:$A$17,'Customer Details'!$B$1:$F$17,"No such customer",0,1)</f>
        <v>Suzlon Energy Ltd.</v>
      </c>
      <c r="AA701" s="8" t="str">
        <v>501 Marsh Trail Circle</v>
      </c>
      <c r="AB701" s="8" t="str">
        <v>Tracy</v>
      </c>
      <c r="AC701" s="8" t="str">
        <v>CA</v>
      </c>
      <c r="AD701" s="8" t="str">
        <v>95376</v>
      </c>
    </row>
    <row r="702" spans="1:30">
      <c r="A702" s="8" t="s">
        <v>775</v>
      </c>
      <c r="B702" s="19">
        <v>41931</v>
      </c>
      <c r="C702" s="8" t="s">
        <v>44</v>
      </c>
      <c r="D702" s="8">
        <v>10006</v>
      </c>
      <c r="E702" s="8" t="str">
        <f>VLOOKUP($D702,'Customer Details'!$A$1:$F$17,4,FALSE)</f>
        <v>Midland</v>
      </c>
      <c r="F702" s="8" t="s">
        <v>776</v>
      </c>
      <c r="G702" s="8">
        <v>1</v>
      </c>
      <c r="H702" s="2" t="str">
        <f>VLOOKUP($D702,'Customer Details'!$A$1:$F$17,MATCH('Order SUmmary'!H$2,'Customer Details'!$A$1:$F$1,0),0)</f>
        <v>Supreme Ind</v>
      </c>
      <c r="I702" s="2" t="str">
        <f>VLOOKUP($D702,'Customer Details'!$A$1:$F$17,4,0)</f>
        <v>Midland</v>
      </c>
      <c r="J702" s="2" t="str">
        <f>VLOOKUP($D702,'Customer Details'!$A$1:$F$17,6,0)</f>
        <v>79706</v>
      </c>
      <c r="K702" s="8" t="str">
        <f>VLOOKUP(VLOOKUP(D702,'Customer Details'!$A$1:$F$17,5,0),'Region INfo'!$A$1:$C$52,3,0)</f>
        <v>Western</v>
      </c>
      <c r="L702" s="8" t="str">
        <f>INDEX(Product_List,MATCH($F702,'Product List'!$B$1:$B$299,0),MATCH('Order SUmmary'!L$2,'Product List'!$A$1:$E$1,0))</f>
        <v>Newell 347</v>
      </c>
      <c r="M702" s="8">
        <f>INDEX(Product_List,MATCH($F702,'Product List'!$B$1:$B$299,0),MATCH('Order SUmmary'!M$2,'Product List'!$A$1:$E$1,0))</f>
        <v>2856</v>
      </c>
      <c r="N702" s="8">
        <f>INDEX(Product_List,MATCH($F702,'Product List'!$B$1:$B$299,0),MATCH('Order SUmmary'!N$2,'Product List'!$A$1:$E$1,0))</f>
        <v>1236</v>
      </c>
      <c r="O702" s="8" t="str">
        <f>INDEX(Product_List,MATCH($F702,'Product List'!$B$1:$B$299,0),MATCH('Order SUmmary'!O$2,'Product List'!$A$1:$E$1,0))</f>
        <v>Art</v>
      </c>
      <c r="P702" s="12">
        <f>HLOOKUP(C702,'Commission Criteria'!$A$2:$I$4,3,FALSE)</f>
        <v>4</v>
      </c>
      <c r="Q702" s="8">
        <f t="shared" si="31"/>
        <v>1236</v>
      </c>
      <c r="R702" s="8">
        <f t="shared" si="32"/>
        <v>2856</v>
      </c>
      <c r="S702" s="36">
        <f>VLOOKUP(R702,'Commission Criteria'!$L$3:$M$11,2,TRUE)</f>
        <v>0.01</v>
      </c>
      <c r="T702" s="36">
        <f>IF(P702&lt;5,VLOOKUP(R702,'Commission Criteria'!$L$3:$M$11,2,1),VLOOKUP('Order SUmmary'!R702,'Commission Criteria'!$P$3:$Q$11,2,1))</f>
        <v>0.01</v>
      </c>
      <c r="U702" s="36">
        <f>VLOOKUP(R702,IF(P702&lt;5,'Commission Criteria'!$L$3:$M$11,'Commission Criteria'!$P$3:$Q$11),2,1)</f>
        <v>0.01</v>
      </c>
      <c r="V702" s="8" t="s">
        <v>35</v>
      </c>
      <c r="W702" s="36">
        <f t="shared" ca="1" si="33"/>
        <v>0.03</v>
      </c>
      <c r="X702" s="8" t="str">
        <f>_xlfn.XLOOKUP(F702,'Product List'!$B$1:$B$299,'Product List'!$A$1:$A$299)</f>
        <v>Newell 347</v>
      </c>
      <c r="Y702" s="8"/>
      <c r="Z702" s="8" t="str" cm="1">
        <f t="array" ref="Z702:AD702">_xlfn.XLOOKUP(D702,'Customer Details'!$A$1:$A$17,'Customer Details'!$B$1:$F$17,"No such customer",0,1)</f>
        <v>Supreme Ind</v>
      </c>
      <c r="AA702" s="8" t="str">
        <v>P.O. Box 1367</v>
      </c>
      <c r="AB702" s="8" t="str">
        <v>Midland</v>
      </c>
      <c r="AC702" s="8" t="str">
        <v>TX</v>
      </c>
      <c r="AD702" s="8" t="str">
        <v>79706</v>
      </c>
    </row>
    <row r="703" spans="1:30">
      <c r="A703" s="8" t="s">
        <v>775</v>
      </c>
      <c r="B703" s="19">
        <v>41931</v>
      </c>
      <c r="C703" s="8" t="s">
        <v>36</v>
      </c>
      <c r="D703" s="8">
        <v>10008</v>
      </c>
      <c r="E703" s="8" t="str">
        <f>VLOOKUP($D703,'Customer Details'!$A$1:$F$17,4,FALSE)</f>
        <v>Chestnut Ridge</v>
      </c>
      <c r="F703" s="8" t="s">
        <v>617</v>
      </c>
      <c r="G703" s="8">
        <v>1</v>
      </c>
      <c r="H703" s="2" t="str">
        <f>VLOOKUP($D703,'Customer Details'!$A$1:$F$17,MATCH('Order SUmmary'!H$2,'Customer Details'!$A$1:$F$1,0),0)</f>
        <v>Reliance Industries Limited</v>
      </c>
      <c r="I703" s="2" t="str">
        <f>VLOOKUP($D703,'Customer Details'!$A$1:$F$17,4,0)</f>
        <v>Chestnut Ridge</v>
      </c>
      <c r="J703" s="2" t="str">
        <f>VLOOKUP($D703,'Customer Details'!$A$1:$F$17,6,0)</f>
        <v>10977</v>
      </c>
      <c r="K703" s="8" t="str">
        <f>VLOOKUP(VLOOKUP(D703,'Customer Details'!$A$1:$F$17,5,0),'Region INfo'!$A$1:$C$52,3,0)</f>
        <v xml:space="preserve">Northern </v>
      </c>
      <c r="L703" s="8" t="str">
        <f>INDEX(Product_List,MATCH($F703,'Product List'!$B$1:$B$299,0),MATCH('Order SUmmary'!L$2,'Product List'!$A$1:$E$1,0))</f>
        <v>Xerox 1915</v>
      </c>
      <c r="M703" s="8">
        <f>INDEX(Product_List,MATCH($F703,'Product List'!$B$1:$B$299,0),MATCH('Order SUmmary'!M$2,'Product List'!$A$1:$E$1,0))</f>
        <v>3340</v>
      </c>
      <c r="N703" s="8">
        <f>INDEX(Product_List,MATCH($F703,'Product List'!$B$1:$B$299,0),MATCH('Order SUmmary'!N$2,'Product List'!$A$1:$E$1,0))</f>
        <v>1355</v>
      </c>
      <c r="O703" s="8" t="str">
        <f>INDEX(Product_List,MATCH($F703,'Product List'!$B$1:$B$299,0),MATCH('Order SUmmary'!O$2,'Product List'!$A$1:$E$1,0))</f>
        <v>Paper</v>
      </c>
      <c r="P703" s="12">
        <f>HLOOKUP(C703,'Commission Criteria'!$A$2:$I$4,3,FALSE)</f>
        <v>6</v>
      </c>
      <c r="Q703" s="8">
        <f t="shared" si="31"/>
        <v>1355</v>
      </c>
      <c r="R703" s="8">
        <f t="shared" si="32"/>
        <v>3340</v>
      </c>
      <c r="S703" s="36">
        <f>VLOOKUP(R703,'Commission Criteria'!$L$3:$M$11,2,TRUE)</f>
        <v>0.01</v>
      </c>
      <c r="T703" s="36">
        <f>IF(P703&lt;5,VLOOKUP(R703,'Commission Criteria'!$L$3:$M$11,2,1),VLOOKUP('Order SUmmary'!R703,'Commission Criteria'!$P$3:$Q$11,2,1))</f>
        <v>0.02</v>
      </c>
      <c r="U703" s="36">
        <f>VLOOKUP(R703,IF(P703&lt;5,'Commission Criteria'!$L$3:$M$11,'Commission Criteria'!$P$3:$Q$11),2,1)</f>
        <v>0.02</v>
      </c>
      <c r="V703" s="8" t="s">
        <v>43</v>
      </c>
      <c r="W703" s="36">
        <f t="shared" ca="1" si="33"/>
        <v>0.02</v>
      </c>
      <c r="X703" s="8" t="str">
        <f>_xlfn.XLOOKUP(F703,'Product List'!$B$1:$B$299,'Product List'!$A$1:$A$299)</f>
        <v>Xerox 1915</v>
      </c>
      <c r="Y703" s="8"/>
      <c r="Z703" s="8" t="str" cm="1">
        <f t="array" ref="Z703:AD703">_xlfn.XLOOKUP(D703,'Customer Details'!$A$1:$A$17,'Customer Details'!$B$1:$F$17,"No such customer",0,1)</f>
        <v>Reliance Industries Limited</v>
      </c>
      <c r="AA703" s="8" t="str">
        <v>12020 Shamrock Rd., Suite 333</v>
      </c>
      <c r="AB703" s="8" t="str">
        <v>Chestnut Ridge</v>
      </c>
      <c r="AC703" s="8" t="str">
        <v>NY</v>
      </c>
      <c r="AD703" s="8" t="str">
        <v>10977</v>
      </c>
    </row>
    <row r="704" spans="1:30">
      <c r="A704" s="8" t="s">
        <v>777</v>
      </c>
      <c r="B704" s="19">
        <v>41931</v>
      </c>
      <c r="C704" s="8" t="s">
        <v>66</v>
      </c>
      <c r="D704" s="8">
        <v>10006</v>
      </c>
      <c r="E704" s="8" t="str">
        <f>VLOOKUP($D704,'Customer Details'!$A$1:$F$17,4,FALSE)</f>
        <v>Midland</v>
      </c>
      <c r="F704" s="8" t="s">
        <v>778</v>
      </c>
      <c r="G704" s="8">
        <v>2</v>
      </c>
      <c r="H704" s="2" t="str">
        <f>VLOOKUP($D704,'Customer Details'!$A$1:$F$17,MATCH('Order SUmmary'!H$2,'Customer Details'!$A$1:$F$1,0),0)</f>
        <v>Supreme Ind</v>
      </c>
      <c r="I704" s="2" t="str">
        <f>VLOOKUP($D704,'Customer Details'!$A$1:$F$17,4,0)</f>
        <v>Midland</v>
      </c>
      <c r="J704" s="2" t="str">
        <f>VLOOKUP($D704,'Customer Details'!$A$1:$F$17,6,0)</f>
        <v>79706</v>
      </c>
      <c r="K704" s="8" t="str">
        <f>VLOOKUP(VLOOKUP(D704,'Customer Details'!$A$1:$F$17,5,0),'Region INfo'!$A$1:$C$52,3,0)</f>
        <v>Western</v>
      </c>
      <c r="L704" s="8" t="str">
        <f>INDEX(Product_List,MATCH($F704,'Product List'!$B$1:$B$299,0),MATCH('Order SUmmary'!L$2,'Product List'!$A$1:$E$1,0))</f>
        <v>Xerox 197</v>
      </c>
      <c r="M704" s="8">
        <f>INDEX(Product_List,MATCH($F704,'Product List'!$B$1:$B$299,0),MATCH('Order SUmmary'!M$2,'Product List'!$A$1:$E$1,0))</f>
        <v>2671</v>
      </c>
      <c r="N704" s="8">
        <f>INDEX(Product_List,MATCH($F704,'Product List'!$B$1:$B$299,0),MATCH('Order SUmmary'!N$2,'Product List'!$A$1:$E$1,0))</f>
        <v>1591</v>
      </c>
      <c r="O704" s="8" t="str">
        <f>INDEX(Product_List,MATCH($F704,'Product List'!$B$1:$B$299,0),MATCH('Order SUmmary'!O$2,'Product List'!$A$1:$E$1,0))</f>
        <v>Paper</v>
      </c>
      <c r="P704" s="12">
        <f>HLOOKUP(C704,'Commission Criteria'!$A$2:$I$4,3,FALSE)</f>
        <v>5</v>
      </c>
      <c r="Q704" s="8">
        <f t="shared" si="31"/>
        <v>3182</v>
      </c>
      <c r="R704" s="8">
        <f t="shared" si="32"/>
        <v>5342</v>
      </c>
      <c r="S704" s="36">
        <f>VLOOKUP(R704,'Commission Criteria'!$L$3:$M$11,2,TRUE)</f>
        <v>0.03</v>
      </c>
      <c r="T704" s="36">
        <f>IF(P704&lt;5,VLOOKUP(R704,'Commission Criteria'!$L$3:$M$11,2,1),VLOOKUP('Order SUmmary'!R704,'Commission Criteria'!$P$3:$Q$11,2,1))</f>
        <v>0.02</v>
      </c>
      <c r="U704" s="36">
        <f>VLOOKUP(R704,IF(P704&lt;5,'Commission Criteria'!$L$3:$M$11,'Commission Criteria'!$P$3:$Q$11),2,1)</f>
        <v>0.02</v>
      </c>
      <c r="V704" s="8" t="s">
        <v>32</v>
      </c>
      <c r="W704" s="36">
        <f t="shared" ca="1" si="33"/>
        <v>0.02</v>
      </c>
      <c r="X704" s="8" t="str">
        <f>_xlfn.XLOOKUP(F704,'Product List'!$B$1:$B$299,'Product List'!$A$1:$A$299)</f>
        <v>Xerox 197</v>
      </c>
      <c r="Y704" s="8"/>
      <c r="Z704" s="8" t="str" cm="1">
        <f t="array" ref="Z704:AD704">_xlfn.XLOOKUP(D704,'Customer Details'!$A$1:$A$17,'Customer Details'!$B$1:$F$17,"No such customer",0,1)</f>
        <v>Supreme Ind</v>
      </c>
      <c r="AA704" s="8" t="str">
        <v>P.O. Box 1367</v>
      </c>
      <c r="AB704" s="8" t="str">
        <v>Midland</v>
      </c>
      <c r="AC704" s="8" t="str">
        <v>TX</v>
      </c>
      <c r="AD704" s="8" t="str">
        <v>79706</v>
      </c>
    </row>
    <row r="705" spans="1:30">
      <c r="A705" s="8" t="s">
        <v>779</v>
      </c>
      <c r="B705" s="19">
        <v>41933</v>
      </c>
      <c r="C705" s="8" t="s">
        <v>36</v>
      </c>
      <c r="D705" s="8">
        <v>10014</v>
      </c>
      <c r="E705" s="8" t="str">
        <f>VLOOKUP($D705,'Customer Details'!$A$1:$F$17,4,FALSE)</f>
        <v>Honolulu</v>
      </c>
      <c r="F705" s="8" t="s">
        <v>291</v>
      </c>
      <c r="G705" s="8">
        <v>1</v>
      </c>
      <c r="H705" s="2" t="str">
        <f>VLOOKUP($D705,'Customer Details'!$A$1:$F$17,MATCH('Order SUmmary'!H$2,'Customer Details'!$A$1:$F$1,0),0)</f>
        <v>Hindusthan National Glass &amp; Industries Ltd.</v>
      </c>
      <c r="I705" s="2" t="str">
        <f>VLOOKUP($D705,'Customer Details'!$A$1:$F$17,4,0)</f>
        <v>Honolulu</v>
      </c>
      <c r="J705" s="2" t="str">
        <f>VLOOKUP($D705,'Customer Details'!$A$1:$F$17,6,0)</f>
        <v>96825</v>
      </c>
      <c r="K705" s="8" t="str">
        <f>VLOOKUP(VLOOKUP(D705,'Customer Details'!$A$1:$F$17,5,0),'Region INfo'!$A$1:$C$52,3,0)</f>
        <v xml:space="preserve">Pacific   </v>
      </c>
      <c r="L705" s="8" t="str">
        <f>INDEX(Product_List,MATCH($F705,'Product List'!$B$1:$B$299,0),MATCH('Order SUmmary'!L$2,'Product List'!$A$1:$E$1,0))</f>
        <v>Xerox 1990</v>
      </c>
      <c r="M705" s="8">
        <f>INDEX(Product_List,MATCH($F705,'Product List'!$B$1:$B$299,0),MATCH('Order SUmmary'!M$2,'Product List'!$A$1:$E$1,0))</f>
        <v>3330</v>
      </c>
      <c r="N705" s="8">
        <f>INDEX(Product_List,MATCH($F705,'Product List'!$B$1:$B$299,0),MATCH('Order SUmmary'!N$2,'Product List'!$A$1:$E$1,0))</f>
        <v>2283</v>
      </c>
      <c r="O705" s="8" t="str">
        <f>INDEX(Product_List,MATCH($F705,'Product List'!$B$1:$B$299,0),MATCH('Order SUmmary'!O$2,'Product List'!$A$1:$E$1,0))</f>
        <v>Paper</v>
      </c>
      <c r="P705" s="12">
        <f>HLOOKUP(C705,'Commission Criteria'!$A$2:$I$4,3,FALSE)</f>
        <v>6</v>
      </c>
      <c r="Q705" s="8">
        <f t="shared" si="31"/>
        <v>2283</v>
      </c>
      <c r="R705" s="8">
        <f t="shared" si="32"/>
        <v>3330</v>
      </c>
      <c r="S705" s="36">
        <f>VLOOKUP(R705,'Commission Criteria'!$L$3:$M$11,2,TRUE)</f>
        <v>0.01</v>
      </c>
      <c r="T705" s="36">
        <f>IF(P705&lt;5,VLOOKUP(R705,'Commission Criteria'!$L$3:$M$11,2,1),VLOOKUP('Order SUmmary'!R705,'Commission Criteria'!$P$3:$Q$11,2,1))</f>
        <v>0.02</v>
      </c>
      <c r="U705" s="36">
        <f>VLOOKUP(R705,IF(P705&lt;5,'Commission Criteria'!$L$3:$M$11,'Commission Criteria'!$P$3:$Q$11),2,1)</f>
        <v>0.02</v>
      </c>
      <c r="V705" s="8" t="s">
        <v>32</v>
      </c>
      <c r="W705" s="36">
        <f t="shared" ca="1" si="33"/>
        <v>0.03</v>
      </c>
      <c r="X705" s="8" t="str">
        <f>_xlfn.XLOOKUP(F705,'Product List'!$B$1:$B$299,'Product List'!$A$1:$A$299)</f>
        <v>Xerox 1990</v>
      </c>
      <c r="Y705" s="8"/>
      <c r="Z705" s="8" t="str" cm="1">
        <f t="array" ref="Z705:AD705">_xlfn.XLOOKUP(D705,'Customer Details'!$A$1:$A$17,'Customer Details'!$B$1:$F$17,"No such customer",0,1)</f>
        <v>Hindusthan National Glass &amp; Industries Ltd.</v>
      </c>
      <c r="AA705" s="8" t="str">
        <v>11 Cathy St.</v>
      </c>
      <c r="AB705" s="8" t="str">
        <v>Honolulu</v>
      </c>
      <c r="AC705" s="8" t="str">
        <v>HI</v>
      </c>
      <c r="AD705" s="8" t="str">
        <v>96825</v>
      </c>
    </row>
    <row r="706" spans="1:30">
      <c r="A706" s="8" t="s">
        <v>780</v>
      </c>
      <c r="B706" s="19">
        <v>41934</v>
      </c>
      <c r="C706" s="8" t="s">
        <v>66</v>
      </c>
      <c r="D706" s="8">
        <v>10003</v>
      </c>
      <c r="E706" s="8" t="str">
        <f>VLOOKUP($D706,'Customer Details'!$A$1:$F$17,4,FALSE)</f>
        <v>Miami</v>
      </c>
      <c r="F706" s="8" t="s">
        <v>622</v>
      </c>
      <c r="G706" s="8">
        <v>1</v>
      </c>
      <c r="H706" s="2" t="str">
        <f>VLOOKUP($D706,'Customer Details'!$A$1:$F$17,MATCH('Order SUmmary'!H$2,'Customer Details'!$A$1:$F$1,0),0)</f>
        <v>Honeywell Automation</v>
      </c>
      <c r="I706" s="2" t="str">
        <f>VLOOKUP($D706,'Customer Details'!$A$1:$F$17,4,0)</f>
        <v>Miami</v>
      </c>
      <c r="J706" s="2" t="str">
        <f>VLOOKUP($D706,'Customer Details'!$A$1:$F$17,6,0)</f>
        <v>33732</v>
      </c>
      <c r="K706" s="8" t="str">
        <f>VLOOKUP(VLOOKUP(D706,'Customer Details'!$A$1:$F$17,5,0),'Region INfo'!$A$1:$C$52,3,0)</f>
        <v>Southern</v>
      </c>
      <c r="L706" s="8" t="str">
        <f>INDEX(Product_List,MATCH($F706,'Product List'!$B$1:$B$299,0),MATCH('Order SUmmary'!L$2,'Product List'!$A$1:$E$1,0))</f>
        <v>Xerox 1995</v>
      </c>
      <c r="M706" s="8">
        <f>INDEX(Product_List,MATCH($F706,'Product List'!$B$1:$B$299,0),MATCH('Order SUmmary'!M$2,'Product List'!$A$1:$E$1,0))</f>
        <v>3454</v>
      </c>
      <c r="N706" s="8">
        <f>INDEX(Product_List,MATCH($F706,'Product List'!$B$1:$B$299,0),MATCH('Order SUmmary'!N$2,'Product List'!$A$1:$E$1,0))</f>
        <v>1525</v>
      </c>
      <c r="O706" s="8" t="str">
        <f>INDEX(Product_List,MATCH($F706,'Product List'!$B$1:$B$299,0),MATCH('Order SUmmary'!O$2,'Product List'!$A$1:$E$1,0))</f>
        <v>Paper</v>
      </c>
      <c r="P706" s="12">
        <f>HLOOKUP(C706,'Commission Criteria'!$A$2:$I$4,3,FALSE)</f>
        <v>5</v>
      </c>
      <c r="Q706" s="8">
        <f t="shared" si="31"/>
        <v>1525</v>
      </c>
      <c r="R706" s="8">
        <f t="shared" si="32"/>
        <v>3454</v>
      </c>
      <c r="S706" s="36">
        <f>VLOOKUP(R706,'Commission Criteria'!$L$3:$M$11,2,TRUE)</f>
        <v>0.01</v>
      </c>
      <c r="T706" s="36">
        <f>IF(P706&lt;5,VLOOKUP(R706,'Commission Criteria'!$L$3:$M$11,2,1),VLOOKUP('Order SUmmary'!R706,'Commission Criteria'!$P$3:$Q$11,2,1))</f>
        <v>0.02</v>
      </c>
      <c r="U706" s="36">
        <f>VLOOKUP(R706,IF(P706&lt;5,'Commission Criteria'!$L$3:$M$11,'Commission Criteria'!$P$3:$Q$11),2,1)</f>
        <v>0.02</v>
      </c>
      <c r="V706" s="8" t="s">
        <v>40</v>
      </c>
      <c r="W706" s="36">
        <f t="shared" ca="1" si="33"/>
        <v>0.01</v>
      </c>
      <c r="X706" s="8" t="str">
        <f>_xlfn.XLOOKUP(F706,'Product List'!$B$1:$B$299,'Product List'!$A$1:$A$299)</f>
        <v>Xerox 1995</v>
      </c>
      <c r="Y706" s="8"/>
      <c r="Z706" s="8" t="str" cm="1">
        <f t="array" ref="Z706:AD706">_xlfn.XLOOKUP(D706,'Customer Details'!$A$1:$A$17,'Customer Details'!$B$1:$F$17,"No such customer",0,1)</f>
        <v>Honeywell Automation</v>
      </c>
      <c r="AA706" s="8" t="str">
        <v>1272 Harbor Road</v>
      </c>
      <c r="AB706" s="8" t="str">
        <v>Miami</v>
      </c>
      <c r="AC706" s="8" t="str">
        <v>FL</v>
      </c>
      <c r="AD706" s="8" t="str">
        <v>33732</v>
      </c>
    </row>
    <row r="707" spans="1:30">
      <c r="A707" s="8" t="s">
        <v>781</v>
      </c>
      <c r="B707" s="19">
        <v>41935</v>
      </c>
      <c r="C707" s="8" t="s">
        <v>66</v>
      </c>
      <c r="D707" s="8">
        <v>10002</v>
      </c>
      <c r="E707" s="8" t="str">
        <f>VLOOKUP($D707,'Customer Details'!$A$1:$F$17,4,FALSE)</f>
        <v>Omaha</v>
      </c>
      <c r="F707" s="8" t="s">
        <v>443</v>
      </c>
      <c r="G707" s="8">
        <v>2</v>
      </c>
      <c r="H707" s="2" t="str">
        <f>VLOOKUP($D707,'Customer Details'!$A$1:$F$17,MATCH('Order SUmmary'!H$2,'Customer Details'!$A$1:$F$1,0),0)</f>
        <v>Elder Pharmaceuticals</v>
      </c>
      <c r="I707" s="2" t="str">
        <f>VLOOKUP($D707,'Customer Details'!$A$1:$F$17,4,0)</f>
        <v>Omaha</v>
      </c>
      <c r="J707" s="2" t="str">
        <f>VLOOKUP($D707,'Customer Details'!$A$1:$F$17,6,0)</f>
        <v>68127</v>
      </c>
      <c r="K707" s="8" t="str">
        <f>VLOOKUP(VLOOKUP(D707,'Customer Details'!$A$1:$F$17,5,0),'Region INfo'!$A$1:$C$52,3,0)</f>
        <v>Western</v>
      </c>
      <c r="L707" s="8" t="str">
        <f>INDEX(Product_List,MATCH($F707,'Product List'!$B$1:$B$299,0),MATCH('Order SUmmary'!L$2,'Product List'!$A$1:$E$1,0))</f>
        <v>Avery 485</v>
      </c>
      <c r="M707" s="8">
        <f>INDEX(Product_List,MATCH($F707,'Product List'!$B$1:$B$299,0),MATCH('Order SUmmary'!M$2,'Product List'!$A$1:$E$1,0))</f>
        <v>3060</v>
      </c>
      <c r="N707" s="8">
        <f>INDEX(Product_List,MATCH($F707,'Product List'!$B$1:$B$299,0),MATCH('Order SUmmary'!N$2,'Product List'!$A$1:$E$1,0))</f>
        <v>1258</v>
      </c>
      <c r="O707" s="8" t="str">
        <f>INDEX(Product_List,MATCH($F707,'Product List'!$B$1:$B$299,0),MATCH('Order SUmmary'!O$2,'Product List'!$A$1:$E$1,0))</f>
        <v>Labels</v>
      </c>
      <c r="P707" s="12">
        <f>HLOOKUP(C707,'Commission Criteria'!$A$2:$I$4,3,FALSE)</f>
        <v>5</v>
      </c>
      <c r="Q707" s="8">
        <f t="shared" si="31"/>
        <v>2516</v>
      </c>
      <c r="R707" s="8">
        <f t="shared" si="32"/>
        <v>6120</v>
      </c>
      <c r="S707" s="36">
        <f>VLOOKUP(R707,'Commission Criteria'!$L$3:$M$11,2,TRUE)</f>
        <v>0.03</v>
      </c>
      <c r="T707" s="36">
        <f>IF(P707&lt;5,VLOOKUP(R707,'Commission Criteria'!$L$3:$M$11,2,1),VLOOKUP('Order SUmmary'!R707,'Commission Criteria'!$P$3:$Q$11,2,1))</f>
        <v>0.02</v>
      </c>
      <c r="U707" s="36">
        <f>VLOOKUP(R707,IF(P707&lt;5,'Commission Criteria'!$L$3:$M$11,'Commission Criteria'!$P$3:$Q$11),2,1)</f>
        <v>0.02</v>
      </c>
      <c r="V707" s="8" t="s">
        <v>29</v>
      </c>
      <c r="W707" s="36">
        <f t="shared" ca="1" si="33"/>
        <v>0.04</v>
      </c>
      <c r="X707" s="8" t="str">
        <f>_xlfn.XLOOKUP(F707,'Product List'!$B$1:$B$299,'Product List'!$A$1:$A$299)</f>
        <v>Avery 485</v>
      </c>
      <c r="Y707" s="8"/>
      <c r="Z707" s="8" t="str" cm="1">
        <f t="array" ref="Z707:AD707">_xlfn.XLOOKUP(D707,'Customer Details'!$A$1:$A$17,'Customer Details'!$B$1:$F$17,"No such customer",0,1)</f>
        <v>Elder Pharmaceuticals</v>
      </c>
      <c r="AA707" s="8" t="str">
        <v>57 Neriba Cres</v>
      </c>
      <c r="AB707" s="8" t="str">
        <v>Omaha</v>
      </c>
      <c r="AC707" s="8" t="str">
        <v>NE</v>
      </c>
      <c r="AD707" s="8" t="str">
        <v>68127</v>
      </c>
    </row>
    <row r="708" spans="1:30">
      <c r="A708" s="8" t="s">
        <v>782</v>
      </c>
      <c r="B708" s="19">
        <v>41937</v>
      </c>
      <c r="C708" s="8" t="s">
        <v>66</v>
      </c>
      <c r="D708" s="8">
        <v>10005</v>
      </c>
      <c r="E708" s="8" t="str">
        <f>VLOOKUP($D708,'Customer Details'!$A$1:$F$17,4,FALSE)</f>
        <v>Goleta</v>
      </c>
      <c r="F708" s="8" t="s">
        <v>285</v>
      </c>
      <c r="G708" s="8">
        <v>1</v>
      </c>
      <c r="H708" s="2" t="str">
        <f>VLOOKUP($D708,'Customer Details'!$A$1:$F$17,MATCH('Order SUmmary'!H$2,'Customer Details'!$A$1:$F$1,0),0)</f>
        <v>Fortis Healthcare Ltd.</v>
      </c>
      <c r="I708" s="2" t="str">
        <f>VLOOKUP($D708,'Customer Details'!$A$1:$F$17,4,0)</f>
        <v>Goleta</v>
      </c>
      <c r="J708" s="2" t="str">
        <f>VLOOKUP($D708,'Customer Details'!$A$1:$F$17,6,0)</f>
        <v>93117</v>
      </c>
      <c r="K708" s="8" t="str">
        <f>VLOOKUP(VLOOKUP(D708,'Customer Details'!$A$1:$F$17,5,0),'Region INfo'!$A$1:$C$52,3,0)</f>
        <v xml:space="preserve">Pacific   </v>
      </c>
      <c r="L708" s="8" t="str">
        <f>INDEX(Product_List,MATCH($F708,'Product List'!$B$1:$B$299,0),MATCH('Order SUmmary'!L$2,'Product List'!$A$1:$E$1,0))</f>
        <v>Newell 344</v>
      </c>
      <c r="M708" s="8">
        <f>INDEX(Product_List,MATCH($F708,'Product List'!$B$1:$B$299,0),MATCH('Order SUmmary'!M$2,'Product List'!$A$1:$E$1,0))</f>
        <v>3282</v>
      </c>
      <c r="N708" s="8">
        <f>INDEX(Product_List,MATCH($F708,'Product List'!$B$1:$B$299,0),MATCH('Order SUmmary'!N$2,'Product List'!$A$1:$E$1,0))</f>
        <v>1654</v>
      </c>
      <c r="O708" s="8" t="str">
        <f>INDEX(Product_List,MATCH($F708,'Product List'!$B$1:$B$299,0),MATCH('Order SUmmary'!O$2,'Product List'!$A$1:$E$1,0))</f>
        <v>Art</v>
      </c>
      <c r="P708" s="12">
        <f>HLOOKUP(C708,'Commission Criteria'!$A$2:$I$4,3,FALSE)</f>
        <v>5</v>
      </c>
      <c r="Q708" s="8">
        <f t="shared" ref="Q708:Q771" si="34">N708*G708</f>
        <v>1654</v>
      </c>
      <c r="R708" s="8">
        <f t="shared" ref="R708:R771" si="35">M708*G708</f>
        <v>3282</v>
      </c>
      <c r="S708" s="36">
        <f>VLOOKUP(R708,'Commission Criteria'!$L$3:$M$11,2,TRUE)</f>
        <v>0.01</v>
      </c>
      <c r="T708" s="36">
        <f>IF(P708&lt;5,VLOOKUP(R708,'Commission Criteria'!$L$3:$M$11,2,1),VLOOKUP('Order SUmmary'!R708,'Commission Criteria'!$P$3:$Q$11,2,1))</f>
        <v>0.02</v>
      </c>
      <c r="U708" s="36">
        <f>VLOOKUP(R708,IF(P708&lt;5,'Commission Criteria'!$L$3:$M$11,'Commission Criteria'!$P$3:$Q$11),2,1)</f>
        <v>0.02</v>
      </c>
      <c r="V708" s="8" t="s">
        <v>50</v>
      </c>
      <c r="W708" s="36">
        <f t="shared" ref="W708:W771" ca="1" si="36">VLOOKUP(F708,INDIRECT(V708&amp;"!$A$1:$B$296"),2,0)</f>
        <v>0.05</v>
      </c>
      <c r="X708" s="8" t="str">
        <f>_xlfn.XLOOKUP(F708,'Product List'!$B$1:$B$299,'Product List'!$A$1:$A$299)</f>
        <v>Newell 344</v>
      </c>
      <c r="Y708" s="8"/>
      <c r="Z708" s="8" t="str" cm="1">
        <f t="array" ref="Z708:AD708">_xlfn.XLOOKUP(D708,'Customer Details'!$A$1:$A$17,'Customer Details'!$B$1:$F$17,"No such customer",0,1)</f>
        <v>Fortis Healthcare Ltd.</v>
      </c>
      <c r="AA708" s="8" t="str">
        <v>14 Elsworthy Terrace</v>
      </c>
      <c r="AB708" s="8" t="str">
        <v>Goleta</v>
      </c>
      <c r="AC708" s="8" t="str">
        <v>CA</v>
      </c>
      <c r="AD708" s="8" t="str">
        <v>93117</v>
      </c>
    </row>
    <row r="709" spans="1:30">
      <c r="A709" s="8" t="s">
        <v>782</v>
      </c>
      <c r="B709" s="19">
        <v>41937</v>
      </c>
      <c r="C709" s="8" t="s">
        <v>33</v>
      </c>
      <c r="D709" s="8">
        <v>10011</v>
      </c>
      <c r="E709" s="8" t="str">
        <f>VLOOKUP($D709,'Customer Details'!$A$1:$F$17,4,FALSE)</f>
        <v>Olympia</v>
      </c>
      <c r="F709" s="8" t="s">
        <v>352</v>
      </c>
      <c r="G709" s="8">
        <v>1</v>
      </c>
      <c r="H709" s="2" t="str">
        <f>VLOOKUP($D709,'Customer Details'!$A$1:$F$17,MATCH('Order SUmmary'!H$2,'Customer Details'!$A$1:$F$1,0),0)</f>
        <v>Sonata Software</v>
      </c>
      <c r="I709" s="2" t="str">
        <f>VLOOKUP($D709,'Customer Details'!$A$1:$F$17,4,0)</f>
        <v>Olympia</v>
      </c>
      <c r="J709" s="2" t="str">
        <f>VLOOKUP($D709,'Customer Details'!$A$1:$F$17,6,0)</f>
        <v>98502</v>
      </c>
      <c r="K709" s="8" t="str">
        <f>VLOOKUP(VLOOKUP(D709,'Customer Details'!$A$1:$F$17,5,0),'Region INfo'!$A$1:$C$52,3,0)</f>
        <v xml:space="preserve">Pacific   </v>
      </c>
      <c r="L709" s="8" t="str">
        <f>INDEX(Product_List,MATCH($F709,'Product List'!$B$1:$B$299,0),MATCH('Order SUmmary'!L$2,'Product List'!$A$1:$E$1,0))</f>
        <v>Avery 501</v>
      </c>
      <c r="M709" s="8">
        <f>INDEX(Product_List,MATCH($F709,'Product List'!$B$1:$B$299,0),MATCH('Order SUmmary'!M$2,'Product List'!$A$1:$E$1,0))</f>
        <v>3295</v>
      </c>
      <c r="N709" s="8">
        <f>INDEX(Product_List,MATCH($F709,'Product List'!$B$1:$B$299,0),MATCH('Order SUmmary'!N$2,'Product List'!$A$1:$E$1,0))</f>
        <v>1841</v>
      </c>
      <c r="O709" s="8" t="str">
        <f>INDEX(Product_List,MATCH($F709,'Product List'!$B$1:$B$299,0),MATCH('Order SUmmary'!O$2,'Product List'!$A$1:$E$1,0))</f>
        <v>Labels</v>
      </c>
      <c r="P709" s="12">
        <f>HLOOKUP(C709,'Commission Criteria'!$A$2:$I$4,3,FALSE)</f>
        <v>1</v>
      </c>
      <c r="Q709" s="8">
        <f t="shared" si="34"/>
        <v>1841</v>
      </c>
      <c r="R709" s="8">
        <f t="shared" si="35"/>
        <v>3295</v>
      </c>
      <c r="S709" s="36">
        <f>VLOOKUP(R709,'Commission Criteria'!$L$3:$M$11,2,TRUE)</f>
        <v>0.01</v>
      </c>
      <c r="T709" s="36">
        <f>IF(P709&lt;5,VLOOKUP(R709,'Commission Criteria'!$L$3:$M$11,2,1),VLOOKUP('Order SUmmary'!R709,'Commission Criteria'!$P$3:$Q$11,2,1))</f>
        <v>0.01</v>
      </c>
      <c r="U709" s="36">
        <f>VLOOKUP(R709,IF(P709&lt;5,'Commission Criteria'!$L$3:$M$11,'Commission Criteria'!$P$3:$Q$11),2,1)</f>
        <v>0.01</v>
      </c>
      <c r="V709" s="8" t="s">
        <v>50</v>
      </c>
      <c r="W709" s="36">
        <f t="shared" ca="1" si="36"/>
        <v>0.02</v>
      </c>
      <c r="X709" s="8" t="str">
        <f>_xlfn.XLOOKUP(F709,'Product List'!$B$1:$B$299,'Product List'!$A$1:$A$299)</f>
        <v>Avery 501</v>
      </c>
      <c r="Y709" s="8"/>
      <c r="Z709" s="8" t="str" cm="1">
        <f t="array" ref="Z709:AD709">_xlfn.XLOOKUP(D709,'Customer Details'!$A$1:$A$17,'Customer Details'!$B$1:$F$17,"No such customer",0,1)</f>
        <v>Sonata Software</v>
      </c>
      <c r="AA709" s="8" t="str">
        <v>1331 Kimberly Dr.</v>
      </c>
      <c r="AB709" s="8" t="str">
        <v>Olympia</v>
      </c>
      <c r="AC709" s="8" t="str">
        <v>WA</v>
      </c>
      <c r="AD709" s="8" t="str">
        <v>98502</v>
      </c>
    </row>
    <row r="710" spans="1:30">
      <c r="A710" s="8" t="s">
        <v>783</v>
      </c>
      <c r="B710" s="19">
        <v>41938</v>
      </c>
      <c r="C710" s="8" t="s">
        <v>54</v>
      </c>
      <c r="D710" s="8">
        <v>10012</v>
      </c>
      <c r="E710" s="8" t="str">
        <f>VLOOKUP($D710,'Customer Details'!$A$1:$F$17,4,FALSE)</f>
        <v>Santa Barbara</v>
      </c>
      <c r="F710" s="8" t="s">
        <v>188</v>
      </c>
      <c r="G710" s="8">
        <v>1</v>
      </c>
      <c r="H710" s="2" t="str">
        <f>VLOOKUP($D710,'Customer Details'!$A$1:$F$17,MATCH('Order SUmmary'!H$2,'Customer Details'!$A$1:$F$1,0),0)</f>
        <v>Dynamatic Technologies Ltd.</v>
      </c>
      <c r="I710" s="2" t="str">
        <f>VLOOKUP($D710,'Customer Details'!$A$1:$F$17,4,0)</f>
        <v>Santa Barbara</v>
      </c>
      <c r="J710" s="2" t="str">
        <f>VLOOKUP($D710,'Customer Details'!$A$1:$F$17,6,0)</f>
        <v>93110</v>
      </c>
      <c r="K710" s="8" t="str">
        <f>VLOOKUP(VLOOKUP(D710,'Customer Details'!$A$1:$F$17,5,0),'Region INfo'!$A$1:$C$52,3,0)</f>
        <v xml:space="preserve">Pacific   </v>
      </c>
      <c r="L710" s="8" t="str">
        <f>INDEX(Product_List,MATCH($F710,'Product List'!$B$1:$B$299,0),MATCH('Order SUmmary'!L$2,'Product List'!$A$1:$E$1,0))</f>
        <v>Xerox 1953</v>
      </c>
      <c r="M710" s="8">
        <f>INDEX(Product_List,MATCH($F710,'Product List'!$B$1:$B$299,0),MATCH('Order SUmmary'!M$2,'Product List'!$A$1:$E$1,0))</f>
        <v>2579</v>
      </c>
      <c r="N710" s="8">
        <f>INDEX(Product_List,MATCH($F710,'Product List'!$B$1:$B$299,0),MATCH('Order SUmmary'!N$2,'Product List'!$A$1:$E$1,0))</f>
        <v>1455</v>
      </c>
      <c r="O710" s="8" t="str">
        <f>INDEX(Product_List,MATCH($F710,'Product List'!$B$1:$B$299,0),MATCH('Order SUmmary'!O$2,'Product List'!$A$1:$E$1,0))</f>
        <v>Paper</v>
      </c>
      <c r="P710" s="12">
        <f>HLOOKUP(C710,'Commission Criteria'!$A$2:$I$4,3,FALSE)</f>
        <v>3</v>
      </c>
      <c r="Q710" s="8">
        <f t="shared" si="34"/>
        <v>1455</v>
      </c>
      <c r="R710" s="8">
        <f t="shared" si="35"/>
        <v>2579</v>
      </c>
      <c r="S710" s="36">
        <f>VLOOKUP(R710,'Commission Criteria'!$L$3:$M$11,2,TRUE)</f>
        <v>0.01</v>
      </c>
      <c r="T710" s="36">
        <f>IF(P710&lt;5,VLOOKUP(R710,'Commission Criteria'!$L$3:$M$11,2,1),VLOOKUP('Order SUmmary'!R710,'Commission Criteria'!$P$3:$Q$11,2,1))</f>
        <v>0.01</v>
      </c>
      <c r="U710" s="36">
        <f>VLOOKUP(R710,IF(P710&lt;5,'Commission Criteria'!$L$3:$M$11,'Commission Criteria'!$P$3:$Q$11),2,1)</f>
        <v>0.01</v>
      </c>
      <c r="V710" s="8" t="s">
        <v>32</v>
      </c>
      <c r="W710" s="36">
        <f t="shared" ca="1" si="36"/>
        <v>0.02</v>
      </c>
      <c r="X710" s="8" t="str">
        <f>_xlfn.XLOOKUP(F710,'Product List'!$B$1:$B$299,'Product List'!$A$1:$A$299)</f>
        <v>Xerox 1953</v>
      </c>
      <c r="Y710" s="8"/>
      <c r="Z710" s="8" t="str" cm="1">
        <f t="array" ref="Z710:AD710">_xlfn.XLOOKUP(D710,'Customer Details'!$A$1:$A$17,'Customer Details'!$B$1:$F$17,"No such customer",0,1)</f>
        <v>Dynamatic Technologies Ltd.</v>
      </c>
      <c r="AA710" s="8" t="str">
        <v>402 Pinkster Lane</v>
      </c>
      <c r="AB710" s="8" t="str">
        <v>Santa Barbara</v>
      </c>
      <c r="AC710" s="8" t="str">
        <v>CA</v>
      </c>
      <c r="AD710" s="8" t="str">
        <v>93110</v>
      </c>
    </row>
    <row r="711" spans="1:30">
      <c r="A711" s="8" t="s">
        <v>784</v>
      </c>
      <c r="B711" s="19">
        <v>41941</v>
      </c>
      <c r="C711" s="8" t="s">
        <v>46</v>
      </c>
      <c r="D711" s="8">
        <v>10005</v>
      </c>
      <c r="E711" s="8" t="str">
        <f>VLOOKUP($D711,'Customer Details'!$A$1:$F$17,4,FALSE)</f>
        <v>Goleta</v>
      </c>
      <c r="F711" s="8" t="s">
        <v>785</v>
      </c>
      <c r="G711" s="8">
        <v>2</v>
      </c>
      <c r="H711" s="2" t="str">
        <f>VLOOKUP($D711,'Customer Details'!$A$1:$F$17,MATCH('Order SUmmary'!H$2,'Customer Details'!$A$1:$F$1,0),0)</f>
        <v>Fortis Healthcare Ltd.</v>
      </c>
      <c r="I711" s="2" t="str">
        <f>VLOOKUP($D711,'Customer Details'!$A$1:$F$17,4,0)</f>
        <v>Goleta</v>
      </c>
      <c r="J711" s="2" t="str">
        <f>VLOOKUP($D711,'Customer Details'!$A$1:$F$17,6,0)</f>
        <v>93117</v>
      </c>
      <c r="K711" s="8" t="str">
        <f>VLOOKUP(VLOOKUP(D711,'Customer Details'!$A$1:$F$17,5,0),'Region INfo'!$A$1:$C$52,3,0)</f>
        <v xml:space="preserve">Pacific   </v>
      </c>
      <c r="L711" s="8" t="str">
        <f>INDEX(Product_List,MATCH($F711,'Product List'!$B$1:$B$299,0),MATCH('Order SUmmary'!L$2,'Product List'!$A$1:$E$1,0))</f>
        <v>Xerox 1901</v>
      </c>
      <c r="M711" s="8">
        <f>INDEX(Product_List,MATCH($F711,'Product List'!$B$1:$B$299,0),MATCH('Order SUmmary'!M$2,'Product List'!$A$1:$E$1,0))</f>
        <v>2940</v>
      </c>
      <c r="N711" s="8">
        <f>INDEX(Product_List,MATCH($F711,'Product List'!$B$1:$B$299,0),MATCH('Order SUmmary'!N$2,'Product List'!$A$1:$E$1,0))</f>
        <v>1468</v>
      </c>
      <c r="O711" s="8" t="str">
        <f>INDEX(Product_List,MATCH($F711,'Product List'!$B$1:$B$299,0),MATCH('Order SUmmary'!O$2,'Product List'!$A$1:$E$1,0))</f>
        <v>Paper</v>
      </c>
      <c r="P711" s="12">
        <f>HLOOKUP(C711,'Commission Criteria'!$A$2:$I$4,3,FALSE)</f>
        <v>8</v>
      </c>
      <c r="Q711" s="8">
        <f t="shared" si="34"/>
        <v>2936</v>
      </c>
      <c r="R711" s="8">
        <f t="shared" si="35"/>
        <v>5880</v>
      </c>
      <c r="S711" s="36">
        <f>VLOOKUP(R711,'Commission Criteria'!$L$3:$M$11,2,TRUE)</f>
        <v>0.03</v>
      </c>
      <c r="T711" s="36">
        <f>IF(P711&lt;5,VLOOKUP(R711,'Commission Criteria'!$L$3:$M$11,2,1),VLOOKUP('Order SUmmary'!R711,'Commission Criteria'!$P$3:$Q$11,2,1))</f>
        <v>0.02</v>
      </c>
      <c r="U711" s="36">
        <f>VLOOKUP(R711,IF(P711&lt;5,'Commission Criteria'!$L$3:$M$11,'Commission Criteria'!$P$3:$Q$11),2,1)</f>
        <v>0.02</v>
      </c>
      <c r="V711" s="8" t="s">
        <v>43</v>
      </c>
      <c r="W711" s="36">
        <f t="shared" ca="1" si="36"/>
        <v>0.02</v>
      </c>
      <c r="X711" s="8" t="str">
        <f>_xlfn.XLOOKUP(F711,'Product List'!$B$1:$B$299,'Product List'!$A$1:$A$299)</f>
        <v>Xerox 1901</v>
      </c>
      <c r="Y711" s="8"/>
      <c r="Z711" s="8" t="str" cm="1">
        <f t="array" ref="Z711:AD711">_xlfn.XLOOKUP(D711,'Customer Details'!$A$1:$A$17,'Customer Details'!$B$1:$F$17,"No such customer",0,1)</f>
        <v>Fortis Healthcare Ltd.</v>
      </c>
      <c r="AA711" s="8" t="str">
        <v>14 Elsworthy Terrace</v>
      </c>
      <c r="AB711" s="8" t="str">
        <v>Goleta</v>
      </c>
      <c r="AC711" s="8" t="str">
        <v>CA</v>
      </c>
      <c r="AD711" s="8" t="str">
        <v>93117</v>
      </c>
    </row>
    <row r="712" spans="1:30">
      <c r="A712" s="8" t="s">
        <v>784</v>
      </c>
      <c r="B712" s="19">
        <v>41941</v>
      </c>
      <c r="C712" s="8" t="s">
        <v>36</v>
      </c>
      <c r="D712" s="8">
        <v>10013</v>
      </c>
      <c r="E712" s="8" t="str">
        <f>VLOOKUP($D712,'Customer Details'!$A$1:$F$17,4,FALSE)</f>
        <v>Naugatuck</v>
      </c>
      <c r="F712" s="8" t="s">
        <v>42</v>
      </c>
      <c r="G712" s="8">
        <v>2</v>
      </c>
      <c r="H712" s="2" t="str">
        <f>VLOOKUP($D712,'Customer Details'!$A$1:$F$17,MATCH('Order SUmmary'!H$2,'Customer Details'!$A$1:$F$1,0),0)</f>
        <v>GMR Infrastructure Ltd.</v>
      </c>
      <c r="I712" s="2" t="str">
        <f>VLOOKUP($D712,'Customer Details'!$A$1:$F$17,4,0)</f>
        <v>Naugatuck</v>
      </c>
      <c r="J712" s="2" t="str">
        <f>VLOOKUP($D712,'Customer Details'!$A$1:$F$17,6,0)</f>
        <v>06770</v>
      </c>
      <c r="K712" s="8" t="str">
        <f>VLOOKUP(VLOOKUP(D712,'Customer Details'!$A$1:$F$17,5,0),'Region INfo'!$A$1:$C$52,3,0)</f>
        <v xml:space="preserve">Northern </v>
      </c>
      <c r="L712" s="8" t="str">
        <f>INDEX(Product_List,MATCH($F712,'Product List'!$B$1:$B$299,0),MATCH('Order SUmmary'!L$2,'Product List'!$A$1:$E$1,0))</f>
        <v>Staple magnet</v>
      </c>
      <c r="M712" s="8">
        <f>INDEX(Product_List,MATCH($F712,'Product List'!$B$1:$B$299,0),MATCH('Order SUmmary'!M$2,'Product List'!$A$1:$E$1,0))</f>
        <v>3993</v>
      </c>
      <c r="N712" s="8">
        <f>INDEX(Product_List,MATCH($F712,'Product List'!$B$1:$B$299,0),MATCH('Order SUmmary'!N$2,'Product List'!$A$1:$E$1,0))</f>
        <v>1338</v>
      </c>
      <c r="O712" s="8" t="str">
        <f>INDEX(Product_List,MATCH($F712,'Product List'!$B$1:$B$299,0),MATCH('Order SUmmary'!O$2,'Product List'!$A$1:$E$1,0))</f>
        <v>Storage</v>
      </c>
      <c r="P712" s="12">
        <f>HLOOKUP(C712,'Commission Criteria'!$A$2:$I$4,3,FALSE)</f>
        <v>6</v>
      </c>
      <c r="Q712" s="8">
        <f t="shared" si="34"/>
        <v>2676</v>
      </c>
      <c r="R712" s="8">
        <f t="shared" si="35"/>
        <v>7986</v>
      </c>
      <c r="S712" s="36">
        <f>VLOOKUP(R712,'Commission Criteria'!$L$3:$M$11,2,TRUE)</f>
        <v>0.03</v>
      </c>
      <c r="T712" s="36">
        <f>IF(P712&lt;5,VLOOKUP(R712,'Commission Criteria'!$L$3:$M$11,2,1),VLOOKUP('Order SUmmary'!R712,'Commission Criteria'!$P$3:$Q$11,2,1))</f>
        <v>0.02</v>
      </c>
      <c r="U712" s="36">
        <f>VLOOKUP(R712,IF(P712&lt;5,'Commission Criteria'!$L$3:$M$11,'Commission Criteria'!$P$3:$Q$11),2,1)</f>
        <v>0.02</v>
      </c>
      <c r="V712" s="8" t="s">
        <v>35</v>
      </c>
      <c r="W712" s="36">
        <f t="shared" ca="1" si="36"/>
        <v>0.04</v>
      </c>
      <c r="X712" s="8" t="str">
        <f>_xlfn.XLOOKUP(F712,'Product List'!$B$1:$B$299,'Product List'!$A$1:$A$299)</f>
        <v>Staple magnet</v>
      </c>
      <c r="Y712" s="8"/>
      <c r="Z712" s="8" t="str" cm="1">
        <f t="array" ref="Z712:AD712">_xlfn.XLOOKUP(D712,'Customer Details'!$A$1:$A$17,'Customer Details'!$B$1:$F$17,"No such customer",0,1)</f>
        <v>GMR Infrastructure Ltd.</v>
      </c>
      <c r="AA712" s="8" t="str">
        <v>P.O. Box 4421</v>
      </c>
      <c r="AB712" s="8" t="str">
        <v>Naugatuck</v>
      </c>
      <c r="AC712" s="8" t="str">
        <v>CT</v>
      </c>
      <c r="AD712" s="8" t="str">
        <v>06770</v>
      </c>
    </row>
    <row r="713" spans="1:30">
      <c r="A713" s="8" t="s">
        <v>786</v>
      </c>
      <c r="B713" s="19">
        <v>41941</v>
      </c>
      <c r="C713" s="8" t="s">
        <v>51</v>
      </c>
      <c r="D713" s="8">
        <v>10002</v>
      </c>
      <c r="E713" s="8" t="str">
        <f>VLOOKUP($D713,'Customer Details'!$A$1:$F$17,4,FALSE)</f>
        <v>Omaha</v>
      </c>
      <c r="F713" s="8" t="s">
        <v>102</v>
      </c>
      <c r="G713" s="8">
        <v>3</v>
      </c>
      <c r="H713" s="2" t="str">
        <f>VLOOKUP($D713,'Customer Details'!$A$1:$F$17,MATCH('Order SUmmary'!H$2,'Customer Details'!$A$1:$F$1,0),0)</f>
        <v>Elder Pharmaceuticals</v>
      </c>
      <c r="I713" s="2" t="str">
        <f>VLOOKUP($D713,'Customer Details'!$A$1:$F$17,4,0)</f>
        <v>Omaha</v>
      </c>
      <c r="J713" s="2" t="str">
        <f>VLOOKUP($D713,'Customer Details'!$A$1:$F$17,6,0)</f>
        <v>68127</v>
      </c>
      <c r="K713" s="8" t="str">
        <f>VLOOKUP(VLOOKUP(D713,'Customer Details'!$A$1:$F$17,5,0),'Region INfo'!$A$1:$C$52,3,0)</f>
        <v>Western</v>
      </c>
      <c r="L713" s="8" t="str">
        <f>INDEX(Product_List,MATCH($F713,'Product List'!$B$1:$B$299,0),MATCH('Order SUmmary'!L$2,'Product List'!$A$1:$E$1,0))</f>
        <v>Xerox 1997</v>
      </c>
      <c r="M713" s="8">
        <f>INDEX(Product_List,MATCH($F713,'Product List'!$B$1:$B$299,0),MATCH('Order SUmmary'!M$2,'Product List'!$A$1:$E$1,0))</f>
        <v>3844</v>
      </c>
      <c r="N713" s="8">
        <f>INDEX(Product_List,MATCH($F713,'Product List'!$B$1:$B$299,0),MATCH('Order SUmmary'!N$2,'Product List'!$A$1:$E$1,0))</f>
        <v>2157</v>
      </c>
      <c r="O713" s="8" t="str">
        <f>INDEX(Product_List,MATCH($F713,'Product List'!$B$1:$B$299,0),MATCH('Order SUmmary'!O$2,'Product List'!$A$1:$E$1,0))</f>
        <v>Paper</v>
      </c>
      <c r="P713" s="12">
        <f>HLOOKUP(C713,'Commission Criteria'!$A$2:$I$4,3,FALSE)</f>
        <v>10</v>
      </c>
      <c r="Q713" s="8">
        <f t="shared" si="34"/>
        <v>6471</v>
      </c>
      <c r="R713" s="8">
        <f t="shared" si="35"/>
        <v>11532</v>
      </c>
      <c r="S713" s="36">
        <f>VLOOKUP(R713,'Commission Criteria'!$L$3:$M$11,2,TRUE)</f>
        <v>0.03</v>
      </c>
      <c r="T713" s="36">
        <f>IF(P713&lt;5,VLOOKUP(R713,'Commission Criteria'!$L$3:$M$11,2,1),VLOOKUP('Order SUmmary'!R713,'Commission Criteria'!$P$3:$Q$11,2,1))</f>
        <v>0.02</v>
      </c>
      <c r="U713" s="36">
        <f>VLOOKUP(R713,IF(P713&lt;5,'Commission Criteria'!$L$3:$M$11,'Commission Criteria'!$P$3:$Q$11),2,1)</f>
        <v>0.02</v>
      </c>
      <c r="V713" s="8" t="s">
        <v>43</v>
      </c>
      <c r="W713" s="36">
        <f t="shared" ca="1" si="36"/>
        <v>0.02</v>
      </c>
      <c r="X713" s="8" t="str">
        <f>_xlfn.XLOOKUP(F713,'Product List'!$B$1:$B$299,'Product List'!$A$1:$A$299)</f>
        <v>Xerox 1997</v>
      </c>
      <c r="Y713" s="8"/>
      <c r="Z713" s="8" t="str" cm="1">
        <f t="array" ref="Z713:AD713">_xlfn.XLOOKUP(D713,'Customer Details'!$A$1:$A$17,'Customer Details'!$B$1:$F$17,"No such customer",0,1)</f>
        <v>Elder Pharmaceuticals</v>
      </c>
      <c r="AA713" s="8" t="str">
        <v>57 Neriba Cres</v>
      </c>
      <c r="AB713" s="8" t="str">
        <v>Omaha</v>
      </c>
      <c r="AC713" s="8" t="str">
        <v>NE</v>
      </c>
      <c r="AD713" s="8" t="str">
        <v>68127</v>
      </c>
    </row>
    <row r="714" spans="1:30">
      <c r="A714" s="8" t="s">
        <v>787</v>
      </c>
      <c r="B714" s="19">
        <v>41942</v>
      </c>
      <c r="C714" s="8" t="s">
        <v>44</v>
      </c>
      <c r="D714" s="8">
        <v>10002</v>
      </c>
      <c r="E714" s="8" t="str">
        <f>VLOOKUP($D714,'Customer Details'!$A$1:$F$17,4,FALSE)</f>
        <v>Omaha</v>
      </c>
      <c r="F714" s="8" t="s">
        <v>603</v>
      </c>
      <c r="G714" s="8">
        <v>1</v>
      </c>
      <c r="H714" s="2" t="str">
        <f>VLOOKUP($D714,'Customer Details'!$A$1:$F$17,MATCH('Order SUmmary'!H$2,'Customer Details'!$A$1:$F$1,0),0)</f>
        <v>Elder Pharmaceuticals</v>
      </c>
      <c r="I714" s="2" t="str">
        <f>VLOOKUP($D714,'Customer Details'!$A$1:$F$17,4,0)</f>
        <v>Omaha</v>
      </c>
      <c r="J714" s="2" t="str">
        <f>VLOOKUP($D714,'Customer Details'!$A$1:$F$17,6,0)</f>
        <v>68127</v>
      </c>
      <c r="K714" s="8" t="str">
        <f>VLOOKUP(VLOOKUP(D714,'Customer Details'!$A$1:$F$17,5,0),'Region INfo'!$A$1:$C$52,3,0)</f>
        <v>Western</v>
      </c>
      <c r="L714" s="8" t="str">
        <f>INDEX(Product_List,MATCH($F714,'Product List'!$B$1:$B$299,0),MATCH('Order SUmmary'!L$2,'Product List'!$A$1:$E$1,0))</f>
        <v>Xerox 1945</v>
      </c>
      <c r="M714" s="8">
        <f>INDEX(Product_List,MATCH($F714,'Product List'!$B$1:$B$299,0),MATCH('Order SUmmary'!M$2,'Product List'!$A$1:$E$1,0))</f>
        <v>2941</v>
      </c>
      <c r="N714" s="8">
        <f>INDEX(Product_List,MATCH($F714,'Product List'!$B$1:$B$299,0),MATCH('Order SUmmary'!N$2,'Product List'!$A$1:$E$1,0))</f>
        <v>1567</v>
      </c>
      <c r="O714" s="8" t="str">
        <f>INDEX(Product_List,MATCH($F714,'Product List'!$B$1:$B$299,0),MATCH('Order SUmmary'!O$2,'Product List'!$A$1:$E$1,0))</f>
        <v>Paper</v>
      </c>
      <c r="P714" s="12">
        <f>HLOOKUP(C714,'Commission Criteria'!$A$2:$I$4,3,FALSE)</f>
        <v>4</v>
      </c>
      <c r="Q714" s="8">
        <f t="shared" si="34"/>
        <v>1567</v>
      </c>
      <c r="R714" s="8">
        <f t="shared" si="35"/>
        <v>2941</v>
      </c>
      <c r="S714" s="36">
        <f>VLOOKUP(R714,'Commission Criteria'!$L$3:$M$11,2,TRUE)</f>
        <v>0.01</v>
      </c>
      <c r="T714" s="36">
        <f>IF(P714&lt;5,VLOOKUP(R714,'Commission Criteria'!$L$3:$M$11,2,1),VLOOKUP('Order SUmmary'!R714,'Commission Criteria'!$P$3:$Q$11,2,1))</f>
        <v>0.01</v>
      </c>
      <c r="U714" s="36">
        <f>VLOOKUP(R714,IF(P714&lt;5,'Commission Criteria'!$L$3:$M$11,'Commission Criteria'!$P$3:$Q$11),2,1)</f>
        <v>0.01</v>
      </c>
      <c r="V714" s="8" t="s">
        <v>32</v>
      </c>
      <c r="W714" s="36">
        <f t="shared" ca="1" si="36"/>
        <v>0.04</v>
      </c>
      <c r="X714" s="8" t="str">
        <f>_xlfn.XLOOKUP(F714,'Product List'!$B$1:$B$299,'Product List'!$A$1:$A$299)</f>
        <v>Xerox 1945</v>
      </c>
      <c r="Y714" s="8"/>
      <c r="Z714" s="8" t="str" cm="1">
        <f t="array" ref="Z714:AD714">_xlfn.XLOOKUP(D714,'Customer Details'!$A$1:$A$17,'Customer Details'!$B$1:$F$17,"No such customer",0,1)</f>
        <v>Elder Pharmaceuticals</v>
      </c>
      <c r="AA714" s="8" t="str">
        <v>57 Neriba Cres</v>
      </c>
      <c r="AB714" s="8" t="str">
        <v>Omaha</v>
      </c>
      <c r="AC714" s="8" t="str">
        <v>NE</v>
      </c>
      <c r="AD714" s="8" t="str">
        <v>68127</v>
      </c>
    </row>
    <row r="715" spans="1:30">
      <c r="A715" s="8" t="s">
        <v>788</v>
      </c>
      <c r="B715" s="19">
        <v>41948</v>
      </c>
      <c r="C715" s="8" t="s">
        <v>66</v>
      </c>
      <c r="D715" s="8">
        <v>10002</v>
      </c>
      <c r="E715" s="8" t="str">
        <f>VLOOKUP($D715,'Customer Details'!$A$1:$F$17,4,FALSE)</f>
        <v>Omaha</v>
      </c>
      <c r="F715" s="8" t="s">
        <v>73</v>
      </c>
      <c r="G715" s="8">
        <v>1</v>
      </c>
      <c r="H715" s="2" t="str">
        <f>VLOOKUP($D715,'Customer Details'!$A$1:$F$17,MATCH('Order SUmmary'!H$2,'Customer Details'!$A$1:$F$1,0),0)</f>
        <v>Elder Pharmaceuticals</v>
      </c>
      <c r="I715" s="2" t="str">
        <f>VLOOKUP($D715,'Customer Details'!$A$1:$F$17,4,0)</f>
        <v>Omaha</v>
      </c>
      <c r="J715" s="2" t="str">
        <f>VLOOKUP($D715,'Customer Details'!$A$1:$F$17,6,0)</f>
        <v>68127</v>
      </c>
      <c r="K715" s="8" t="str">
        <f>VLOOKUP(VLOOKUP(D715,'Customer Details'!$A$1:$F$17,5,0),'Region INfo'!$A$1:$C$52,3,0)</f>
        <v>Western</v>
      </c>
      <c r="L715" s="8" t="str">
        <f>INDEX(Product_List,MATCH($F715,'Product List'!$B$1:$B$299,0),MATCH('Order SUmmary'!L$2,'Product List'!$A$1:$E$1,0))</f>
        <v>Xerox 1916</v>
      </c>
      <c r="M715" s="8">
        <f>INDEX(Product_List,MATCH($F715,'Product List'!$B$1:$B$299,0),MATCH('Order SUmmary'!M$2,'Product List'!$A$1:$E$1,0))</f>
        <v>3499</v>
      </c>
      <c r="N715" s="8">
        <f>INDEX(Product_List,MATCH($F715,'Product List'!$B$1:$B$299,0),MATCH('Order SUmmary'!N$2,'Product List'!$A$1:$E$1,0))</f>
        <v>2342</v>
      </c>
      <c r="O715" s="8" t="str">
        <f>INDEX(Product_List,MATCH($F715,'Product List'!$B$1:$B$299,0),MATCH('Order SUmmary'!O$2,'Product List'!$A$1:$E$1,0))</f>
        <v>Paper</v>
      </c>
      <c r="P715" s="12">
        <f>HLOOKUP(C715,'Commission Criteria'!$A$2:$I$4,3,FALSE)</f>
        <v>5</v>
      </c>
      <c r="Q715" s="8">
        <f t="shared" si="34"/>
        <v>2342</v>
      </c>
      <c r="R715" s="8">
        <f t="shared" si="35"/>
        <v>3499</v>
      </c>
      <c r="S715" s="36">
        <f>VLOOKUP(R715,'Commission Criteria'!$L$3:$M$11,2,TRUE)</f>
        <v>0.01</v>
      </c>
      <c r="T715" s="36">
        <f>IF(P715&lt;5,VLOOKUP(R715,'Commission Criteria'!$L$3:$M$11,2,1),VLOOKUP('Order SUmmary'!R715,'Commission Criteria'!$P$3:$Q$11,2,1))</f>
        <v>0.02</v>
      </c>
      <c r="U715" s="36">
        <f>VLOOKUP(R715,IF(P715&lt;5,'Commission Criteria'!$L$3:$M$11,'Commission Criteria'!$P$3:$Q$11),2,1)</f>
        <v>0.02</v>
      </c>
      <c r="V715" s="8" t="s">
        <v>35</v>
      </c>
      <c r="W715" s="36">
        <f t="shared" ca="1" si="36"/>
        <v>0.04</v>
      </c>
      <c r="X715" s="8" t="str">
        <f>_xlfn.XLOOKUP(F715,'Product List'!$B$1:$B$299,'Product List'!$A$1:$A$299)</f>
        <v>Xerox 1916</v>
      </c>
      <c r="Y715" s="8"/>
      <c r="Z715" s="8" t="str" cm="1">
        <f t="array" ref="Z715:AD715">_xlfn.XLOOKUP(D715,'Customer Details'!$A$1:$A$17,'Customer Details'!$B$1:$F$17,"No such customer",0,1)</f>
        <v>Elder Pharmaceuticals</v>
      </c>
      <c r="AA715" s="8" t="str">
        <v>57 Neriba Cres</v>
      </c>
      <c r="AB715" s="8" t="str">
        <v>Omaha</v>
      </c>
      <c r="AC715" s="8" t="str">
        <v>NE</v>
      </c>
      <c r="AD715" s="8" t="str">
        <v>68127</v>
      </c>
    </row>
    <row r="716" spans="1:30">
      <c r="A716" s="8" t="s">
        <v>789</v>
      </c>
      <c r="B716" s="19">
        <v>41949</v>
      </c>
      <c r="C716" s="8" t="s">
        <v>66</v>
      </c>
      <c r="D716" s="8">
        <v>10013</v>
      </c>
      <c r="E716" s="8" t="str">
        <f>VLOOKUP($D716,'Customer Details'!$A$1:$F$17,4,FALSE)</f>
        <v>Naugatuck</v>
      </c>
      <c r="F716" s="8" t="s">
        <v>406</v>
      </c>
      <c r="G716" s="8">
        <v>1</v>
      </c>
      <c r="H716" s="2" t="str">
        <f>VLOOKUP($D716,'Customer Details'!$A$1:$F$17,MATCH('Order SUmmary'!H$2,'Customer Details'!$A$1:$F$1,0),0)</f>
        <v>GMR Infrastructure Ltd.</v>
      </c>
      <c r="I716" s="2" t="str">
        <f>VLOOKUP($D716,'Customer Details'!$A$1:$F$17,4,0)</f>
        <v>Naugatuck</v>
      </c>
      <c r="J716" s="2" t="str">
        <f>VLOOKUP($D716,'Customer Details'!$A$1:$F$17,6,0)</f>
        <v>06770</v>
      </c>
      <c r="K716" s="8" t="str">
        <f>VLOOKUP(VLOOKUP(D716,'Customer Details'!$A$1:$F$17,5,0),'Region INfo'!$A$1:$C$52,3,0)</f>
        <v xml:space="preserve">Northern </v>
      </c>
      <c r="L716" s="8" t="str">
        <f>INDEX(Product_List,MATCH($F716,'Product List'!$B$1:$B$299,0),MATCH('Order SUmmary'!L$2,'Product List'!$A$1:$E$1,0))</f>
        <v>Xerox 198</v>
      </c>
      <c r="M716" s="8">
        <f>INDEX(Product_List,MATCH($F716,'Product List'!$B$1:$B$299,0),MATCH('Order SUmmary'!M$2,'Product List'!$A$1:$E$1,0))</f>
        <v>4120</v>
      </c>
      <c r="N716" s="8">
        <f>INDEX(Product_List,MATCH($F716,'Product List'!$B$1:$B$299,0),MATCH('Order SUmmary'!N$2,'Product List'!$A$1:$E$1,0))</f>
        <v>1841</v>
      </c>
      <c r="O716" s="8" t="str">
        <f>INDEX(Product_List,MATCH($F716,'Product List'!$B$1:$B$299,0),MATCH('Order SUmmary'!O$2,'Product List'!$A$1:$E$1,0))</f>
        <v>Paper</v>
      </c>
      <c r="P716" s="12">
        <f>HLOOKUP(C716,'Commission Criteria'!$A$2:$I$4,3,FALSE)</f>
        <v>5</v>
      </c>
      <c r="Q716" s="8">
        <f t="shared" si="34"/>
        <v>1841</v>
      </c>
      <c r="R716" s="8">
        <f t="shared" si="35"/>
        <v>4120</v>
      </c>
      <c r="S716" s="36">
        <f>VLOOKUP(R716,'Commission Criteria'!$L$3:$M$11,2,TRUE)</f>
        <v>0.01</v>
      </c>
      <c r="T716" s="36">
        <f>IF(P716&lt;5,VLOOKUP(R716,'Commission Criteria'!$L$3:$M$11,2,1),VLOOKUP('Order SUmmary'!R716,'Commission Criteria'!$P$3:$Q$11,2,1))</f>
        <v>0.02</v>
      </c>
      <c r="U716" s="36">
        <f>VLOOKUP(R716,IF(P716&lt;5,'Commission Criteria'!$L$3:$M$11,'Commission Criteria'!$P$3:$Q$11),2,1)</f>
        <v>0.02</v>
      </c>
      <c r="V716" s="8" t="s">
        <v>29</v>
      </c>
      <c r="W716" s="36">
        <f t="shared" ca="1" si="36"/>
        <v>0.05</v>
      </c>
      <c r="X716" s="8" t="str">
        <f>_xlfn.XLOOKUP(F716,'Product List'!$B$1:$B$299,'Product List'!$A$1:$A$299)</f>
        <v>Xerox 198</v>
      </c>
      <c r="Y716" s="8"/>
      <c r="Z716" s="8" t="str" cm="1">
        <f t="array" ref="Z716:AD716">_xlfn.XLOOKUP(D716,'Customer Details'!$A$1:$A$17,'Customer Details'!$B$1:$F$17,"No such customer",0,1)</f>
        <v>GMR Infrastructure Ltd.</v>
      </c>
      <c r="AA716" s="8" t="str">
        <v>P.O. Box 4421</v>
      </c>
      <c r="AB716" s="8" t="str">
        <v>Naugatuck</v>
      </c>
      <c r="AC716" s="8" t="str">
        <v>CT</v>
      </c>
      <c r="AD716" s="8" t="str">
        <v>06770</v>
      </c>
    </row>
    <row r="717" spans="1:30">
      <c r="A717" s="8" t="s">
        <v>789</v>
      </c>
      <c r="B717" s="19">
        <v>41949</v>
      </c>
      <c r="C717" s="8" t="s">
        <v>66</v>
      </c>
      <c r="D717" s="8">
        <v>10007</v>
      </c>
      <c r="E717" s="8" t="str">
        <f>VLOOKUP($D717,'Customer Details'!$A$1:$F$17,4,FALSE)</f>
        <v>Richmond</v>
      </c>
      <c r="F717" s="8" t="s">
        <v>455</v>
      </c>
      <c r="G717" s="8">
        <v>2</v>
      </c>
      <c r="H717" s="2" t="str">
        <f>VLOOKUP($D717,'Customer Details'!$A$1:$F$17,MATCH('Order SUmmary'!H$2,'Customer Details'!$A$1:$F$1,0),0)</f>
        <v>GHCL Ltd.</v>
      </c>
      <c r="I717" s="2" t="str">
        <f>VLOOKUP($D717,'Customer Details'!$A$1:$F$17,4,0)</f>
        <v>Richmond</v>
      </c>
      <c r="J717" s="2" t="str">
        <f>VLOOKUP($D717,'Customer Details'!$A$1:$F$17,6,0)</f>
        <v>94805</v>
      </c>
      <c r="K717" s="8" t="str">
        <f>VLOOKUP(VLOOKUP(D717,'Customer Details'!$A$1:$F$17,5,0),'Region INfo'!$A$1:$C$52,3,0)</f>
        <v xml:space="preserve">Pacific   </v>
      </c>
      <c r="L717" s="8" t="str">
        <f>INDEX(Product_List,MATCH($F717,'Product List'!$B$1:$B$299,0),MATCH('Order SUmmary'!L$2,'Product List'!$A$1:$E$1,0))</f>
        <v>Newell 307</v>
      </c>
      <c r="M717" s="8">
        <f>INDEX(Product_List,MATCH($F717,'Product List'!$B$1:$B$299,0),MATCH('Order SUmmary'!M$2,'Product List'!$A$1:$E$1,0))</f>
        <v>4230</v>
      </c>
      <c r="N717" s="8">
        <f>INDEX(Product_List,MATCH($F717,'Product List'!$B$1:$B$299,0),MATCH('Order SUmmary'!N$2,'Product List'!$A$1:$E$1,0))</f>
        <v>1812</v>
      </c>
      <c r="O717" s="8" t="str">
        <f>INDEX(Product_List,MATCH($F717,'Product List'!$B$1:$B$299,0),MATCH('Order SUmmary'!O$2,'Product List'!$A$1:$E$1,0))</f>
        <v>Art</v>
      </c>
      <c r="P717" s="12">
        <f>HLOOKUP(C717,'Commission Criteria'!$A$2:$I$4,3,FALSE)</f>
        <v>5</v>
      </c>
      <c r="Q717" s="8">
        <f t="shared" si="34"/>
        <v>3624</v>
      </c>
      <c r="R717" s="8">
        <f t="shared" si="35"/>
        <v>8460</v>
      </c>
      <c r="S717" s="36">
        <f>VLOOKUP(R717,'Commission Criteria'!$L$3:$M$11,2,TRUE)</f>
        <v>0.03</v>
      </c>
      <c r="T717" s="36">
        <f>IF(P717&lt;5,VLOOKUP(R717,'Commission Criteria'!$L$3:$M$11,2,1),VLOOKUP('Order SUmmary'!R717,'Commission Criteria'!$P$3:$Q$11,2,1))</f>
        <v>0.02</v>
      </c>
      <c r="U717" s="36">
        <f>VLOOKUP(R717,IF(P717&lt;5,'Commission Criteria'!$L$3:$M$11,'Commission Criteria'!$P$3:$Q$11),2,1)</f>
        <v>0.02</v>
      </c>
      <c r="V717" s="8" t="s">
        <v>43</v>
      </c>
      <c r="W717" s="36">
        <f t="shared" ca="1" si="36"/>
        <v>0.05</v>
      </c>
      <c r="X717" s="8" t="str">
        <f>_xlfn.XLOOKUP(F717,'Product List'!$B$1:$B$299,'Product List'!$A$1:$A$299)</f>
        <v>Newell 307</v>
      </c>
      <c r="Y717" s="8"/>
      <c r="Z717" s="8" t="str" cm="1">
        <f t="array" ref="Z717:AD717">_xlfn.XLOOKUP(D717,'Customer Details'!$A$1:$A$17,'Customer Details'!$B$1:$F$17,"No such customer",0,1)</f>
        <v>GHCL Ltd.</v>
      </c>
      <c r="AA717" s="8" t="str">
        <v>58 Clarence St</v>
      </c>
      <c r="AB717" s="8" t="str">
        <v>Richmond</v>
      </c>
      <c r="AC717" s="8" t="str">
        <v>CA</v>
      </c>
      <c r="AD717" s="8" t="str">
        <v>94805</v>
      </c>
    </row>
    <row r="718" spans="1:30">
      <c r="A718" s="8" t="s">
        <v>790</v>
      </c>
      <c r="B718" s="19">
        <v>41951</v>
      </c>
      <c r="C718" s="8" t="s">
        <v>33</v>
      </c>
      <c r="D718" s="8">
        <v>10014</v>
      </c>
      <c r="E718" s="8" t="str">
        <f>VLOOKUP($D718,'Customer Details'!$A$1:$F$17,4,FALSE)</f>
        <v>Honolulu</v>
      </c>
      <c r="F718" s="8" t="s">
        <v>395</v>
      </c>
      <c r="G718" s="8">
        <v>1</v>
      </c>
      <c r="H718" s="2" t="str">
        <f>VLOOKUP($D718,'Customer Details'!$A$1:$F$17,MATCH('Order SUmmary'!H$2,'Customer Details'!$A$1:$F$1,0),0)</f>
        <v>Hindusthan National Glass &amp; Industries Ltd.</v>
      </c>
      <c r="I718" s="2" t="str">
        <f>VLOOKUP($D718,'Customer Details'!$A$1:$F$17,4,0)</f>
        <v>Honolulu</v>
      </c>
      <c r="J718" s="2" t="str">
        <f>VLOOKUP($D718,'Customer Details'!$A$1:$F$17,6,0)</f>
        <v>96825</v>
      </c>
      <c r="K718" s="8" t="str">
        <f>VLOOKUP(VLOOKUP(D718,'Customer Details'!$A$1:$F$17,5,0),'Region INfo'!$A$1:$C$52,3,0)</f>
        <v xml:space="preserve">Pacific   </v>
      </c>
      <c r="L718" s="8" t="str">
        <f>INDEX(Product_List,MATCH($F718,'Product List'!$B$1:$B$299,0),MATCH('Order SUmmary'!L$2,'Product List'!$A$1:$E$1,0))</f>
        <v>Xerox 1883</v>
      </c>
      <c r="M718" s="8">
        <f>INDEX(Product_List,MATCH($F718,'Product List'!$B$1:$B$299,0),MATCH('Order SUmmary'!M$2,'Product List'!$A$1:$E$1,0))</f>
        <v>3112</v>
      </c>
      <c r="N718" s="8">
        <f>INDEX(Product_List,MATCH($F718,'Product List'!$B$1:$B$299,0),MATCH('Order SUmmary'!N$2,'Product List'!$A$1:$E$1,0))</f>
        <v>1766</v>
      </c>
      <c r="O718" s="8" t="str">
        <f>INDEX(Product_List,MATCH($F718,'Product List'!$B$1:$B$299,0),MATCH('Order SUmmary'!O$2,'Product List'!$A$1:$E$1,0))</f>
        <v>Paper</v>
      </c>
      <c r="P718" s="12">
        <f>HLOOKUP(C718,'Commission Criteria'!$A$2:$I$4,3,FALSE)</f>
        <v>1</v>
      </c>
      <c r="Q718" s="8">
        <f t="shared" si="34"/>
        <v>1766</v>
      </c>
      <c r="R718" s="8">
        <f t="shared" si="35"/>
        <v>3112</v>
      </c>
      <c r="S718" s="36">
        <f>VLOOKUP(R718,'Commission Criteria'!$L$3:$M$11,2,TRUE)</f>
        <v>0.01</v>
      </c>
      <c r="T718" s="36">
        <f>IF(P718&lt;5,VLOOKUP(R718,'Commission Criteria'!$L$3:$M$11,2,1),VLOOKUP('Order SUmmary'!R718,'Commission Criteria'!$P$3:$Q$11,2,1))</f>
        <v>0.01</v>
      </c>
      <c r="U718" s="36">
        <f>VLOOKUP(R718,IF(P718&lt;5,'Commission Criteria'!$L$3:$M$11,'Commission Criteria'!$P$3:$Q$11),2,1)</f>
        <v>0.01</v>
      </c>
      <c r="V718" s="8" t="s">
        <v>35</v>
      </c>
      <c r="W718" s="36">
        <f t="shared" ca="1" si="36"/>
        <v>0.03</v>
      </c>
      <c r="X718" s="8" t="str">
        <f>_xlfn.XLOOKUP(F718,'Product List'!$B$1:$B$299,'Product List'!$A$1:$A$299)</f>
        <v>Xerox 1883</v>
      </c>
      <c r="Y718" s="8"/>
      <c r="Z718" s="8" t="str" cm="1">
        <f t="array" ref="Z718:AD718">_xlfn.XLOOKUP(D718,'Customer Details'!$A$1:$A$17,'Customer Details'!$B$1:$F$17,"No such customer",0,1)</f>
        <v>Hindusthan National Glass &amp; Industries Ltd.</v>
      </c>
      <c r="AA718" s="8" t="str">
        <v>11 Cathy St.</v>
      </c>
      <c r="AB718" s="8" t="str">
        <v>Honolulu</v>
      </c>
      <c r="AC718" s="8" t="str">
        <v>HI</v>
      </c>
      <c r="AD718" s="8" t="str">
        <v>96825</v>
      </c>
    </row>
    <row r="719" spans="1:30">
      <c r="A719" s="8" t="s">
        <v>791</v>
      </c>
      <c r="B719" s="19">
        <v>41951</v>
      </c>
      <c r="C719" s="8" t="s">
        <v>36</v>
      </c>
      <c r="D719" s="8">
        <v>10001</v>
      </c>
      <c r="E719" s="8" t="str">
        <f>VLOOKUP($D719,'Customer Details'!$A$1:$F$17,4,FALSE)</f>
        <v>New York</v>
      </c>
      <c r="F719" s="8" t="s">
        <v>565</v>
      </c>
      <c r="G719" s="8">
        <v>2</v>
      </c>
      <c r="H719" s="2" t="str">
        <f>VLOOKUP($D719,'Customer Details'!$A$1:$F$17,MATCH('Order SUmmary'!H$2,'Customer Details'!$A$1:$F$1,0),0)</f>
        <v>Chambal Fertilisers and Chemicals Ltd.</v>
      </c>
      <c r="I719" s="2" t="str">
        <f>VLOOKUP($D719,'Customer Details'!$A$1:$F$17,4,0)</f>
        <v>New York</v>
      </c>
      <c r="J719" s="2" t="str">
        <f>VLOOKUP($D719,'Customer Details'!$A$1:$F$17,6,0)</f>
        <v>10025</v>
      </c>
      <c r="K719" s="8" t="str">
        <f>VLOOKUP(VLOOKUP(D719,'Customer Details'!$A$1:$F$17,5,0),'Region INfo'!$A$1:$C$52,3,0)</f>
        <v xml:space="preserve">Northern </v>
      </c>
      <c r="L719" s="8" t="str">
        <f>INDEX(Product_List,MATCH($F719,'Product List'!$B$1:$B$299,0),MATCH('Order SUmmary'!L$2,'Product List'!$A$1:$E$1,0))</f>
        <v>Xerox 1944</v>
      </c>
      <c r="M719" s="8">
        <f>INDEX(Product_List,MATCH($F719,'Product List'!$B$1:$B$299,0),MATCH('Order SUmmary'!M$2,'Product List'!$A$1:$E$1,0))</f>
        <v>2657</v>
      </c>
      <c r="N719" s="8">
        <f>INDEX(Product_List,MATCH($F719,'Product List'!$B$1:$B$299,0),MATCH('Order SUmmary'!N$2,'Product List'!$A$1:$E$1,0))</f>
        <v>2480</v>
      </c>
      <c r="O719" s="8" t="str">
        <f>INDEX(Product_List,MATCH($F719,'Product List'!$B$1:$B$299,0),MATCH('Order SUmmary'!O$2,'Product List'!$A$1:$E$1,0))</f>
        <v>Paper</v>
      </c>
      <c r="P719" s="12">
        <f>HLOOKUP(C719,'Commission Criteria'!$A$2:$I$4,3,FALSE)</f>
        <v>6</v>
      </c>
      <c r="Q719" s="8">
        <f t="shared" si="34"/>
        <v>4960</v>
      </c>
      <c r="R719" s="8">
        <f t="shared" si="35"/>
        <v>5314</v>
      </c>
      <c r="S719" s="36">
        <f>VLOOKUP(R719,'Commission Criteria'!$L$3:$M$11,2,TRUE)</f>
        <v>0.03</v>
      </c>
      <c r="T719" s="36">
        <f>IF(P719&lt;5,VLOOKUP(R719,'Commission Criteria'!$L$3:$M$11,2,1),VLOOKUP('Order SUmmary'!R719,'Commission Criteria'!$P$3:$Q$11,2,1))</f>
        <v>0.02</v>
      </c>
      <c r="U719" s="36">
        <f>VLOOKUP(R719,IF(P719&lt;5,'Commission Criteria'!$L$3:$M$11,'Commission Criteria'!$P$3:$Q$11),2,1)</f>
        <v>0.02</v>
      </c>
      <c r="V719" s="8" t="s">
        <v>43</v>
      </c>
      <c r="W719" s="36">
        <f t="shared" ca="1" si="36"/>
        <v>0.02</v>
      </c>
      <c r="X719" s="8" t="str">
        <f>_xlfn.XLOOKUP(F719,'Product List'!$B$1:$B$299,'Product List'!$A$1:$A$299)</f>
        <v>Xerox 1944</v>
      </c>
      <c r="Y719" s="8"/>
      <c r="Z719" s="8" t="str" cm="1">
        <f t="array" ref="Z719:AD719">_xlfn.XLOOKUP(D719,'Customer Details'!$A$1:$A$17,'Customer Details'!$B$1:$F$17,"No such customer",0,1)</f>
        <v>Chambal Fertilisers and Chemicals Ltd.</v>
      </c>
      <c r="AA719" s="8" t="str">
        <v>4951 Indiana Ave.</v>
      </c>
      <c r="AB719" s="8" t="str">
        <v>New York</v>
      </c>
      <c r="AC719" s="8" t="str">
        <v>NY</v>
      </c>
      <c r="AD719" s="8" t="str">
        <v>10025</v>
      </c>
    </row>
    <row r="720" spans="1:30">
      <c r="A720" s="8" t="s">
        <v>792</v>
      </c>
      <c r="B720" s="19">
        <v>41952</v>
      </c>
      <c r="C720" s="8" t="s">
        <v>33</v>
      </c>
      <c r="D720" s="8">
        <v>10011</v>
      </c>
      <c r="E720" s="8" t="str">
        <f>VLOOKUP($D720,'Customer Details'!$A$1:$F$17,4,FALSE)</f>
        <v>Olympia</v>
      </c>
      <c r="F720" s="8" t="s">
        <v>394</v>
      </c>
      <c r="G720" s="8">
        <v>1</v>
      </c>
      <c r="H720" s="2" t="str">
        <f>VLOOKUP($D720,'Customer Details'!$A$1:$F$17,MATCH('Order SUmmary'!H$2,'Customer Details'!$A$1:$F$1,0),0)</f>
        <v>Sonata Software</v>
      </c>
      <c r="I720" s="2" t="str">
        <f>VLOOKUP($D720,'Customer Details'!$A$1:$F$17,4,0)</f>
        <v>Olympia</v>
      </c>
      <c r="J720" s="2" t="str">
        <f>VLOOKUP($D720,'Customer Details'!$A$1:$F$17,6,0)</f>
        <v>98502</v>
      </c>
      <c r="K720" s="8" t="str">
        <f>VLOOKUP(VLOOKUP(D720,'Customer Details'!$A$1:$F$17,5,0),'Region INfo'!$A$1:$C$52,3,0)</f>
        <v xml:space="preserve">Pacific   </v>
      </c>
      <c r="L720" s="8" t="str">
        <f>INDEX(Product_List,MATCH($F720,'Product List'!$B$1:$B$299,0),MATCH('Order SUmmary'!L$2,'Product List'!$A$1:$E$1,0))</f>
        <v>GE 30524EE4</v>
      </c>
      <c r="M720" s="8">
        <f>INDEX(Product_List,MATCH($F720,'Product List'!$B$1:$B$299,0),MATCH('Order SUmmary'!M$2,'Product List'!$A$1:$E$1,0))</f>
        <v>2553</v>
      </c>
      <c r="N720" s="8">
        <f>INDEX(Product_List,MATCH($F720,'Product List'!$B$1:$B$299,0),MATCH('Order SUmmary'!N$2,'Product List'!$A$1:$E$1,0))</f>
        <v>1638</v>
      </c>
      <c r="O720" s="8" t="str">
        <f>INDEX(Product_List,MATCH($F720,'Product List'!$B$1:$B$299,0),MATCH('Order SUmmary'!O$2,'Product List'!$A$1:$E$1,0))</f>
        <v>Phones</v>
      </c>
      <c r="P720" s="12">
        <f>HLOOKUP(C720,'Commission Criteria'!$A$2:$I$4,3,FALSE)</f>
        <v>1</v>
      </c>
      <c r="Q720" s="8">
        <f t="shared" si="34"/>
        <v>1638</v>
      </c>
      <c r="R720" s="8">
        <f t="shared" si="35"/>
        <v>2553</v>
      </c>
      <c r="S720" s="36">
        <f>VLOOKUP(R720,'Commission Criteria'!$L$3:$M$11,2,TRUE)</f>
        <v>0.01</v>
      </c>
      <c r="T720" s="36">
        <f>IF(P720&lt;5,VLOOKUP(R720,'Commission Criteria'!$L$3:$M$11,2,1),VLOOKUP('Order SUmmary'!R720,'Commission Criteria'!$P$3:$Q$11,2,1))</f>
        <v>0.01</v>
      </c>
      <c r="U720" s="36">
        <f>VLOOKUP(R720,IF(P720&lt;5,'Commission Criteria'!$L$3:$M$11,'Commission Criteria'!$P$3:$Q$11),2,1)</f>
        <v>0.01</v>
      </c>
      <c r="V720" s="8" t="s">
        <v>50</v>
      </c>
      <c r="W720" s="36">
        <f t="shared" ca="1" si="36"/>
        <v>0.01</v>
      </c>
      <c r="X720" s="8" t="str">
        <f>_xlfn.XLOOKUP(F720,'Product List'!$B$1:$B$299,'Product List'!$A$1:$A$299)</f>
        <v>GE 30524EE4</v>
      </c>
      <c r="Y720" s="8"/>
      <c r="Z720" s="8" t="str" cm="1">
        <f t="array" ref="Z720:AD720">_xlfn.XLOOKUP(D720,'Customer Details'!$A$1:$A$17,'Customer Details'!$B$1:$F$17,"No such customer",0,1)</f>
        <v>Sonata Software</v>
      </c>
      <c r="AA720" s="8" t="str">
        <v>1331 Kimberly Dr.</v>
      </c>
      <c r="AB720" s="8" t="str">
        <v>Olympia</v>
      </c>
      <c r="AC720" s="8" t="str">
        <v>WA</v>
      </c>
      <c r="AD720" s="8" t="str">
        <v>98502</v>
      </c>
    </row>
    <row r="721" spans="1:30">
      <c r="A721" s="8" t="s">
        <v>793</v>
      </c>
      <c r="B721" s="19">
        <v>41953</v>
      </c>
      <c r="C721" s="8" t="s">
        <v>44</v>
      </c>
      <c r="D721" s="8">
        <v>10011</v>
      </c>
      <c r="E721" s="8" t="str">
        <f>VLOOKUP($D721,'Customer Details'!$A$1:$F$17,4,FALSE)</f>
        <v>Olympia</v>
      </c>
      <c r="F721" s="8" t="s">
        <v>182</v>
      </c>
      <c r="G721" s="8">
        <v>1</v>
      </c>
      <c r="H721" s="2" t="str">
        <f>VLOOKUP($D721,'Customer Details'!$A$1:$F$17,MATCH('Order SUmmary'!H$2,'Customer Details'!$A$1:$F$1,0),0)</f>
        <v>Sonata Software</v>
      </c>
      <c r="I721" s="2" t="str">
        <f>VLOOKUP($D721,'Customer Details'!$A$1:$F$17,4,0)</f>
        <v>Olympia</v>
      </c>
      <c r="J721" s="2" t="str">
        <f>VLOOKUP($D721,'Customer Details'!$A$1:$F$17,6,0)</f>
        <v>98502</v>
      </c>
      <c r="K721" s="8" t="str">
        <f>VLOOKUP(VLOOKUP(D721,'Customer Details'!$A$1:$F$17,5,0),'Region INfo'!$A$1:$C$52,3,0)</f>
        <v xml:space="preserve">Pacific   </v>
      </c>
      <c r="L721" s="8" t="str">
        <f>INDEX(Product_List,MATCH($F721,'Product List'!$B$1:$B$299,0),MATCH('Order SUmmary'!L$2,'Product List'!$A$1:$E$1,0))</f>
        <v>Newell 351</v>
      </c>
      <c r="M721" s="8">
        <f>INDEX(Product_List,MATCH($F721,'Product List'!$B$1:$B$299,0),MATCH('Order SUmmary'!M$2,'Product List'!$A$1:$E$1,0))</f>
        <v>2850</v>
      </c>
      <c r="N721" s="8">
        <f>INDEX(Product_List,MATCH($F721,'Product List'!$B$1:$B$299,0),MATCH('Order SUmmary'!N$2,'Product List'!$A$1:$E$1,0))</f>
        <v>2007</v>
      </c>
      <c r="O721" s="8" t="str">
        <f>INDEX(Product_List,MATCH($F721,'Product List'!$B$1:$B$299,0),MATCH('Order SUmmary'!O$2,'Product List'!$A$1:$E$1,0))</f>
        <v>Art</v>
      </c>
      <c r="P721" s="12">
        <f>HLOOKUP(C721,'Commission Criteria'!$A$2:$I$4,3,FALSE)</f>
        <v>4</v>
      </c>
      <c r="Q721" s="8">
        <f t="shared" si="34"/>
        <v>2007</v>
      </c>
      <c r="R721" s="8">
        <f t="shared" si="35"/>
        <v>2850</v>
      </c>
      <c r="S721" s="36">
        <f>VLOOKUP(R721,'Commission Criteria'!$L$3:$M$11,2,TRUE)</f>
        <v>0.01</v>
      </c>
      <c r="T721" s="36">
        <f>IF(P721&lt;5,VLOOKUP(R721,'Commission Criteria'!$L$3:$M$11,2,1),VLOOKUP('Order SUmmary'!R721,'Commission Criteria'!$P$3:$Q$11,2,1))</f>
        <v>0.01</v>
      </c>
      <c r="U721" s="36">
        <f>VLOOKUP(R721,IF(P721&lt;5,'Commission Criteria'!$L$3:$M$11,'Commission Criteria'!$P$3:$Q$11),2,1)</f>
        <v>0.01</v>
      </c>
      <c r="V721" s="8" t="s">
        <v>40</v>
      </c>
      <c r="W721" s="36">
        <f t="shared" ca="1" si="36"/>
        <v>0.05</v>
      </c>
      <c r="X721" s="8" t="str">
        <f>_xlfn.XLOOKUP(F721,'Product List'!$B$1:$B$299,'Product List'!$A$1:$A$299)</f>
        <v>Newell 351</v>
      </c>
      <c r="Y721" s="8"/>
      <c r="Z721" s="8" t="str" cm="1">
        <f t="array" ref="Z721:AD721">_xlfn.XLOOKUP(D721,'Customer Details'!$A$1:$A$17,'Customer Details'!$B$1:$F$17,"No such customer",0,1)</f>
        <v>Sonata Software</v>
      </c>
      <c r="AA721" s="8" t="str">
        <v>1331 Kimberly Dr.</v>
      </c>
      <c r="AB721" s="8" t="str">
        <v>Olympia</v>
      </c>
      <c r="AC721" s="8" t="str">
        <v>WA</v>
      </c>
      <c r="AD721" s="8" t="str">
        <v>98502</v>
      </c>
    </row>
    <row r="722" spans="1:30">
      <c r="A722" s="8" t="s">
        <v>794</v>
      </c>
      <c r="B722" s="19">
        <v>41953</v>
      </c>
      <c r="C722" s="8" t="s">
        <v>36</v>
      </c>
      <c r="D722" s="8">
        <v>10003</v>
      </c>
      <c r="E722" s="8" t="str">
        <f>VLOOKUP($D722,'Customer Details'!$A$1:$F$17,4,FALSE)</f>
        <v>Miami</v>
      </c>
      <c r="F722" s="8" t="s">
        <v>345</v>
      </c>
      <c r="G722" s="8">
        <v>1</v>
      </c>
      <c r="H722" s="2" t="str">
        <f>VLOOKUP($D722,'Customer Details'!$A$1:$F$17,MATCH('Order SUmmary'!H$2,'Customer Details'!$A$1:$F$1,0),0)</f>
        <v>Honeywell Automation</v>
      </c>
      <c r="I722" s="2" t="str">
        <f>VLOOKUP($D722,'Customer Details'!$A$1:$F$17,4,0)</f>
        <v>Miami</v>
      </c>
      <c r="J722" s="2" t="str">
        <f>VLOOKUP($D722,'Customer Details'!$A$1:$F$17,6,0)</f>
        <v>33732</v>
      </c>
      <c r="K722" s="8" t="str">
        <f>VLOOKUP(VLOOKUP(D722,'Customer Details'!$A$1:$F$17,5,0),'Region INfo'!$A$1:$C$52,3,0)</f>
        <v>Southern</v>
      </c>
      <c r="L722" s="8" t="str">
        <f>INDEX(Product_List,MATCH($F722,'Product List'!$B$1:$B$299,0),MATCH('Order SUmmary'!L$2,'Product List'!$A$1:$E$1,0))</f>
        <v>Newell 340</v>
      </c>
      <c r="M722" s="8">
        <f>INDEX(Product_List,MATCH($F722,'Product List'!$B$1:$B$299,0),MATCH('Order SUmmary'!M$2,'Product List'!$A$1:$E$1,0))</f>
        <v>4239</v>
      </c>
      <c r="N722" s="8">
        <f>INDEX(Product_List,MATCH($F722,'Product List'!$B$1:$B$299,0),MATCH('Order SUmmary'!N$2,'Product List'!$A$1:$E$1,0))</f>
        <v>1749</v>
      </c>
      <c r="O722" s="8" t="str">
        <f>INDEX(Product_List,MATCH($F722,'Product List'!$B$1:$B$299,0),MATCH('Order SUmmary'!O$2,'Product List'!$A$1:$E$1,0))</f>
        <v>Art</v>
      </c>
      <c r="P722" s="12">
        <f>HLOOKUP(C722,'Commission Criteria'!$A$2:$I$4,3,FALSE)</f>
        <v>6</v>
      </c>
      <c r="Q722" s="8">
        <f t="shared" si="34"/>
        <v>1749</v>
      </c>
      <c r="R722" s="8">
        <f t="shared" si="35"/>
        <v>4239</v>
      </c>
      <c r="S722" s="36">
        <f>VLOOKUP(R722,'Commission Criteria'!$L$3:$M$11,2,TRUE)</f>
        <v>0.01</v>
      </c>
      <c r="T722" s="36">
        <f>IF(P722&lt;5,VLOOKUP(R722,'Commission Criteria'!$L$3:$M$11,2,1),VLOOKUP('Order SUmmary'!R722,'Commission Criteria'!$P$3:$Q$11,2,1))</f>
        <v>0.02</v>
      </c>
      <c r="U722" s="36">
        <f>VLOOKUP(R722,IF(P722&lt;5,'Commission Criteria'!$L$3:$M$11,'Commission Criteria'!$P$3:$Q$11),2,1)</f>
        <v>0.02</v>
      </c>
      <c r="V722" s="8" t="s">
        <v>29</v>
      </c>
      <c r="W722" s="36">
        <f t="shared" ca="1" si="36"/>
        <v>0.03</v>
      </c>
      <c r="X722" s="8" t="str">
        <f>_xlfn.XLOOKUP(F722,'Product List'!$B$1:$B$299,'Product List'!$A$1:$A$299)</f>
        <v>Newell 340</v>
      </c>
      <c r="Y722" s="8"/>
      <c r="Z722" s="8" t="str" cm="1">
        <f t="array" ref="Z722:AD722">_xlfn.XLOOKUP(D722,'Customer Details'!$A$1:$A$17,'Customer Details'!$B$1:$F$17,"No such customer",0,1)</f>
        <v>Honeywell Automation</v>
      </c>
      <c r="AA722" s="8" t="str">
        <v>1272 Harbor Road</v>
      </c>
      <c r="AB722" s="8" t="str">
        <v>Miami</v>
      </c>
      <c r="AC722" s="8" t="str">
        <v>FL</v>
      </c>
      <c r="AD722" s="8" t="str">
        <v>33732</v>
      </c>
    </row>
    <row r="723" spans="1:30">
      <c r="A723" s="8" t="s">
        <v>793</v>
      </c>
      <c r="B723" s="19">
        <v>41953</v>
      </c>
      <c r="C723" s="8" t="s">
        <v>36</v>
      </c>
      <c r="D723" s="8">
        <v>10009</v>
      </c>
      <c r="E723" s="8" t="str">
        <f>VLOOKUP($D723,'Customer Details'!$A$1:$F$17,4,FALSE)</f>
        <v>Salt Lake City</v>
      </c>
      <c r="F723" s="8" t="s">
        <v>45</v>
      </c>
      <c r="G723" s="8">
        <v>1</v>
      </c>
      <c r="H723" s="2" t="str">
        <f>VLOOKUP($D723,'Customer Details'!$A$1:$F$17,MATCH('Order SUmmary'!H$2,'Customer Details'!$A$1:$F$1,0),0)</f>
        <v>Godfrey Philips India Ltd.</v>
      </c>
      <c r="I723" s="2" t="str">
        <f>VLOOKUP($D723,'Customer Details'!$A$1:$F$17,4,0)</f>
        <v>Salt Lake City</v>
      </c>
      <c r="J723" s="2" t="str">
        <f>VLOOKUP($D723,'Customer Details'!$A$1:$F$17,6,0)</f>
        <v>84118</v>
      </c>
      <c r="K723" s="8" t="str">
        <f>VLOOKUP(VLOOKUP(D723,'Customer Details'!$A$1:$F$17,5,0),'Region INfo'!$A$1:$C$52,3,0)</f>
        <v xml:space="preserve">Pacific   </v>
      </c>
      <c r="L723" s="8" t="str">
        <f>INDEX(Product_List,MATCH($F723,'Product List'!$B$1:$B$299,0),MATCH('Order SUmmary'!L$2,'Product List'!$A$1:$E$1,0))</f>
        <v>Avery 486</v>
      </c>
      <c r="M723" s="8">
        <f>INDEX(Product_List,MATCH($F723,'Product List'!$B$1:$B$299,0),MATCH('Order SUmmary'!M$2,'Product List'!$A$1:$E$1,0))</f>
        <v>4914</v>
      </c>
      <c r="N723" s="8">
        <f>INDEX(Product_List,MATCH($F723,'Product List'!$B$1:$B$299,0),MATCH('Order SUmmary'!N$2,'Product List'!$A$1:$E$1,0))</f>
        <v>1632</v>
      </c>
      <c r="O723" s="8" t="str">
        <f>INDEX(Product_List,MATCH($F723,'Product List'!$B$1:$B$299,0),MATCH('Order SUmmary'!O$2,'Product List'!$A$1:$E$1,0))</f>
        <v>Labels</v>
      </c>
      <c r="P723" s="12">
        <f>HLOOKUP(C723,'Commission Criteria'!$A$2:$I$4,3,FALSE)</f>
        <v>6</v>
      </c>
      <c r="Q723" s="8">
        <f t="shared" si="34"/>
        <v>1632</v>
      </c>
      <c r="R723" s="8">
        <f t="shared" si="35"/>
        <v>4914</v>
      </c>
      <c r="S723" s="36">
        <f>VLOOKUP(R723,'Commission Criteria'!$L$3:$M$11,2,TRUE)</f>
        <v>0.01</v>
      </c>
      <c r="T723" s="36">
        <f>IF(P723&lt;5,VLOOKUP(R723,'Commission Criteria'!$L$3:$M$11,2,1),VLOOKUP('Order SUmmary'!R723,'Commission Criteria'!$P$3:$Q$11,2,1))</f>
        <v>0.02</v>
      </c>
      <c r="U723" s="36">
        <f>VLOOKUP(R723,IF(P723&lt;5,'Commission Criteria'!$L$3:$M$11,'Commission Criteria'!$P$3:$Q$11),2,1)</f>
        <v>0.02</v>
      </c>
      <c r="V723" s="8" t="s">
        <v>40</v>
      </c>
      <c r="W723" s="36">
        <f t="shared" ca="1" si="36"/>
        <v>0.05</v>
      </c>
      <c r="X723" s="8" t="str">
        <f>_xlfn.XLOOKUP(F723,'Product List'!$B$1:$B$299,'Product List'!$A$1:$A$299)</f>
        <v>Avery 486</v>
      </c>
      <c r="Y723" s="8"/>
      <c r="Z723" s="8" t="str" cm="1">
        <f t="array" ref="Z723:AD723">_xlfn.XLOOKUP(D723,'Customer Details'!$A$1:$A$17,'Customer Details'!$B$1:$F$17,"No such customer",0,1)</f>
        <v>Godfrey Philips India Ltd.</v>
      </c>
      <c r="AA723" s="8" t="str">
        <v>20501 Ania Ave #2</v>
      </c>
      <c r="AB723" s="8" t="str">
        <v>Salt Lake City</v>
      </c>
      <c r="AC723" s="8" t="str">
        <v>UT</v>
      </c>
      <c r="AD723" s="8" t="str">
        <v>84118</v>
      </c>
    </row>
    <row r="724" spans="1:30">
      <c r="A724" s="8" t="s">
        <v>793</v>
      </c>
      <c r="B724" s="19">
        <v>41953</v>
      </c>
      <c r="C724" s="8" t="s">
        <v>46</v>
      </c>
      <c r="D724" s="8">
        <v>10010</v>
      </c>
      <c r="E724" s="8" t="str">
        <f>VLOOKUP($D724,'Customer Details'!$A$1:$F$17,4,FALSE)</f>
        <v>Tracy</v>
      </c>
      <c r="F724" s="8" t="s">
        <v>795</v>
      </c>
      <c r="G724" s="8">
        <v>2</v>
      </c>
      <c r="H724" s="2" t="str">
        <f>VLOOKUP($D724,'Customer Details'!$A$1:$F$17,MATCH('Order SUmmary'!H$2,'Customer Details'!$A$1:$F$1,0),0)</f>
        <v>Suzlon Energy Ltd.</v>
      </c>
      <c r="I724" s="2" t="str">
        <f>VLOOKUP($D724,'Customer Details'!$A$1:$F$17,4,0)</f>
        <v>Tracy</v>
      </c>
      <c r="J724" s="2" t="str">
        <f>VLOOKUP($D724,'Customer Details'!$A$1:$F$17,6,0)</f>
        <v>95376</v>
      </c>
      <c r="K724" s="8" t="str">
        <f>VLOOKUP(VLOOKUP(D724,'Customer Details'!$A$1:$F$17,5,0),'Region INfo'!$A$1:$C$52,3,0)</f>
        <v xml:space="preserve">Pacific   </v>
      </c>
      <c r="L724" s="8" t="str">
        <f>INDEX(Product_List,MATCH($F724,'Product List'!$B$1:$B$299,0),MATCH('Order SUmmary'!L$2,'Product List'!$A$1:$E$1,0))</f>
        <v>Newell 336</v>
      </c>
      <c r="M724" s="8">
        <f>INDEX(Product_List,MATCH($F724,'Product List'!$B$1:$B$299,0),MATCH('Order SUmmary'!M$2,'Product List'!$A$1:$E$1,0))</f>
        <v>2772</v>
      </c>
      <c r="N724" s="8">
        <f>INDEX(Product_List,MATCH($F724,'Product List'!$B$1:$B$299,0),MATCH('Order SUmmary'!N$2,'Product List'!$A$1:$E$1,0))</f>
        <v>1527</v>
      </c>
      <c r="O724" s="8" t="str">
        <f>INDEX(Product_List,MATCH($F724,'Product List'!$B$1:$B$299,0),MATCH('Order SUmmary'!O$2,'Product List'!$A$1:$E$1,0))</f>
        <v>Art</v>
      </c>
      <c r="P724" s="12">
        <f>HLOOKUP(C724,'Commission Criteria'!$A$2:$I$4,3,FALSE)</f>
        <v>8</v>
      </c>
      <c r="Q724" s="8">
        <f t="shared" si="34"/>
        <v>3054</v>
      </c>
      <c r="R724" s="8">
        <f t="shared" si="35"/>
        <v>5544</v>
      </c>
      <c r="S724" s="36">
        <f>VLOOKUP(R724,'Commission Criteria'!$L$3:$M$11,2,TRUE)</f>
        <v>0.03</v>
      </c>
      <c r="T724" s="36">
        <f>IF(P724&lt;5,VLOOKUP(R724,'Commission Criteria'!$L$3:$M$11,2,1),VLOOKUP('Order SUmmary'!R724,'Commission Criteria'!$P$3:$Q$11,2,1))</f>
        <v>0.02</v>
      </c>
      <c r="U724" s="36">
        <f>VLOOKUP(R724,IF(P724&lt;5,'Commission Criteria'!$L$3:$M$11,'Commission Criteria'!$P$3:$Q$11),2,1)</f>
        <v>0.02</v>
      </c>
      <c r="V724" s="8" t="s">
        <v>50</v>
      </c>
      <c r="W724" s="36">
        <f t="shared" ca="1" si="36"/>
        <v>0.04</v>
      </c>
      <c r="X724" s="8" t="str">
        <f>_xlfn.XLOOKUP(F724,'Product List'!$B$1:$B$299,'Product List'!$A$1:$A$299)</f>
        <v>Newell 336</v>
      </c>
      <c r="Y724" s="8"/>
      <c r="Z724" s="8" t="str" cm="1">
        <f t="array" ref="Z724:AD724">_xlfn.XLOOKUP(D724,'Customer Details'!$A$1:$A$17,'Customer Details'!$B$1:$F$17,"No such customer",0,1)</f>
        <v>Suzlon Energy Ltd.</v>
      </c>
      <c r="AA724" s="8" t="str">
        <v>501 Marsh Trail Circle</v>
      </c>
      <c r="AB724" s="8" t="str">
        <v>Tracy</v>
      </c>
      <c r="AC724" s="8" t="str">
        <v>CA</v>
      </c>
      <c r="AD724" s="8" t="str">
        <v>95376</v>
      </c>
    </row>
    <row r="725" spans="1:30">
      <c r="A725" s="8" t="s">
        <v>796</v>
      </c>
      <c r="B725" s="19">
        <v>41956</v>
      </c>
      <c r="C725" s="8" t="s">
        <v>51</v>
      </c>
      <c r="D725" s="8">
        <v>10007</v>
      </c>
      <c r="E725" s="8" t="str">
        <f>VLOOKUP($D725,'Customer Details'!$A$1:$F$17,4,FALSE)</f>
        <v>Richmond</v>
      </c>
      <c r="F725" s="8" t="s">
        <v>394</v>
      </c>
      <c r="G725" s="8">
        <v>1</v>
      </c>
      <c r="H725" s="2" t="str">
        <f>VLOOKUP($D725,'Customer Details'!$A$1:$F$17,MATCH('Order SUmmary'!H$2,'Customer Details'!$A$1:$F$1,0),0)</f>
        <v>GHCL Ltd.</v>
      </c>
      <c r="I725" s="2" t="str">
        <f>VLOOKUP($D725,'Customer Details'!$A$1:$F$17,4,0)</f>
        <v>Richmond</v>
      </c>
      <c r="J725" s="2" t="str">
        <f>VLOOKUP($D725,'Customer Details'!$A$1:$F$17,6,0)</f>
        <v>94805</v>
      </c>
      <c r="K725" s="8" t="str">
        <f>VLOOKUP(VLOOKUP(D725,'Customer Details'!$A$1:$F$17,5,0),'Region INfo'!$A$1:$C$52,3,0)</f>
        <v xml:space="preserve">Pacific   </v>
      </c>
      <c r="L725" s="8" t="str">
        <f>INDEX(Product_List,MATCH($F725,'Product List'!$B$1:$B$299,0),MATCH('Order SUmmary'!L$2,'Product List'!$A$1:$E$1,0))</f>
        <v>GE 30524EE4</v>
      </c>
      <c r="M725" s="8">
        <f>INDEX(Product_List,MATCH($F725,'Product List'!$B$1:$B$299,0),MATCH('Order SUmmary'!M$2,'Product List'!$A$1:$E$1,0))</f>
        <v>2553</v>
      </c>
      <c r="N725" s="8">
        <f>INDEX(Product_List,MATCH($F725,'Product List'!$B$1:$B$299,0),MATCH('Order SUmmary'!N$2,'Product List'!$A$1:$E$1,0))</f>
        <v>1638</v>
      </c>
      <c r="O725" s="8" t="str">
        <f>INDEX(Product_List,MATCH($F725,'Product List'!$B$1:$B$299,0),MATCH('Order SUmmary'!O$2,'Product List'!$A$1:$E$1,0))</f>
        <v>Phones</v>
      </c>
      <c r="P725" s="12">
        <f>HLOOKUP(C725,'Commission Criteria'!$A$2:$I$4,3,FALSE)</f>
        <v>10</v>
      </c>
      <c r="Q725" s="8">
        <f t="shared" si="34"/>
        <v>1638</v>
      </c>
      <c r="R725" s="8">
        <f t="shared" si="35"/>
        <v>2553</v>
      </c>
      <c r="S725" s="36">
        <f>VLOOKUP(R725,'Commission Criteria'!$L$3:$M$11,2,TRUE)</f>
        <v>0.01</v>
      </c>
      <c r="T725" s="36">
        <f>IF(P725&lt;5,VLOOKUP(R725,'Commission Criteria'!$L$3:$M$11,2,1),VLOOKUP('Order SUmmary'!R725,'Commission Criteria'!$P$3:$Q$11,2,1))</f>
        <v>0.02</v>
      </c>
      <c r="U725" s="36">
        <f>VLOOKUP(R725,IF(P725&lt;5,'Commission Criteria'!$L$3:$M$11,'Commission Criteria'!$P$3:$Q$11),2,1)</f>
        <v>0.02</v>
      </c>
      <c r="V725" s="8" t="s">
        <v>32</v>
      </c>
      <c r="W725" s="36">
        <f t="shared" ca="1" si="36"/>
        <v>0</v>
      </c>
      <c r="X725" s="8" t="str">
        <f>_xlfn.XLOOKUP(F725,'Product List'!$B$1:$B$299,'Product List'!$A$1:$A$299)</f>
        <v>GE 30524EE4</v>
      </c>
      <c r="Y725" s="8"/>
      <c r="Z725" s="8" t="str" cm="1">
        <f t="array" ref="Z725:AD725">_xlfn.XLOOKUP(D725,'Customer Details'!$A$1:$A$17,'Customer Details'!$B$1:$F$17,"No such customer",0,1)</f>
        <v>GHCL Ltd.</v>
      </c>
      <c r="AA725" s="8" t="str">
        <v>58 Clarence St</v>
      </c>
      <c r="AB725" s="8" t="str">
        <v>Richmond</v>
      </c>
      <c r="AC725" s="8" t="str">
        <v>CA</v>
      </c>
      <c r="AD725" s="8" t="str">
        <v>94805</v>
      </c>
    </row>
    <row r="726" spans="1:30">
      <c r="A726" s="8" t="s">
        <v>797</v>
      </c>
      <c r="B726" s="19">
        <v>41956</v>
      </c>
      <c r="C726" s="8" t="s">
        <v>44</v>
      </c>
      <c r="D726" s="8">
        <v>10010</v>
      </c>
      <c r="E726" s="8" t="str">
        <f>VLOOKUP($D726,'Customer Details'!$A$1:$F$17,4,FALSE)</f>
        <v>Tracy</v>
      </c>
      <c r="F726" s="8" t="s">
        <v>455</v>
      </c>
      <c r="G726" s="8">
        <v>1</v>
      </c>
      <c r="H726" s="2" t="str">
        <f>VLOOKUP($D726,'Customer Details'!$A$1:$F$17,MATCH('Order SUmmary'!H$2,'Customer Details'!$A$1:$F$1,0),0)</f>
        <v>Suzlon Energy Ltd.</v>
      </c>
      <c r="I726" s="2" t="str">
        <f>VLOOKUP($D726,'Customer Details'!$A$1:$F$17,4,0)</f>
        <v>Tracy</v>
      </c>
      <c r="J726" s="2" t="str">
        <f>VLOOKUP($D726,'Customer Details'!$A$1:$F$17,6,0)</f>
        <v>95376</v>
      </c>
      <c r="K726" s="8" t="str">
        <f>VLOOKUP(VLOOKUP(D726,'Customer Details'!$A$1:$F$17,5,0),'Region INfo'!$A$1:$C$52,3,0)</f>
        <v xml:space="preserve">Pacific   </v>
      </c>
      <c r="L726" s="8" t="str">
        <f>INDEX(Product_List,MATCH($F726,'Product List'!$B$1:$B$299,0),MATCH('Order SUmmary'!L$2,'Product List'!$A$1:$E$1,0))</f>
        <v>Newell 307</v>
      </c>
      <c r="M726" s="8">
        <f>INDEX(Product_List,MATCH($F726,'Product List'!$B$1:$B$299,0),MATCH('Order SUmmary'!M$2,'Product List'!$A$1:$E$1,0))</f>
        <v>4230</v>
      </c>
      <c r="N726" s="8">
        <f>INDEX(Product_List,MATCH($F726,'Product List'!$B$1:$B$299,0),MATCH('Order SUmmary'!N$2,'Product List'!$A$1:$E$1,0))</f>
        <v>1812</v>
      </c>
      <c r="O726" s="8" t="str">
        <f>INDEX(Product_List,MATCH($F726,'Product List'!$B$1:$B$299,0),MATCH('Order SUmmary'!O$2,'Product List'!$A$1:$E$1,0))</f>
        <v>Art</v>
      </c>
      <c r="P726" s="12">
        <f>HLOOKUP(C726,'Commission Criteria'!$A$2:$I$4,3,FALSE)</f>
        <v>4</v>
      </c>
      <c r="Q726" s="8">
        <f t="shared" si="34"/>
        <v>1812</v>
      </c>
      <c r="R726" s="8">
        <f t="shared" si="35"/>
        <v>4230</v>
      </c>
      <c r="S726" s="36">
        <f>VLOOKUP(R726,'Commission Criteria'!$L$3:$M$11,2,TRUE)</f>
        <v>0.01</v>
      </c>
      <c r="T726" s="36">
        <f>IF(P726&lt;5,VLOOKUP(R726,'Commission Criteria'!$L$3:$M$11,2,1),VLOOKUP('Order SUmmary'!R726,'Commission Criteria'!$P$3:$Q$11,2,1))</f>
        <v>0.01</v>
      </c>
      <c r="U726" s="36">
        <f>VLOOKUP(R726,IF(P726&lt;5,'Commission Criteria'!$L$3:$M$11,'Commission Criteria'!$P$3:$Q$11),2,1)</f>
        <v>0.01</v>
      </c>
      <c r="V726" s="8" t="s">
        <v>50</v>
      </c>
      <c r="W726" s="36">
        <f t="shared" ca="1" si="36"/>
        <v>0</v>
      </c>
      <c r="X726" s="8" t="str">
        <f>_xlfn.XLOOKUP(F726,'Product List'!$B$1:$B$299,'Product List'!$A$1:$A$299)</f>
        <v>Newell 307</v>
      </c>
      <c r="Y726" s="8"/>
      <c r="Z726" s="8" t="str" cm="1">
        <f t="array" ref="Z726:AD726">_xlfn.XLOOKUP(D726,'Customer Details'!$A$1:$A$17,'Customer Details'!$B$1:$F$17,"No such customer",0,1)</f>
        <v>Suzlon Energy Ltd.</v>
      </c>
      <c r="AA726" s="8" t="str">
        <v>501 Marsh Trail Circle</v>
      </c>
      <c r="AB726" s="8" t="str">
        <v>Tracy</v>
      </c>
      <c r="AC726" s="8" t="str">
        <v>CA</v>
      </c>
      <c r="AD726" s="8" t="str">
        <v>95376</v>
      </c>
    </row>
    <row r="727" spans="1:30">
      <c r="A727" s="8" t="s">
        <v>796</v>
      </c>
      <c r="B727" s="19">
        <v>41956</v>
      </c>
      <c r="C727" s="8" t="s">
        <v>27</v>
      </c>
      <c r="D727" s="8">
        <v>10009</v>
      </c>
      <c r="E727" s="8" t="str">
        <f>VLOOKUP($D727,'Customer Details'!$A$1:$F$17,4,FALSE)</f>
        <v>Salt Lake City</v>
      </c>
      <c r="F727" s="8" t="s">
        <v>510</v>
      </c>
      <c r="G727" s="8">
        <v>3</v>
      </c>
      <c r="H727" s="2" t="str">
        <f>VLOOKUP($D727,'Customer Details'!$A$1:$F$17,MATCH('Order SUmmary'!H$2,'Customer Details'!$A$1:$F$1,0),0)</f>
        <v>Godfrey Philips India Ltd.</v>
      </c>
      <c r="I727" s="2" t="str">
        <f>VLOOKUP($D727,'Customer Details'!$A$1:$F$17,4,0)</f>
        <v>Salt Lake City</v>
      </c>
      <c r="J727" s="2" t="str">
        <f>VLOOKUP($D727,'Customer Details'!$A$1:$F$17,6,0)</f>
        <v>84118</v>
      </c>
      <c r="K727" s="8" t="str">
        <f>VLOOKUP(VLOOKUP(D727,'Customer Details'!$A$1:$F$17,5,0),'Region INfo'!$A$1:$C$52,3,0)</f>
        <v xml:space="preserve">Pacific   </v>
      </c>
      <c r="L727" s="8" t="str">
        <f>INDEX(Product_List,MATCH($F727,'Product List'!$B$1:$B$299,0),MATCH('Order SUmmary'!L$2,'Product List'!$A$1:$E$1,0))</f>
        <v>Avery 507</v>
      </c>
      <c r="M727" s="8">
        <f>INDEX(Product_List,MATCH($F727,'Product List'!$B$1:$B$299,0),MATCH('Order SUmmary'!M$2,'Product List'!$A$1:$E$1,0))</f>
        <v>3473</v>
      </c>
      <c r="N727" s="8">
        <f>INDEX(Product_List,MATCH($F727,'Product List'!$B$1:$B$299,0),MATCH('Order SUmmary'!N$2,'Product List'!$A$1:$E$1,0))</f>
        <v>1493</v>
      </c>
      <c r="O727" s="8" t="str">
        <f>INDEX(Product_List,MATCH($F727,'Product List'!$B$1:$B$299,0),MATCH('Order SUmmary'!O$2,'Product List'!$A$1:$E$1,0))</f>
        <v>Labels</v>
      </c>
      <c r="P727" s="12">
        <f>HLOOKUP(C727,'Commission Criteria'!$A$2:$I$4,3,FALSE)</f>
        <v>4</v>
      </c>
      <c r="Q727" s="8">
        <f t="shared" si="34"/>
        <v>4479</v>
      </c>
      <c r="R727" s="8">
        <f t="shared" si="35"/>
        <v>10419</v>
      </c>
      <c r="S727" s="36">
        <f>VLOOKUP(R727,'Commission Criteria'!$L$3:$M$11,2,TRUE)</f>
        <v>0.03</v>
      </c>
      <c r="T727" s="36">
        <f>IF(P727&lt;5,VLOOKUP(R727,'Commission Criteria'!$L$3:$M$11,2,1),VLOOKUP('Order SUmmary'!R727,'Commission Criteria'!$P$3:$Q$11,2,1))</f>
        <v>0.03</v>
      </c>
      <c r="U727" s="36">
        <f>VLOOKUP(R727,IF(P727&lt;5,'Commission Criteria'!$L$3:$M$11,'Commission Criteria'!$P$3:$Q$11),2,1)</f>
        <v>0.03</v>
      </c>
      <c r="V727" s="8" t="s">
        <v>43</v>
      </c>
      <c r="W727" s="36">
        <f t="shared" ca="1" si="36"/>
        <v>0.02</v>
      </c>
      <c r="X727" s="8" t="str">
        <f>_xlfn.XLOOKUP(F727,'Product List'!$B$1:$B$299,'Product List'!$A$1:$A$299)</f>
        <v>Avery 507</v>
      </c>
      <c r="Y727" s="8"/>
      <c r="Z727" s="8" t="str" cm="1">
        <f t="array" ref="Z727:AD727">_xlfn.XLOOKUP(D727,'Customer Details'!$A$1:$A$17,'Customer Details'!$B$1:$F$17,"No such customer",0,1)</f>
        <v>Godfrey Philips India Ltd.</v>
      </c>
      <c r="AA727" s="8" t="str">
        <v>20501 Ania Ave #2</v>
      </c>
      <c r="AB727" s="8" t="str">
        <v>Salt Lake City</v>
      </c>
      <c r="AC727" s="8" t="str">
        <v>UT</v>
      </c>
      <c r="AD727" s="8" t="str">
        <v>84118</v>
      </c>
    </row>
    <row r="728" spans="1:30">
      <c r="A728" s="8" t="s">
        <v>798</v>
      </c>
      <c r="B728" s="19">
        <v>41957</v>
      </c>
      <c r="C728" s="8" t="s">
        <v>46</v>
      </c>
      <c r="D728" s="8">
        <v>10008</v>
      </c>
      <c r="E728" s="8" t="str">
        <f>VLOOKUP($D728,'Customer Details'!$A$1:$F$17,4,FALSE)</f>
        <v>Chestnut Ridge</v>
      </c>
      <c r="F728" s="8" t="s">
        <v>539</v>
      </c>
      <c r="G728" s="8">
        <v>1</v>
      </c>
      <c r="H728" s="2" t="str">
        <f>VLOOKUP($D728,'Customer Details'!$A$1:$F$17,MATCH('Order SUmmary'!H$2,'Customer Details'!$A$1:$F$1,0),0)</f>
        <v>Reliance Industries Limited</v>
      </c>
      <c r="I728" s="2" t="str">
        <f>VLOOKUP($D728,'Customer Details'!$A$1:$F$17,4,0)</f>
        <v>Chestnut Ridge</v>
      </c>
      <c r="J728" s="2" t="str">
        <f>VLOOKUP($D728,'Customer Details'!$A$1:$F$17,6,0)</f>
        <v>10977</v>
      </c>
      <c r="K728" s="8" t="str">
        <f>VLOOKUP(VLOOKUP(D728,'Customer Details'!$A$1:$F$17,5,0),'Region INfo'!$A$1:$C$52,3,0)</f>
        <v xml:space="preserve">Northern </v>
      </c>
      <c r="L728" s="8" t="str">
        <f>INDEX(Product_List,MATCH($F728,'Product List'!$B$1:$B$299,0),MATCH('Order SUmmary'!L$2,'Product List'!$A$1:$E$1,0))</f>
        <v>Xerox 220</v>
      </c>
      <c r="M728" s="8">
        <f>INDEX(Product_List,MATCH($F728,'Product List'!$B$1:$B$299,0),MATCH('Order SUmmary'!M$2,'Product List'!$A$1:$E$1,0))</f>
        <v>2714</v>
      </c>
      <c r="N728" s="8">
        <f>INDEX(Product_List,MATCH($F728,'Product List'!$B$1:$B$299,0),MATCH('Order SUmmary'!N$2,'Product List'!$A$1:$E$1,0))</f>
        <v>1975</v>
      </c>
      <c r="O728" s="8" t="str">
        <f>INDEX(Product_List,MATCH($F728,'Product List'!$B$1:$B$299,0),MATCH('Order SUmmary'!O$2,'Product List'!$A$1:$E$1,0))</f>
        <v>Paper</v>
      </c>
      <c r="P728" s="12">
        <f>HLOOKUP(C728,'Commission Criteria'!$A$2:$I$4,3,FALSE)</f>
        <v>8</v>
      </c>
      <c r="Q728" s="8">
        <f t="shared" si="34"/>
        <v>1975</v>
      </c>
      <c r="R728" s="8">
        <f t="shared" si="35"/>
        <v>2714</v>
      </c>
      <c r="S728" s="36">
        <f>VLOOKUP(R728,'Commission Criteria'!$L$3:$M$11,2,TRUE)</f>
        <v>0.01</v>
      </c>
      <c r="T728" s="36">
        <f>IF(P728&lt;5,VLOOKUP(R728,'Commission Criteria'!$L$3:$M$11,2,1),VLOOKUP('Order SUmmary'!R728,'Commission Criteria'!$P$3:$Q$11,2,1))</f>
        <v>0.02</v>
      </c>
      <c r="U728" s="36">
        <f>VLOOKUP(R728,IF(P728&lt;5,'Commission Criteria'!$L$3:$M$11,'Commission Criteria'!$P$3:$Q$11),2,1)</f>
        <v>0.02</v>
      </c>
      <c r="V728" s="8" t="s">
        <v>29</v>
      </c>
      <c r="W728" s="36">
        <f t="shared" ca="1" si="36"/>
        <v>0.05</v>
      </c>
      <c r="X728" s="8" t="str">
        <f>_xlfn.XLOOKUP(F728,'Product List'!$B$1:$B$299,'Product List'!$A$1:$A$299)</f>
        <v>Xerox 220</v>
      </c>
      <c r="Y728" s="8"/>
      <c r="Z728" s="8" t="str" cm="1">
        <f t="array" ref="Z728:AD728">_xlfn.XLOOKUP(D728,'Customer Details'!$A$1:$A$17,'Customer Details'!$B$1:$F$17,"No such customer",0,1)</f>
        <v>Reliance Industries Limited</v>
      </c>
      <c r="AA728" s="8" t="str">
        <v>12020 Shamrock Rd., Suite 333</v>
      </c>
      <c r="AB728" s="8" t="str">
        <v>Chestnut Ridge</v>
      </c>
      <c r="AC728" s="8" t="str">
        <v>NY</v>
      </c>
      <c r="AD728" s="8" t="str">
        <v>10977</v>
      </c>
    </row>
    <row r="729" spans="1:30">
      <c r="A729" s="8" t="s">
        <v>798</v>
      </c>
      <c r="B729" s="19">
        <v>41957</v>
      </c>
      <c r="C729" s="8" t="s">
        <v>54</v>
      </c>
      <c r="D729" s="8">
        <v>10005</v>
      </c>
      <c r="E729" s="8" t="str">
        <f>VLOOKUP($D729,'Customer Details'!$A$1:$F$17,4,FALSE)</f>
        <v>Goleta</v>
      </c>
      <c r="F729" s="8" t="s">
        <v>118</v>
      </c>
      <c r="G729" s="8">
        <v>1</v>
      </c>
      <c r="H729" s="2" t="str">
        <f>VLOOKUP($D729,'Customer Details'!$A$1:$F$17,MATCH('Order SUmmary'!H$2,'Customer Details'!$A$1:$F$1,0),0)</f>
        <v>Fortis Healthcare Ltd.</v>
      </c>
      <c r="I729" s="2" t="str">
        <f>VLOOKUP($D729,'Customer Details'!$A$1:$F$17,4,0)</f>
        <v>Goleta</v>
      </c>
      <c r="J729" s="2" t="str">
        <f>VLOOKUP($D729,'Customer Details'!$A$1:$F$17,6,0)</f>
        <v>93117</v>
      </c>
      <c r="K729" s="8" t="str">
        <f>VLOOKUP(VLOOKUP(D729,'Customer Details'!$A$1:$F$17,5,0),'Region INfo'!$A$1:$C$52,3,0)</f>
        <v xml:space="preserve">Pacific   </v>
      </c>
      <c r="L729" s="8" t="str">
        <f>INDEX(Product_List,MATCH($F729,'Product List'!$B$1:$B$299,0),MATCH('Order SUmmary'!L$2,'Product List'!$A$1:$E$1,0))</f>
        <v>Xerox 1998</v>
      </c>
      <c r="M729" s="8">
        <f>INDEX(Product_List,MATCH($F729,'Product List'!$B$1:$B$299,0),MATCH('Order SUmmary'!M$2,'Product List'!$A$1:$E$1,0))</f>
        <v>4003</v>
      </c>
      <c r="N729" s="8">
        <f>INDEX(Product_List,MATCH($F729,'Product List'!$B$1:$B$299,0),MATCH('Order SUmmary'!N$2,'Product List'!$A$1:$E$1,0))</f>
        <v>2255</v>
      </c>
      <c r="O729" s="8" t="str">
        <f>INDEX(Product_List,MATCH($F729,'Product List'!$B$1:$B$299,0),MATCH('Order SUmmary'!O$2,'Product List'!$A$1:$E$1,0))</f>
        <v>Paper</v>
      </c>
      <c r="P729" s="12">
        <f>HLOOKUP(C729,'Commission Criteria'!$A$2:$I$4,3,FALSE)</f>
        <v>3</v>
      </c>
      <c r="Q729" s="8">
        <f t="shared" si="34"/>
        <v>2255</v>
      </c>
      <c r="R729" s="8">
        <f t="shared" si="35"/>
        <v>4003</v>
      </c>
      <c r="S729" s="36">
        <f>VLOOKUP(R729,'Commission Criteria'!$L$3:$M$11,2,TRUE)</f>
        <v>0.01</v>
      </c>
      <c r="T729" s="36">
        <f>IF(P729&lt;5,VLOOKUP(R729,'Commission Criteria'!$L$3:$M$11,2,1),VLOOKUP('Order SUmmary'!R729,'Commission Criteria'!$P$3:$Q$11,2,1))</f>
        <v>0.01</v>
      </c>
      <c r="U729" s="36">
        <f>VLOOKUP(R729,IF(P729&lt;5,'Commission Criteria'!$L$3:$M$11,'Commission Criteria'!$P$3:$Q$11),2,1)</f>
        <v>0.01</v>
      </c>
      <c r="V729" s="8" t="s">
        <v>35</v>
      </c>
      <c r="W729" s="36">
        <f t="shared" ca="1" si="36"/>
        <v>0.01</v>
      </c>
      <c r="X729" s="8" t="str">
        <f>_xlfn.XLOOKUP(F729,'Product List'!$B$1:$B$299,'Product List'!$A$1:$A$299)</f>
        <v>Xerox 1998</v>
      </c>
      <c r="Y729" s="8"/>
      <c r="Z729" s="8" t="str" cm="1">
        <f t="array" ref="Z729:AD729">_xlfn.XLOOKUP(D729,'Customer Details'!$A$1:$A$17,'Customer Details'!$B$1:$F$17,"No such customer",0,1)</f>
        <v>Fortis Healthcare Ltd.</v>
      </c>
      <c r="AA729" s="8" t="str">
        <v>14 Elsworthy Terrace</v>
      </c>
      <c r="AB729" s="8" t="str">
        <v>Goleta</v>
      </c>
      <c r="AC729" s="8" t="str">
        <v>CA</v>
      </c>
      <c r="AD729" s="8" t="str">
        <v>93117</v>
      </c>
    </row>
    <row r="730" spans="1:30">
      <c r="A730" s="8" t="s">
        <v>799</v>
      </c>
      <c r="B730" s="19">
        <v>41957</v>
      </c>
      <c r="C730" s="8" t="s">
        <v>27</v>
      </c>
      <c r="D730" s="8">
        <v>10002</v>
      </c>
      <c r="E730" s="8" t="str">
        <f>VLOOKUP($D730,'Customer Details'!$A$1:$F$17,4,FALSE)</f>
        <v>Omaha</v>
      </c>
      <c r="F730" s="8" t="s">
        <v>153</v>
      </c>
      <c r="G730" s="8">
        <v>1</v>
      </c>
      <c r="H730" s="2" t="str">
        <f>VLOOKUP($D730,'Customer Details'!$A$1:$F$17,MATCH('Order SUmmary'!H$2,'Customer Details'!$A$1:$F$1,0),0)</f>
        <v>Elder Pharmaceuticals</v>
      </c>
      <c r="I730" s="2" t="str">
        <f>VLOOKUP($D730,'Customer Details'!$A$1:$F$17,4,0)</f>
        <v>Omaha</v>
      </c>
      <c r="J730" s="2" t="str">
        <f>VLOOKUP($D730,'Customer Details'!$A$1:$F$17,6,0)</f>
        <v>68127</v>
      </c>
      <c r="K730" s="8" t="str">
        <f>VLOOKUP(VLOOKUP(D730,'Customer Details'!$A$1:$F$17,5,0),'Region INfo'!$A$1:$C$52,3,0)</f>
        <v>Western</v>
      </c>
      <c r="L730" s="8" t="str">
        <f>INDEX(Product_List,MATCH($F730,'Product List'!$B$1:$B$299,0),MATCH('Order SUmmary'!L$2,'Product List'!$A$1:$E$1,0))</f>
        <v>LG G2</v>
      </c>
      <c r="M730" s="8">
        <f>INDEX(Product_List,MATCH($F730,'Product List'!$B$1:$B$299,0),MATCH('Order SUmmary'!M$2,'Product List'!$A$1:$E$1,0))</f>
        <v>4305</v>
      </c>
      <c r="N730" s="8">
        <f>INDEX(Product_List,MATCH($F730,'Product List'!$B$1:$B$299,0),MATCH('Order SUmmary'!N$2,'Product List'!$A$1:$E$1,0))</f>
        <v>1703</v>
      </c>
      <c r="O730" s="8" t="str">
        <f>INDEX(Product_List,MATCH($F730,'Product List'!$B$1:$B$299,0),MATCH('Order SUmmary'!O$2,'Product List'!$A$1:$E$1,0))</f>
        <v>Phones</v>
      </c>
      <c r="P730" s="12">
        <f>HLOOKUP(C730,'Commission Criteria'!$A$2:$I$4,3,FALSE)</f>
        <v>4</v>
      </c>
      <c r="Q730" s="8">
        <f t="shared" si="34"/>
        <v>1703</v>
      </c>
      <c r="R730" s="8">
        <f t="shared" si="35"/>
        <v>4305</v>
      </c>
      <c r="S730" s="36">
        <f>VLOOKUP(R730,'Commission Criteria'!$L$3:$M$11,2,TRUE)</f>
        <v>0.01</v>
      </c>
      <c r="T730" s="36">
        <f>IF(P730&lt;5,VLOOKUP(R730,'Commission Criteria'!$L$3:$M$11,2,1),VLOOKUP('Order SUmmary'!R730,'Commission Criteria'!$P$3:$Q$11,2,1))</f>
        <v>0.01</v>
      </c>
      <c r="U730" s="36">
        <f>VLOOKUP(R730,IF(P730&lt;5,'Commission Criteria'!$L$3:$M$11,'Commission Criteria'!$P$3:$Q$11),2,1)</f>
        <v>0.01</v>
      </c>
      <c r="V730" s="8" t="s">
        <v>35</v>
      </c>
      <c r="W730" s="36">
        <f t="shared" ca="1" si="36"/>
        <v>0</v>
      </c>
      <c r="X730" s="8" t="str">
        <f>_xlfn.XLOOKUP(F730,'Product List'!$B$1:$B$299,'Product List'!$A$1:$A$299)</f>
        <v>LG G2</v>
      </c>
      <c r="Y730" s="8"/>
      <c r="Z730" s="8" t="str" cm="1">
        <f t="array" ref="Z730:AD730">_xlfn.XLOOKUP(D730,'Customer Details'!$A$1:$A$17,'Customer Details'!$B$1:$F$17,"No such customer",0,1)</f>
        <v>Elder Pharmaceuticals</v>
      </c>
      <c r="AA730" s="8" t="str">
        <v>57 Neriba Cres</v>
      </c>
      <c r="AB730" s="8" t="str">
        <v>Omaha</v>
      </c>
      <c r="AC730" s="8" t="str">
        <v>NE</v>
      </c>
      <c r="AD730" s="8" t="str">
        <v>68127</v>
      </c>
    </row>
    <row r="731" spans="1:30">
      <c r="A731" s="8" t="s">
        <v>798</v>
      </c>
      <c r="B731" s="19">
        <v>41957</v>
      </c>
      <c r="C731" s="8" t="s">
        <v>66</v>
      </c>
      <c r="D731" s="8">
        <v>10007</v>
      </c>
      <c r="E731" s="8" t="str">
        <f>VLOOKUP($D731,'Customer Details'!$A$1:$F$17,4,FALSE)</f>
        <v>Richmond</v>
      </c>
      <c r="F731" s="8" t="s">
        <v>208</v>
      </c>
      <c r="G731" s="8">
        <v>3</v>
      </c>
      <c r="H731" s="2" t="str">
        <f>VLOOKUP($D731,'Customer Details'!$A$1:$F$17,MATCH('Order SUmmary'!H$2,'Customer Details'!$A$1:$F$1,0),0)</f>
        <v>GHCL Ltd.</v>
      </c>
      <c r="I731" s="2" t="str">
        <f>VLOOKUP($D731,'Customer Details'!$A$1:$F$17,4,0)</f>
        <v>Richmond</v>
      </c>
      <c r="J731" s="2" t="str">
        <f>VLOOKUP($D731,'Customer Details'!$A$1:$F$17,6,0)</f>
        <v>94805</v>
      </c>
      <c r="K731" s="8" t="str">
        <f>VLOOKUP(VLOOKUP(D731,'Customer Details'!$A$1:$F$17,5,0),'Region INfo'!$A$1:$C$52,3,0)</f>
        <v xml:space="preserve">Pacific   </v>
      </c>
      <c r="L731" s="8" t="str">
        <f>INDEX(Product_List,MATCH($F731,'Product List'!$B$1:$B$299,0),MATCH('Order SUmmary'!L$2,'Product List'!$A$1:$E$1,0))</f>
        <v>Xerox 1928</v>
      </c>
      <c r="M731" s="8">
        <f>INDEX(Product_List,MATCH($F731,'Product List'!$B$1:$B$299,0),MATCH('Order SUmmary'!M$2,'Product List'!$A$1:$E$1,0))</f>
        <v>3034</v>
      </c>
      <c r="N731" s="8">
        <f>INDEX(Product_List,MATCH($F731,'Product List'!$B$1:$B$299,0),MATCH('Order SUmmary'!N$2,'Product List'!$A$1:$E$1,0))</f>
        <v>2312</v>
      </c>
      <c r="O731" s="8" t="str">
        <f>INDEX(Product_List,MATCH($F731,'Product List'!$B$1:$B$299,0),MATCH('Order SUmmary'!O$2,'Product List'!$A$1:$E$1,0))</f>
        <v>Paper</v>
      </c>
      <c r="P731" s="12">
        <f>HLOOKUP(C731,'Commission Criteria'!$A$2:$I$4,3,FALSE)</f>
        <v>5</v>
      </c>
      <c r="Q731" s="8">
        <f t="shared" si="34"/>
        <v>6936</v>
      </c>
      <c r="R731" s="8">
        <f t="shared" si="35"/>
        <v>9102</v>
      </c>
      <c r="S731" s="36">
        <f>VLOOKUP(R731,'Commission Criteria'!$L$3:$M$11,2,TRUE)</f>
        <v>0.03</v>
      </c>
      <c r="T731" s="36">
        <f>IF(P731&lt;5,VLOOKUP(R731,'Commission Criteria'!$L$3:$M$11,2,1),VLOOKUP('Order SUmmary'!R731,'Commission Criteria'!$P$3:$Q$11,2,1))</f>
        <v>0.02</v>
      </c>
      <c r="U731" s="36">
        <f>VLOOKUP(R731,IF(P731&lt;5,'Commission Criteria'!$L$3:$M$11,'Commission Criteria'!$P$3:$Q$11),2,1)</f>
        <v>0.02</v>
      </c>
      <c r="V731" s="8" t="s">
        <v>50</v>
      </c>
      <c r="W731" s="36">
        <f t="shared" ca="1" si="36"/>
        <v>0.01</v>
      </c>
      <c r="X731" s="8" t="str">
        <f>_xlfn.XLOOKUP(F731,'Product List'!$B$1:$B$299,'Product List'!$A$1:$A$299)</f>
        <v>Xerox 1928</v>
      </c>
      <c r="Y731" s="8"/>
      <c r="Z731" s="8" t="str" cm="1">
        <f t="array" ref="Z731:AD731">_xlfn.XLOOKUP(D731,'Customer Details'!$A$1:$A$17,'Customer Details'!$B$1:$F$17,"No such customer",0,1)</f>
        <v>GHCL Ltd.</v>
      </c>
      <c r="AA731" s="8" t="str">
        <v>58 Clarence St</v>
      </c>
      <c r="AB731" s="8" t="str">
        <v>Richmond</v>
      </c>
      <c r="AC731" s="8" t="str">
        <v>CA</v>
      </c>
      <c r="AD731" s="8" t="str">
        <v>94805</v>
      </c>
    </row>
    <row r="732" spans="1:30">
      <c r="A732" s="8" t="s">
        <v>799</v>
      </c>
      <c r="B732" s="19">
        <v>41957</v>
      </c>
      <c r="C732" s="8" t="s">
        <v>54</v>
      </c>
      <c r="D732" s="8">
        <v>10006</v>
      </c>
      <c r="E732" s="8" t="str">
        <f>VLOOKUP($D732,'Customer Details'!$A$1:$F$17,4,FALSE)</f>
        <v>Midland</v>
      </c>
      <c r="F732" s="8" t="s">
        <v>206</v>
      </c>
      <c r="G732" s="8">
        <v>2</v>
      </c>
      <c r="H732" s="2" t="str">
        <f>VLOOKUP($D732,'Customer Details'!$A$1:$F$17,MATCH('Order SUmmary'!H$2,'Customer Details'!$A$1:$F$1,0),0)</f>
        <v>Supreme Ind</v>
      </c>
      <c r="I732" s="2" t="str">
        <f>VLOOKUP($D732,'Customer Details'!$A$1:$F$17,4,0)</f>
        <v>Midland</v>
      </c>
      <c r="J732" s="2" t="str">
        <f>VLOOKUP($D732,'Customer Details'!$A$1:$F$17,6,0)</f>
        <v>79706</v>
      </c>
      <c r="K732" s="8" t="str">
        <f>VLOOKUP(VLOOKUP(D732,'Customer Details'!$A$1:$F$17,5,0),'Region INfo'!$A$1:$C$52,3,0)</f>
        <v>Western</v>
      </c>
      <c r="L732" s="8" t="str">
        <f>INDEX(Product_List,MATCH($F732,'Product List'!$B$1:$B$299,0),MATCH('Order SUmmary'!L$2,'Product List'!$A$1:$E$1,0))</f>
        <v>Xerox 1973</v>
      </c>
      <c r="M732" s="8">
        <f>INDEX(Product_List,MATCH($F732,'Product List'!$B$1:$B$299,0),MATCH('Order SUmmary'!M$2,'Product List'!$A$1:$E$1,0))</f>
        <v>4928</v>
      </c>
      <c r="N732" s="8">
        <f>INDEX(Product_List,MATCH($F732,'Product List'!$B$1:$B$299,0),MATCH('Order SUmmary'!N$2,'Product List'!$A$1:$E$1,0))</f>
        <v>2101</v>
      </c>
      <c r="O732" s="8" t="str">
        <f>INDEX(Product_List,MATCH($F732,'Product List'!$B$1:$B$299,0),MATCH('Order SUmmary'!O$2,'Product List'!$A$1:$E$1,0))</f>
        <v>Paper</v>
      </c>
      <c r="P732" s="12">
        <f>HLOOKUP(C732,'Commission Criteria'!$A$2:$I$4,3,FALSE)</f>
        <v>3</v>
      </c>
      <c r="Q732" s="8">
        <f t="shared" si="34"/>
        <v>4202</v>
      </c>
      <c r="R732" s="8">
        <f t="shared" si="35"/>
        <v>9856</v>
      </c>
      <c r="S732" s="36">
        <f>VLOOKUP(R732,'Commission Criteria'!$L$3:$M$11,2,TRUE)</f>
        <v>0.03</v>
      </c>
      <c r="T732" s="36">
        <f>IF(P732&lt;5,VLOOKUP(R732,'Commission Criteria'!$L$3:$M$11,2,1),VLOOKUP('Order SUmmary'!R732,'Commission Criteria'!$P$3:$Q$11,2,1))</f>
        <v>0.03</v>
      </c>
      <c r="U732" s="36">
        <f>VLOOKUP(R732,IF(P732&lt;5,'Commission Criteria'!$L$3:$M$11,'Commission Criteria'!$P$3:$Q$11),2,1)</f>
        <v>0.03</v>
      </c>
      <c r="V732" s="8" t="s">
        <v>50</v>
      </c>
      <c r="W732" s="36">
        <f t="shared" ca="1" si="36"/>
        <v>0</v>
      </c>
      <c r="X732" s="8" t="str">
        <f>_xlfn.XLOOKUP(F732,'Product List'!$B$1:$B$299,'Product List'!$A$1:$A$299)</f>
        <v>Xerox 1973</v>
      </c>
      <c r="Y732" s="8"/>
      <c r="Z732" s="8" t="str" cm="1">
        <f t="array" ref="Z732:AD732">_xlfn.XLOOKUP(D732,'Customer Details'!$A$1:$A$17,'Customer Details'!$B$1:$F$17,"No such customer",0,1)</f>
        <v>Supreme Ind</v>
      </c>
      <c r="AA732" s="8" t="str">
        <v>P.O. Box 1367</v>
      </c>
      <c r="AB732" s="8" t="str">
        <v>Midland</v>
      </c>
      <c r="AC732" s="8" t="str">
        <v>TX</v>
      </c>
      <c r="AD732" s="8" t="str">
        <v>79706</v>
      </c>
    </row>
    <row r="733" spans="1:30">
      <c r="A733" s="8" t="s">
        <v>800</v>
      </c>
      <c r="B733" s="19">
        <v>41958</v>
      </c>
      <c r="C733" s="8" t="s">
        <v>36</v>
      </c>
      <c r="D733" s="8">
        <v>10012</v>
      </c>
      <c r="E733" s="8" t="str">
        <f>VLOOKUP($D733,'Customer Details'!$A$1:$F$17,4,FALSE)</f>
        <v>Santa Barbara</v>
      </c>
      <c r="F733" s="8" t="s">
        <v>729</v>
      </c>
      <c r="G733" s="8">
        <v>1</v>
      </c>
      <c r="H733" s="2" t="str">
        <f>VLOOKUP($D733,'Customer Details'!$A$1:$F$17,MATCH('Order SUmmary'!H$2,'Customer Details'!$A$1:$F$1,0),0)</f>
        <v>Dynamatic Technologies Ltd.</v>
      </c>
      <c r="I733" s="2" t="str">
        <f>VLOOKUP($D733,'Customer Details'!$A$1:$F$17,4,0)</f>
        <v>Santa Barbara</v>
      </c>
      <c r="J733" s="2" t="str">
        <f>VLOOKUP($D733,'Customer Details'!$A$1:$F$17,6,0)</f>
        <v>93110</v>
      </c>
      <c r="K733" s="8" t="str">
        <f>VLOOKUP(VLOOKUP(D733,'Customer Details'!$A$1:$F$17,5,0),'Region INfo'!$A$1:$C$52,3,0)</f>
        <v xml:space="preserve">Pacific   </v>
      </c>
      <c r="L733" s="8" t="str">
        <f>INDEX(Product_List,MATCH($F733,'Product List'!$B$1:$B$299,0),MATCH('Order SUmmary'!L$2,'Product List'!$A$1:$E$1,0))</f>
        <v>Newell 324</v>
      </c>
      <c r="M733" s="8">
        <f>INDEX(Product_List,MATCH($F733,'Product List'!$B$1:$B$299,0),MATCH('Order SUmmary'!M$2,'Product List'!$A$1:$E$1,0))</f>
        <v>3859</v>
      </c>
      <c r="N733" s="8">
        <f>INDEX(Product_List,MATCH($F733,'Product List'!$B$1:$B$299,0),MATCH('Order SUmmary'!N$2,'Product List'!$A$1:$E$1,0))</f>
        <v>1465</v>
      </c>
      <c r="O733" s="8" t="str">
        <f>INDEX(Product_List,MATCH($F733,'Product List'!$B$1:$B$299,0),MATCH('Order SUmmary'!O$2,'Product List'!$A$1:$E$1,0))</f>
        <v>Art</v>
      </c>
      <c r="P733" s="12">
        <f>HLOOKUP(C733,'Commission Criteria'!$A$2:$I$4,3,FALSE)</f>
        <v>6</v>
      </c>
      <c r="Q733" s="8">
        <f t="shared" si="34"/>
        <v>1465</v>
      </c>
      <c r="R733" s="8">
        <f t="shared" si="35"/>
        <v>3859</v>
      </c>
      <c r="S733" s="36">
        <f>VLOOKUP(R733,'Commission Criteria'!$L$3:$M$11,2,TRUE)</f>
        <v>0.01</v>
      </c>
      <c r="T733" s="36">
        <f>IF(P733&lt;5,VLOOKUP(R733,'Commission Criteria'!$L$3:$M$11,2,1),VLOOKUP('Order SUmmary'!R733,'Commission Criteria'!$P$3:$Q$11,2,1))</f>
        <v>0.02</v>
      </c>
      <c r="U733" s="36">
        <f>VLOOKUP(R733,IF(P733&lt;5,'Commission Criteria'!$L$3:$M$11,'Commission Criteria'!$P$3:$Q$11),2,1)</f>
        <v>0.02</v>
      </c>
      <c r="V733" s="8" t="s">
        <v>35</v>
      </c>
      <c r="W733" s="36">
        <f t="shared" ca="1" si="36"/>
        <v>0</v>
      </c>
      <c r="X733" s="8" t="str">
        <f>_xlfn.XLOOKUP(F733,'Product List'!$B$1:$B$299,'Product List'!$A$1:$A$299)</f>
        <v>Newell 324</v>
      </c>
      <c r="Y733" s="8"/>
      <c r="Z733" s="8" t="str" cm="1">
        <f t="array" ref="Z733:AD733">_xlfn.XLOOKUP(D733,'Customer Details'!$A$1:$A$17,'Customer Details'!$B$1:$F$17,"No such customer",0,1)</f>
        <v>Dynamatic Technologies Ltd.</v>
      </c>
      <c r="AA733" s="8" t="str">
        <v>402 Pinkster Lane</v>
      </c>
      <c r="AB733" s="8" t="str">
        <v>Santa Barbara</v>
      </c>
      <c r="AC733" s="8" t="str">
        <v>CA</v>
      </c>
      <c r="AD733" s="8" t="str">
        <v>93110</v>
      </c>
    </row>
    <row r="734" spans="1:30">
      <c r="A734" s="8" t="s">
        <v>801</v>
      </c>
      <c r="B734" s="19">
        <v>41959</v>
      </c>
      <c r="C734" s="8" t="s">
        <v>33</v>
      </c>
      <c r="D734" s="8">
        <v>10009</v>
      </c>
      <c r="E734" s="8" t="str">
        <f>VLOOKUP($D734,'Customer Details'!$A$1:$F$17,4,FALSE)</f>
        <v>Salt Lake City</v>
      </c>
      <c r="F734" s="8" t="s">
        <v>423</v>
      </c>
      <c r="G734" s="8">
        <v>2</v>
      </c>
      <c r="H734" s="2" t="str">
        <f>VLOOKUP($D734,'Customer Details'!$A$1:$F$17,MATCH('Order SUmmary'!H$2,'Customer Details'!$A$1:$F$1,0),0)</f>
        <v>Godfrey Philips India Ltd.</v>
      </c>
      <c r="I734" s="2" t="str">
        <f>VLOOKUP($D734,'Customer Details'!$A$1:$F$17,4,0)</f>
        <v>Salt Lake City</v>
      </c>
      <c r="J734" s="2" t="str">
        <f>VLOOKUP($D734,'Customer Details'!$A$1:$F$17,6,0)</f>
        <v>84118</v>
      </c>
      <c r="K734" s="8" t="str">
        <f>VLOOKUP(VLOOKUP(D734,'Customer Details'!$A$1:$F$17,5,0),'Region INfo'!$A$1:$C$52,3,0)</f>
        <v xml:space="preserve">Pacific   </v>
      </c>
      <c r="L734" s="8" t="str">
        <f>INDEX(Product_List,MATCH($F734,'Product List'!$B$1:$B$299,0),MATCH('Order SUmmary'!L$2,'Product List'!$A$1:$E$1,0))</f>
        <v>Newell 339</v>
      </c>
      <c r="M734" s="8">
        <f>INDEX(Product_List,MATCH($F734,'Product List'!$B$1:$B$299,0),MATCH('Order SUmmary'!M$2,'Product List'!$A$1:$E$1,0))</f>
        <v>3590</v>
      </c>
      <c r="N734" s="8">
        <f>INDEX(Product_List,MATCH($F734,'Product List'!$B$1:$B$299,0),MATCH('Order SUmmary'!N$2,'Product List'!$A$1:$E$1,0))</f>
        <v>1866</v>
      </c>
      <c r="O734" s="8" t="str">
        <f>INDEX(Product_List,MATCH($F734,'Product List'!$B$1:$B$299,0),MATCH('Order SUmmary'!O$2,'Product List'!$A$1:$E$1,0))</f>
        <v>Art</v>
      </c>
      <c r="P734" s="12">
        <f>HLOOKUP(C734,'Commission Criteria'!$A$2:$I$4,3,FALSE)</f>
        <v>1</v>
      </c>
      <c r="Q734" s="8">
        <f t="shared" si="34"/>
        <v>3732</v>
      </c>
      <c r="R734" s="8">
        <f t="shared" si="35"/>
        <v>7180</v>
      </c>
      <c r="S734" s="36">
        <f>VLOOKUP(R734,'Commission Criteria'!$L$3:$M$11,2,TRUE)</f>
        <v>0.03</v>
      </c>
      <c r="T734" s="36">
        <f>IF(P734&lt;5,VLOOKUP(R734,'Commission Criteria'!$L$3:$M$11,2,1),VLOOKUP('Order SUmmary'!R734,'Commission Criteria'!$P$3:$Q$11,2,1))</f>
        <v>0.03</v>
      </c>
      <c r="U734" s="36">
        <f>VLOOKUP(R734,IF(P734&lt;5,'Commission Criteria'!$L$3:$M$11,'Commission Criteria'!$P$3:$Q$11),2,1)</f>
        <v>0.03</v>
      </c>
      <c r="V734" s="8" t="s">
        <v>29</v>
      </c>
      <c r="W734" s="36">
        <f t="shared" ca="1" si="36"/>
        <v>0.05</v>
      </c>
      <c r="X734" s="8" t="str">
        <f>_xlfn.XLOOKUP(F734,'Product List'!$B$1:$B$299,'Product List'!$A$1:$A$299)</f>
        <v>Newell 339</v>
      </c>
      <c r="Y734" s="8"/>
      <c r="Z734" s="8" t="str" cm="1">
        <f t="array" ref="Z734:AD734">_xlfn.XLOOKUP(D734,'Customer Details'!$A$1:$A$17,'Customer Details'!$B$1:$F$17,"No such customer",0,1)</f>
        <v>Godfrey Philips India Ltd.</v>
      </c>
      <c r="AA734" s="8" t="str">
        <v>20501 Ania Ave #2</v>
      </c>
      <c r="AB734" s="8" t="str">
        <v>Salt Lake City</v>
      </c>
      <c r="AC734" s="8" t="str">
        <v>UT</v>
      </c>
      <c r="AD734" s="8" t="str">
        <v>84118</v>
      </c>
    </row>
    <row r="735" spans="1:30">
      <c r="A735" s="8" t="s">
        <v>801</v>
      </c>
      <c r="B735" s="19">
        <v>41959</v>
      </c>
      <c r="C735" s="8" t="s">
        <v>54</v>
      </c>
      <c r="D735" s="8">
        <v>10011</v>
      </c>
      <c r="E735" s="8" t="str">
        <f>VLOOKUP($D735,'Customer Details'!$A$1:$F$17,4,FALSE)</f>
        <v>Olympia</v>
      </c>
      <c r="F735" s="8" t="s">
        <v>592</v>
      </c>
      <c r="G735" s="8">
        <v>3</v>
      </c>
      <c r="H735" s="2" t="str">
        <f>VLOOKUP($D735,'Customer Details'!$A$1:$F$17,MATCH('Order SUmmary'!H$2,'Customer Details'!$A$1:$F$1,0),0)</f>
        <v>Sonata Software</v>
      </c>
      <c r="I735" s="2" t="str">
        <f>VLOOKUP($D735,'Customer Details'!$A$1:$F$17,4,0)</f>
        <v>Olympia</v>
      </c>
      <c r="J735" s="2" t="str">
        <f>VLOOKUP($D735,'Customer Details'!$A$1:$F$17,6,0)</f>
        <v>98502</v>
      </c>
      <c r="K735" s="8" t="str">
        <f>VLOOKUP(VLOOKUP(D735,'Customer Details'!$A$1:$F$17,5,0),'Region INfo'!$A$1:$C$52,3,0)</f>
        <v xml:space="preserve">Pacific   </v>
      </c>
      <c r="L735" s="8" t="str">
        <f>INDEX(Product_List,MATCH($F735,'Product List'!$B$1:$B$299,0),MATCH('Order SUmmary'!L$2,'Product List'!$A$1:$E$1,0))</f>
        <v>Avery 5</v>
      </c>
      <c r="M735" s="8">
        <f>INDEX(Product_List,MATCH($F735,'Product List'!$B$1:$B$299,0),MATCH('Order SUmmary'!M$2,'Product List'!$A$1:$E$1,0))</f>
        <v>3388</v>
      </c>
      <c r="N735" s="8">
        <f>INDEX(Product_List,MATCH($F735,'Product List'!$B$1:$B$299,0),MATCH('Order SUmmary'!N$2,'Product List'!$A$1:$E$1,0))</f>
        <v>1454</v>
      </c>
      <c r="O735" s="8" t="str">
        <f>INDEX(Product_List,MATCH($F735,'Product List'!$B$1:$B$299,0),MATCH('Order SUmmary'!O$2,'Product List'!$A$1:$E$1,0))</f>
        <v>Labels</v>
      </c>
      <c r="P735" s="12">
        <f>HLOOKUP(C735,'Commission Criteria'!$A$2:$I$4,3,FALSE)</f>
        <v>3</v>
      </c>
      <c r="Q735" s="8">
        <f t="shared" si="34"/>
        <v>4362</v>
      </c>
      <c r="R735" s="8">
        <f t="shared" si="35"/>
        <v>10164</v>
      </c>
      <c r="S735" s="36">
        <f>VLOOKUP(R735,'Commission Criteria'!$L$3:$M$11,2,TRUE)</f>
        <v>0.03</v>
      </c>
      <c r="T735" s="36">
        <f>IF(P735&lt;5,VLOOKUP(R735,'Commission Criteria'!$L$3:$M$11,2,1),VLOOKUP('Order SUmmary'!R735,'Commission Criteria'!$P$3:$Q$11,2,1))</f>
        <v>0.03</v>
      </c>
      <c r="U735" s="36">
        <f>VLOOKUP(R735,IF(P735&lt;5,'Commission Criteria'!$L$3:$M$11,'Commission Criteria'!$P$3:$Q$11),2,1)</f>
        <v>0.03</v>
      </c>
      <c r="V735" s="8" t="s">
        <v>35</v>
      </c>
      <c r="W735" s="36">
        <f t="shared" ca="1" si="36"/>
        <v>0</v>
      </c>
      <c r="X735" s="8" t="str">
        <f>_xlfn.XLOOKUP(F735,'Product List'!$B$1:$B$299,'Product List'!$A$1:$A$299)</f>
        <v>Avery 5</v>
      </c>
      <c r="Y735" s="8"/>
      <c r="Z735" s="8" t="str" cm="1">
        <f t="array" ref="Z735:AD735">_xlfn.XLOOKUP(D735,'Customer Details'!$A$1:$A$17,'Customer Details'!$B$1:$F$17,"No such customer",0,1)</f>
        <v>Sonata Software</v>
      </c>
      <c r="AA735" s="8" t="str">
        <v>1331 Kimberly Dr.</v>
      </c>
      <c r="AB735" s="8" t="str">
        <v>Olympia</v>
      </c>
      <c r="AC735" s="8" t="str">
        <v>WA</v>
      </c>
      <c r="AD735" s="8" t="str">
        <v>98502</v>
      </c>
    </row>
    <row r="736" spans="1:30">
      <c r="A736" s="8" t="s">
        <v>802</v>
      </c>
      <c r="B736" s="19">
        <v>41959</v>
      </c>
      <c r="C736" s="8" t="s">
        <v>27</v>
      </c>
      <c r="D736" s="8">
        <v>10014</v>
      </c>
      <c r="E736" s="8" t="str">
        <f>VLOOKUP($D736,'Customer Details'!$A$1:$F$17,4,FALSE)</f>
        <v>Honolulu</v>
      </c>
      <c r="F736" s="8" t="s">
        <v>578</v>
      </c>
      <c r="G736" s="8">
        <v>3</v>
      </c>
      <c r="H736" s="2" t="str">
        <f>VLOOKUP($D736,'Customer Details'!$A$1:$F$17,MATCH('Order SUmmary'!H$2,'Customer Details'!$A$1:$F$1,0),0)</f>
        <v>Hindusthan National Glass &amp; Industries Ltd.</v>
      </c>
      <c r="I736" s="2" t="str">
        <f>VLOOKUP($D736,'Customer Details'!$A$1:$F$17,4,0)</f>
        <v>Honolulu</v>
      </c>
      <c r="J736" s="2" t="str">
        <f>VLOOKUP($D736,'Customer Details'!$A$1:$F$17,6,0)</f>
        <v>96825</v>
      </c>
      <c r="K736" s="8" t="str">
        <f>VLOOKUP(VLOOKUP(D736,'Customer Details'!$A$1:$F$17,5,0),'Region INfo'!$A$1:$C$52,3,0)</f>
        <v xml:space="preserve">Pacific   </v>
      </c>
      <c r="L736" s="8" t="str">
        <f>INDEX(Product_List,MATCH($F736,'Product List'!$B$1:$B$299,0),MATCH('Order SUmmary'!L$2,'Product List'!$A$1:$E$1,0))</f>
        <v>Xerox 1948</v>
      </c>
      <c r="M736" s="8">
        <f>INDEX(Product_List,MATCH($F736,'Product List'!$B$1:$B$299,0),MATCH('Order SUmmary'!M$2,'Product List'!$A$1:$E$1,0))</f>
        <v>4910</v>
      </c>
      <c r="N736" s="8">
        <f>INDEX(Product_List,MATCH($F736,'Product List'!$B$1:$B$299,0),MATCH('Order SUmmary'!N$2,'Product List'!$A$1:$E$1,0))</f>
        <v>2108</v>
      </c>
      <c r="O736" s="8" t="str">
        <f>INDEX(Product_List,MATCH($F736,'Product List'!$B$1:$B$299,0),MATCH('Order SUmmary'!O$2,'Product List'!$A$1:$E$1,0))</f>
        <v>Paper</v>
      </c>
      <c r="P736" s="12">
        <f>HLOOKUP(C736,'Commission Criteria'!$A$2:$I$4,3,FALSE)</f>
        <v>4</v>
      </c>
      <c r="Q736" s="8">
        <f t="shared" si="34"/>
        <v>6324</v>
      </c>
      <c r="R736" s="8">
        <f t="shared" si="35"/>
        <v>14730</v>
      </c>
      <c r="S736" s="36">
        <f>VLOOKUP(R736,'Commission Criteria'!$L$3:$M$11,2,TRUE)</f>
        <v>0.03</v>
      </c>
      <c r="T736" s="36">
        <f>IF(P736&lt;5,VLOOKUP(R736,'Commission Criteria'!$L$3:$M$11,2,1),VLOOKUP('Order SUmmary'!R736,'Commission Criteria'!$P$3:$Q$11,2,1))</f>
        <v>0.03</v>
      </c>
      <c r="U736" s="36">
        <f>VLOOKUP(R736,IF(P736&lt;5,'Commission Criteria'!$L$3:$M$11,'Commission Criteria'!$P$3:$Q$11),2,1)</f>
        <v>0.03</v>
      </c>
      <c r="V736" s="8" t="s">
        <v>32</v>
      </c>
      <c r="W736" s="36">
        <f t="shared" ca="1" si="36"/>
        <v>0.05</v>
      </c>
      <c r="X736" s="8" t="str">
        <f>_xlfn.XLOOKUP(F736,'Product List'!$B$1:$B$299,'Product List'!$A$1:$A$299)</f>
        <v>Xerox 1948</v>
      </c>
      <c r="Y736" s="8"/>
      <c r="Z736" s="8" t="str" cm="1">
        <f t="array" ref="Z736:AD736">_xlfn.XLOOKUP(D736,'Customer Details'!$A$1:$A$17,'Customer Details'!$B$1:$F$17,"No such customer",0,1)</f>
        <v>Hindusthan National Glass &amp; Industries Ltd.</v>
      </c>
      <c r="AA736" s="8" t="str">
        <v>11 Cathy St.</v>
      </c>
      <c r="AB736" s="8" t="str">
        <v>Honolulu</v>
      </c>
      <c r="AC736" s="8" t="str">
        <v>HI</v>
      </c>
      <c r="AD736" s="8" t="str">
        <v>96825</v>
      </c>
    </row>
    <row r="737" spans="1:30">
      <c r="A737" s="8" t="s">
        <v>803</v>
      </c>
      <c r="B737" s="19">
        <v>41963</v>
      </c>
      <c r="C737" s="8" t="s">
        <v>27</v>
      </c>
      <c r="D737" s="8">
        <v>10011</v>
      </c>
      <c r="E737" s="8" t="str">
        <f>VLOOKUP($D737,'Customer Details'!$A$1:$F$17,4,FALSE)</f>
        <v>Olympia</v>
      </c>
      <c r="F737" s="8" t="s">
        <v>502</v>
      </c>
      <c r="G737" s="8">
        <v>1</v>
      </c>
      <c r="H737" s="2" t="str">
        <f>VLOOKUP($D737,'Customer Details'!$A$1:$F$17,MATCH('Order SUmmary'!H$2,'Customer Details'!$A$1:$F$1,0),0)</f>
        <v>Sonata Software</v>
      </c>
      <c r="I737" s="2" t="str">
        <f>VLOOKUP($D737,'Customer Details'!$A$1:$F$17,4,0)</f>
        <v>Olympia</v>
      </c>
      <c r="J737" s="2" t="str">
        <f>VLOOKUP($D737,'Customer Details'!$A$1:$F$17,6,0)</f>
        <v>98502</v>
      </c>
      <c r="K737" s="8" t="str">
        <f>VLOOKUP(VLOOKUP(D737,'Customer Details'!$A$1:$F$17,5,0),'Region INfo'!$A$1:$C$52,3,0)</f>
        <v xml:space="preserve">Pacific   </v>
      </c>
      <c r="L737" s="8" t="str">
        <f>INDEX(Product_List,MATCH($F737,'Product List'!$B$1:$B$299,0),MATCH('Order SUmmary'!L$2,'Product List'!$A$1:$E$1,0))</f>
        <v>Xerox 1896</v>
      </c>
      <c r="M737" s="8">
        <f>INDEX(Product_List,MATCH($F737,'Product List'!$B$1:$B$299,0),MATCH('Order SUmmary'!M$2,'Product List'!$A$1:$E$1,0))</f>
        <v>4239</v>
      </c>
      <c r="N737" s="8">
        <f>INDEX(Product_List,MATCH($F737,'Product List'!$B$1:$B$299,0),MATCH('Order SUmmary'!N$2,'Product List'!$A$1:$E$1,0))</f>
        <v>2267</v>
      </c>
      <c r="O737" s="8" t="str">
        <f>INDEX(Product_List,MATCH($F737,'Product List'!$B$1:$B$299,0),MATCH('Order SUmmary'!O$2,'Product List'!$A$1:$E$1,0))</f>
        <v>Paper</v>
      </c>
      <c r="P737" s="12">
        <f>HLOOKUP(C737,'Commission Criteria'!$A$2:$I$4,3,FALSE)</f>
        <v>4</v>
      </c>
      <c r="Q737" s="8">
        <f t="shared" si="34"/>
        <v>2267</v>
      </c>
      <c r="R737" s="8">
        <f t="shared" si="35"/>
        <v>4239</v>
      </c>
      <c r="S737" s="36">
        <f>VLOOKUP(R737,'Commission Criteria'!$L$3:$M$11,2,TRUE)</f>
        <v>0.01</v>
      </c>
      <c r="T737" s="36">
        <f>IF(P737&lt;5,VLOOKUP(R737,'Commission Criteria'!$L$3:$M$11,2,1),VLOOKUP('Order SUmmary'!R737,'Commission Criteria'!$P$3:$Q$11,2,1))</f>
        <v>0.01</v>
      </c>
      <c r="U737" s="36">
        <f>VLOOKUP(R737,IF(P737&lt;5,'Commission Criteria'!$L$3:$M$11,'Commission Criteria'!$P$3:$Q$11),2,1)</f>
        <v>0.01</v>
      </c>
      <c r="V737" s="8" t="s">
        <v>32</v>
      </c>
      <c r="W737" s="36">
        <f t="shared" ca="1" si="36"/>
        <v>0.05</v>
      </c>
      <c r="X737" s="8" t="str">
        <f>_xlfn.XLOOKUP(F737,'Product List'!$B$1:$B$299,'Product List'!$A$1:$A$299)</f>
        <v>Xerox 1896</v>
      </c>
      <c r="Y737" s="8"/>
      <c r="Z737" s="8" t="str" cm="1">
        <f t="array" ref="Z737:AD737">_xlfn.XLOOKUP(D737,'Customer Details'!$A$1:$A$17,'Customer Details'!$B$1:$F$17,"No such customer",0,1)</f>
        <v>Sonata Software</v>
      </c>
      <c r="AA737" s="8" t="str">
        <v>1331 Kimberly Dr.</v>
      </c>
      <c r="AB737" s="8" t="str">
        <v>Olympia</v>
      </c>
      <c r="AC737" s="8" t="str">
        <v>WA</v>
      </c>
      <c r="AD737" s="8" t="str">
        <v>98502</v>
      </c>
    </row>
    <row r="738" spans="1:30">
      <c r="A738" s="8" t="s">
        <v>804</v>
      </c>
      <c r="B738" s="19">
        <v>41964</v>
      </c>
      <c r="C738" s="8" t="s">
        <v>36</v>
      </c>
      <c r="D738" s="8">
        <v>10008</v>
      </c>
      <c r="E738" s="8" t="str">
        <f>VLOOKUP($D738,'Customer Details'!$A$1:$F$17,4,FALSE)</f>
        <v>Chestnut Ridge</v>
      </c>
      <c r="F738" s="8" t="s">
        <v>122</v>
      </c>
      <c r="G738" s="8">
        <v>1</v>
      </c>
      <c r="H738" s="2" t="str">
        <f>VLOOKUP($D738,'Customer Details'!$A$1:$F$17,MATCH('Order SUmmary'!H$2,'Customer Details'!$A$1:$F$1,0),0)</f>
        <v>Reliance Industries Limited</v>
      </c>
      <c r="I738" s="2" t="str">
        <f>VLOOKUP($D738,'Customer Details'!$A$1:$F$17,4,0)</f>
        <v>Chestnut Ridge</v>
      </c>
      <c r="J738" s="2" t="str">
        <f>VLOOKUP($D738,'Customer Details'!$A$1:$F$17,6,0)</f>
        <v>10977</v>
      </c>
      <c r="K738" s="8" t="str">
        <f>VLOOKUP(VLOOKUP(D738,'Customer Details'!$A$1:$F$17,5,0),'Region INfo'!$A$1:$C$52,3,0)</f>
        <v xml:space="preserve">Northern </v>
      </c>
      <c r="L738" s="8" t="str">
        <f>INDEX(Product_List,MATCH($F738,'Product List'!$B$1:$B$299,0),MATCH('Order SUmmary'!L$2,'Product List'!$A$1:$E$1,0))</f>
        <v>Avery 510</v>
      </c>
      <c r="M738" s="8">
        <f>INDEX(Product_List,MATCH($F738,'Product List'!$B$1:$B$299,0),MATCH('Order SUmmary'!M$2,'Product List'!$A$1:$E$1,0))</f>
        <v>4788</v>
      </c>
      <c r="N738" s="8">
        <f>INDEX(Product_List,MATCH($F738,'Product List'!$B$1:$B$299,0),MATCH('Order SUmmary'!N$2,'Product List'!$A$1:$E$1,0))</f>
        <v>2063</v>
      </c>
      <c r="O738" s="8" t="str">
        <f>INDEX(Product_List,MATCH($F738,'Product List'!$B$1:$B$299,0),MATCH('Order SUmmary'!O$2,'Product List'!$A$1:$E$1,0))</f>
        <v>Labels</v>
      </c>
      <c r="P738" s="12">
        <f>HLOOKUP(C738,'Commission Criteria'!$A$2:$I$4,3,FALSE)</f>
        <v>6</v>
      </c>
      <c r="Q738" s="8">
        <f t="shared" si="34"/>
        <v>2063</v>
      </c>
      <c r="R738" s="8">
        <f t="shared" si="35"/>
        <v>4788</v>
      </c>
      <c r="S738" s="36">
        <f>VLOOKUP(R738,'Commission Criteria'!$L$3:$M$11,2,TRUE)</f>
        <v>0.01</v>
      </c>
      <c r="T738" s="36">
        <f>IF(P738&lt;5,VLOOKUP(R738,'Commission Criteria'!$L$3:$M$11,2,1),VLOOKUP('Order SUmmary'!R738,'Commission Criteria'!$P$3:$Q$11,2,1))</f>
        <v>0.02</v>
      </c>
      <c r="U738" s="36">
        <f>VLOOKUP(R738,IF(P738&lt;5,'Commission Criteria'!$L$3:$M$11,'Commission Criteria'!$P$3:$Q$11),2,1)</f>
        <v>0.02</v>
      </c>
      <c r="V738" s="8" t="s">
        <v>40</v>
      </c>
      <c r="W738" s="36">
        <f t="shared" ca="1" si="36"/>
        <v>0.01</v>
      </c>
      <c r="X738" s="8" t="str">
        <f>_xlfn.XLOOKUP(F738,'Product List'!$B$1:$B$299,'Product List'!$A$1:$A$299)</f>
        <v>Avery 510</v>
      </c>
      <c r="Y738" s="8"/>
      <c r="Z738" s="8" t="str" cm="1">
        <f t="array" ref="Z738:AD738">_xlfn.XLOOKUP(D738,'Customer Details'!$A$1:$A$17,'Customer Details'!$B$1:$F$17,"No such customer",0,1)</f>
        <v>Reliance Industries Limited</v>
      </c>
      <c r="AA738" s="8" t="str">
        <v>12020 Shamrock Rd., Suite 333</v>
      </c>
      <c r="AB738" s="8" t="str">
        <v>Chestnut Ridge</v>
      </c>
      <c r="AC738" s="8" t="str">
        <v>NY</v>
      </c>
      <c r="AD738" s="8" t="str">
        <v>10977</v>
      </c>
    </row>
    <row r="739" spans="1:30">
      <c r="A739" s="8" t="s">
        <v>805</v>
      </c>
      <c r="B739" s="19">
        <v>41965</v>
      </c>
      <c r="C739" s="8" t="s">
        <v>46</v>
      </c>
      <c r="D739" s="8">
        <v>10008</v>
      </c>
      <c r="E739" s="8" t="str">
        <f>VLOOKUP($D739,'Customer Details'!$A$1:$F$17,4,FALSE)</f>
        <v>Chestnut Ridge</v>
      </c>
      <c r="F739" s="8" t="s">
        <v>367</v>
      </c>
      <c r="G739" s="8">
        <v>1</v>
      </c>
      <c r="H739" s="2" t="str">
        <f>VLOOKUP($D739,'Customer Details'!$A$1:$F$17,MATCH('Order SUmmary'!H$2,'Customer Details'!$A$1:$F$1,0),0)</f>
        <v>Reliance Industries Limited</v>
      </c>
      <c r="I739" s="2" t="str">
        <f>VLOOKUP($D739,'Customer Details'!$A$1:$F$17,4,0)</f>
        <v>Chestnut Ridge</v>
      </c>
      <c r="J739" s="2" t="str">
        <f>VLOOKUP($D739,'Customer Details'!$A$1:$F$17,6,0)</f>
        <v>10977</v>
      </c>
      <c r="K739" s="8" t="str">
        <f>VLOOKUP(VLOOKUP(D739,'Customer Details'!$A$1:$F$17,5,0),'Region INfo'!$A$1:$C$52,3,0)</f>
        <v xml:space="preserve">Northern </v>
      </c>
      <c r="L739" s="8" t="str">
        <f>INDEX(Product_List,MATCH($F739,'Product List'!$B$1:$B$299,0),MATCH('Order SUmmary'!L$2,'Product List'!$A$1:$E$1,0))</f>
        <v>Xerox 196</v>
      </c>
      <c r="M739" s="8">
        <f>INDEX(Product_List,MATCH($F739,'Product List'!$B$1:$B$299,0),MATCH('Order SUmmary'!M$2,'Product List'!$A$1:$E$1,0))</f>
        <v>3018</v>
      </c>
      <c r="N739" s="8">
        <f>INDEX(Product_List,MATCH($F739,'Product List'!$B$1:$B$299,0),MATCH('Order SUmmary'!N$2,'Product List'!$A$1:$E$1,0))</f>
        <v>1286</v>
      </c>
      <c r="O739" s="8" t="str">
        <f>INDEX(Product_List,MATCH($F739,'Product List'!$B$1:$B$299,0),MATCH('Order SUmmary'!O$2,'Product List'!$A$1:$E$1,0))</f>
        <v>Paper</v>
      </c>
      <c r="P739" s="12">
        <f>HLOOKUP(C739,'Commission Criteria'!$A$2:$I$4,3,FALSE)</f>
        <v>8</v>
      </c>
      <c r="Q739" s="8">
        <f t="shared" si="34"/>
        <v>1286</v>
      </c>
      <c r="R739" s="8">
        <f t="shared" si="35"/>
        <v>3018</v>
      </c>
      <c r="S739" s="36">
        <f>VLOOKUP(R739,'Commission Criteria'!$L$3:$M$11,2,TRUE)</f>
        <v>0.01</v>
      </c>
      <c r="T739" s="36">
        <f>IF(P739&lt;5,VLOOKUP(R739,'Commission Criteria'!$L$3:$M$11,2,1),VLOOKUP('Order SUmmary'!R739,'Commission Criteria'!$P$3:$Q$11,2,1))</f>
        <v>0.02</v>
      </c>
      <c r="U739" s="36">
        <f>VLOOKUP(R739,IF(P739&lt;5,'Commission Criteria'!$L$3:$M$11,'Commission Criteria'!$P$3:$Q$11),2,1)</f>
        <v>0.02</v>
      </c>
      <c r="V739" s="8" t="s">
        <v>43</v>
      </c>
      <c r="W739" s="36">
        <f t="shared" ca="1" si="36"/>
        <v>0.03</v>
      </c>
      <c r="X739" s="8" t="str">
        <f>_xlfn.XLOOKUP(F739,'Product List'!$B$1:$B$299,'Product List'!$A$1:$A$299)</f>
        <v>Xerox 196</v>
      </c>
      <c r="Y739" s="8"/>
      <c r="Z739" s="8" t="str" cm="1">
        <f t="array" ref="Z739:AD739">_xlfn.XLOOKUP(D739,'Customer Details'!$A$1:$A$17,'Customer Details'!$B$1:$F$17,"No such customer",0,1)</f>
        <v>Reliance Industries Limited</v>
      </c>
      <c r="AA739" s="8" t="str">
        <v>12020 Shamrock Rd., Suite 333</v>
      </c>
      <c r="AB739" s="8" t="str">
        <v>Chestnut Ridge</v>
      </c>
      <c r="AC739" s="8" t="str">
        <v>NY</v>
      </c>
      <c r="AD739" s="8" t="str">
        <v>10977</v>
      </c>
    </row>
    <row r="740" spans="1:30">
      <c r="A740" s="8" t="s">
        <v>806</v>
      </c>
      <c r="B740" s="19">
        <v>41966</v>
      </c>
      <c r="C740" s="8" t="s">
        <v>66</v>
      </c>
      <c r="D740" s="8">
        <v>10014</v>
      </c>
      <c r="E740" s="8" t="str">
        <f>VLOOKUP($D740,'Customer Details'!$A$1:$F$17,4,FALSE)</f>
        <v>Honolulu</v>
      </c>
      <c r="F740" s="8" t="s">
        <v>114</v>
      </c>
      <c r="G740" s="8">
        <v>1</v>
      </c>
      <c r="H740" s="2" t="str">
        <f>VLOOKUP($D740,'Customer Details'!$A$1:$F$17,MATCH('Order SUmmary'!H$2,'Customer Details'!$A$1:$F$1,0),0)</f>
        <v>Hindusthan National Glass &amp; Industries Ltd.</v>
      </c>
      <c r="I740" s="2" t="str">
        <f>VLOOKUP($D740,'Customer Details'!$A$1:$F$17,4,0)</f>
        <v>Honolulu</v>
      </c>
      <c r="J740" s="2" t="str">
        <f>VLOOKUP($D740,'Customer Details'!$A$1:$F$17,6,0)</f>
        <v>96825</v>
      </c>
      <c r="K740" s="8" t="str">
        <f>VLOOKUP(VLOOKUP(D740,'Customer Details'!$A$1:$F$17,5,0),'Region INfo'!$A$1:$C$52,3,0)</f>
        <v xml:space="preserve">Pacific   </v>
      </c>
      <c r="L740" s="8" t="str">
        <f>INDEX(Product_List,MATCH($F740,'Product List'!$B$1:$B$299,0),MATCH('Order SUmmary'!L$2,'Product List'!$A$1:$E$1,0))</f>
        <v>Xerox 1910</v>
      </c>
      <c r="M740" s="8">
        <f>INDEX(Product_List,MATCH($F740,'Product List'!$B$1:$B$299,0),MATCH('Order SUmmary'!M$2,'Product List'!$A$1:$E$1,0))</f>
        <v>2588</v>
      </c>
      <c r="N740" s="8">
        <f>INDEX(Product_List,MATCH($F740,'Product List'!$B$1:$B$299,0),MATCH('Order SUmmary'!N$2,'Product List'!$A$1:$E$1,0))</f>
        <v>2069</v>
      </c>
      <c r="O740" s="8" t="str">
        <f>INDEX(Product_List,MATCH($F740,'Product List'!$B$1:$B$299,0),MATCH('Order SUmmary'!O$2,'Product List'!$A$1:$E$1,0))</f>
        <v>Paper</v>
      </c>
      <c r="P740" s="12">
        <f>HLOOKUP(C740,'Commission Criteria'!$A$2:$I$4,3,FALSE)</f>
        <v>5</v>
      </c>
      <c r="Q740" s="8">
        <f t="shared" si="34"/>
        <v>2069</v>
      </c>
      <c r="R740" s="8">
        <f t="shared" si="35"/>
        <v>2588</v>
      </c>
      <c r="S740" s="36">
        <f>VLOOKUP(R740,'Commission Criteria'!$L$3:$M$11,2,TRUE)</f>
        <v>0.01</v>
      </c>
      <c r="T740" s="36">
        <f>IF(P740&lt;5,VLOOKUP(R740,'Commission Criteria'!$L$3:$M$11,2,1),VLOOKUP('Order SUmmary'!R740,'Commission Criteria'!$P$3:$Q$11,2,1))</f>
        <v>0.02</v>
      </c>
      <c r="U740" s="36">
        <f>VLOOKUP(R740,IF(P740&lt;5,'Commission Criteria'!$L$3:$M$11,'Commission Criteria'!$P$3:$Q$11),2,1)</f>
        <v>0.02</v>
      </c>
      <c r="V740" s="8" t="s">
        <v>32</v>
      </c>
      <c r="W740" s="36">
        <f t="shared" ca="1" si="36"/>
        <v>0</v>
      </c>
      <c r="X740" s="8" t="str">
        <f>_xlfn.XLOOKUP(F740,'Product List'!$B$1:$B$299,'Product List'!$A$1:$A$299)</f>
        <v>Xerox 1910</v>
      </c>
      <c r="Y740" s="8"/>
      <c r="Z740" s="8" t="str" cm="1">
        <f t="array" ref="Z740:AD740">_xlfn.XLOOKUP(D740,'Customer Details'!$A$1:$A$17,'Customer Details'!$B$1:$F$17,"No such customer",0,1)</f>
        <v>Hindusthan National Glass &amp; Industries Ltd.</v>
      </c>
      <c r="AA740" s="8" t="str">
        <v>11 Cathy St.</v>
      </c>
      <c r="AB740" s="8" t="str">
        <v>Honolulu</v>
      </c>
      <c r="AC740" s="8" t="str">
        <v>HI</v>
      </c>
      <c r="AD740" s="8" t="str">
        <v>96825</v>
      </c>
    </row>
    <row r="741" spans="1:30">
      <c r="A741" s="8" t="s">
        <v>807</v>
      </c>
      <c r="B741" s="19">
        <v>41967</v>
      </c>
      <c r="C741" s="8" t="s">
        <v>54</v>
      </c>
      <c r="D741" s="8">
        <v>10009</v>
      </c>
      <c r="E741" s="8" t="str">
        <f>VLOOKUP($D741,'Customer Details'!$A$1:$F$17,4,FALSE)</f>
        <v>Salt Lake City</v>
      </c>
      <c r="F741" s="8" t="s">
        <v>232</v>
      </c>
      <c r="G741" s="8">
        <v>3</v>
      </c>
      <c r="H741" s="2" t="str">
        <f>VLOOKUP($D741,'Customer Details'!$A$1:$F$17,MATCH('Order SUmmary'!H$2,'Customer Details'!$A$1:$F$1,0),0)</f>
        <v>Godfrey Philips India Ltd.</v>
      </c>
      <c r="I741" s="2" t="str">
        <f>VLOOKUP($D741,'Customer Details'!$A$1:$F$17,4,0)</f>
        <v>Salt Lake City</v>
      </c>
      <c r="J741" s="2" t="str">
        <f>VLOOKUP($D741,'Customer Details'!$A$1:$F$17,6,0)</f>
        <v>84118</v>
      </c>
      <c r="K741" s="8" t="str">
        <f>VLOOKUP(VLOOKUP(D741,'Customer Details'!$A$1:$F$17,5,0),'Region INfo'!$A$1:$C$52,3,0)</f>
        <v xml:space="preserve">Pacific   </v>
      </c>
      <c r="L741" s="8" t="str">
        <f>INDEX(Product_List,MATCH($F741,'Product List'!$B$1:$B$299,0),MATCH('Order SUmmary'!L$2,'Product List'!$A$1:$E$1,0))</f>
        <v>Xerox 1914</v>
      </c>
      <c r="M741" s="8">
        <f>INDEX(Product_List,MATCH($F741,'Product List'!$B$1:$B$299,0),MATCH('Order SUmmary'!M$2,'Product List'!$A$1:$E$1,0))</f>
        <v>3508</v>
      </c>
      <c r="N741" s="8">
        <f>INDEX(Product_List,MATCH($F741,'Product List'!$B$1:$B$299,0),MATCH('Order SUmmary'!N$2,'Product List'!$A$1:$E$1,0))</f>
        <v>1212</v>
      </c>
      <c r="O741" s="8" t="str">
        <f>INDEX(Product_List,MATCH($F741,'Product List'!$B$1:$B$299,0),MATCH('Order SUmmary'!O$2,'Product List'!$A$1:$E$1,0))</f>
        <v>Paper</v>
      </c>
      <c r="P741" s="12">
        <f>HLOOKUP(C741,'Commission Criteria'!$A$2:$I$4,3,FALSE)</f>
        <v>3</v>
      </c>
      <c r="Q741" s="8">
        <f t="shared" si="34"/>
        <v>3636</v>
      </c>
      <c r="R741" s="8">
        <f t="shared" si="35"/>
        <v>10524</v>
      </c>
      <c r="S741" s="36">
        <f>VLOOKUP(R741,'Commission Criteria'!$L$3:$M$11,2,TRUE)</f>
        <v>0.03</v>
      </c>
      <c r="T741" s="36">
        <f>IF(P741&lt;5,VLOOKUP(R741,'Commission Criteria'!$L$3:$M$11,2,1),VLOOKUP('Order SUmmary'!R741,'Commission Criteria'!$P$3:$Q$11,2,1))</f>
        <v>0.03</v>
      </c>
      <c r="U741" s="36">
        <f>VLOOKUP(R741,IF(P741&lt;5,'Commission Criteria'!$L$3:$M$11,'Commission Criteria'!$P$3:$Q$11),2,1)</f>
        <v>0.03</v>
      </c>
      <c r="V741" s="8" t="s">
        <v>32</v>
      </c>
      <c r="W741" s="36">
        <f t="shared" ca="1" si="36"/>
        <v>0</v>
      </c>
      <c r="X741" s="8" t="str">
        <f>_xlfn.XLOOKUP(F741,'Product List'!$B$1:$B$299,'Product List'!$A$1:$A$299)</f>
        <v>Xerox 1914</v>
      </c>
      <c r="Y741" s="8"/>
      <c r="Z741" s="8" t="str" cm="1">
        <f t="array" ref="Z741:AD741">_xlfn.XLOOKUP(D741,'Customer Details'!$A$1:$A$17,'Customer Details'!$B$1:$F$17,"No such customer",0,1)</f>
        <v>Godfrey Philips India Ltd.</v>
      </c>
      <c r="AA741" s="8" t="str">
        <v>20501 Ania Ave #2</v>
      </c>
      <c r="AB741" s="8" t="str">
        <v>Salt Lake City</v>
      </c>
      <c r="AC741" s="8" t="str">
        <v>UT</v>
      </c>
      <c r="AD741" s="8" t="str">
        <v>84118</v>
      </c>
    </row>
    <row r="742" spans="1:30">
      <c r="A742" s="8" t="s">
        <v>808</v>
      </c>
      <c r="B742" s="19">
        <v>41971</v>
      </c>
      <c r="C742" s="8" t="s">
        <v>33</v>
      </c>
      <c r="D742" s="8">
        <v>10004</v>
      </c>
      <c r="E742" s="8" t="str">
        <f>VLOOKUP($D742,'Customer Details'!$A$1:$F$17,4,FALSE)</f>
        <v>New York</v>
      </c>
      <c r="F742" s="8" t="s">
        <v>502</v>
      </c>
      <c r="G742" s="8">
        <v>1</v>
      </c>
      <c r="H742" s="2" t="str">
        <f>VLOOKUP($D742,'Customer Details'!$A$1:$F$17,MATCH('Order SUmmary'!H$2,'Customer Details'!$A$1:$F$1,0),0)</f>
        <v>Lupin Ltd.</v>
      </c>
      <c r="I742" s="2" t="str">
        <f>VLOOKUP($D742,'Customer Details'!$A$1:$F$17,4,0)</f>
        <v>New York</v>
      </c>
      <c r="J742" s="2" t="str">
        <f>VLOOKUP($D742,'Customer Details'!$A$1:$F$17,6,0)</f>
        <v>10019</v>
      </c>
      <c r="K742" s="8" t="str">
        <f>VLOOKUP(VLOOKUP(D742,'Customer Details'!$A$1:$F$17,5,0),'Region INfo'!$A$1:$C$52,3,0)</f>
        <v xml:space="preserve">Northern </v>
      </c>
      <c r="L742" s="8" t="str">
        <f>INDEX(Product_List,MATCH($F742,'Product List'!$B$1:$B$299,0),MATCH('Order SUmmary'!L$2,'Product List'!$A$1:$E$1,0))</f>
        <v>Xerox 1896</v>
      </c>
      <c r="M742" s="8">
        <f>INDEX(Product_List,MATCH($F742,'Product List'!$B$1:$B$299,0),MATCH('Order SUmmary'!M$2,'Product List'!$A$1:$E$1,0))</f>
        <v>4239</v>
      </c>
      <c r="N742" s="8">
        <f>INDEX(Product_List,MATCH($F742,'Product List'!$B$1:$B$299,0),MATCH('Order SUmmary'!N$2,'Product List'!$A$1:$E$1,0))</f>
        <v>2267</v>
      </c>
      <c r="O742" s="8" t="str">
        <f>INDEX(Product_List,MATCH($F742,'Product List'!$B$1:$B$299,0),MATCH('Order SUmmary'!O$2,'Product List'!$A$1:$E$1,0))</f>
        <v>Paper</v>
      </c>
      <c r="P742" s="12">
        <f>HLOOKUP(C742,'Commission Criteria'!$A$2:$I$4,3,FALSE)</f>
        <v>1</v>
      </c>
      <c r="Q742" s="8">
        <f t="shared" si="34"/>
        <v>2267</v>
      </c>
      <c r="R742" s="8">
        <f t="shared" si="35"/>
        <v>4239</v>
      </c>
      <c r="S742" s="36">
        <f>VLOOKUP(R742,'Commission Criteria'!$L$3:$M$11,2,TRUE)</f>
        <v>0.01</v>
      </c>
      <c r="T742" s="36">
        <f>IF(P742&lt;5,VLOOKUP(R742,'Commission Criteria'!$L$3:$M$11,2,1),VLOOKUP('Order SUmmary'!R742,'Commission Criteria'!$P$3:$Q$11,2,1))</f>
        <v>0.01</v>
      </c>
      <c r="U742" s="36">
        <f>VLOOKUP(R742,IF(P742&lt;5,'Commission Criteria'!$L$3:$M$11,'Commission Criteria'!$P$3:$Q$11),2,1)</f>
        <v>0.01</v>
      </c>
      <c r="V742" s="8" t="s">
        <v>43</v>
      </c>
      <c r="W742" s="36">
        <f t="shared" ca="1" si="36"/>
        <v>0.05</v>
      </c>
      <c r="X742" s="8" t="str">
        <f>_xlfn.XLOOKUP(F742,'Product List'!$B$1:$B$299,'Product List'!$A$1:$A$299)</f>
        <v>Xerox 1896</v>
      </c>
      <c r="Y742" s="8"/>
      <c r="Z742" s="8" t="str" cm="1">
        <f t="array" ref="Z742:AD742">_xlfn.XLOOKUP(D742,'Customer Details'!$A$1:$A$17,'Customer Details'!$B$1:$F$17,"No such customer",0,1)</f>
        <v>Lupin Ltd.</v>
      </c>
      <c r="AA742" s="8" t="str">
        <v>Abbey Wood</v>
      </c>
      <c r="AB742" s="8" t="str">
        <v>New York</v>
      </c>
      <c r="AC742" s="8" t="str">
        <v>NY</v>
      </c>
      <c r="AD742" s="8" t="str">
        <v>10019</v>
      </c>
    </row>
    <row r="743" spans="1:30">
      <c r="A743" s="8" t="s">
        <v>809</v>
      </c>
      <c r="B743" s="19">
        <v>41972</v>
      </c>
      <c r="C743" s="8" t="s">
        <v>27</v>
      </c>
      <c r="D743" s="8">
        <v>10003</v>
      </c>
      <c r="E743" s="8" t="str">
        <f>VLOOKUP($D743,'Customer Details'!$A$1:$F$17,4,FALSE)</f>
        <v>Miami</v>
      </c>
      <c r="F743" s="8" t="s">
        <v>269</v>
      </c>
      <c r="G743" s="8">
        <v>1</v>
      </c>
      <c r="H743" s="2" t="str">
        <f>VLOOKUP($D743,'Customer Details'!$A$1:$F$17,MATCH('Order SUmmary'!H$2,'Customer Details'!$A$1:$F$1,0),0)</f>
        <v>Honeywell Automation</v>
      </c>
      <c r="I743" s="2" t="str">
        <f>VLOOKUP($D743,'Customer Details'!$A$1:$F$17,4,0)</f>
        <v>Miami</v>
      </c>
      <c r="J743" s="2" t="str">
        <f>VLOOKUP($D743,'Customer Details'!$A$1:$F$17,6,0)</f>
        <v>33732</v>
      </c>
      <c r="K743" s="8" t="str">
        <f>VLOOKUP(VLOOKUP(D743,'Customer Details'!$A$1:$F$17,5,0),'Region INfo'!$A$1:$C$52,3,0)</f>
        <v>Southern</v>
      </c>
      <c r="L743" s="8" t="str">
        <f>INDEX(Product_List,MATCH($F743,'Product List'!$B$1:$B$299,0),MATCH('Order SUmmary'!L$2,'Product List'!$A$1:$E$1,0))</f>
        <v>Xerox 1975</v>
      </c>
      <c r="M743" s="8">
        <f>INDEX(Product_List,MATCH($F743,'Product List'!$B$1:$B$299,0),MATCH('Order SUmmary'!M$2,'Product List'!$A$1:$E$1,0))</f>
        <v>4484</v>
      </c>
      <c r="N743" s="8">
        <f>INDEX(Product_List,MATCH($F743,'Product List'!$B$1:$B$299,0),MATCH('Order SUmmary'!N$2,'Product List'!$A$1:$E$1,0))</f>
        <v>2146</v>
      </c>
      <c r="O743" s="8" t="str">
        <f>INDEX(Product_List,MATCH($F743,'Product List'!$B$1:$B$299,0),MATCH('Order SUmmary'!O$2,'Product List'!$A$1:$E$1,0))</f>
        <v>Paper</v>
      </c>
      <c r="P743" s="12">
        <f>HLOOKUP(C743,'Commission Criteria'!$A$2:$I$4,3,FALSE)</f>
        <v>4</v>
      </c>
      <c r="Q743" s="8">
        <f t="shared" si="34"/>
        <v>2146</v>
      </c>
      <c r="R743" s="8">
        <f t="shared" si="35"/>
        <v>4484</v>
      </c>
      <c r="S743" s="36">
        <f>VLOOKUP(R743,'Commission Criteria'!$L$3:$M$11,2,TRUE)</f>
        <v>0.01</v>
      </c>
      <c r="T743" s="36">
        <f>IF(P743&lt;5,VLOOKUP(R743,'Commission Criteria'!$L$3:$M$11,2,1),VLOOKUP('Order SUmmary'!R743,'Commission Criteria'!$P$3:$Q$11,2,1))</f>
        <v>0.01</v>
      </c>
      <c r="U743" s="36">
        <f>VLOOKUP(R743,IF(P743&lt;5,'Commission Criteria'!$L$3:$M$11,'Commission Criteria'!$P$3:$Q$11),2,1)</f>
        <v>0.01</v>
      </c>
      <c r="V743" s="8" t="s">
        <v>29</v>
      </c>
      <c r="W743" s="36">
        <f t="shared" ca="1" si="36"/>
        <v>0.04</v>
      </c>
      <c r="X743" s="8" t="str">
        <f>_xlfn.XLOOKUP(F743,'Product List'!$B$1:$B$299,'Product List'!$A$1:$A$299)</f>
        <v>Xerox 1975</v>
      </c>
      <c r="Y743" s="8"/>
      <c r="Z743" s="8" t="str" cm="1">
        <f t="array" ref="Z743:AD743">_xlfn.XLOOKUP(D743,'Customer Details'!$A$1:$A$17,'Customer Details'!$B$1:$F$17,"No such customer",0,1)</f>
        <v>Honeywell Automation</v>
      </c>
      <c r="AA743" s="8" t="str">
        <v>1272 Harbor Road</v>
      </c>
      <c r="AB743" s="8" t="str">
        <v>Miami</v>
      </c>
      <c r="AC743" s="8" t="str">
        <v>FL</v>
      </c>
      <c r="AD743" s="8" t="str">
        <v>33732</v>
      </c>
    </row>
    <row r="744" spans="1:30">
      <c r="A744" s="8" t="s">
        <v>809</v>
      </c>
      <c r="B744" s="19">
        <v>41972</v>
      </c>
      <c r="C744" s="8" t="s">
        <v>27</v>
      </c>
      <c r="D744" s="8">
        <v>10013</v>
      </c>
      <c r="E744" s="8" t="str">
        <f>VLOOKUP($D744,'Customer Details'!$A$1:$F$17,4,FALSE)</f>
        <v>Naugatuck</v>
      </c>
      <c r="F744" s="8" t="s">
        <v>810</v>
      </c>
      <c r="G744" s="8">
        <v>3</v>
      </c>
      <c r="H744" s="2" t="str">
        <f>VLOOKUP($D744,'Customer Details'!$A$1:$F$17,MATCH('Order SUmmary'!H$2,'Customer Details'!$A$1:$F$1,0),0)</f>
        <v>GMR Infrastructure Ltd.</v>
      </c>
      <c r="I744" s="2" t="str">
        <f>VLOOKUP($D744,'Customer Details'!$A$1:$F$17,4,0)</f>
        <v>Naugatuck</v>
      </c>
      <c r="J744" s="2" t="str">
        <f>VLOOKUP($D744,'Customer Details'!$A$1:$F$17,6,0)</f>
        <v>06770</v>
      </c>
      <c r="K744" s="8" t="str">
        <f>VLOOKUP(VLOOKUP(D744,'Customer Details'!$A$1:$F$17,5,0),'Region INfo'!$A$1:$C$52,3,0)</f>
        <v xml:space="preserve">Northern </v>
      </c>
      <c r="L744" s="8" t="str">
        <f>INDEX(Product_List,MATCH($F744,'Product List'!$B$1:$B$299,0),MATCH('Order SUmmary'!L$2,'Product List'!$A$1:$E$1,0))</f>
        <v>Newell 345</v>
      </c>
      <c r="M744" s="8">
        <f>INDEX(Product_List,MATCH($F744,'Product List'!$B$1:$B$299,0),MATCH('Order SUmmary'!M$2,'Product List'!$A$1:$E$1,0))</f>
        <v>4606</v>
      </c>
      <c r="N744" s="8">
        <f>INDEX(Product_List,MATCH($F744,'Product List'!$B$1:$B$299,0),MATCH('Order SUmmary'!N$2,'Product List'!$A$1:$E$1,0))</f>
        <v>1568</v>
      </c>
      <c r="O744" s="8" t="str">
        <f>INDEX(Product_List,MATCH($F744,'Product List'!$B$1:$B$299,0),MATCH('Order SUmmary'!O$2,'Product List'!$A$1:$E$1,0))</f>
        <v>Art</v>
      </c>
      <c r="P744" s="12">
        <f>HLOOKUP(C744,'Commission Criteria'!$A$2:$I$4,3,FALSE)</f>
        <v>4</v>
      </c>
      <c r="Q744" s="8">
        <f t="shared" si="34"/>
        <v>4704</v>
      </c>
      <c r="R744" s="8">
        <f t="shared" si="35"/>
        <v>13818</v>
      </c>
      <c r="S744" s="36">
        <f>VLOOKUP(R744,'Commission Criteria'!$L$3:$M$11,2,TRUE)</f>
        <v>0.03</v>
      </c>
      <c r="T744" s="36">
        <f>IF(P744&lt;5,VLOOKUP(R744,'Commission Criteria'!$L$3:$M$11,2,1),VLOOKUP('Order SUmmary'!R744,'Commission Criteria'!$P$3:$Q$11,2,1))</f>
        <v>0.03</v>
      </c>
      <c r="U744" s="36">
        <f>VLOOKUP(R744,IF(P744&lt;5,'Commission Criteria'!$L$3:$M$11,'Commission Criteria'!$P$3:$Q$11),2,1)</f>
        <v>0.03</v>
      </c>
      <c r="V744" s="8" t="s">
        <v>35</v>
      </c>
      <c r="W744" s="36">
        <f t="shared" ca="1" si="36"/>
        <v>0.04</v>
      </c>
      <c r="X744" s="8" t="str">
        <f>_xlfn.XLOOKUP(F744,'Product List'!$B$1:$B$299,'Product List'!$A$1:$A$299)</f>
        <v>Newell 345</v>
      </c>
      <c r="Y744" s="8"/>
      <c r="Z744" s="8" t="str" cm="1">
        <f t="array" ref="Z744:AD744">_xlfn.XLOOKUP(D744,'Customer Details'!$A$1:$A$17,'Customer Details'!$B$1:$F$17,"No such customer",0,1)</f>
        <v>GMR Infrastructure Ltd.</v>
      </c>
      <c r="AA744" s="8" t="str">
        <v>P.O. Box 4421</v>
      </c>
      <c r="AB744" s="8" t="str">
        <v>Naugatuck</v>
      </c>
      <c r="AC744" s="8" t="str">
        <v>CT</v>
      </c>
      <c r="AD744" s="8" t="str">
        <v>06770</v>
      </c>
    </row>
    <row r="745" spans="1:30">
      <c r="A745" s="8" t="s">
        <v>811</v>
      </c>
      <c r="B745" s="19">
        <v>41974</v>
      </c>
      <c r="C745" s="8" t="s">
        <v>27</v>
      </c>
      <c r="D745" s="8">
        <v>10010</v>
      </c>
      <c r="E745" s="8" t="str">
        <f>VLOOKUP($D745,'Customer Details'!$A$1:$F$17,4,FALSE)</f>
        <v>Tracy</v>
      </c>
      <c r="F745" s="8" t="s">
        <v>743</v>
      </c>
      <c r="G745" s="8">
        <v>1</v>
      </c>
      <c r="H745" s="2" t="str">
        <f>VLOOKUP($D745,'Customer Details'!$A$1:$F$17,MATCH('Order SUmmary'!H$2,'Customer Details'!$A$1:$F$1,0),0)</f>
        <v>Suzlon Energy Ltd.</v>
      </c>
      <c r="I745" s="2" t="str">
        <f>VLOOKUP($D745,'Customer Details'!$A$1:$F$17,4,0)</f>
        <v>Tracy</v>
      </c>
      <c r="J745" s="2" t="str">
        <f>VLOOKUP($D745,'Customer Details'!$A$1:$F$17,6,0)</f>
        <v>95376</v>
      </c>
      <c r="K745" s="8" t="str">
        <f>VLOOKUP(VLOOKUP(D745,'Customer Details'!$A$1:$F$17,5,0),'Region INfo'!$A$1:$C$52,3,0)</f>
        <v xml:space="preserve">Pacific   </v>
      </c>
      <c r="L745" s="8" t="str">
        <f>INDEX(Product_List,MATCH($F745,'Product List'!$B$1:$B$299,0),MATCH('Order SUmmary'!L$2,'Product List'!$A$1:$E$1,0))</f>
        <v>Xerox 207</v>
      </c>
      <c r="M745" s="8">
        <f>INDEX(Product_List,MATCH($F745,'Product List'!$B$1:$B$299,0),MATCH('Order SUmmary'!M$2,'Product List'!$A$1:$E$1,0))</f>
        <v>4454</v>
      </c>
      <c r="N745" s="8">
        <f>INDEX(Product_List,MATCH($F745,'Product List'!$B$1:$B$299,0),MATCH('Order SUmmary'!N$2,'Product List'!$A$1:$E$1,0))</f>
        <v>1884</v>
      </c>
      <c r="O745" s="8" t="str">
        <f>INDEX(Product_List,MATCH($F745,'Product List'!$B$1:$B$299,0),MATCH('Order SUmmary'!O$2,'Product List'!$A$1:$E$1,0))</f>
        <v>Paper</v>
      </c>
      <c r="P745" s="12">
        <f>HLOOKUP(C745,'Commission Criteria'!$A$2:$I$4,3,FALSE)</f>
        <v>4</v>
      </c>
      <c r="Q745" s="8">
        <f t="shared" si="34"/>
        <v>1884</v>
      </c>
      <c r="R745" s="8">
        <f t="shared" si="35"/>
        <v>4454</v>
      </c>
      <c r="S745" s="36">
        <f>VLOOKUP(R745,'Commission Criteria'!$L$3:$M$11,2,TRUE)</f>
        <v>0.01</v>
      </c>
      <c r="T745" s="36">
        <f>IF(P745&lt;5,VLOOKUP(R745,'Commission Criteria'!$L$3:$M$11,2,1),VLOOKUP('Order SUmmary'!R745,'Commission Criteria'!$P$3:$Q$11,2,1))</f>
        <v>0.01</v>
      </c>
      <c r="U745" s="36">
        <f>VLOOKUP(R745,IF(P745&lt;5,'Commission Criteria'!$L$3:$M$11,'Commission Criteria'!$P$3:$Q$11),2,1)</f>
        <v>0.01</v>
      </c>
      <c r="V745" s="8" t="s">
        <v>29</v>
      </c>
      <c r="W745" s="36">
        <f t="shared" ca="1" si="36"/>
        <v>0.02</v>
      </c>
      <c r="X745" s="8" t="str">
        <f>_xlfn.XLOOKUP(F745,'Product List'!$B$1:$B$299,'Product List'!$A$1:$A$299)</f>
        <v>Xerox 207</v>
      </c>
      <c r="Y745" s="8"/>
      <c r="Z745" s="8" t="str" cm="1">
        <f t="array" ref="Z745:AD745">_xlfn.XLOOKUP(D745,'Customer Details'!$A$1:$A$17,'Customer Details'!$B$1:$F$17,"No such customer",0,1)</f>
        <v>Suzlon Energy Ltd.</v>
      </c>
      <c r="AA745" s="8" t="str">
        <v>501 Marsh Trail Circle</v>
      </c>
      <c r="AB745" s="8" t="str">
        <v>Tracy</v>
      </c>
      <c r="AC745" s="8" t="str">
        <v>CA</v>
      </c>
      <c r="AD745" s="8" t="str">
        <v>95376</v>
      </c>
    </row>
    <row r="746" spans="1:30">
      <c r="A746" s="8" t="s">
        <v>812</v>
      </c>
      <c r="B746" s="19">
        <v>41974</v>
      </c>
      <c r="C746" s="8" t="s">
        <v>27</v>
      </c>
      <c r="D746" s="8">
        <v>10001</v>
      </c>
      <c r="E746" s="8" t="str">
        <f>VLOOKUP($D746,'Customer Details'!$A$1:$F$17,4,FALSE)</f>
        <v>New York</v>
      </c>
      <c r="F746" s="8" t="s">
        <v>545</v>
      </c>
      <c r="G746" s="8">
        <v>3</v>
      </c>
      <c r="H746" s="2" t="str">
        <f>VLOOKUP($D746,'Customer Details'!$A$1:$F$17,MATCH('Order SUmmary'!H$2,'Customer Details'!$A$1:$F$1,0),0)</f>
        <v>Chambal Fertilisers and Chemicals Ltd.</v>
      </c>
      <c r="I746" s="2" t="str">
        <f>VLOOKUP($D746,'Customer Details'!$A$1:$F$17,4,0)</f>
        <v>New York</v>
      </c>
      <c r="J746" s="2" t="str">
        <f>VLOOKUP($D746,'Customer Details'!$A$1:$F$17,6,0)</f>
        <v>10025</v>
      </c>
      <c r="K746" s="8" t="str">
        <f>VLOOKUP(VLOOKUP(D746,'Customer Details'!$A$1:$F$17,5,0),'Region INfo'!$A$1:$C$52,3,0)</f>
        <v xml:space="preserve">Northern </v>
      </c>
      <c r="L746" s="8" t="str">
        <f>INDEX(Product_List,MATCH($F746,'Product List'!$B$1:$B$299,0),MATCH('Order SUmmary'!L$2,'Product List'!$A$1:$E$1,0))</f>
        <v>Xerox 227</v>
      </c>
      <c r="M746" s="8">
        <f>INDEX(Product_List,MATCH($F746,'Product List'!$B$1:$B$299,0),MATCH('Order SUmmary'!M$2,'Product List'!$A$1:$E$1,0))</f>
        <v>3827</v>
      </c>
      <c r="N746" s="8">
        <f>INDEX(Product_List,MATCH($F746,'Product List'!$B$1:$B$299,0),MATCH('Order SUmmary'!N$2,'Product List'!$A$1:$E$1,0))</f>
        <v>2424</v>
      </c>
      <c r="O746" s="8" t="str">
        <f>INDEX(Product_List,MATCH($F746,'Product List'!$B$1:$B$299,0),MATCH('Order SUmmary'!O$2,'Product List'!$A$1:$E$1,0))</f>
        <v>Paper</v>
      </c>
      <c r="P746" s="12">
        <f>HLOOKUP(C746,'Commission Criteria'!$A$2:$I$4,3,FALSE)</f>
        <v>4</v>
      </c>
      <c r="Q746" s="8">
        <f t="shared" si="34"/>
        <v>7272</v>
      </c>
      <c r="R746" s="8">
        <f t="shared" si="35"/>
        <v>11481</v>
      </c>
      <c r="S746" s="36">
        <f>VLOOKUP(R746,'Commission Criteria'!$L$3:$M$11,2,TRUE)</f>
        <v>0.03</v>
      </c>
      <c r="T746" s="36">
        <f>IF(P746&lt;5,VLOOKUP(R746,'Commission Criteria'!$L$3:$M$11,2,1),VLOOKUP('Order SUmmary'!R746,'Commission Criteria'!$P$3:$Q$11,2,1))</f>
        <v>0.03</v>
      </c>
      <c r="U746" s="36">
        <f>VLOOKUP(R746,IF(P746&lt;5,'Commission Criteria'!$L$3:$M$11,'Commission Criteria'!$P$3:$Q$11),2,1)</f>
        <v>0.03</v>
      </c>
      <c r="V746" s="8" t="s">
        <v>43</v>
      </c>
      <c r="W746" s="36">
        <f t="shared" ca="1" si="36"/>
        <v>0.04</v>
      </c>
      <c r="X746" s="8" t="str">
        <f>_xlfn.XLOOKUP(F746,'Product List'!$B$1:$B$299,'Product List'!$A$1:$A$299)</f>
        <v>Xerox 227</v>
      </c>
      <c r="Y746" s="8"/>
      <c r="Z746" s="8" t="str" cm="1">
        <f t="array" ref="Z746:AD746">_xlfn.XLOOKUP(D746,'Customer Details'!$A$1:$A$17,'Customer Details'!$B$1:$F$17,"No such customer",0,1)</f>
        <v>Chambal Fertilisers and Chemicals Ltd.</v>
      </c>
      <c r="AA746" s="8" t="str">
        <v>4951 Indiana Ave.</v>
      </c>
      <c r="AB746" s="8" t="str">
        <v>New York</v>
      </c>
      <c r="AC746" s="8" t="str">
        <v>NY</v>
      </c>
      <c r="AD746" s="8" t="str">
        <v>10025</v>
      </c>
    </row>
    <row r="747" spans="1:30">
      <c r="A747" s="8" t="s">
        <v>813</v>
      </c>
      <c r="B747" s="19">
        <v>41975</v>
      </c>
      <c r="C747" s="8" t="s">
        <v>33</v>
      </c>
      <c r="D747" s="8">
        <v>10002</v>
      </c>
      <c r="E747" s="8" t="str">
        <f>VLOOKUP($D747,'Customer Details'!$A$1:$F$17,4,FALSE)</f>
        <v>Omaha</v>
      </c>
      <c r="F747" s="8" t="s">
        <v>597</v>
      </c>
      <c r="G747" s="8">
        <v>3</v>
      </c>
      <c r="H747" s="2" t="str">
        <f>VLOOKUP($D747,'Customer Details'!$A$1:$F$17,MATCH('Order SUmmary'!H$2,'Customer Details'!$A$1:$F$1,0),0)</f>
        <v>Elder Pharmaceuticals</v>
      </c>
      <c r="I747" s="2" t="str">
        <f>VLOOKUP($D747,'Customer Details'!$A$1:$F$17,4,0)</f>
        <v>Omaha</v>
      </c>
      <c r="J747" s="2" t="str">
        <f>VLOOKUP($D747,'Customer Details'!$A$1:$F$17,6,0)</f>
        <v>68127</v>
      </c>
      <c r="K747" s="8" t="str">
        <f>VLOOKUP(VLOOKUP(D747,'Customer Details'!$A$1:$F$17,5,0),'Region INfo'!$A$1:$C$52,3,0)</f>
        <v>Western</v>
      </c>
      <c r="L747" s="8" t="str">
        <f>INDEX(Product_List,MATCH($F747,'Product List'!$B$1:$B$299,0),MATCH('Order SUmmary'!L$2,'Product List'!$A$1:$E$1,0))</f>
        <v>Xerox 1959</v>
      </c>
      <c r="M747" s="8">
        <f>INDEX(Product_List,MATCH($F747,'Product List'!$B$1:$B$299,0),MATCH('Order SUmmary'!M$2,'Product List'!$A$1:$E$1,0))</f>
        <v>4861</v>
      </c>
      <c r="N747" s="8">
        <f>INDEX(Product_List,MATCH($F747,'Product List'!$B$1:$B$299,0),MATCH('Order SUmmary'!N$2,'Product List'!$A$1:$E$1,0))</f>
        <v>1633</v>
      </c>
      <c r="O747" s="8" t="str">
        <f>INDEX(Product_List,MATCH($F747,'Product List'!$B$1:$B$299,0),MATCH('Order SUmmary'!O$2,'Product List'!$A$1:$E$1,0))</f>
        <v>Paper</v>
      </c>
      <c r="P747" s="12">
        <f>HLOOKUP(C747,'Commission Criteria'!$A$2:$I$4,3,FALSE)</f>
        <v>1</v>
      </c>
      <c r="Q747" s="8">
        <f t="shared" si="34"/>
        <v>4899</v>
      </c>
      <c r="R747" s="8">
        <f t="shared" si="35"/>
        <v>14583</v>
      </c>
      <c r="S747" s="36">
        <f>VLOOKUP(R747,'Commission Criteria'!$L$3:$M$11,2,TRUE)</f>
        <v>0.03</v>
      </c>
      <c r="T747" s="36">
        <f>IF(P747&lt;5,VLOOKUP(R747,'Commission Criteria'!$L$3:$M$11,2,1),VLOOKUP('Order SUmmary'!R747,'Commission Criteria'!$P$3:$Q$11,2,1))</f>
        <v>0.03</v>
      </c>
      <c r="U747" s="36">
        <f>VLOOKUP(R747,IF(P747&lt;5,'Commission Criteria'!$L$3:$M$11,'Commission Criteria'!$P$3:$Q$11),2,1)</f>
        <v>0.03</v>
      </c>
      <c r="V747" s="8" t="s">
        <v>43</v>
      </c>
      <c r="W747" s="36">
        <f t="shared" ca="1" si="36"/>
        <v>0.01</v>
      </c>
      <c r="X747" s="8" t="str">
        <f>_xlfn.XLOOKUP(F747,'Product List'!$B$1:$B$299,'Product List'!$A$1:$A$299)</f>
        <v>Xerox 1959</v>
      </c>
      <c r="Y747" s="8"/>
      <c r="Z747" s="8" t="str" cm="1">
        <f t="array" ref="Z747:AD747">_xlfn.XLOOKUP(D747,'Customer Details'!$A$1:$A$17,'Customer Details'!$B$1:$F$17,"No such customer",0,1)</f>
        <v>Elder Pharmaceuticals</v>
      </c>
      <c r="AA747" s="8" t="str">
        <v>57 Neriba Cres</v>
      </c>
      <c r="AB747" s="8" t="str">
        <v>Omaha</v>
      </c>
      <c r="AC747" s="8" t="str">
        <v>NE</v>
      </c>
      <c r="AD747" s="8" t="str">
        <v>68127</v>
      </c>
    </row>
    <row r="748" spans="1:30">
      <c r="A748" s="8" t="s">
        <v>814</v>
      </c>
      <c r="B748" s="19">
        <v>41977</v>
      </c>
      <c r="C748" s="8" t="s">
        <v>44</v>
      </c>
      <c r="D748" s="8">
        <v>10006</v>
      </c>
      <c r="E748" s="8" t="str">
        <f>VLOOKUP($D748,'Customer Details'!$A$1:$F$17,4,FALSE)</f>
        <v>Midland</v>
      </c>
      <c r="F748" s="8" t="s">
        <v>622</v>
      </c>
      <c r="G748" s="8">
        <v>1</v>
      </c>
      <c r="H748" s="2" t="str">
        <f>VLOOKUP($D748,'Customer Details'!$A$1:$F$17,MATCH('Order SUmmary'!H$2,'Customer Details'!$A$1:$F$1,0),0)</f>
        <v>Supreme Ind</v>
      </c>
      <c r="I748" s="2" t="str">
        <f>VLOOKUP($D748,'Customer Details'!$A$1:$F$17,4,0)</f>
        <v>Midland</v>
      </c>
      <c r="J748" s="2" t="str">
        <f>VLOOKUP($D748,'Customer Details'!$A$1:$F$17,6,0)</f>
        <v>79706</v>
      </c>
      <c r="K748" s="8" t="str">
        <f>VLOOKUP(VLOOKUP(D748,'Customer Details'!$A$1:$F$17,5,0),'Region INfo'!$A$1:$C$52,3,0)</f>
        <v>Western</v>
      </c>
      <c r="L748" s="8" t="str">
        <f>INDEX(Product_List,MATCH($F748,'Product List'!$B$1:$B$299,0),MATCH('Order SUmmary'!L$2,'Product List'!$A$1:$E$1,0))</f>
        <v>Xerox 1995</v>
      </c>
      <c r="M748" s="8">
        <f>INDEX(Product_List,MATCH($F748,'Product List'!$B$1:$B$299,0),MATCH('Order SUmmary'!M$2,'Product List'!$A$1:$E$1,0))</f>
        <v>3454</v>
      </c>
      <c r="N748" s="8">
        <f>INDEX(Product_List,MATCH($F748,'Product List'!$B$1:$B$299,0),MATCH('Order SUmmary'!N$2,'Product List'!$A$1:$E$1,0))</f>
        <v>1525</v>
      </c>
      <c r="O748" s="8" t="str">
        <f>INDEX(Product_List,MATCH($F748,'Product List'!$B$1:$B$299,0),MATCH('Order SUmmary'!O$2,'Product List'!$A$1:$E$1,0))</f>
        <v>Paper</v>
      </c>
      <c r="P748" s="12">
        <f>HLOOKUP(C748,'Commission Criteria'!$A$2:$I$4,3,FALSE)</f>
        <v>4</v>
      </c>
      <c r="Q748" s="8">
        <f t="shared" si="34"/>
        <v>1525</v>
      </c>
      <c r="R748" s="8">
        <f t="shared" si="35"/>
        <v>3454</v>
      </c>
      <c r="S748" s="36">
        <f>VLOOKUP(R748,'Commission Criteria'!$L$3:$M$11,2,TRUE)</f>
        <v>0.01</v>
      </c>
      <c r="T748" s="36">
        <f>IF(P748&lt;5,VLOOKUP(R748,'Commission Criteria'!$L$3:$M$11,2,1),VLOOKUP('Order SUmmary'!R748,'Commission Criteria'!$P$3:$Q$11,2,1))</f>
        <v>0.01</v>
      </c>
      <c r="U748" s="36">
        <f>VLOOKUP(R748,IF(P748&lt;5,'Commission Criteria'!$L$3:$M$11,'Commission Criteria'!$P$3:$Q$11),2,1)</f>
        <v>0.01</v>
      </c>
      <c r="V748" s="8" t="s">
        <v>40</v>
      </c>
      <c r="W748" s="36">
        <f t="shared" ca="1" si="36"/>
        <v>0.01</v>
      </c>
      <c r="X748" s="8" t="str">
        <f>_xlfn.XLOOKUP(F748,'Product List'!$B$1:$B$299,'Product List'!$A$1:$A$299)</f>
        <v>Xerox 1995</v>
      </c>
      <c r="Y748" s="8"/>
      <c r="Z748" s="8" t="str" cm="1">
        <f t="array" ref="Z748:AD748">_xlfn.XLOOKUP(D748,'Customer Details'!$A$1:$A$17,'Customer Details'!$B$1:$F$17,"No such customer",0,1)</f>
        <v>Supreme Ind</v>
      </c>
      <c r="AA748" s="8" t="str">
        <v>P.O. Box 1367</v>
      </c>
      <c r="AB748" s="8" t="str">
        <v>Midland</v>
      </c>
      <c r="AC748" s="8" t="str">
        <v>TX</v>
      </c>
      <c r="AD748" s="8" t="str">
        <v>79706</v>
      </c>
    </row>
    <row r="749" spans="1:30">
      <c r="A749" s="8" t="s">
        <v>814</v>
      </c>
      <c r="B749" s="19">
        <v>41977</v>
      </c>
      <c r="C749" s="8" t="s">
        <v>33</v>
      </c>
      <c r="D749" s="8">
        <v>10012</v>
      </c>
      <c r="E749" s="8" t="str">
        <f>VLOOKUP($D749,'Customer Details'!$A$1:$F$17,4,FALSE)</f>
        <v>Santa Barbara</v>
      </c>
      <c r="F749" s="8" t="s">
        <v>73</v>
      </c>
      <c r="G749" s="8">
        <v>1</v>
      </c>
      <c r="H749" s="2" t="str">
        <f>VLOOKUP($D749,'Customer Details'!$A$1:$F$17,MATCH('Order SUmmary'!H$2,'Customer Details'!$A$1:$F$1,0),0)</f>
        <v>Dynamatic Technologies Ltd.</v>
      </c>
      <c r="I749" s="2" t="str">
        <f>VLOOKUP($D749,'Customer Details'!$A$1:$F$17,4,0)</f>
        <v>Santa Barbara</v>
      </c>
      <c r="J749" s="2" t="str">
        <f>VLOOKUP($D749,'Customer Details'!$A$1:$F$17,6,0)</f>
        <v>93110</v>
      </c>
      <c r="K749" s="8" t="str">
        <f>VLOOKUP(VLOOKUP(D749,'Customer Details'!$A$1:$F$17,5,0),'Region INfo'!$A$1:$C$52,3,0)</f>
        <v xml:space="preserve">Pacific   </v>
      </c>
      <c r="L749" s="8" t="str">
        <f>INDEX(Product_List,MATCH($F749,'Product List'!$B$1:$B$299,0),MATCH('Order SUmmary'!L$2,'Product List'!$A$1:$E$1,0))</f>
        <v>Xerox 1916</v>
      </c>
      <c r="M749" s="8">
        <f>INDEX(Product_List,MATCH($F749,'Product List'!$B$1:$B$299,0),MATCH('Order SUmmary'!M$2,'Product List'!$A$1:$E$1,0))</f>
        <v>3499</v>
      </c>
      <c r="N749" s="8">
        <f>INDEX(Product_List,MATCH($F749,'Product List'!$B$1:$B$299,0),MATCH('Order SUmmary'!N$2,'Product List'!$A$1:$E$1,0))</f>
        <v>2342</v>
      </c>
      <c r="O749" s="8" t="str">
        <f>INDEX(Product_List,MATCH($F749,'Product List'!$B$1:$B$299,0),MATCH('Order SUmmary'!O$2,'Product List'!$A$1:$E$1,0))</f>
        <v>Paper</v>
      </c>
      <c r="P749" s="12">
        <f>HLOOKUP(C749,'Commission Criteria'!$A$2:$I$4,3,FALSE)</f>
        <v>1</v>
      </c>
      <c r="Q749" s="8">
        <f t="shared" si="34"/>
        <v>2342</v>
      </c>
      <c r="R749" s="8">
        <f t="shared" si="35"/>
        <v>3499</v>
      </c>
      <c r="S749" s="36">
        <f>VLOOKUP(R749,'Commission Criteria'!$L$3:$M$11,2,TRUE)</f>
        <v>0.01</v>
      </c>
      <c r="T749" s="36">
        <f>IF(P749&lt;5,VLOOKUP(R749,'Commission Criteria'!$L$3:$M$11,2,1),VLOOKUP('Order SUmmary'!R749,'Commission Criteria'!$P$3:$Q$11,2,1))</f>
        <v>0.01</v>
      </c>
      <c r="U749" s="36">
        <f>VLOOKUP(R749,IF(P749&lt;5,'Commission Criteria'!$L$3:$M$11,'Commission Criteria'!$P$3:$Q$11),2,1)</f>
        <v>0.01</v>
      </c>
      <c r="V749" s="8" t="s">
        <v>32</v>
      </c>
      <c r="W749" s="36">
        <f t="shared" ca="1" si="36"/>
        <v>0.01</v>
      </c>
      <c r="X749" s="8" t="str">
        <f>_xlfn.XLOOKUP(F749,'Product List'!$B$1:$B$299,'Product List'!$A$1:$A$299)</f>
        <v>Xerox 1916</v>
      </c>
      <c r="Y749" s="8"/>
      <c r="Z749" s="8" t="str" cm="1">
        <f t="array" ref="Z749:AD749">_xlfn.XLOOKUP(D749,'Customer Details'!$A$1:$A$17,'Customer Details'!$B$1:$F$17,"No such customer",0,1)</f>
        <v>Dynamatic Technologies Ltd.</v>
      </c>
      <c r="AA749" s="8" t="str">
        <v>402 Pinkster Lane</v>
      </c>
      <c r="AB749" s="8" t="str">
        <v>Santa Barbara</v>
      </c>
      <c r="AC749" s="8" t="str">
        <v>CA</v>
      </c>
      <c r="AD749" s="8" t="str">
        <v>93110</v>
      </c>
    </row>
    <row r="750" spans="1:30">
      <c r="A750" s="8" t="s">
        <v>814</v>
      </c>
      <c r="B750" s="19">
        <v>41977</v>
      </c>
      <c r="C750" s="8" t="s">
        <v>66</v>
      </c>
      <c r="D750" s="8">
        <v>10012</v>
      </c>
      <c r="E750" s="8" t="str">
        <f>VLOOKUP($D750,'Customer Details'!$A$1:$F$17,4,FALSE)</f>
        <v>Santa Barbara</v>
      </c>
      <c r="F750" s="8" t="s">
        <v>501</v>
      </c>
      <c r="G750" s="8">
        <v>3</v>
      </c>
      <c r="H750" s="2" t="str">
        <f>VLOOKUP($D750,'Customer Details'!$A$1:$F$17,MATCH('Order SUmmary'!H$2,'Customer Details'!$A$1:$F$1,0),0)</f>
        <v>Dynamatic Technologies Ltd.</v>
      </c>
      <c r="I750" s="2" t="str">
        <f>VLOOKUP($D750,'Customer Details'!$A$1:$F$17,4,0)</f>
        <v>Santa Barbara</v>
      </c>
      <c r="J750" s="2" t="str">
        <f>VLOOKUP($D750,'Customer Details'!$A$1:$F$17,6,0)</f>
        <v>93110</v>
      </c>
      <c r="K750" s="8" t="str">
        <f>VLOOKUP(VLOOKUP(D750,'Customer Details'!$A$1:$F$17,5,0),'Region INfo'!$A$1:$C$52,3,0)</f>
        <v xml:space="preserve">Pacific   </v>
      </c>
      <c r="L750" s="8" t="str">
        <f>INDEX(Product_List,MATCH($F750,'Product List'!$B$1:$B$299,0),MATCH('Order SUmmary'!L$2,'Product List'!$A$1:$E$1,0))</f>
        <v>Avery 500</v>
      </c>
      <c r="M750" s="8">
        <f>INDEX(Product_List,MATCH($F750,'Product List'!$B$1:$B$299,0),MATCH('Order SUmmary'!M$2,'Product List'!$A$1:$E$1,0))</f>
        <v>4234</v>
      </c>
      <c r="N750" s="8">
        <f>INDEX(Product_List,MATCH($F750,'Product List'!$B$1:$B$299,0),MATCH('Order SUmmary'!N$2,'Product List'!$A$1:$E$1,0))</f>
        <v>1212</v>
      </c>
      <c r="O750" s="8" t="str">
        <f>INDEX(Product_List,MATCH($F750,'Product List'!$B$1:$B$299,0),MATCH('Order SUmmary'!O$2,'Product List'!$A$1:$E$1,0))</f>
        <v>Labels</v>
      </c>
      <c r="P750" s="12">
        <f>HLOOKUP(C750,'Commission Criteria'!$A$2:$I$4,3,FALSE)</f>
        <v>5</v>
      </c>
      <c r="Q750" s="8">
        <f t="shared" si="34"/>
        <v>3636</v>
      </c>
      <c r="R750" s="8">
        <f t="shared" si="35"/>
        <v>12702</v>
      </c>
      <c r="S750" s="36">
        <f>VLOOKUP(R750,'Commission Criteria'!$L$3:$M$11,2,TRUE)</f>
        <v>0.03</v>
      </c>
      <c r="T750" s="36">
        <f>IF(P750&lt;5,VLOOKUP(R750,'Commission Criteria'!$L$3:$M$11,2,1),VLOOKUP('Order SUmmary'!R750,'Commission Criteria'!$P$3:$Q$11,2,1))</f>
        <v>0.02</v>
      </c>
      <c r="U750" s="36">
        <f>VLOOKUP(R750,IF(P750&lt;5,'Commission Criteria'!$L$3:$M$11,'Commission Criteria'!$P$3:$Q$11),2,1)</f>
        <v>0.02</v>
      </c>
      <c r="V750" s="8" t="s">
        <v>35</v>
      </c>
      <c r="W750" s="36">
        <f t="shared" ca="1" si="36"/>
        <v>0</v>
      </c>
      <c r="X750" s="8" t="str">
        <f>_xlfn.XLOOKUP(F750,'Product List'!$B$1:$B$299,'Product List'!$A$1:$A$299)</f>
        <v>Avery 500</v>
      </c>
      <c r="Y750" s="8"/>
      <c r="Z750" s="8" t="str" cm="1">
        <f t="array" ref="Z750:AD750">_xlfn.XLOOKUP(D750,'Customer Details'!$A$1:$A$17,'Customer Details'!$B$1:$F$17,"No such customer",0,1)</f>
        <v>Dynamatic Technologies Ltd.</v>
      </c>
      <c r="AA750" s="8" t="str">
        <v>402 Pinkster Lane</v>
      </c>
      <c r="AB750" s="8" t="str">
        <v>Santa Barbara</v>
      </c>
      <c r="AC750" s="8" t="str">
        <v>CA</v>
      </c>
      <c r="AD750" s="8" t="str">
        <v>93110</v>
      </c>
    </row>
    <row r="751" spans="1:30">
      <c r="A751" s="8" t="s">
        <v>815</v>
      </c>
      <c r="B751" s="19">
        <v>41978</v>
      </c>
      <c r="C751" s="8" t="s">
        <v>33</v>
      </c>
      <c r="D751" s="8">
        <v>10004</v>
      </c>
      <c r="E751" s="8" t="str">
        <f>VLOOKUP($D751,'Customer Details'!$A$1:$F$17,4,FALSE)</f>
        <v>New York</v>
      </c>
      <c r="F751" s="8" t="s">
        <v>472</v>
      </c>
      <c r="G751" s="8">
        <v>1</v>
      </c>
      <c r="H751" s="2" t="str">
        <f>VLOOKUP($D751,'Customer Details'!$A$1:$F$17,MATCH('Order SUmmary'!H$2,'Customer Details'!$A$1:$F$1,0),0)</f>
        <v>Lupin Ltd.</v>
      </c>
      <c r="I751" s="2" t="str">
        <f>VLOOKUP($D751,'Customer Details'!$A$1:$F$17,4,0)</f>
        <v>New York</v>
      </c>
      <c r="J751" s="2" t="str">
        <f>VLOOKUP($D751,'Customer Details'!$A$1:$F$17,6,0)</f>
        <v>10019</v>
      </c>
      <c r="K751" s="8" t="str">
        <f>VLOOKUP(VLOOKUP(D751,'Customer Details'!$A$1:$F$17,5,0),'Region INfo'!$A$1:$C$52,3,0)</f>
        <v xml:space="preserve">Northern </v>
      </c>
      <c r="L751" s="8" t="str">
        <f>INDEX(Product_List,MATCH($F751,'Product List'!$B$1:$B$299,0),MATCH('Order SUmmary'!L$2,'Product List'!$A$1:$E$1,0))</f>
        <v>Avery 488</v>
      </c>
      <c r="M751" s="8">
        <f>INDEX(Product_List,MATCH($F751,'Product List'!$B$1:$B$299,0),MATCH('Order SUmmary'!M$2,'Product List'!$A$1:$E$1,0))</f>
        <v>3663</v>
      </c>
      <c r="N751" s="8">
        <f>INDEX(Product_List,MATCH($F751,'Product List'!$B$1:$B$299,0),MATCH('Order SUmmary'!N$2,'Product List'!$A$1:$E$1,0))</f>
        <v>1550</v>
      </c>
      <c r="O751" s="8" t="str">
        <f>INDEX(Product_List,MATCH($F751,'Product List'!$B$1:$B$299,0),MATCH('Order SUmmary'!O$2,'Product List'!$A$1:$E$1,0))</f>
        <v>Labels</v>
      </c>
      <c r="P751" s="12">
        <f>HLOOKUP(C751,'Commission Criteria'!$A$2:$I$4,3,FALSE)</f>
        <v>1</v>
      </c>
      <c r="Q751" s="8">
        <f t="shared" si="34"/>
        <v>1550</v>
      </c>
      <c r="R751" s="8">
        <f t="shared" si="35"/>
        <v>3663</v>
      </c>
      <c r="S751" s="36">
        <f>VLOOKUP(R751,'Commission Criteria'!$L$3:$M$11,2,TRUE)</f>
        <v>0.01</v>
      </c>
      <c r="T751" s="36">
        <f>IF(P751&lt;5,VLOOKUP(R751,'Commission Criteria'!$L$3:$M$11,2,1),VLOOKUP('Order SUmmary'!R751,'Commission Criteria'!$P$3:$Q$11,2,1))</f>
        <v>0.01</v>
      </c>
      <c r="U751" s="36">
        <f>VLOOKUP(R751,IF(P751&lt;5,'Commission Criteria'!$L$3:$M$11,'Commission Criteria'!$P$3:$Q$11),2,1)</f>
        <v>0.01</v>
      </c>
      <c r="V751" s="8" t="s">
        <v>43</v>
      </c>
      <c r="W751" s="36">
        <f t="shared" ca="1" si="36"/>
        <v>0.04</v>
      </c>
      <c r="X751" s="8" t="str">
        <f>_xlfn.XLOOKUP(F751,'Product List'!$B$1:$B$299,'Product List'!$A$1:$A$299)</f>
        <v>Avery 488</v>
      </c>
      <c r="Y751" s="8"/>
      <c r="Z751" s="8" t="str" cm="1">
        <f t="array" ref="Z751:AD751">_xlfn.XLOOKUP(D751,'Customer Details'!$A$1:$A$17,'Customer Details'!$B$1:$F$17,"No such customer",0,1)</f>
        <v>Lupin Ltd.</v>
      </c>
      <c r="AA751" s="8" t="str">
        <v>Abbey Wood</v>
      </c>
      <c r="AB751" s="8" t="str">
        <v>New York</v>
      </c>
      <c r="AC751" s="8" t="str">
        <v>NY</v>
      </c>
      <c r="AD751" s="8" t="str">
        <v>10019</v>
      </c>
    </row>
    <row r="752" spans="1:30">
      <c r="A752" s="8" t="s">
        <v>816</v>
      </c>
      <c r="B752" s="19">
        <v>41979</v>
      </c>
      <c r="C752" s="8" t="s">
        <v>33</v>
      </c>
      <c r="D752" s="8">
        <v>10007</v>
      </c>
      <c r="E752" s="8" t="str">
        <f>VLOOKUP($D752,'Customer Details'!$A$1:$F$17,4,FALSE)</f>
        <v>Richmond</v>
      </c>
      <c r="F752" s="8" t="s">
        <v>107</v>
      </c>
      <c r="G752" s="8">
        <v>1</v>
      </c>
      <c r="H752" s="2" t="str">
        <f>VLOOKUP($D752,'Customer Details'!$A$1:$F$17,MATCH('Order SUmmary'!H$2,'Customer Details'!$A$1:$F$1,0),0)</f>
        <v>GHCL Ltd.</v>
      </c>
      <c r="I752" s="2" t="str">
        <f>VLOOKUP($D752,'Customer Details'!$A$1:$F$17,4,0)</f>
        <v>Richmond</v>
      </c>
      <c r="J752" s="2" t="str">
        <f>VLOOKUP($D752,'Customer Details'!$A$1:$F$17,6,0)</f>
        <v>94805</v>
      </c>
      <c r="K752" s="8" t="str">
        <f>VLOOKUP(VLOOKUP(D752,'Customer Details'!$A$1:$F$17,5,0),'Region INfo'!$A$1:$C$52,3,0)</f>
        <v xml:space="preserve">Pacific   </v>
      </c>
      <c r="L752" s="8" t="str">
        <f>INDEX(Product_List,MATCH($F752,'Product List'!$B$1:$B$299,0),MATCH('Order SUmmary'!L$2,'Product List'!$A$1:$E$1,0))</f>
        <v>Avery 493</v>
      </c>
      <c r="M752" s="8">
        <f>INDEX(Product_List,MATCH($F752,'Product List'!$B$1:$B$299,0),MATCH('Order SUmmary'!M$2,'Product List'!$A$1:$E$1,0))</f>
        <v>3457</v>
      </c>
      <c r="N752" s="8">
        <f>INDEX(Product_List,MATCH($F752,'Product List'!$B$1:$B$299,0),MATCH('Order SUmmary'!N$2,'Product List'!$A$1:$E$1,0))</f>
        <v>2070</v>
      </c>
      <c r="O752" s="8" t="str">
        <f>INDEX(Product_List,MATCH($F752,'Product List'!$B$1:$B$299,0),MATCH('Order SUmmary'!O$2,'Product List'!$A$1:$E$1,0))</f>
        <v>Labels</v>
      </c>
      <c r="P752" s="12">
        <f>HLOOKUP(C752,'Commission Criteria'!$A$2:$I$4,3,FALSE)</f>
        <v>1</v>
      </c>
      <c r="Q752" s="8">
        <f t="shared" si="34"/>
        <v>2070</v>
      </c>
      <c r="R752" s="8">
        <f t="shared" si="35"/>
        <v>3457</v>
      </c>
      <c r="S752" s="36">
        <f>VLOOKUP(R752,'Commission Criteria'!$L$3:$M$11,2,TRUE)</f>
        <v>0.01</v>
      </c>
      <c r="T752" s="36">
        <f>IF(P752&lt;5,VLOOKUP(R752,'Commission Criteria'!$L$3:$M$11,2,1),VLOOKUP('Order SUmmary'!R752,'Commission Criteria'!$P$3:$Q$11,2,1))</f>
        <v>0.01</v>
      </c>
      <c r="U752" s="36">
        <f>VLOOKUP(R752,IF(P752&lt;5,'Commission Criteria'!$L$3:$M$11,'Commission Criteria'!$P$3:$Q$11),2,1)</f>
        <v>0.01</v>
      </c>
      <c r="V752" s="8" t="s">
        <v>29</v>
      </c>
      <c r="W752" s="36">
        <f t="shared" ca="1" si="36"/>
        <v>0.04</v>
      </c>
      <c r="X752" s="8" t="str">
        <f>_xlfn.XLOOKUP(F752,'Product List'!$B$1:$B$299,'Product List'!$A$1:$A$299)</f>
        <v>Avery 493</v>
      </c>
      <c r="Y752" s="8"/>
      <c r="Z752" s="8" t="str" cm="1">
        <f t="array" ref="Z752:AD752">_xlfn.XLOOKUP(D752,'Customer Details'!$A$1:$A$17,'Customer Details'!$B$1:$F$17,"No such customer",0,1)</f>
        <v>GHCL Ltd.</v>
      </c>
      <c r="AA752" s="8" t="str">
        <v>58 Clarence St</v>
      </c>
      <c r="AB752" s="8" t="str">
        <v>Richmond</v>
      </c>
      <c r="AC752" s="8" t="str">
        <v>CA</v>
      </c>
      <c r="AD752" s="8" t="str">
        <v>94805</v>
      </c>
    </row>
    <row r="753" spans="1:30">
      <c r="A753" s="8" t="s">
        <v>817</v>
      </c>
      <c r="B753" s="19">
        <v>41979</v>
      </c>
      <c r="C753" s="8" t="s">
        <v>51</v>
      </c>
      <c r="D753" s="8">
        <v>10010</v>
      </c>
      <c r="E753" s="8" t="str">
        <f>VLOOKUP($D753,'Customer Details'!$A$1:$F$17,4,FALSE)</f>
        <v>Tracy</v>
      </c>
      <c r="F753" s="8" t="s">
        <v>195</v>
      </c>
      <c r="G753" s="8">
        <v>2</v>
      </c>
      <c r="H753" s="2" t="str">
        <f>VLOOKUP($D753,'Customer Details'!$A$1:$F$17,MATCH('Order SUmmary'!H$2,'Customer Details'!$A$1:$F$1,0),0)</f>
        <v>Suzlon Energy Ltd.</v>
      </c>
      <c r="I753" s="2" t="str">
        <f>VLOOKUP($D753,'Customer Details'!$A$1:$F$17,4,0)</f>
        <v>Tracy</v>
      </c>
      <c r="J753" s="2" t="str">
        <f>VLOOKUP($D753,'Customer Details'!$A$1:$F$17,6,0)</f>
        <v>95376</v>
      </c>
      <c r="K753" s="8" t="str">
        <f>VLOOKUP(VLOOKUP(D753,'Customer Details'!$A$1:$F$17,5,0),'Region INfo'!$A$1:$C$52,3,0)</f>
        <v xml:space="preserve">Pacific   </v>
      </c>
      <c r="L753" s="8" t="str">
        <f>INDEX(Product_List,MATCH($F753,'Product List'!$B$1:$B$299,0),MATCH('Order SUmmary'!L$2,'Product List'!$A$1:$E$1,0))</f>
        <v>Newell 335</v>
      </c>
      <c r="M753" s="8">
        <f>INDEX(Product_List,MATCH($F753,'Product List'!$B$1:$B$299,0),MATCH('Order SUmmary'!M$2,'Product List'!$A$1:$E$1,0))</f>
        <v>3467</v>
      </c>
      <c r="N753" s="8">
        <f>INDEX(Product_List,MATCH($F753,'Product List'!$B$1:$B$299,0),MATCH('Order SUmmary'!N$2,'Product List'!$A$1:$E$1,0))</f>
        <v>1230</v>
      </c>
      <c r="O753" s="8" t="str">
        <f>INDEX(Product_List,MATCH($F753,'Product List'!$B$1:$B$299,0),MATCH('Order SUmmary'!O$2,'Product List'!$A$1:$E$1,0))</f>
        <v>Art</v>
      </c>
      <c r="P753" s="12">
        <f>HLOOKUP(C753,'Commission Criteria'!$A$2:$I$4,3,FALSE)</f>
        <v>10</v>
      </c>
      <c r="Q753" s="8">
        <f t="shared" si="34"/>
        <v>2460</v>
      </c>
      <c r="R753" s="8">
        <f t="shared" si="35"/>
        <v>6934</v>
      </c>
      <c r="S753" s="36">
        <f>VLOOKUP(R753,'Commission Criteria'!$L$3:$M$11,2,TRUE)</f>
        <v>0.03</v>
      </c>
      <c r="T753" s="36">
        <f>IF(P753&lt;5,VLOOKUP(R753,'Commission Criteria'!$L$3:$M$11,2,1),VLOOKUP('Order SUmmary'!R753,'Commission Criteria'!$P$3:$Q$11,2,1))</f>
        <v>0.02</v>
      </c>
      <c r="U753" s="36">
        <f>VLOOKUP(R753,IF(P753&lt;5,'Commission Criteria'!$L$3:$M$11,'Commission Criteria'!$P$3:$Q$11),2,1)</f>
        <v>0.02</v>
      </c>
      <c r="V753" s="8" t="s">
        <v>29</v>
      </c>
      <c r="W753" s="36">
        <f t="shared" ca="1" si="36"/>
        <v>0.04</v>
      </c>
      <c r="X753" s="8" t="str">
        <f>_xlfn.XLOOKUP(F753,'Product List'!$B$1:$B$299,'Product List'!$A$1:$A$299)</f>
        <v>Newell 335</v>
      </c>
      <c r="Y753" s="8"/>
      <c r="Z753" s="8" t="str" cm="1">
        <f t="array" ref="Z753:AD753">_xlfn.XLOOKUP(D753,'Customer Details'!$A$1:$A$17,'Customer Details'!$B$1:$F$17,"No such customer",0,1)</f>
        <v>Suzlon Energy Ltd.</v>
      </c>
      <c r="AA753" s="8" t="str">
        <v>501 Marsh Trail Circle</v>
      </c>
      <c r="AB753" s="8" t="str">
        <v>Tracy</v>
      </c>
      <c r="AC753" s="8" t="str">
        <v>CA</v>
      </c>
      <c r="AD753" s="8" t="str">
        <v>95376</v>
      </c>
    </row>
    <row r="754" spans="1:30">
      <c r="A754" s="8" t="s">
        <v>817</v>
      </c>
      <c r="B754" s="19">
        <v>41981</v>
      </c>
      <c r="C754" s="8" t="s">
        <v>46</v>
      </c>
      <c r="D754" s="8">
        <v>10003</v>
      </c>
      <c r="E754" s="8" t="str">
        <f>VLOOKUP($D754,'Customer Details'!$A$1:$F$17,4,FALSE)</f>
        <v>Miami</v>
      </c>
      <c r="F754" s="8" t="s">
        <v>67</v>
      </c>
      <c r="G754" s="8">
        <v>1</v>
      </c>
      <c r="H754" s="2" t="str">
        <f>VLOOKUP($D754,'Customer Details'!$A$1:$F$17,MATCH('Order SUmmary'!H$2,'Customer Details'!$A$1:$F$1,0),0)</f>
        <v>Honeywell Automation</v>
      </c>
      <c r="I754" s="2" t="str">
        <f>VLOOKUP($D754,'Customer Details'!$A$1:$F$17,4,0)</f>
        <v>Miami</v>
      </c>
      <c r="J754" s="2" t="str">
        <f>VLOOKUP($D754,'Customer Details'!$A$1:$F$17,6,0)</f>
        <v>33732</v>
      </c>
      <c r="K754" s="8" t="str">
        <f>VLOOKUP(VLOOKUP(D754,'Customer Details'!$A$1:$F$17,5,0),'Region INfo'!$A$1:$C$52,3,0)</f>
        <v>Southern</v>
      </c>
      <c r="L754" s="8" t="str">
        <f>INDEX(Product_List,MATCH($F754,'Product List'!$B$1:$B$299,0),MATCH('Order SUmmary'!L$2,'Product List'!$A$1:$E$1,0))</f>
        <v>Xerox 1927</v>
      </c>
      <c r="M754" s="8">
        <f>INDEX(Product_List,MATCH($F754,'Product List'!$B$1:$B$299,0),MATCH('Order SUmmary'!M$2,'Product List'!$A$1:$E$1,0))</f>
        <v>4392</v>
      </c>
      <c r="N754" s="8">
        <f>INDEX(Product_List,MATCH($F754,'Product List'!$B$1:$B$299,0),MATCH('Order SUmmary'!N$2,'Product List'!$A$1:$E$1,0))</f>
        <v>1542</v>
      </c>
      <c r="O754" s="8" t="str">
        <f>INDEX(Product_List,MATCH($F754,'Product List'!$B$1:$B$299,0),MATCH('Order SUmmary'!O$2,'Product List'!$A$1:$E$1,0))</f>
        <v>Paper</v>
      </c>
      <c r="P754" s="12">
        <f>HLOOKUP(C754,'Commission Criteria'!$A$2:$I$4,3,FALSE)</f>
        <v>8</v>
      </c>
      <c r="Q754" s="8">
        <f t="shared" si="34"/>
        <v>1542</v>
      </c>
      <c r="R754" s="8">
        <f t="shared" si="35"/>
        <v>4392</v>
      </c>
      <c r="S754" s="36">
        <f>VLOOKUP(R754,'Commission Criteria'!$L$3:$M$11,2,TRUE)</f>
        <v>0.01</v>
      </c>
      <c r="T754" s="36">
        <f>IF(P754&lt;5,VLOOKUP(R754,'Commission Criteria'!$L$3:$M$11,2,1),VLOOKUP('Order SUmmary'!R754,'Commission Criteria'!$P$3:$Q$11,2,1))</f>
        <v>0.02</v>
      </c>
      <c r="U754" s="36">
        <f>VLOOKUP(R754,IF(P754&lt;5,'Commission Criteria'!$L$3:$M$11,'Commission Criteria'!$P$3:$Q$11),2,1)</f>
        <v>0.02</v>
      </c>
      <c r="V754" s="8" t="s">
        <v>29</v>
      </c>
      <c r="W754" s="36">
        <f t="shared" ca="1" si="36"/>
        <v>0.05</v>
      </c>
      <c r="X754" s="8" t="str">
        <f>_xlfn.XLOOKUP(F754,'Product List'!$B$1:$B$299,'Product List'!$A$1:$A$299)</f>
        <v>Xerox 1927</v>
      </c>
      <c r="Y754" s="8"/>
      <c r="Z754" s="8" t="str" cm="1">
        <f t="array" ref="Z754:AD754">_xlfn.XLOOKUP(D754,'Customer Details'!$A$1:$A$17,'Customer Details'!$B$1:$F$17,"No such customer",0,1)</f>
        <v>Honeywell Automation</v>
      </c>
      <c r="AA754" s="8" t="str">
        <v>1272 Harbor Road</v>
      </c>
      <c r="AB754" s="8" t="str">
        <v>Miami</v>
      </c>
      <c r="AC754" s="8" t="str">
        <v>FL</v>
      </c>
      <c r="AD754" s="8" t="str">
        <v>33732</v>
      </c>
    </row>
    <row r="755" spans="1:30">
      <c r="A755" s="8" t="s">
        <v>818</v>
      </c>
      <c r="B755" s="19">
        <v>41982</v>
      </c>
      <c r="C755" s="8" t="s">
        <v>46</v>
      </c>
      <c r="D755" s="8">
        <v>10008</v>
      </c>
      <c r="E755" s="8" t="str">
        <f>VLOOKUP($D755,'Customer Details'!$A$1:$F$17,4,FALSE)</f>
        <v>Chestnut Ridge</v>
      </c>
      <c r="F755" s="8" t="s">
        <v>97</v>
      </c>
      <c r="G755" s="8">
        <v>1</v>
      </c>
      <c r="H755" s="2" t="str">
        <f>VLOOKUP($D755,'Customer Details'!$A$1:$F$17,MATCH('Order SUmmary'!H$2,'Customer Details'!$A$1:$F$1,0),0)</f>
        <v>Reliance Industries Limited</v>
      </c>
      <c r="I755" s="2" t="str">
        <f>VLOOKUP($D755,'Customer Details'!$A$1:$F$17,4,0)</f>
        <v>Chestnut Ridge</v>
      </c>
      <c r="J755" s="2" t="str">
        <f>VLOOKUP($D755,'Customer Details'!$A$1:$F$17,6,0)</f>
        <v>10977</v>
      </c>
      <c r="K755" s="8" t="str">
        <f>VLOOKUP(VLOOKUP(D755,'Customer Details'!$A$1:$F$17,5,0),'Region INfo'!$A$1:$C$52,3,0)</f>
        <v xml:space="preserve">Northern </v>
      </c>
      <c r="L755" s="8" t="str">
        <f>INDEX(Product_List,MATCH($F755,'Product List'!$B$1:$B$299,0),MATCH('Order SUmmary'!L$2,'Product List'!$A$1:$E$1,0))</f>
        <v>Xerox 204</v>
      </c>
      <c r="M755" s="8">
        <f>INDEX(Product_List,MATCH($F755,'Product List'!$B$1:$B$299,0),MATCH('Order SUmmary'!M$2,'Product List'!$A$1:$E$1,0))</f>
        <v>3245</v>
      </c>
      <c r="N755" s="8">
        <f>INDEX(Product_List,MATCH($F755,'Product List'!$B$1:$B$299,0),MATCH('Order SUmmary'!N$2,'Product List'!$A$1:$E$1,0))</f>
        <v>1964</v>
      </c>
      <c r="O755" s="8" t="str">
        <f>INDEX(Product_List,MATCH($F755,'Product List'!$B$1:$B$299,0),MATCH('Order SUmmary'!O$2,'Product List'!$A$1:$E$1,0))</f>
        <v>Paper</v>
      </c>
      <c r="P755" s="12">
        <f>HLOOKUP(C755,'Commission Criteria'!$A$2:$I$4,3,FALSE)</f>
        <v>8</v>
      </c>
      <c r="Q755" s="8">
        <f t="shared" si="34"/>
        <v>1964</v>
      </c>
      <c r="R755" s="8">
        <f t="shared" si="35"/>
        <v>3245</v>
      </c>
      <c r="S755" s="36">
        <f>VLOOKUP(R755,'Commission Criteria'!$L$3:$M$11,2,TRUE)</f>
        <v>0.01</v>
      </c>
      <c r="T755" s="36">
        <f>IF(P755&lt;5,VLOOKUP(R755,'Commission Criteria'!$L$3:$M$11,2,1),VLOOKUP('Order SUmmary'!R755,'Commission Criteria'!$P$3:$Q$11,2,1))</f>
        <v>0.02</v>
      </c>
      <c r="U755" s="36">
        <f>VLOOKUP(R755,IF(P755&lt;5,'Commission Criteria'!$L$3:$M$11,'Commission Criteria'!$P$3:$Q$11),2,1)</f>
        <v>0.02</v>
      </c>
      <c r="V755" s="8" t="s">
        <v>43</v>
      </c>
      <c r="W755" s="36">
        <f t="shared" ca="1" si="36"/>
        <v>0.01</v>
      </c>
      <c r="X755" s="8" t="str">
        <f>_xlfn.XLOOKUP(F755,'Product List'!$B$1:$B$299,'Product List'!$A$1:$A$299)</f>
        <v>Xerox 204</v>
      </c>
      <c r="Y755" s="8"/>
      <c r="Z755" s="8" t="str" cm="1">
        <f t="array" ref="Z755:AD755">_xlfn.XLOOKUP(D755,'Customer Details'!$A$1:$A$17,'Customer Details'!$B$1:$F$17,"No such customer",0,1)</f>
        <v>Reliance Industries Limited</v>
      </c>
      <c r="AA755" s="8" t="str">
        <v>12020 Shamrock Rd., Suite 333</v>
      </c>
      <c r="AB755" s="8" t="str">
        <v>Chestnut Ridge</v>
      </c>
      <c r="AC755" s="8" t="str">
        <v>NY</v>
      </c>
      <c r="AD755" s="8" t="str">
        <v>10977</v>
      </c>
    </row>
    <row r="756" spans="1:30">
      <c r="A756" s="8" t="s">
        <v>818</v>
      </c>
      <c r="B756" s="19">
        <v>41982</v>
      </c>
      <c r="C756" s="8" t="s">
        <v>46</v>
      </c>
      <c r="D756" s="8">
        <v>10005</v>
      </c>
      <c r="E756" s="8" t="str">
        <f>VLOOKUP($D756,'Customer Details'!$A$1:$F$17,4,FALSE)</f>
        <v>Goleta</v>
      </c>
      <c r="F756" s="8" t="s">
        <v>403</v>
      </c>
      <c r="G756" s="8">
        <v>2</v>
      </c>
      <c r="H756" s="2" t="str">
        <f>VLOOKUP($D756,'Customer Details'!$A$1:$F$17,MATCH('Order SUmmary'!H$2,'Customer Details'!$A$1:$F$1,0),0)</f>
        <v>Fortis Healthcare Ltd.</v>
      </c>
      <c r="I756" s="2" t="str">
        <f>VLOOKUP($D756,'Customer Details'!$A$1:$F$17,4,0)</f>
        <v>Goleta</v>
      </c>
      <c r="J756" s="2" t="str">
        <f>VLOOKUP($D756,'Customer Details'!$A$1:$F$17,6,0)</f>
        <v>93117</v>
      </c>
      <c r="K756" s="8" t="str">
        <f>VLOOKUP(VLOOKUP(D756,'Customer Details'!$A$1:$F$17,5,0),'Region INfo'!$A$1:$C$52,3,0)</f>
        <v xml:space="preserve">Pacific   </v>
      </c>
      <c r="L756" s="8" t="str">
        <f>INDEX(Product_List,MATCH($F756,'Product List'!$B$1:$B$299,0),MATCH('Order SUmmary'!L$2,'Product List'!$A$1:$E$1,0))</f>
        <v>Xerox 188</v>
      </c>
      <c r="M756" s="8">
        <f>INDEX(Product_List,MATCH($F756,'Product List'!$B$1:$B$299,0),MATCH('Order SUmmary'!M$2,'Product List'!$A$1:$E$1,0))</f>
        <v>2775</v>
      </c>
      <c r="N756" s="8">
        <f>INDEX(Product_List,MATCH($F756,'Product List'!$B$1:$B$299,0),MATCH('Order SUmmary'!N$2,'Product List'!$A$1:$E$1,0))</f>
        <v>1847</v>
      </c>
      <c r="O756" s="8" t="str">
        <f>INDEX(Product_List,MATCH($F756,'Product List'!$B$1:$B$299,0),MATCH('Order SUmmary'!O$2,'Product List'!$A$1:$E$1,0))</f>
        <v>Paper</v>
      </c>
      <c r="P756" s="12">
        <f>HLOOKUP(C756,'Commission Criteria'!$A$2:$I$4,3,FALSE)</f>
        <v>8</v>
      </c>
      <c r="Q756" s="8">
        <f t="shared" si="34"/>
        <v>3694</v>
      </c>
      <c r="R756" s="8">
        <f t="shared" si="35"/>
        <v>5550</v>
      </c>
      <c r="S756" s="36">
        <f>VLOOKUP(R756,'Commission Criteria'!$L$3:$M$11,2,TRUE)</f>
        <v>0.03</v>
      </c>
      <c r="T756" s="36">
        <f>IF(P756&lt;5,VLOOKUP(R756,'Commission Criteria'!$L$3:$M$11,2,1),VLOOKUP('Order SUmmary'!R756,'Commission Criteria'!$P$3:$Q$11,2,1))</f>
        <v>0.02</v>
      </c>
      <c r="U756" s="36">
        <f>VLOOKUP(R756,IF(P756&lt;5,'Commission Criteria'!$L$3:$M$11,'Commission Criteria'!$P$3:$Q$11),2,1)</f>
        <v>0.02</v>
      </c>
      <c r="V756" s="8" t="s">
        <v>32</v>
      </c>
      <c r="W756" s="36">
        <f t="shared" ca="1" si="36"/>
        <v>0.05</v>
      </c>
      <c r="X756" s="8" t="str">
        <f>_xlfn.XLOOKUP(F756,'Product List'!$B$1:$B$299,'Product List'!$A$1:$A$299)</f>
        <v>Xerox 188</v>
      </c>
      <c r="Y756" s="8"/>
      <c r="Z756" s="8" t="str" cm="1">
        <f t="array" ref="Z756:AD756">_xlfn.XLOOKUP(D756,'Customer Details'!$A$1:$A$17,'Customer Details'!$B$1:$F$17,"No such customer",0,1)</f>
        <v>Fortis Healthcare Ltd.</v>
      </c>
      <c r="AA756" s="8" t="str">
        <v>14 Elsworthy Terrace</v>
      </c>
      <c r="AB756" s="8" t="str">
        <v>Goleta</v>
      </c>
      <c r="AC756" s="8" t="str">
        <v>CA</v>
      </c>
      <c r="AD756" s="8" t="str">
        <v>93117</v>
      </c>
    </row>
    <row r="757" spans="1:30">
      <c r="A757" s="8" t="s">
        <v>818</v>
      </c>
      <c r="B757" s="19">
        <v>41982</v>
      </c>
      <c r="C757" s="8" t="s">
        <v>51</v>
      </c>
      <c r="D757" s="8">
        <v>10013</v>
      </c>
      <c r="E757" s="8" t="str">
        <f>VLOOKUP($D757,'Customer Details'!$A$1:$F$17,4,FALSE)</f>
        <v>Naugatuck</v>
      </c>
      <c r="F757" s="8" t="s">
        <v>445</v>
      </c>
      <c r="G757" s="8">
        <v>3</v>
      </c>
      <c r="H757" s="2" t="str">
        <f>VLOOKUP($D757,'Customer Details'!$A$1:$F$17,MATCH('Order SUmmary'!H$2,'Customer Details'!$A$1:$F$1,0),0)</f>
        <v>GMR Infrastructure Ltd.</v>
      </c>
      <c r="I757" s="2" t="str">
        <f>VLOOKUP($D757,'Customer Details'!$A$1:$F$17,4,0)</f>
        <v>Naugatuck</v>
      </c>
      <c r="J757" s="2" t="str">
        <f>VLOOKUP($D757,'Customer Details'!$A$1:$F$17,6,0)</f>
        <v>06770</v>
      </c>
      <c r="K757" s="8" t="str">
        <f>VLOOKUP(VLOOKUP(D757,'Customer Details'!$A$1:$F$17,5,0),'Region INfo'!$A$1:$C$52,3,0)</f>
        <v xml:space="preserve">Northern </v>
      </c>
      <c r="L757" s="8" t="str">
        <f>INDEX(Product_List,MATCH($F757,'Product List'!$B$1:$B$299,0),MATCH('Order SUmmary'!L$2,'Product List'!$A$1:$E$1,0))</f>
        <v>Xerox 1882</v>
      </c>
      <c r="M757" s="8">
        <f>INDEX(Product_List,MATCH($F757,'Product List'!$B$1:$B$299,0),MATCH('Order SUmmary'!M$2,'Product List'!$A$1:$E$1,0))</f>
        <v>4206</v>
      </c>
      <c r="N757" s="8">
        <f>INDEX(Product_List,MATCH($F757,'Product List'!$B$1:$B$299,0),MATCH('Order SUmmary'!N$2,'Product List'!$A$1:$E$1,0))</f>
        <v>1201</v>
      </c>
      <c r="O757" s="8" t="str">
        <f>INDEX(Product_List,MATCH($F757,'Product List'!$B$1:$B$299,0),MATCH('Order SUmmary'!O$2,'Product List'!$A$1:$E$1,0))</f>
        <v>Paper</v>
      </c>
      <c r="P757" s="12">
        <f>HLOOKUP(C757,'Commission Criteria'!$A$2:$I$4,3,FALSE)</f>
        <v>10</v>
      </c>
      <c r="Q757" s="8">
        <f t="shared" si="34"/>
        <v>3603</v>
      </c>
      <c r="R757" s="8">
        <f t="shared" si="35"/>
        <v>12618</v>
      </c>
      <c r="S757" s="36">
        <f>VLOOKUP(R757,'Commission Criteria'!$L$3:$M$11,2,TRUE)</f>
        <v>0.03</v>
      </c>
      <c r="T757" s="36">
        <f>IF(P757&lt;5,VLOOKUP(R757,'Commission Criteria'!$L$3:$M$11,2,1),VLOOKUP('Order SUmmary'!R757,'Commission Criteria'!$P$3:$Q$11,2,1))</f>
        <v>0.02</v>
      </c>
      <c r="U757" s="36">
        <f>VLOOKUP(R757,IF(P757&lt;5,'Commission Criteria'!$L$3:$M$11,'Commission Criteria'!$P$3:$Q$11),2,1)</f>
        <v>0.02</v>
      </c>
      <c r="V757" s="8" t="s">
        <v>50</v>
      </c>
      <c r="W757" s="36">
        <f t="shared" ca="1" si="36"/>
        <v>0.01</v>
      </c>
      <c r="X757" s="8" t="str">
        <f>_xlfn.XLOOKUP(F757,'Product List'!$B$1:$B$299,'Product List'!$A$1:$A$299)</f>
        <v>Xerox 1882</v>
      </c>
      <c r="Y757" s="8"/>
      <c r="Z757" s="8" t="str" cm="1">
        <f t="array" ref="Z757:AD757">_xlfn.XLOOKUP(D757,'Customer Details'!$A$1:$A$17,'Customer Details'!$B$1:$F$17,"No such customer",0,1)</f>
        <v>GMR Infrastructure Ltd.</v>
      </c>
      <c r="AA757" s="8" t="str">
        <v>P.O. Box 4421</v>
      </c>
      <c r="AB757" s="8" t="str">
        <v>Naugatuck</v>
      </c>
      <c r="AC757" s="8" t="str">
        <v>CT</v>
      </c>
      <c r="AD757" s="8" t="str">
        <v>06770</v>
      </c>
    </row>
    <row r="758" spans="1:30">
      <c r="A758" s="8" t="s">
        <v>819</v>
      </c>
      <c r="B758" s="19">
        <v>41983</v>
      </c>
      <c r="C758" s="8" t="s">
        <v>66</v>
      </c>
      <c r="D758" s="8">
        <v>10007</v>
      </c>
      <c r="E758" s="8" t="str">
        <f>VLOOKUP($D758,'Customer Details'!$A$1:$F$17,4,FALSE)</f>
        <v>Richmond</v>
      </c>
      <c r="F758" s="8" t="s">
        <v>337</v>
      </c>
      <c r="G758" s="8">
        <v>1</v>
      </c>
      <c r="H758" s="2" t="str">
        <f>VLOOKUP($D758,'Customer Details'!$A$1:$F$17,MATCH('Order SUmmary'!H$2,'Customer Details'!$A$1:$F$1,0),0)</f>
        <v>GHCL Ltd.</v>
      </c>
      <c r="I758" s="2" t="str">
        <f>VLOOKUP($D758,'Customer Details'!$A$1:$F$17,4,0)</f>
        <v>Richmond</v>
      </c>
      <c r="J758" s="2" t="str">
        <f>VLOOKUP($D758,'Customer Details'!$A$1:$F$17,6,0)</f>
        <v>94805</v>
      </c>
      <c r="K758" s="8" t="str">
        <f>VLOOKUP(VLOOKUP(D758,'Customer Details'!$A$1:$F$17,5,0),'Region INfo'!$A$1:$C$52,3,0)</f>
        <v xml:space="preserve">Pacific   </v>
      </c>
      <c r="L758" s="8" t="str">
        <f>INDEX(Product_List,MATCH($F758,'Product List'!$B$1:$B$299,0),MATCH('Order SUmmary'!L$2,'Product List'!$A$1:$E$1,0))</f>
        <v>Avery 487</v>
      </c>
      <c r="M758" s="8">
        <f>INDEX(Product_List,MATCH($F758,'Product List'!$B$1:$B$299,0),MATCH('Order SUmmary'!M$2,'Product List'!$A$1:$E$1,0))</f>
        <v>2775</v>
      </c>
      <c r="N758" s="8">
        <f>INDEX(Product_List,MATCH($F758,'Product List'!$B$1:$B$299,0),MATCH('Order SUmmary'!N$2,'Product List'!$A$1:$E$1,0))</f>
        <v>1946</v>
      </c>
      <c r="O758" s="8" t="str">
        <f>INDEX(Product_List,MATCH($F758,'Product List'!$B$1:$B$299,0),MATCH('Order SUmmary'!O$2,'Product List'!$A$1:$E$1,0))</f>
        <v>Labels</v>
      </c>
      <c r="P758" s="12">
        <f>HLOOKUP(C758,'Commission Criteria'!$A$2:$I$4,3,FALSE)</f>
        <v>5</v>
      </c>
      <c r="Q758" s="8">
        <f t="shared" si="34"/>
        <v>1946</v>
      </c>
      <c r="R758" s="8">
        <f t="shared" si="35"/>
        <v>2775</v>
      </c>
      <c r="S758" s="36">
        <f>VLOOKUP(R758,'Commission Criteria'!$L$3:$M$11,2,TRUE)</f>
        <v>0.01</v>
      </c>
      <c r="T758" s="36">
        <f>IF(P758&lt;5,VLOOKUP(R758,'Commission Criteria'!$L$3:$M$11,2,1),VLOOKUP('Order SUmmary'!R758,'Commission Criteria'!$P$3:$Q$11,2,1))</f>
        <v>0.02</v>
      </c>
      <c r="U758" s="36">
        <f>VLOOKUP(R758,IF(P758&lt;5,'Commission Criteria'!$L$3:$M$11,'Commission Criteria'!$P$3:$Q$11),2,1)</f>
        <v>0.02</v>
      </c>
      <c r="V758" s="8" t="s">
        <v>40</v>
      </c>
      <c r="W758" s="36">
        <f t="shared" ca="1" si="36"/>
        <v>0.01</v>
      </c>
      <c r="X758" s="8" t="str">
        <f>_xlfn.XLOOKUP(F758,'Product List'!$B$1:$B$299,'Product List'!$A$1:$A$299)</f>
        <v>Avery 487</v>
      </c>
      <c r="Y758" s="8"/>
      <c r="Z758" s="8" t="str" cm="1">
        <f t="array" ref="Z758:AD758">_xlfn.XLOOKUP(D758,'Customer Details'!$A$1:$A$17,'Customer Details'!$B$1:$F$17,"No such customer",0,1)</f>
        <v>GHCL Ltd.</v>
      </c>
      <c r="AA758" s="8" t="str">
        <v>58 Clarence St</v>
      </c>
      <c r="AB758" s="8" t="str">
        <v>Richmond</v>
      </c>
      <c r="AC758" s="8" t="str">
        <v>CA</v>
      </c>
      <c r="AD758" s="8" t="str">
        <v>94805</v>
      </c>
    </row>
    <row r="759" spans="1:30">
      <c r="A759" s="8" t="s">
        <v>820</v>
      </c>
      <c r="B759" s="19">
        <v>41984</v>
      </c>
      <c r="C759" s="8" t="s">
        <v>36</v>
      </c>
      <c r="D759" s="8">
        <v>10006</v>
      </c>
      <c r="E759" s="8" t="str">
        <f>VLOOKUP($D759,'Customer Details'!$A$1:$F$17,4,FALSE)</f>
        <v>Midland</v>
      </c>
      <c r="F759" s="8" t="s">
        <v>180</v>
      </c>
      <c r="G759" s="8">
        <v>2</v>
      </c>
      <c r="H759" s="2" t="str">
        <f>VLOOKUP($D759,'Customer Details'!$A$1:$F$17,MATCH('Order SUmmary'!H$2,'Customer Details'!$A$1:$F$1,0),0)</f>
        <v>Supreme Ind</v>
      </c>
      <c r="I759" s="2" t="str">
        <f>VLOOKUP($D759,'Customer Details'!$A$1:$F$17,4,0)</f>
        <v>Midland</v>
      </c>
      <c r="J759" s="2" t="str">
        <f>VLOOKUP($D759,'Customer Details'!$A$1:$F$17,6,0)</f>
        <v>79706</v>
      </c>
      <c r="K759" s="8" t="str">
        <f>VLOOKUP(VLOOKUP(D759,'Customer Details'!$A$1:$F$17,5,0),'Region INfo'!$A$1:$C$52,3,0)</f>
        <v>Western</v>
      </c>
      <c r="L759" s="8" t="str">
        <f>INDEX(Product_List,MATCH($F759,'Product List'!$B$1:$B$299,0),MATCH('Order SUmmary'!L$2,'Product List'!$A$1:$E$1,0))</f>
        <v>Avery 497</v>
      </c>
      <c r="M759" s="8">
        <f>INDEX(Product_List,MATCH($F759,'Product List'!$B$1:$B$299,0),MATCH('Order SUmmary'!M$2,'Product List'!$A$1:$E$1,0))</f>
        <v>4711</v>
      </c>
      <c r="N759" s="8">
        <f>INDEX(Product_List,MATCH($F759,'Product List'!$B$1:$B$299,0),MATCH('Order SUmmary'!N$2,'Product List'!$A$1:$E$1,0))</f>
        <v>2288</v>
      </c>
      <c r="O759" s="8" t="str">
        <f>INDEX(Product_List,MATCH($F759,'Product List'!$B$1:$B$299,0),MATCH('Order SUmmary'!O$2,'Product List'!$A$1:$E$1,0))</f>
        <v>Labels</v>
      </c>
      <c r="P759" s="12">
        <f>HLOOKUP(C759,'Commission Criteria'!$A$2:$I$4,3,FALSE)</f>
        <v>6</v>
      </c>
      <c r="Q759" s="8">
        <f t="shared" si="34"/>
        <v>4576</v>
      </c>
      <c r="R759" s="8">
        <f t="shared" si="35"/>
        <v>9422</v>
      </c>
      <c r="S759" s="36">
        <f>VLOOKUP(R759,'Commission Criteria'!$L$3:$M$11,2,TRUE)</f>
        <v>0.03</v>
      </c>
      <c r="T759" s="36">
        <f>IF(P759&lt;5,VLOOKUP(R759,'Commission Criteria'!$L$3:$M$11,2,1),VLOOKUP('Order SUmmary'!R759,'Commission Criteria'!$P$3:$Q$11,2,1))</f>
        <v>0.02</v>
      </c>
      <c r="U759" s="36">
        <f>VLOOKUP(R759,IF(P759&lt;5,'Commission Criteria'!$L$3:$M$11,'Commission Criteria'!$P$3:$Q$11),2,1)</f>
        <v>0.02</v>
      </c>
      <c r="V759" s="8" t="s">
        <v>40</v>
      </c>
      <c r="W759" s="36">
        <f t="shared" ca="1" si="36"/>
        <v>0.01</v>
      </c>
      <c r="X759" s="8" t="str">
        <f>_xlfn.XLOOKUP(F759,'Product List'!$B$1:$B$299,'Product List'!$A$1:$A$299)</f>
        <v>Avery 497</v>
      </c>
      <c r="Y759" s="8"/>
      <c r="Z759" s="8" t="str" cm="1">
        <f t="array" ref="Z759:AD759">_xlfn.XLOOKUP(D759,'Customer Details'!$A$1:$A$17,'Customer Details'!$B$1:$F$17,"No such customer",0,1)</f>
        <v>Supreme Ind</v>
      </c>
      <c r="AA759" s="8" t="str">
        <v>P.O. Box 1367</v>
      </c>
      <c r="AB759" s="8" t="str">
        <v>Midland</v>
      </c>
      <c r="AC759" s="8" t="str">
        <v>TX</v>
      </c>
      <c r="AD759" s="8" t="str">
        <v>79706</v>
      </c>
    </row>
    <row r="760" spans="1:30">
      <c r="A760" s="8" t="s">
        <v>821</v>
      </c>
      <c r="B760" s="19">
        <v>41987</v>
      </c>
      <c r="C760" s="8" t="s">
        <v>27</v>
      </c>
      <c r="D760" s="8">
        <v>10013</v>
      </c>
      <c r="E760" s="8" t="str">
        <f>VLOOKUP($D760,'Customer Details'!$A$1:$F$17,4,FALSE)</f>
        <v>Naugatuck</v>
      </c>
      <c r="F760" s="8" t="s">
        <v>153</v>
      </c>
      <c r="G760" s="8">
        <v>1</v>
      </c>
      <c r="H760" s="2" t="str">
        <f>VLOOKUP($D760,'Customer Details'!$A$1:$F$17,MATCH('Order SUmmary'!H$2,'Customer Details'!$A$1:$F$1,0),0)</f>
        <v>GMR Infrastructure Ltd.</v>
      </c>
      <c r="I760" s="2" t="str">
        <f>VLOOKUP($D760,'Customer Details'!$A$1:$F$17,4,0)</f>
        <v>Naugatuck</v>
      </c>
      <c r="J760" s="2" t="str">
        <f>VLOOKUP($D760,'Customer Details'!$A$1:$F$17,6,0)</f>
        <v>06770</v>
      </c>
      <c r="K760" s="8" t="str">
        <f>VLOOKUP(VLOOKUP(D760,'Customer Details'!$A$1:$F$17,5,0),'Region INfo'!$A$1:$C$52,3,0)</f>
        <v xml:space="preserve">Northern </v>
      </c>
      <c r="L760" s="8" t="str">
        <f>INDEX(Product_List,MATCH($F760,'Product List'!$B$1:$B$299,0),MATCH('Order SUmmary'!L$2,'Product List'!$A$1:$E$1,0))</f>
        <v>LG G2</v>
      </c>
      <c r="M760" s="8">
        <f>INDEX(Product_List,MATCH($F760,'Product List'!$B$1:$B$299,0),MATCH('Order SUmmary'!M$2,'Product List'!$A$1:$E$1,0))</f>
        <v>4305</v>
      </c>
      <c r="N760" s="8">
        <f>INDEX(Product_List,MATCH($F760,'Product List'!$B$1:$B$299,0),MATCH('Order SUmmary'!N$2,'Product List'!$A$1:$E$1,0))</f>
        <v>1703</v>
      </c>
      <c r="O760" s="8" t="str">
        <f>INDEX(Product_List,MATCH($F760,'Product List'!$B$1:$B$299,0),MATCH('Order SUmmary'!O$2,'Product List'!$A$1:$E$1,0))</f>
        <v>Phones</v>
      </c>
      <c r="P760" s="12">
        <f>HLOOKUP(C760,'Commission Criteria'!$A$2:$I$4,3,FALSE)</f>
        <v>4</v>
      </c>
      <c r="Q760" s="8">
        <f t="shared" si="34"/>
        <v>1703</v>
      </c>
      <c r="R760" s="8">
        <f t="shared" si="35"/>
        <v>4305</v>
      </c>
      <c r="S760" s="36">
        <f>VLOOKUP(R760,'Commission Criteria'!$L$3:$M$11,2,TRUE)</f>
        <v>0.01</v>
      </c>
      <c r="T760" s="36">
        <f>IF(P760&lt;5,VLOOKUP(R760,'Commission Criteria'!$L$3:$M$11,2,1),VLOOKUP('Order SUmmary'!R760,'Commission Criteria'!$P$3:$Q$11,2,1))</f>
        <v>0.01</v>
      </c>
      <c r="U760" s="36">
        <f>VLOOKUP(R760,IF(P760&lt;5,'Commission Criteria'!$L$3:$M$11,'Commission Criteria'!$P$3:$Q$11),2,1)</f>
        <v>0.01</v>
      </c>
      <c r="V760" s="8" t="s">
        <v>29</v>
      </c>
      <c r="W760" s="36">
        <f t="shared" ca="1" si="36"/>
        <v>0.02</v>
      </c>
      <c r="X760" s="8" t="str">
        <f>_xlfn.XLOOKUP(F760,'Product List'!$B$1:$B$299,'Product List'!$A$1:$A$299)</f>
        <v>LG G2</v>
      </c>
      <c r="Y760" s="8"/>
      <c r="Z760" s="8" t="str" cm="1">
        <f t="array" ref="Z760:AD760">_xlfn.XLOOKUP(D760,'Customer Details'!$A$1:$A$17,'Customer Details'!$B$1:$F$17,"No such customer",0,1)</f>
        <v>GMR Infrastructure Ltd.</v>
      </c>
      <c r="AA760" s="8" t="str">
        <v>P.O. Box 4421</v>
      </c>
      <c r="AB760" s="8" t="str">
        <v>Naugatuck</v>
      </c>
      <c r="AC760" s="8" t="str">
        <v>CT</v>
      </c>
      <c r="AD760" s="8" t="str">
        <v>06770</v>
      </c>
    </row>
    <row r="761" spans="1:30">
      <c r="A761" s="8" t="s">
        <v>822</v>
      </c>
      <c r="B761" s="19">
        <v>41987</v>
      </c>
      <c r="C761" s="8" t="s">
        <v>46</v>
      </c>
      <c r="D761" s="8">
        <v>10004</v>
      </c>
      <c r="E761" s="8" t="str">
        <f>VLOOKUP($D761,'Customer Details'!$A$1:$F$17,4,FALSE)</f>
        <v>New York</v>
      </c>
      <c r="F761" s="8" t="s">
        <v>31</v>
      </c>
      <c r="G761" s="8">
        <v>3</v>
      </c>
      <c r="H761" s="2" t="str">
        <f>VLOOKUP($D761,'Customer Details'!$A$1:$F$17,MATCH('Order SUmmary'!H$2,'Customer Details'!$A$1:$F$1,0),0)</f>
        <v>Lupin Ltd.</v>
      </c>
      <c r="I761" s="2" t="str">
        <f>VLOOKUP($D761,'Customer Details'!$A$1:$F$17,4,0)</f>
        <v>New York</v>
      </c>
      <c r="J761" s="2" t="str">
        <f>VLOOKUP($D761,'Customer Details'!$A$1:$F$17,6,0)</f>
        <v>10019</v>
      </c>
      <c r="K761" s="8" t="str">
        <f>VLOOKUP(VLOOKUP(D761,'Customer Details'!$A$1:$F$17,5,0),'Region INfo'!$A$1:$C$52,3,0)</f>
        <v xml:space="preserve">Northern </v>
      </c>
      <c r="L761" s="8" t="str">
        <f>INDEX(Product_List,MATCH($F761,'Product List'!$B$1:$B$299,0),MATCH('Order SUmmary'!L$2,'Product List'!$A$1:$E$1,0))</f>
        <v>Avery 494</v>
      </c>
      <c r="M761" s="8">
        <f>INDEX(Product_List,MATCH($F761,'Product List'!$B$1:$B$299,0),MATCH('Order SUmmary'!M$2,'Product List'!$A$1:$E$1,0))</f>
        <v>2923</v>
      </c>
      <c r="N761" s="8">
        <f>INDEX(Product_List,MATCH($F761,'Product List'!$B$1:$B$299,0),MATCH('Order SUmmary'!N$2,'Product List'!$A$1:$E$1,0))</f>
        <v>2480</v>
      </c>
      <c r="O761" s="8" t="str">
        <f>INDEX(Product_List,MATCH($F761,'Product List'!$B$1:$B$299,0),MATCH('Order SUmmary'!O$2,'Product List'!$A$1:$E$1,0))</f>
        <v>Labels</v>
      </c>
      <c r="P761" s="12">
        <f>HLOOKUP(C761,'Commission Criteria'!$A$2:$I$4,3,FALSE)</f>
        <v>8</v>
      </c>
      <c r="Q761" s="8">
        <f t="shared" si="34"/>
        <v>7440</v>
      </c>
      <c r="R761" s="8">
        <f t="shared" si="35"/>
        <v>8769</v>
      </c>
      <c r="S761" s="36">
        <f>VLOOKUP(R761,'Commission Criteria'!$L$3:$M$11,2,TRUE)</f>
        <v>0.03</v>
      </c>
      <c r="T761" s="36">
        <f>IF(P761&lt;5,VLOOKUP(R761,'Commission Criteria'!$L$3:$M$11,2,1),VLOOKUP('Order SUmmary'!R761,'Commission Criteria'!$P$3:$Q$11,2,1))</f>
        <v>0.02</v>
      </c>
      <c r="U761" s="36">
        <f>VLOOKUP(R761,IF(P761&lt;5,'Commission Criteria'!$L$3:$M$11,'Commission Criteria'!$P$3:$Q$11),2,1)</f>
        <v>0.02</v>
      </c>
      <c r="V761" s="8" t="s">
        <v>50</v>
      </c>
      <c r="W761" s="36">
        <f t="shared" ca="1" si="36"/>
        <v>0.05</v>
      </c>
      <c r="X761" s="8" t="str">
        <f>_xlfn.XLOOKUP(F761,'Product List'!$B$1:$B$299,'Product List'!$A$1:$A$299)</f>
        <v>Avery 494</v>
      </c>
      <c r="Y761" s="8"/>
      <c r="Z761" s="8" t="str" cm="1">
        <f t="array" ref="Z761:AD761">_xlfn.XLOOKUP(D761,'Customer Details'!$A$1:$A$17,'Customer Details'!$B$1:$F$17,"No such customer",0,1)</f>
        <v>Lupin Ltd.</v>
      </c>
      <c r="AA761" s="8" t="str">
        <v>Abbey Wood</v>
      </c>
      <c r="AB761" s="8" t="str">
        <v>New York</v>
      </c>
      <c r="AC761" s="8" t="str">
        <v>NY</v>
      </c>
      <c r="AD761" s="8" t="str">
        <v>10019</v>
      </c>
    </row>
    <row r="762" spans="1:30">
      <c r="A762" s="8" t="s">
        <v>823</v>
      </c>
      <c r="B762" s="19">
        <v>41990</v>
      </c>
      <c r="C762" s="8" t="s">
        <v>54</v>
      </c>
      <c r="D762" s="8">
        <v>10002</v>
      </c>
      <c r="E762" s="8" t="str">
        <f>VLOOKUP($D762,'Customer Details'!$A$1:$F$17,4,FALSE)</f>
        <v>Omaha</v>
      </c>
      <c r="F762" s="8" t="s">
        <v>154</v>
      </c>
      <c r="G762" s="8">
        <v>1</v>
      </c>
      <c r="H762" s="2" t="str">
        <f>VLOOKUP($D762,'Customer Details'!$A$1:$F$17,MATCH('Order SUmmary'!H$2,'Customer Details'!$A$1:$F$1,0),0)</f>
        <v>Elder Pharmaceuticals</v>
      </c>
      <c r="I762" s="2" t="str">
        <f>VLOOKUP($D762,'Customer Details'!$A$1:$F$17,4,0)</f>
        <v>Omaha</v>
      </c>
      <c r="J762" s="2" t="str">
        <f>VLOOKUP($D762,'Customer Details'!$A$1:$F$17,6,0)</f>
        <v>68127</v>
      </c>
      <c r="K762" s="8" t="str">
        <f>VLOOKUP(VLOOKUP(D762,'Customer Details'!$A$1:$F$17,5,0),'Region INfo'!$A$1:$C$52,3,0)</f>
        <v>Western</v>
      </c>
      <c r="L762" s="8" t="str">
        <f>INDEX(Product_List,MATCH($F762,'Product List'!$B$1:$B$299,0),MATCH('Order SUmmary'!L$2,'Product List'!$A$1:$E$1,0))</f>
        <v>Xerox 228</v>
      </c>
      <c r="M762" s="8">
        <f>INDEX(Product_List,MATCH($F762,'Product List'!$B$1:$B$299,0),MATCH('Order SUmmary'!M$2,'Product List'!$A$1:$E$1,0))</f>
        <v>3912</v>
      </c>
      <c r="N762" s="8">
        <f>INDEX(Product_List,MATCH($F762,'Product List'!$B$1:$B$299,0),MATCH('Order SUmmary'!N$2,'Product List'!$A$1:$E$1,0))</f>
        <v>1569</v>
      </c>
      <c r="O762" s="8" t="str">
        <f>INDEX(Product_List,MATCH($F762,'Product List'!$B$1:$B$299,0),MATCH('Order SUmmary'!O$2,'Product List'!$A$1:$E$1,0))</f>
        <v>Paper</v>
      </c>
      <c r="P762" s="12">
        <f>HLOOKUP(C762,'Commission Criteria'!$A$2:$I$4,3,FALSE)</f>
        <v>3</v>
      </c>
      <c r="Q762" s="8">
        <f t="shared" si="34"/>
        <v>1569</v>
      </c>
      <c r="R762" s="8">
        <f t="shared" si="35"/>
        <v>3912</v>
      </c>
      <c r="S762" s="36">
        <f>VLOOKUP(R762,'Commission Criteria'!$L$3:$M$11,2,TRUE)</f>
        <v>0.01</v>
      </c>
      <c r="T762" s="36">
        <f>IF(P762&lt;5,VLOOKUP(R762,'Commission Criteria'!$L$3:$M$11,2,1),VLOOKUP('Order SUmmary'!R762,'Commission Criteria'!$P$3:$Q$11,2,1))</f>
        <v>0.01</v>
      </c>
      <c r="U762" s="36">
        <f>VLOOKUP(R762,IF(P762&lt;5,'Commission Criteria'!$L$3:$M$11,'Commission Criteria'!$P$3:$Q$11),2,1)</f>
        <v>0.01</v>
      </c>
      <c r="V762" s="8" t="s">
        <v>29</v>
      </c>
      <c r="W762" s="36">
        <f t="shared" ca="1" si="36"/>
        <v>0.02</v>
      </c>
      <c r="X762" s="8" t="str">
        <f>_xlfn.XLOOKUP(F762,'Product List'!$B$1:$B$299,'Product List'!$A$1:$A$299)</f>
        <v>Xerox 228</v>
      </c>
      <c r="Y762" s="8"/>
      <c r="Z762" s="8" t="str" cm="1">
        <f t="array" ref="Z762:AD762">_xlfn.XLOOKUP(D762,'Customer Details'!$A$1:$A$17,'Customer Details'!$B$1:$F$17,"No such customer",0,1)</f>
        <v>Elder Pharmaceuticals</v>
      </c>
      <c r="AA762" s="8" t="str">
        <v>57 Neriba Cres</v>
      </c>
      <c r="AB762" s="8" t="str">
        <v>Omaha</v>
      </c>
      <c r="AC762" s="8" t="str">
        <v>NE</v>
      </c>
      <c r="AD762" s="8" t="str">
        <v>68127</v>
      </c>
    </row>
    <row r="763" spans="1:30">
      <c r="A763" s="8" t="s">
        <v>824</v>
      </c>
      <c r="B763" s="19">
        <v>41991</v>
      </c>
      <c r="C763" s="8" t="s">
        <v>33</v>
      </c>
      <c r="D763" s="8">
        <v>10013</v>
      </c>
      <c r="E763" s="8" t="str">
        <f>VLOOKUP($D763,'Customer Details'!$A$1:$F$17,4,FALSE)</f>
        <v>Naugatuck</v>
      </c>
      <c r="F763" s="8" t="s">
        <v>160</v>
      </c>
      <c r="G763" s="8">
        <v>1</v>
      </c>
      <c r="H763" s="2" t="str">
        <f>VLOOKUP($D763,'Customer Details'!$A$1:$F$17,MATCH('Order SUmmary'!H$2,'Customer Details'!$A$1:$F$1,0),0)</f>
        <v>GMR Infrastructure Ltd.</v>
      </c>
      <c r="I763" s="2" t="str">
        <f>VLOOKUP($D763,'Customer Details'!$A$1:$F$17,4,0)</f>
        <v>Naugatuck</v>
      </c>
      <c r="J763" s="2" t="str">
        <f>VLOOKUP($D763,'Customer Details'!$A$1:$F$17,6,0)</f>
        <v>06770</v>
      </c>
      <c r="K763" s="8" t="str">
        <f>VLOOKUP(VLOOKUP(D763,'Customer Details'!$A$1:$F$17,5,0),'Region INfo'!$A$1:$C$52,3,0)</f>
        <v xml:space="preserve">Northern </v>
      </c>
      <c r="L763" s="8" t="str">
        <f>INDEX(Product_List,MATCH($F763,'Product List'!$B$1:$B$299,0),MATCH('Order SUmmary'!L$2,'Product List'!$A$1:$E$1,0))</f>
        <v>Newell 34</v>
      </c>
      <c r="M763" s="8">
        <f>INDEX(Product_List,MATCH($F763,'Product List'!$B$1:$B$299,0),MATCH('Order SUmmary'!M$2,'Product List'!$A$1:$E$1,0))</f>
        <v>2616</v>
      </c>
      <c r="N763" s="8">
        <f>INDEX(Product_List,MATCH($F763,'Product List'!$B$1:$B$299,0),MATCH('Order SUmmary'!N$2,'Product List'!$A$1:$E$1,0))</f>
        <v>1965</v>
      </c>
      <c r="O763" s="8" t="str">
        <f>INDEX(Product_List,MATCH($F763,'Product List'!$B$1:$B$299,0),MATCH('Order SUmmary'!O$2,'Product List'!$A$1:$E$1,0))</f>
        <v>Art</v>
      </c>
      <c r="P763" s="12">
        <f>HLOOKUP(C763,'Commission Criteria'!$A$2:$I$4,3,FALSE)</f>
        <v>1</v>
      </c>
      <c r="Q763" s="8">
        <f t="shared" si="34"/>
        <v>1965</v>
      </c>
      <c r="R763" s="8">
        <f t="shared" si="35"/>
        <v>2616</v>
      </c>
      <c r="S763" s="36">
        <f>VLOOKUP(R763,'Commission Criteria'!$L$3:$M$11,2,TRUE)</f>
        <v>0.01</v>
      </c>
      <c r="T763" s="36">
        <f>IF(P763&lt;5,VLOOKUP(R763,'Commission Criteria'!$L$3:$M$11,2,1),VLOOKUP('Order SUmmary'!R763,'Commission Criteria'!$P$3:$Q$11,2,1))</f>
        <v>0.01</v>
      </c>
      <c r="U763" s="36">
        <f>VLOOKUP(R763,IF(P763&lt;5,'Commission Criteria'!$L$3:$M$11,'Commission Criteria'!$P$3:$Q$11),2,1)</f>
        <v>0.01</v>
      </c>
      <c r="V763" s="8" t="s">
        <v>40</v>
      </c>
      <c r="W763" s="36">
        <f t="shared" ca="1" si="36"/>
        <v>0.01</v>
      </c>
      <c r="X763" s="8" t="str">
        <f>_xlfn.XLOOKUP(F763,'Product List'!$B$1:$B$299,'Product List'!$A$1:$A$299)</f>
        <v>Newell 34</v>
      </c>
      <c r="Y763" s="8"/>
      <c r="Z763" s="8" t="str" cm="1">
        <f t="array" ref="Z763:AD763">_xlfn.XLOOKUP(D763,'Customer Details'!$A$1:$A$17,'Customer Details'!$B$1:$F$17,"No such customer",0,1)</f>
        <v>GMR Infrastructure Ltd.</v>
      </c>
      <c r="AA763" s="8" t="str">
        <v>P.O. Box 4421</v>
      </c>
      <c r="AB763" s="8" t="str">
        <v>Naugatuck</v>
      </c>
      <c r="AC763" s="8" t="str">
        <v>CT</v>
      </c>
      <c r="AD763" s="8" t="str">
        <v>06770</v>
      </c>
    </row>
    <row r="764" spans="1:30">
      <c r="A764" s="8" t="s">
        <v>825</v>
      </c>
      <c r="B764" s="19">
        <v>41991</v>
      </c>
      <c r="C764" s="8" t="s">
        <v>54</v>
      </c>
      <c r="D764" s="8">
        <v>10011</v>
      </c>
      <c r="E764" s="8" t="str">
        <f>VLOOKUP($D764,'Customer Details'!$A$1:$F$17,4,FALSE)</f>
        <v>Olympia</v>
      </c>
      <c r="F764" s="8" t="s">
        <v>52</v>
      </c>
      <c r="G764" s="8">
        <v>1</v>
      </c>
      <c r="H764" s="2" t="str">
        <f>VLOOKUP($D764,'Customer Details'!$A$1:$F$17,MATCH('Order SUmmary'!H$2,'Customer Details'!$A$1:$F$1,0),0)</f>
        <v>Sonata Software</v>
      </c>
      <c r="I764" s="2" t="str">
        <f>VLOOKUP($D764,'Customer Details'!$A$1:$F$17,4,0)</f>
        <v>Olympia</v>
      </c>
      <c r="J764" s="2" t="str">
        <f>VLOOKUP($D764,'Customer Details'!$A$1:$F$17,6,0)</f>
        <v>98502</v>
      </c>
      <c r="K764" s="8" t="str">
        <f>VLOOKUP(VLOOKUP(D764,'Customer Details'!$A$1:$F$17,5,0),'Region INfo'!$A$1:$C$52,3,0)</f>
        <v xml:space="preserve">Pacific   </v>
      </c>
      <c r="L764" s="8" t="str">
        <f>INDEX(Product_List,MATCH($F764,'Product List'!$B$1:$B$299,0),MATCH('Order SUmmary'!L$2,'Product List'!$A$1:$E$1,0))</f>
        <v>Avery 520</v>
      </c>
      <c r="M764" s="8">
        <f>INDEX(Product_List,MATCH($F764,'Product List'!$B$1:$B$299,0),MATCH('Order SUmmary'!M$2,'Product List'!$A$1:$E$1,0))</f>
        <v>2718</v>
      </c>
      <c r="N764" s="8">
        <f>INDEX(Product_List,MATCH($F764,'Product List'!$B$1:$B$299,0),MATCH('Order SUmmary'!N$2,'Product List'!$A$1:$E$1,0))</f>
        <v>2254</v>
      </c>
      <c r="O764" s="8" t="str">
        <f>INDEX(Product_List,MATCH($F764,'Product List'!$B$1:$B$299,0),MATCH('Order SUmmary'!O$2,'Product List'!$A$1:$E$1,0))</f>
        <v>Labels</v>
      </c>
      <c r="P764" s="12">
        <f>HLOOKUP(C764,'Commission Criteria'!$A$2:$I$4,3,FALSE)</f>
        <v>3</v>
      </c>
      <c r="Q764" s="8">
        <f t="shared" si="34"/>
        <v>2254</v>
      </c>
      <c r="R764" s="8">
        <f t="shared" si="35"/>
        <v>2718</v>
      </c>
      <c r="S764" s="36">
        <f>VLOOKUP(R764,'Commission Criteria'!$L$3:$M$11,2,TRUE)</f>
        <v>0.01</v>
      </c>
      <c r="T764" s="36">
        <f>IF(P764&lt;5,VLOOKUP(R764,'Commission Criteria'!$L$3:$M$11,2,1),VLOOKUP('Order SUmmary'!R764,'Commission Criteria'!$P$3:$Q$11,2,1))</f>
        <v>0.01</v>
      </c>
      <c r="U764" s="36">
        <f>VLOOKUP(R764,IF(P764&lt;5,'Commission Criteria'!$L$3:$M$11,'Commission Criteria'!$P$3:$Q$11),2,1)</f>
        <v>0.01</v>
      </c>
      <c r="V764" s="8" t="s">
        <v>43</v>
      </c>
      <c r="W764" s="36">
        <f t="shared" ca="1" si="36"/>
        <v>0.04</v>
      </c>
      <c r="X764" s="8" t="str">
        <f>_xlfn.XLOOKUP(F764,'Product List'!$B$1:$B$299,'Product List'!$A$1:$A$299)</f>
        <v>Avery 520</v>
      </c>
      <c r="Y764" s="8"/>
      <c r="Z764" s="8" t="str" cm="1">
        <f t="array" ref="Z764:AD764">_xlfn.XLOOKUP(D764,'Customer Details'!$A$1:$A$17,'Customer Details'!$B$1:$F$17,"No such customer",0,1)</f>
        <v>Sonata Software</v>
      </c>
      <c r="AA764" s="8" t="str">
        <v>1331 Kimberly Dr.</v>
      </c>
      <c r="AB764" s="8" t="str">
        <v>Olympia</v>
      </c>
      <c r="AC764" s="8" t="str">
        <v>WA</v>
      </c>
      <c r="AD764" s="8" t="str">
        <v>98502</v>
      </c>
    </row>
    <row r="765" spans="1:30">
      <c r="A765" s="8" t="s">
        <v>824</v>
      </c>
      <c r="B765" s="19">
        <v>41991</v>
      </c>
      <c r="C765" s="8" t="s">
        <v>44</v>
      </c>
      <c r="D765" s="8">
        <v>10004</v>
      </c>
      <c r="E765" s="8" t="str">
        <f>VLOOKUP($D765,'Customer Details'!$A$1:$F$17,4,FALSE)</f>
        <v>New York</v>
      </c>
      <c r="F765" s="8" t="s">
        <v>348</v>
      </c>
      <c r="G765" s="8">
        <v>1</v>
      </c>
      <c r="H765" s="2" t="str">
        <f>VLOOKUP($D765,'Customer Details'!$A$1:$F$17,MATCH('Order SUmmary'!H$2,'Customer Details'!$A$1:$F$1,0),0)</f>
        <v>Lupin Ltd.</v>
      </c>
      <c r="I765" s="2" t="str">
        <f>VLOOKUP($D765,'Customer Details'!$A$1:$F$17,4,0)</f>
        <v>New York</v>
      </c>
      <c r="J765" s="2" t="str">
        <f>VLOOKUP($D765,'Customer Details'!$A$1:$F$17,6,0)</f>
        <v>10019</v>
      </c>
      <c r="K765" s="8" t="str">
        <f>VLOOKUP(VLOOKUP(D765,'Customer Details'!$A$1:$F$17,5,0),'Region INfo'!$A$1:$C$52,3,0)</f>
        <v xml:space="preserve">Northern </v>
      </c>
      <c r="L765" s="8" t="str">
        <f>INDEX(Product_List,MATCH($F765,'Product List'!$B$1:$B$299,0),MATCH('Order SUmmary'!L$2,'Product List'!$A$1:$E$1,0))</f>
        <v>Avery 512</v>
      </c>
      <c r="M765" s="8">
        <f>INDEX(Product_List,MATCH($F765,'Product List'!$B$1:$B$299,0),MATCH('Order SUmmary'!M$2,'Product List'!$A$1:$E$1,0))</f>
        <v>3507</v>
      </c>
      <c r="N765" s="8">
        <f>INDEX(Product_List,MATCH($F765,'Product List'!$B$1:$B$299,0),MATCH('Order SUmmary'!N$2,'Product List'!$A$1:$E$1,0))</f>
        <v>1643</v>
      </c>
      <c r="O765" s="8" t="str">
        <f>INDEX(Product_List,MATCH($F765,'Product List'!$B$1:$B$299,0),MATCH('Order SUmmary'!O$2,'Product List'!$A$1:$E$1,0))</f>
        <v>Labels</v>
      </c>
      <c r="P765" s="12">
        <f>HLOOKUP(C765,'Commission Criteria'!$A$2:$I$4,3,FALSE)</f>
        <v>4</v>
      </c>
      <c r="Q765" s="8">
        <f t="shared" si="34"/>
        <v>1643</v>
      </c>
      <c r="R765" s="8">
        <f t="shared" si="35"/>
        <v>3507</v>
      </c>
      <c r="S765" s="36">
        <f>VLOOKUP(R765,'Commission Criteria'!$L$3:$M$11,2,TRUE)</f>
        <v>0.01</v>
      </c>
      <c r="T765" s="36">
        <f>IF(P765&lt;5,VLOOKUP(R765,'Commission Criteria'!$L$3:$M$11,2,1),VLOOKUP('Order SUmmary'!R765,'Commission Criteria'!$P$3:$Q$11,2,1))</f>
        <v>0.01</v>
      </c>
      <c r="U765" s="36">
        <f>VLOOKUP(R765,IF(P765&lt;5,'Commission Criteria'!$L$3:$M$11,'Commission Criteria'!$P$3:$Q$11),2,1)</f>
        <v>0.01</v>
      </c>
      <c r="V765" s="8" t="s">
        <v>50</v>
      </c>
      <c r="W765" s="36">
        <f t="shared" ca="1" si="36"/>
        <v>0.01</v>
      </c>
      <c r="X765" s="8" t="str">
        <f>_xlfn.XLOOKUP(F765,'Product List'!$B$1:$B$299,'Product List'!$A$1:$A$299)</f>
        <v>Avery 512</v>
      </c>
      <c r="Y765" s="8"/>
      <c r="Z765" s="8" t="str" cm="1">
        <f t="array" ref="Z765:AD765">_xlfn.XLOOKUP(D765,'Customer Details'!$A$1:$A$17,'Customer Details'!$B$1:$F$17,"No such customer",0,1)</f>
        <v>Lupin Ltd.</v>
      </c>
      <c r="AA765" s="8" t="str">
        <v>Abbey Wood</v>
      </c>
      <c r="AB765" s="8" t="str">
        <v>New York</v>
      </c>
      <c r="AC765" s="8" t="str">
        <v>NY</v>
      </c>
      <c r="AD765" s="8" t="str">
        <v>10019</v>
      </c>
    </row>
    <row r="766" spans="1:30">
      <c r="A766" s="8" t="s">
        <v>826</v>
      </c>
      <c r="B766" s="19">
        <v>41991</v>
      </c>
      <c r="C766" s="8" t="s">
        <v>33</v>
      </c>
      <c r="D766" s="8">
        <v>10008</v>
      </c>
      <c r="E766" s="8" t="str">
        <f>VLOOKUP($D766,'Customer Details'!$A$1:$F$17,4,FALSE)</f>
        <v>Chestnut Ridge</v>
      </c>
      <c r="F766" s="8" t="s">
        <v>158</v>
      </c>
      <c r="G766" s="8">
        <v>1</v>
      </c>
      <c r="H766" s="2" t="str">
        <f>VLOOKUP($D766,'Customer Details'!$A$1:$F$17,MATCH('Order SUmmary'!H$2,'Customer Details'!$A$1:$F$1,0),0)</f>
        <v>Reliance Industries Limited</v>
      </c>
      <c r="I766" s="2" t="str">
        <f>VLOOKUP($D766,'Customer Details'!$A$1:$F$17,4,0)</f>
        <v>Chestnut Ridge</v>
      </c>
      <c r="J766" s="2" t="str">
        <f>VLOOKUP($D766,'Customer Details'!$A$1:$F$17,6,0)</f>
        <v>10977</v>
      </c>
      <c r="K766" s="8" t="str">
        <f>VLOOKUP(VLOOKUP(D766,'Customer Details'!$A$1:$F$17,5,0),'Region INfo'!$A$1:$C$52,3,0)</f>
        <v xml:space="preserve">Northern </v>
      </c>
      <c r="L766" s="8" t="str">
        <f>INDEX(Product_List,MATCH($F766,'Product List'!$B$1:$B$299,0),MATCH('Order SUmmary'!L$2,'Product List'!$A$1:$E$1,0))</f>
        <v>Vtech CS6719</v>
      </c>
      <c r="M766" s="8">
        <f>INDEX(Product_List,MATCH($F766,'Product List'!$B$1:$B$299,0),MATCH('Order SUmmary'!M$2,'Product List'!$A$1:$E$1,0))</f>
        <v>3553</v>
      </c>
      <c r="N766" s="8">
        <f>INDEX(Product_List,MATCH($F766,'Product List'!$B$1:$B$299,0),MATCH('Order SUmmary'!N$2,'Product List'!$A$1:$E$1,0))</f>
        <v>2174</v>
      </c>
      <c r="O766" s="8" t="str">
        <f>INDEX(Product_List,MATCH($F766,'Product List'!$B$1:$B$299,0),MATCH('Order SUmmary'!O$2,'Product List'!$A$1:$E$1,0))</f>
        <v>Phones</v>
      </c>
      <c r="P766" s="12">
        <f>HLOOKUP(C766,'Commission Criteria'!$A$2:$I$4,3,FALSE)</f>
        <v>1</v>
      </c>
      <c r="Q766" s="8">
        <f t="shared" si="34"/>
        <v>2174</v>
      </c>
      <c r="R766" s="8">
        <f t="shared" si="35"/>
        <v>3553</v>
      </c>
      <c r="S766" s="36">
        <f>VLOOKUP(R766,'Commission Criteria'!$L$3:$M$11,2,TRUE)</f>
        <v>0.01</v>
      </c>
      <c r="T766" s="36">
        <f>IF(P766&lt;5,VLOOKUP(R766,'Commission Criteria'!$L$3:$M$11,2,1),VLOOKUP('Order SUmmary'!R766,'Commission Criteria'!$P$3:$Q$11,2,1))</f>
        <v>0.01</v>
      </c>
      <c r="U766" s="36">
        <f>VLOOKUP(R766,IF(P766&lt;5,'Commission Criteria'!$L$3:$M$11,'Commission Criteria'!$P$3:$Q$11),2,1)</f>
        <v>0.01</v>
      </c>
      <c r="V766" s="8" t="s">
        <v>43</v>
      </c>
      <c r="W766" s="36">
        <f t="shared" ca="1" si="36"/>
        <v>0.03</v>
      </c>
      <c r="X766" s="8" t="str">
        <f>_xlfn.XLOOKUP(F766,'Product List'!$B$1:$B$299,'Product List'!$A$1:$A$299)</f>
        <v>Vtech CS6719</v>
      </c>
      <c r="Y766" s="8"/>
      <c r="Z766" s="8" t="str" cm="1">
        <f t="array" ref="Z766:AD766">_xlfn.XLOOKUP(D766,'Customer Details'!$A$1:$A$17,'Customer Details'!$B$1:$F$17,"No such customer",0,1)</f>
        <v>Reliance Industries Limited</v>
      </c>
      <c r="AA766" s="8" t="str">
        <v>12020 Shamrock Rd., Suite 333</v>
      </c>
      <c r="AB766" s="8" t="str">
        <v>Chestnut Ridge</v>
      </c>
      <c r="AC766" s="8" t="str">
        <v>NY</v>
      </c>
      <c r="AD766" s="8" t="str">
        <v>10977</v>
      </c>
    </row>
    <row r="767" spans="1:30">
      <c r="A767" s="8" t="s">
        <v>827</v>
      </c>
      <c r="B767" s="19">
        <v>41992</v>
      </c>
      <c r="C767" s="8" t="s">
        <v>27</v>
      </c>
      <c r="D767" s="8">
        <v>10008</v>
      </c>
      <c r="E767" s="8" t="str">
        <f>VLOOKUP($D767,'Customer Details'!$A$1:$F$17,4,FALSE)</f>
        <v>Chestnut Ridge</v>
      </c>
      <c r="F767" s="8" t="s">
        <v>464</v>
      </c>
      <c r="G767" s="8">
        <v>3</v>
      </c>
      <c r="H767" s="2" t="str">
        <f>VLOOKUP($D767,'Customer Details'!$A$1:$F$17,MATCH('Order SUmmary'!H$2,'Customer Details'!$A$1:$F$1,0),0)</f>
        <v>Reliance Industries Limited</v>
      </c>
      <c r="I767" s="2" t="str">
        <f>VLOOKUP($D767,'Customer Details'!$A$1:$F$17,4,0)</f>
        <v>Chestnut Ridge</v>
      </c>
      <c r="J767" s="2" t="str">
        <f>VLOOKUP($D767,'Customer Details'!$A$1:$F$17,6,0)</f>
        <v>10977</v>
      </c>
      <c r="K767" s="8" t="str">
        <f>VLOOKUP(VLOOKUP(D767,'Customer Details'!$A$1:$F$17,5,0),'Region INfo'!$A$1:$C$52,3,0)</f>
        <v xml:space="preserve">Northern </v>
      </c>
      <c r="L767" s="8" t="str">
        <f>INDEX(Product_List,MATCH($F767,'Product List'!$B$1:$B$299,0),MATCH('Order SUmmary'!L$2,'Product List'!$A$1:$E$1,0))</f>
        <v>Xerox 22</v>
      </c>
      <c r="M767" s="8">
        <f>INDEX(Product_List,MATCH($F767,'Product List'!$B$1:$B$299,0),MATCH('Order SUmmary'!M$2,'Product List'!$A$1:$E$1,0))</f>
        <v>3094</v>
      </c>
      <c r="N767" s="8">
        <f>INDEX(Product_List,MATCH($F767,'Product List'!$B$1:$B$299,0),MATCH('Order SUmmary'!N$2,'Product List'!$A$1:$E$1,0))</f>
        <v>2233</v>
      </c>
      <c r="O767" s="8" t="str">
        <f>INDEX(Product_List,MATCH($F767,'Product List'!$B$1:$B$299,0),MATCH('Order SUmmary'!O$2,'Product List'!$A$1:$E$1,0))</f>
        <v>Paper</v>
      </c>
      <c r="P767" s="12">
        <f>HLOOKUP(C767,'Commission Criteria'!$A$2:$I$4,3,FALSE)</f>
        <v>4</v>
      </c>
      <c r="Q767" s="8">
        <f t="shared" si="34"/>
        <v>6699</v>
      </c>
      <c r="R767" s="8">
        <f t="shared" si="35"/>
        <v>9282</v>
      </c>
      <c r="S767" s="36">
        <f>VLOOKUP(R767,'Commission Criteria'!$L$3:$M$11,2,TRUE)</f>
        <v>0.03</v>
      </c>
      <c r="T767" s="36">
        <f>IF(P767&lt;5,VLOOKUP(R767,'Commission Criteria'!$L$3:$M$11,2,1),VLOOKUP('Order SUmmary'!R767,'Commission Criteria'!$P$3:$Q$11,2,1))</f>
        <v>0.03</v>
      </c>
      <c r="U767" s="36">
        <f>VLOOKUP(R767,IF(P767&lt;5,'Commission Criteria'!$L$3:$M$11,'Commission Criteria'!$P$3:$Q$11),2,1)</f>
        <v>0.03</v>
      </c>
      <c r="V767" s="8" t="s">
        <v>35</v>
      </c>
      <c r="W767" s="36">
        <f t="shared" ca="1" si="36"/>
        <v>0.03</v>
      </c>
      <c r="X767" s="8" t="str">
        <f>_xlfn.XLOOKUP(F767,'Product List'!$B$1:$B$299,'Product List'!$A$1:$A$299)</f>
        <v>Xerox 22</v>
      </c>
      <c r="Y767" s="8"/>
      <c r="Z767" s="8" t="str" cm="1">
        <f t="array" ref="Z767:AD767">_xlfn.XLOOKUP(D767,'Customer Details'!$A$1:$A$17,'Customer Details'!$B$1:$F$17,"No such customer",0,1)</f>
        <v>Reliance Industries Limited</v>
      </c>
      <c r="AA767" s="8" t="str">
        <v>12020 Shamrock Rd., Suite 333</v>
      </c>
      <c r="AB767" s="8" t="str">
        <v>Chestnut Ridge</v>
      </c>
      <c r="AC767" s="8" t="str">
        <v>NY</v>
      </c>
      <c r="AD767" s="8" t="str">
        <v>10977</v>
      </c>
    </row>
    <row r="768" spans="1:30">
      <c r="A768" s="8" t="s">
        <v>828</v>
      </c>
      <c r="B768" s="19">
        <v>41993</v>
      </c>
      <c r="C768" s="8" t="s">
        <v>51</v>
      </c>
      <c r="D768" s="8">
        <v>10003</v>
      </c>
      <c r="E768" s="8" t="str">
        <f>VLOOKUP($D768,'Customer Details'!$A$1:$F$17,4,FALSE)</f>
        <v>Miami</v>
      </c>
      <c r="F768" s="8" t="s">
        <v>114</v>
      </c>
      <c r="G768" s="8">
        <v>1</v>
      </c>
      <c r="H768" s="2" t="str">
        <f>VLOOKUP($D768,'Customer Details'!$A$1:$F$17,MATCH('Order SUmmary'!H$2,'Customer Details'!$A$1:$F$1,0),0)</f>
        <v>Honeywell Automation</v>
      </c>
      <c r="I768" s="2" t="str">
        <f>VLOOKUP($D768,'Customer Details'!$A$1:$F$17,4,0)</f>
        <v>Miami</v>
      </c>
      <c r="J768" s="2" t="str">
        <f>VLOOKUP($D768,'Customer Details'!$A$1:$F$17,6,0)</f>
        <v>33732</v>
      </c>
      <c r="K768" s="8" t="str">
        <f>VLOOKUP(VLOOKUP(D768,'Customer Details'!$A$1:$F$17,5,0),'Region INfo'!$A$1:$C$52,3,0)</f>
        <v>Southern</v>
      </c>
      <c r="L768" s="8" t="str">
        <f>INDEX(Product_List,MATCH($F768,'Product List'!$B$1:$B$299,0),MATCH('Order SUmmary'!L$2,'Product List'!$A$1:$E$1,0))</f>
        <v>Xerox 1910</v>
      </c>
      <c r="M768" s="8">
        <f>INDEX(Product_List,MATCH($F768,'Product List'!$B$1:$B$299,0),MATCH('Order SUmmary'!M$2,'Product List'!$A$1:$E$1,0))</f>
        <v>2588</v>
      </c>
      <c r="N768" s="8">
        <f>INDEX(Product_List,MATCH($F768,'Product List'!$B$1:$B$299,0),MATCH('Order SUmmary'!N$2,'Product List'!$A$1:$E$1,0))</f>
        <v>2069</v>
      </c>
      <c r="O768" s="8" t="str">
        <f>INDEX(Product_List,MATCH($F768,'Product List'!$B$1:$B$299,0),MATCH('Order SUmmary'!O$2,'Product List'!$A$1:$E$1,0))</f>
        <v>Paper</v>
      </c>
      <c r="P768" s="12">
        <f>HLOOKUP(C768,'Commission Criteria'!$A$2:$I$4,3,FALSE)</f>
        <v>10</v>
      </c>
      <c r="Q768" s="8">
        <f t="shared" si="34"/>
        <v>2069</v>
      </c>
      <c r="R768" s="8">
        <f t="shared" si="35"/>
        <v>2588</v>
      </c>
      <c r="S768" s="36">
        <f>VLOOKUP(R768,'Commission Criteria'!$L$3:$M$11,2,TRUE)</f>
        <v>0.01</v>
      </c>
      <c r="T768" s="36">
        <f>IF(P768&lt;5,VLOOKUP(R768,'Commission Criteria'!$L$3:$M$11,2,1),VLOOKUP('Order SUmmary'!R768,'Commission Criteria'!$P$3:$Q$11,2,1))</f>
        <v>0.02</v>
      </c>
      <c r="U768" s="36">
        <f>VLOOKUP(R768,IF(P768&lt;5,'Commission Criteria'!$L$3:$M$11,'Commission Criteria'!$P$3:$Q$11),2,1)</f>
        <v>0.02</v>
      </c>
      <c r="V768" s="8" t="s">
        <v>50</v>
      </c>
      <c r="W768" s="36">
        <f t="shared" ca="1" si="36"/>
        <v>0.04</v>
      </c>
      <c r="X768" s="8" t="str">
        <f>_xlfn.XLOOKUP(F768,'Product List'!$B$1:$B$299,'Product List'!$A$1:$A$299)</f>
        <v>Xerox 1910</v>
      </c>
      <c r="Y768" s="8"/>
      <c r="Z768" s="8" t="str" cm="1">
        <f t="array" ref="Z768:AD768">_xlfn.XLOOKUP(D768,'Customer Details'!$A$1:$A$17,'Customer Details'!$B$1:$F$17,"No such customer",0,1)</f>
        <v>Honeywell Automation</v>
      </c>
      <c r="AA768" s="8" t="str">
        <v>1272 Harbor Road</v>
      </c>
      <c r="AB768" s="8" t="str">
        <v>Miami</v>
      </c>
      <c r="AC768" s="8" t="str">
        <v>FL</v>
      </c>
      <c r="AD768" s="8" t="str">
        <v>33732</v>
      </c>
    </row>
    <row r="769" spans="1:30">
      <c r="A769" s="8" t="s">
        <v>829</v>
      </c>
      <c r="B769" s="19">
        <v>41994</v>
      </c>
      <c r="C769" s="8" t="s">
        <v>33</v>
      </c>
      <c r="D769" s="8">
        <v>10013</v>
      </c>
      <c r="E769" s="8" t="str">
        <f>VLOOKUP($D769,'Customer Details'!$A$1:$F$17,4,FALSE)</f>
        <v>Naugatuck</v>
      </c>
      <c r="F769" s="8" t="s">
        <v>830</v>
      </c>
      <c r="G769" s="8">
        <v>1</v>
      </c>
      <c r="H769" s="2" t="str">
        <f>VLOOKUP($D769,'Customer Details'!$A$1:$F$17,MATCH('Order SUmmary'!H$2,'Customer Details'!$A$1:$F$1,0),0)</f>
        <v>GMR Infrastructure Ltd.</v>
      </c>
      <c r="I769" s="2" t="str">
        <f>VLOOKUP($D769,'Customer Details'!$A$1:$F$17,4,0)</f>
        <v>Naugatuck</v>
      </c>
      <c r="J769" s="2" t="str">
        <f>VLOOKUP($D769,'Customer Details'!$A$1:$F$17,6,0)</f>
        <v>06770</v>
      </c>
      <c r="K769" s="8" t="str">
        <f>VLOOKUP(VLOOKUP(D769,'Customer Details'!$A$1:$F$17,5,0),'Region INfo'!$A$1:$C$52,3,0)</f>
        <v xml:space="preserve">Northern </v>
      </c>
      <c r="L769" s="8" t="str">
        <f>INDEX(Product_List,MATCH($F769,'Product List'!$B$1:$B$299,0),MATCH('Order SUmmary'!L$2,'Product List'!$A$1:$E$1,0))</f>
        <v>Xerox 1925</v>
      </c>
      <c r="M769" s="8">
        <f>INDEX(Product_List,MATCH($F769,'Product List'!$B$1:$B$299,0),MATCH('Order SUmmary'!M$2,'Product List'!$A$1:$E$1,0))</f>
        <v>3742</v>
      </c>
      <c r="N769" s="8">
        <f>INDEX(Product_List,MATCH($F769,'Product List'!$B$1:$B$299,0),MATCH('Order SUmmary'!N$2,'Product List'!$A$1:$E$1,0))</f>
        <v>2309</v>
      </c>
      <c r="O769" s="8" t="str">
        <f>INDEX(Product_List,MATCH($F769,'Product List'!$B$1:$B$299,0),MATCH('Order SUmmary'!O$2,'Product List'!$A$1:$E$1,0))</f>
        <v>Paper</v>
      </c>
      <c r="P769" s="12">
        <f>HLOOKUP(C769,'Commission Criteria'!$A$2:$I$4,3,FALSE)</f>
        <v>1</v>
      </c>
      <c r="Q769" s="8">
        <f t="shared" si="34"/>
        <v>2309</v>
      </c>
      <c r="R769" s="8">
        <f t="shared" si="35"/>
        <v>3742</v>
      </c>
      <c r="S769" s="36">
        <f>VLOOKUP(R769,'Commission Criteria'!$L$3:$M$11,2,TRUE)</f>
        <v>0.01</v>
      </c>
      <c r="T769" s="36">
        <f>IF(P769&lt;5,VLOOKUP(R769,'Commission Criteria'!$L$3:$M$11,2,1),VLOOKUP('Order SUmmary'!R769,'Commission Criteria'!$P$3:$Q$11,2,1))</f>
        <v>0.01</v>
      </c>
      <c r="U769" s="36">
        <f>VLOOKUP(R769,IF(P769&lt;5,'Commission Criteria'!$L$3:$M$11,'Commission Criteria'!$P$3:$Q$11),2,1)</f>
        <v>0.01</v>
      </c>
      <c r="V769" s="8" t="s">
        <v>32</v>
      </c>
      <c r="W769" s="36">
        <f t="shared" ca="1" si="36"/>
        <v>0</v>
      </c>
      <c r="X769" s="8" t="str">
        <f>_xlfn.XLOOKUP(F769,'Product List'!$B$1:$B$299,'Product List'!$A$1:$A$299)</f>
        <v>Xerox 1925</v>
      </c>
      <c r="Y769" s="8"/>
      <c r="Z769" s="8" t="str" cm="1">
        <f t="array" ref="Z769:AD769">_xlfn.XLOOKUP(D769,'Customer Details'!$A$1:$A$17,'Customer Details'!$B$1:$F$17,"No such customer",0,1)</f>
        <v>GMR Infrastructure Ltd.</v>
      </c>
      <c r="AA769" s="8" t="str">
        <v>P.O. Box 4421</v>
      </c>
      <c r="AB769" s="8" t="str">
        <v>Naugatuck</v>
      </c>
      <c r="AC769" s="8" t="str">
        <v>CT</v>
      </c>
      <c r="AD769" s="8" t="str">
        <v>06770</v>
      </c>
    </row>
    <row r="770" spans="1:30">
      <c r="A770" s="8" t="s">
        <v>829</v>
      </c>
      <c r="B770" s="19">
        <v>41994</v>
      </c>
      <c r="C770" s="8" t="s">
        <v>51</v>
      </c>
      <c r="D770" s="8">
        <v>10009</v>
      </c>
      <c r="E770" s="8" t="str">
        <f>VLOOKUP($D770,'Customer Details'!$A$1:$F$17,4,FALSE)</f>
        <v>Salt Lake City</v>
      </c>
      <c r="F770" s="8" t="s">
        <v>449</v>
      </c>
      <c r="G770" s="8">
        <v>2</v>
      </c>
      <c r="H770" s="2" t="str">
        <f>VLOOKUP($D770,'Customer Details'!$A$1:$F$17,MATCH('Order SUmmary'!H$2,'Customer Details'!$A$1:$F$1,0),0)</f>
        <v>Godfrey Philips India Ltd.</v>
      </c>
      <c r="I770" s="2" t="str">
        <f>VLOOKUP($D770,'Customer Details'!$A$1:$F$17,4,0)</f>
        <v>Salt Lake City</v>
      </c>
      <c r="J770" s="2" t="str">
        <f>VLOOKUP($D770,'Customer Details'!$A$1:$F$17,6,0)</f>
        <v>84118</v>
      </c>
      <c r="K770" s="8" t="str">
        <f>VLOOKUP(VLOOKUP(D770,'Customer Details'!$A$1:$F$17,5,0),'Region INfo'!$A$1:$C$52,3,0)</f>
        <v xml:space="preserve">Pacific   </v>
      </c>
      <c r="L770" s="8" t="str">
        <f>INDEX(Product_List,MATCH($F770,'Product List'!$B$1:$B$299,0),MATCH('Order SUmmary'!L$2,'Product List'!$A$1:$E$1,0))</f>
        <v>AT&amp;T CL82213</v>
      </c>
      <c r="M770" s="8">
        <f>INDEX(Product_List,MATCH($F770,'Product List'!$B$1:$B$299,0),MATCH('Order SUmmary'!M$2,'Product List'!$A$1:$E$1,0))</f>
        <v>3759</v>
      </c>
      <c r="N770" s="8">
        <f>INDEX(Product_List,MATCH($F770,'Product List'!$B$1:$B$299,0),MATCH('Order SUmmary'!N$2,'Product List'!$A$1:$E$1,0))</f>
        <v>2258</v>
      </c>
      <c r="O770" s="8" t="str">
        <f>INDEX(Product_List,MATCH($F770,'Product List'!$B$1:$B$299,0),MATCH('Order SUmmary'!O$2,'Product List'!$A$1:$E$1,0))</f>
        <v>Phones</v>
      </c>
      <c r="P770" s="12">
        <f>HLOOKUP(C770,'Commission Criteria'!$A$2:$I$4,3,FALSE)</f>
        <v>10</v>
      </c>
      <c r="Q770" s="8">
        <f t="shared" si="34"/>
        <v>4516</v>
      </c>
      <c r="R770" s="8">
        <f t="shared" si="35"/>
        <v>7518</v>
      </c>
      <c r="S770" s="36">
        <f>VLOOKUP(R770,'Commission Criteria'!$L$3:$M$11,2,TRUE)</f>
        <v>0.03</v>
      </c>
      <c r="T770" s="36">
        <f>IF(P770&lt;5,VLOOKUP(R770,'Commission Criteria'!$L$3:$M$11,2,1),VLOOKUP('Order SUmmary'!R770,'Commission Criteria'!$P$3:$Q$11,2,1))</f>
        <v>0.02</v>
      </c>
      <c r="U770" s="36">
        <f>VLOOKUP(R770,IF(P770&lt;5,'Commission Criteria'!$L$3:$M$11,'Commission Criteria'!$P$3:$Q$11),2,1)</f>
        <v>0.02</v>
      </c>
      <c r="V770" s="8" t="s">
        <v>43</v>
      </c>
      <c r="W770" s="36">
        <f t="shared" ca="1" si="36"/>
        <v>0.02</v>
      </c>
      <c r="X770" s="8" t="str">
        <f>_xlfn.XLOOKUP(F770,'Product List'!$B$1:$B$299,'Product List'!$A$1:$A$299)</f>
        <v>AT&amp;T CL82213</v>
      </c>
      <c r="Y770" s="8"/>
      <c r="Z770" s="8" t="str" cm="1">
        <f t="array" ref="Z770:AD770">_xlfn.XLOOKUP(D770,'Customer Details'!$A$1:$A$17,'Customer Details'!$B$1:$F$17,"No such customer",0,1)</f>
        <v>Godfrey Philips India Ltd.</v>
      </c>
      <c r="AA770" s="8" t="str">
        <v>20501 Ania Ave #2</v>
      </c>
      <c r="AB770" s="8" t="str">
        <v>Salt Lake City</v>
      </c>
      <c r="AC770" s="8" t="str">
        <v>UT</v>
      </c>
      <c r="AD770" s="8" t="str">
        <v>84118</v>
      </c>
    </row>
    <row r="771" spans="1:30">
      <c r="A771" s="8" t="s">
        <v>831</v>
      </c>
      <c r="B771" s="19">
        <v>41995</v>
      </c>
      <c r="C771" s="8" t="s">
        <v>27</v>
      </c>
      <c r="D771" s="8">
        <v>10002</v>
      </c>
      <c r="E771" s="8" t="str">
        <f>VLOOKUP($D771,'Customer Details'!$A$1:$F$17,4,FALSE)</f>
        <v>Omaha</v>
      </c>
      <c r="F771" s="8" t="s">
        <v>583</v>
      </c>
      <c r="G771" s="8">
        <v>1</v>
      </c>
      <c r="H771" s="2" t="str">
        <f>VLOOKUP($D771,'Customer Details'!$A$1:$F$17,MATCH('Order SUmmary'!H$2,'Customer Details'!$A$1:$F$1,0),0)</f>
        <v>Elder Pharmaceuticals</v>
      </c>
      <c r="I771" s="2" t="str">
        <f>VLOOKUP($D771,'Customer Details'!$A$1:$F$17,4,0)</f>
        <v>Omaha</v>
      </c>
      <c r="J771" s="2" t="str">
        <f>VLOOKUP($D771,'Customer Details'!$A$1:$F$17,6,0)</f>
        <v>68127</v>
      </c>
      <c r="K771" s="8" t="str">
        <f>VLOOKUP(VLOOKUP(D771,'Customer Details'!$A$1:$F$17,5,0),'Region INfo'!$A$1:$C$52,3,0)</f>
        <v>Western</v>
      </c>
      <c r="L771" s="8" t="str">
        <f>INDEX(Product_List,MATCH($F771,'Product List'!$B$1:$B$299,0),MATCH('Order SUmmary'!L$2,'Product List'!$A$1:$E$1,0))</f>
        <v>Cisco SPA508G</v>
      </c>
      <c r="M771" s="8">
        <f>INDEX(Product_List,MATCH($F771,'Product List'!$B$1:$B$299,0),MATCH('Order SUmmary'!M$2,'Product List'!$A$1:$E$1,0))</f>
        <v>4466</v>
      </c>
      <c r="N771" s="8">
        <f>INDEX(Product_List,MATCH($F771,'Product List'!$B$1:$B$299,0),MATCH('Order SUmmary'!N$2,'Product List'!$A$1:$E$1,0))</f>
        <v>1984</v>
      </c>
      <c r="O771" s="8" t="str">
        <f>INDEX(Product_List,MATCH($F771,'Product List'!$B$1:$B$299,0),MATCH('Order SUmmary'!O$2,'Product List'!$A$1:$E$1,0))</f>
        <v>Phones</v>
      </c>
      <c r="P771" s="12">
        <f>HLOOKUP(C771,'Commission Criteria'!$A$2:$I$4,3,FALSE)</f>
        <v>4</v>
      </c>
      <c r="Q771" s="8">
        <f t="shared" si="34"/>
        <v>1984</v>
      </c>
      <c r="R771" s="8">
        <f t="shared" si="35"/>
        <v>4466</v>
      </c>
      <c r="S771" s="36">
        <f>VLOOKUP(R771,'Commission Criteria'!$L$3:$M$11,2,TRUE)</f>
        <v>0.01</v>
      </c>
      <c r="T771" s="36">
        <f>IF(P771&lt;5,VLOOKUP(R771,'Commission Criteria'!$L$3:$M$11,2,1),VLOOKUP('Order SUmmary'!R771,'Commission Criteria'!$P$3:$Q$11,2,1))</f>
        <v>0.01</v>
      </c>
      <c r="U771" s="36">
        <f>VLOOKUP(R771,IF(P771&lt;5,'Commission Criteria'!$L$3:$M$11,'Commission Criteria'!$P$3:$Q$11),2,1)</f>
        <v>0.01</v>
      </c>
      <c r="V771" s="8" t="s">
        <v>32</v>
      </c>
      <c r="W771" s="36">
        <f t="shared" ca="1" si="36"/>
        <v>0.01</v>
      </c>
      <c r="X771" s="8" t="str">
        <f>_xlfn.XLOOKUP(F771,'Product List'!$B$1:$B$299,'Product List'!$A$1:$A$299)</f>
        <v>Cisco SPA508G</v>
      </c>
      <c r="Y771" s="8"/>
      <c r="Z771" s="8" t="str" cm="1">
        <f t="array" ref="Z771:AD771">_xlfn.XLOOKUP(D771,'Customer Details'!$A$1:$A$17,'Customer Details'!$B$1:$F$17,"No such customer",0,1)</f>
        <v>Elder Pharmaceuticals</v>
      </c>
      <c r="AA771" s="8" t="str">
        <v>57 Neriba Cres</v>
      </c>
      <c r="AB771" s="8" t="str">
        <v>Omaha</v>
      </c>
      <c r="AC771" s="8" t="str">
        <v>NE</v>
      </c>
      <c r="AD771" s="8" t="str">
        <v>68127</v>
      </c>
    </row>
    <row r="772" spans="1:30">
      <c r="A772" s="8" t="s">
        <v>832</v>
      </c>
      <c r="B772" s="19">
        <v>41996</v>
      </c>
      <c r="C772" s="8" t="s">
        <v>46</v>
      </c>
      <c r="D772" s="8">
        <v>10013</v>
      </c>
      <c r="E772" s="8" t="str">
        <f>VLOOKUP($D772,'Customer Details'!$A$1:$F$17,4,FALSE)</f>
        <v>Naugatuck</v>
      </c>
      <c r="F772" s="8" t="s">
        <v>176</v>
      </c>
      <c r="G772" s="8">
        <v>1</v>
      </c>
      <c r="H772" s="2" t="str">
        <f>VLOOKUP($D772,'Customer Details'!$A$1:$F$17,MATCH('Order SUmmary'!H$2,'Customer Details'!$A$1:$F$1,0),0)</f>
        <v>GMR Infrastructure Ltd.</v>
      </c>
      <c r="I772" s="2" t="str">
        <f>VLOOKUP($D772,'Customer Details'!$A$1:$F$17,4,0)</f>
        <v>Naugatuck</v>
      </c>
      <c r="J772" s="2" t="str">
        <f>VLOOKUP($D772,'Customer Details'!$A$1:$F$17,6,0)</f>
        <v>06770</v>
      </c>
      <c r="K772" s="8" t="str">
        <f>VLOOKUP(VLOOKUP(D772,'Customer Details'!$A$1:$F$17,5,0),'Region INfo'!$A$1:$C$52,3,0)</f>
        <v xml:space="preserve">Northern </v>
      </c>
      <c r="L772" s="8" t="str">
        <f>INDEX(Product_List,MATCH($F772,'Product List'!$B$1:$B$299,0),MATCH('Order SUmmary'!L$2,'Product List'!$A$1:$E$1,0))</f>
        <v>Xerox 1989</v>
      </c>
      <c r="M772" s="8">
        <f>INDEX(Product_List,MATCH($F772,'Product List'!$B$1:$B$299,0),MATCH('Order SUmmary'!M$2,'Product List'!$A$1:$E$1,0))</f>
        <v>3100</v>
      </c>
      <c r="N772" s="8">
        <f>INDEX(Product_List,MATCH($F772,'Product List'!$B$1:$B$299,0),MATCH('Order SUmmary'!N$2,'Product List'!$A$1:$E$1,0))</f>
        <v>2261</v>
      </c>
      <c r="O772" s="8" t="str">
        <f>INDEX(Product_List,MATCH($F772,'Product List'!$B$1:$B$299,0),MATCH('Order SUmmary'!O$2,'Product List'!$A$1:$E$1,0))</f>
        <v>Paper</v>
      </c>
      <c r="P772" s="12">
        <f>HLOOKUP(C772,'Commission Criteria'!$A$2:$I$4,3,FALSE)</f>
        <v>8</v>
      </c>
      <c r="Q772" s="8">
        <f t="shared" ref="Q772:Q835" si="37">N772*G772</f>
        <v>2261</v>
      </c>
      <c r="R772" s="8">
        <f t="shared" ref="R772:R835" si="38">M772*G772</f>
        <v>3100</v>
      </c>
      <c r="S772" s="36">
        <f>VLOOKUP(R772,'Commission Criteria'!$L$3:$M$11,2,TRUE)</f>
        <v>0.01</v>
      </c>
      <c r="T772" s="36">
        <f>IF(P772&lt;5,VLOOKUP(R772,'Commission Criteria'!$L$3:$M$11,2,1),VLOOKUP('Order SUmmary'!R772,'Commission Criteria'!$P$3:$Q$11,2,1))</f>
        <v>0.02</v>
      </c>
      <c r="U772" s="36">
        <f>VLOOKUP(R772,IF(P772&lt;5,'Commission Criteria'!$L$3:$M$11,'Commission Criteria'!$P$3:$Q$11),2,1)</f>
        <v>0.02</v>
      </c>
      <c r="V772" s="8" t="s">
        <v>32</v>
      </c>
      <c r="W772" s="36">
        <f t="shared" ref="W772:W835" ca="1" si="39">VLOOKUP(F772,INDIRECT(V772&amp;"!$A$1:$B$296"),2,0)</f>
        <v>0.02</v>
      </c>
      <c r="X772" s="8" t="str">
        <f>_xlfn.XLOOKUP(F772,'Product List'!$B$1:$B$299,'Product List'!$A$1:$A$299)</f>
        <v>Xerox 1989</v>
      </c>
      <c r="Y772" s="8"/>
      <c r="Z772" s="8" t="str" cm="1">
        <f t="array" ref="Z772:AD772">_xlfn.XLOOKUP(D772,'Customer Details'!$A$1:$A$17,'Customer Details'!$B$1:$F$17,"No such customer",0,1)</f>
        <v>GMR Infrastructure Ltd.</v>
      </c>
      <c r="AA772" s="8" t="str">
        <v>P.O. Box 4421</v>
      </c>
      <c r="AB772" s="8" t="str">
        <v>Naugatuck</v>
      </c>
      <c r="AC772" s="8" t="str">
        <v>CT</v>
      </c>
      <c r="AD772" s="8" t="str">
        <v>06770</v>
      </c>
    </row>
    <row r="773" spans="1:30">
      <c r="A773" s="8" t="s">
        <v>832</v>
      </c>
      <c r="B773" s="19">
        <v>41996</v>
      </c>
      <c r="C773" s="8" t="s">
        <v>36</v>
      </c>
      <c r="D773" s="8">
        <v>10005</v>
      </c>
      <c r="E773" s="8" t="str">
        <f>VLOOKUP($D773,'Customer Details'!$A$1:$F$17,4,FALSE)</f>
        <v>Goleta</v>
      </c>
      <c r="F773" s="8" t="s">
        <v>285</v>
      </c>
      <c r="G773" s="8">
        <v>1</v>
      </c>
      <c r="H773" s="2" t="str">
        <f>VLOOKUP($D773,'Customer Details'!$A$1:$F$17,MATCH('Order SUmmary'!H$2,'Customer Details'!$A$1:$F$1,0),0)</f>
        <v>Fortis Healthcare Ltd.</v>
      </c>
      <c r="I773" s="2" t="str">
        <f>VLOOKUP($D773,'Customer Details'!$A$1:$F$17,4,0)</f>
        <v>Goleta</v>
      </c>
      <c r="J773" s="2" t="str">
        <f>VLOOKUP($D773,'Customer Details'!$A$1:$F$17,6,0)</f>
        <v>93117</v>
      </c>
      <c r="K773" s="8" t="str">
        <f>VLOOKUP(VLOOKUP(D773,'Customer Details'!$A$1:$F$17,5,0),'Region INfo'!$A$1:$C$52,3,0)</f>
        <v xml:space="preserve">Pacific   </v>
      </c>
      <c r="L773" s="8" t="str">
        <f>INDEX(Product_List,MATCH($F773,'Product List'!$B$1:$B$299,0),MATCH('Order SUmmary'!L$2,'Product List'!$A$1:$E$1,0))</f>
        <v>Newell 344</v>
      </c>
      <c r="M773" s="8">
        <f>INDEX(Product_List,MATCH($F773,'Product List'!$B$1:$B$299,0),MATCH('Order SUmmary'!M$2,'Product List'!$A$1:$E$1,0))</f>
        <v>3282</v>
      </c>
      <c r="N773" s="8">
        <f>INDEX(Product_List,MATCH($F773,'Product List'!$B$1:$B$299,0),MATCH('Order SUmmary'!N$2,'Product List'!$A$1:$E$1,0))</f>
        <v>1654</v>
      </c>
      <c r="O773" s="8" t="str">
        <f>INDEX(Product_List,MATCH($F773,'Product List'!$B$1:$B$299,0),MATCH('Order SUmmary'!O$2,'Product List'!$A$1:$E$1,0))</f>
        <v>Art</v>
      </c>
      <c r="P773" s="12">
        <f>HLOOKUP(C773,'Commission Criteria'!$A$2:$I$4,3,FALSE)</f>
        <v>6</v>
      </c>
      <c r="Q773" s="8">
        <f t="shared" si="37"/>
        <v>1654</v>
      </c>
      <c r="R773" s="8">
        <f t="shared" si="38"/>
        <v>3282</v>
      </c>
      <c r="S773" s="36">
        <f>VLOOKUP(R773,'Commission Criteria'!$L$3:$M$11,2,TRUE)</f>
        <v>0.01</v>
      </c>
      <c r="T773" s="36">
        <f>IF(P773&lt;5,VLOOKUP(R773,'Commission Criteria'!$L$3:$M$11,2,1),VLOOKUP('Order SUmmary'!R773,'Commission Criteria'!$P$3:$Q$11,2,1))</f>
        <v>0.02</v>
      </c>
      <c r="U773" s="36">
        <f>VLOOKUP(R773,IF(P773&lt;5,'Commission Criteria'!$L$3:$M$11,'Commission Criteria'!$P$3:$Q$11),2,1)</f>
        <v>0.02</v>
      </c>
      <c r="V773" s="8" t="s">
        <v>32</v>
      </c>
      <c r="W773" s="36">
        <f t="shared" ca="1" si="39"/>
        <v>0.03</v>
      </c>
      <c r="X773" s="8" t="str">
        <f>_xlfn.XLOOKUP(F773,'Product List'!$B$1:$B$299,'Product List'!$A$1:$A$299)</f>
        <v>Newell 344</v>
      </c>
      <c r="Y773" s="8"/>
      <c r="Z773" s="8" t="str" cm="1">
        <f t="array" ref="Z773:AD773">_xlfn.XLOOKUP(D773,'Customer Details'!$A$1:$A$17,'Customer Details'!$B$1:$F$17,"No such customer",0,1)</f>
        <v>Fortis Healthcare Ltd.</v>
      </c>
      <c r="AA773" s="8" t="str">
        <v>14 Elsworthy Terrace</v>
      </c>
      <c r="AB773" s="8" t="str">
        <v>Goleta</v>
      </c>
      <c r="AC773" s="8" t="str">
        <v>CA</v>
      </c>
      <c r="AD773" s="8" t="str">
        <v>93117</v>
      </c>
    </row>
    <row r="774" spans="1:30">
      <c r="A774" s="8" t="s">
        <v>832</v>
      </c>
      <c r="B774" s="19">
        <v>41996</v>
      </c>
      <c r="C774" s="8" t="s">
        <v>54</v>
      </c>
      <c r="D774" s="8">
        <v>10003</v>
      </c>
      <c r="E774" s="8" t="str">
        <f>VLOOKUP($D774,'Customer Details'!$A$1:$F$17,4,FALSE)</f>
        <v>Miami</v>
      </c>
      <c r="F774" s="8" t="s">
        <v>455</v>
      </c>
      <c r="G774" s="8">
        <v>1</v>
      </c>
      <c r="H774" s="2" t="str">
        <f>VLOOKUP($D774,'Customer Details'!$A$1:$F$17,MATCH('Order SUmmary'!H$2,'Customer Details'!$A$1:$F$1,0),0)</f>
        <v>Honeywell Automation</v>
      </c>
      <c r="I774" s="2" t="str">
        <f>VLOOKUP($D774,'Customer Details'!$A$1:$F$17,4,0)</f>
        <v>Miami</v>
      </c>
      <c r="J774" s="2" t="str">
        <f>VLOOKUP($D774,'Customer Details'!$A$1:$F$17,6,0)</f>
        <v>33732</v>
      </c>
      <c r="K774" s="8" t="str">
        <f>VLOOKUP(VLOOKUP(D774,'Customer Details'!$A$1:$F$17,5,0),'Region INfo'!$A$1:$C$52,3,0)</f>
        <v>Southern</v>
      </c>
      <c r="L774" s="8" t="str">
        <f>INDEX(Product_List,MATCH($F774,'Product List'!$B$1:$B$299,0),MATCH('Order SUmmary'!L$2,'Product List'!$A$1:$E$1,0))</f>
        <v>Newell 307</v>
      </c>
      <c r="M774" s="8">
        <f>INDEX(Product_List,MATCH($F774,'Product List'!$B$1:$B$299,0),MATCH('Order SUmmary'!M$2,'Product List'!$A$1:$E$1,0))</f>
        <v>4230</v>
      </c>
      <c r="N774" s="8">
        <f>INDEX(Product_List,MATCH($F774,'Product List'!$B$1:$B$299,0),MATCH('Order SUmmary'!N$2,'Product List'!$A$1:$E$1,0))</f>
        <v>1812</v>
      </c>
      <c r="O774" s="8" t="str">
        <f>INDEX(Product_List,MATCH($F774,'Product List'!$B$1:$B$299,0),MATCH('Order SUmmary'!O$2,'Product List'!$A$1:$E$1,0))</f>
        <v>Art</v>
      </c>
      <c r="P774" s="12">
        <f>HLOOKUP(C774,'Commission Criteria'!$A$2:$I$4,3,FALSE)</f>
        <v>3</v>
      </c>
      <c r="Q774" s="8">
        <f t="shared" si="37"/>
        <v>1812</v>
      </c>
      <c r="R774" s="8">
        <f t="shared" si="38"/>
        <v>4230</v>
      </c>
      <c r="S774" s="36">
        <f>VLOOKUP(R774,'Commission Criteria'!$L$3:$M$11,2,TRUE)</f>
        <v>0.01</v>
      </c>
      <c r="T774" s="36">
        <f>IF(P774&lt;5,VLOOKUP(R774,'Commission Criteria'!$L$3:$M$11,2,1),VLOOKUP('Order SUmmary'!R774,'Commission Criteria'!$P$3:$Q$11,2,1))</f>
        <v>0.01</v>
      </c>
      <c r="U774" s="36">
        <f>VLOOKUP(R774,IF(P774&lt;5,'Commission Criteria'!$L$3:$M$11,'Commission Criteria'!$P$3:$Q$11),2,1)</f>
        <v>0.01</v>
      </c>
      <c r="V774" s="8" t="s">
        <v>35</v>
      </c>
      <c r="W774" s="36">
        <f t="shared" ca="1" si="39"/>
        <v>0</v>
      </c>
      <c r="X774" s="8" t="str">
        <f>_xlfn.XLOOKUP(F774,'Product List'!$B$1:$B$299,'Product List'!$A$1:$A$299)</f>
        <v>Newell 307</v>
      </c>
      <c r="Y774" s="8"/>
      <c r="Z774" s="8" t="str" cm="1">
        <f t="array" ref="Z774:AD774">_xlfn.XLOOKUP(D774,'Customer Details'!$A$1:$A$17,'Customer Details'!$B$1:$F$17,"No such customer",0,1)</f>
        <v>Honeywell Automation</v>
      </c>
      <c r="AA774" s="8" t="str">
        <v>1272 Harbor Road</v>
      </c>
      <c r="AB774" s="8" t="str">
        <v>Miami</v>
      </c>
      <c r="AC774" s="8" t="str">
        <v>FL</v>
      </c>
      <c r="AD774" s="8" t="str">
        <v>33732</v>
      </c>
    </row>
    <row r="775" spans="1:30">
      <c r="A775" s="8" t="s">
        <v>833</v>
      </c>
      <c r="B775" s="19">
        <v>41996</v>
      </c>
      <c r="C775" s="8" t="s">
        <v>44</v>
      </c>
      <c r="D775" s="8">
        <v>10010</v>
      </c>
      <c r="E775" s="8" t="str">
        <f>VLOOKUP($D775,'Customer Details'!$A$1:$F$17,4,FALSE)</f>
        <v>Tracy</v>
      </c>
      <c r="F775" s="8" t="s">
        <v>532</v>
      </c>
      <c r="G775" s="8">
        <v>2</v>
      </c>
      <c r="H775" s="2" t="str">
        <f>VLOOKUP($D775,'Customer Details'!$A$1:$F$17,MATCH('Order SUmmary'!H$2,'Customer Details'!$A$1:$F$1,0),0)</f>
        <v>Suzlon Energy Ltd.</v>
      </c>
      <c r="I775" s="2" t="str">
        <f>VLOOKUP($D775,'Customer Details'!$A$1:$F$17,4,0)</f>
        <v>Tracy</v>
      </c>
      <c r="J775" s="2" t="str">
        <f>VLOOKUP($D775,'Customer Details'!$A$1:$F$17,6,0)</f>
        <v>95376</v>
      </c>
      <c r="K775" s="8" t="str">
        <f>VLOOKUP(VLOOKUP(D775,'Customer Details'!$A$1:$F$17,5,0),'Region INfo'!$A$1:$C$52,3,0)</f>
        <v xml:space="preserve">Pacific   </v>
      </c>
      <c r="L775" s="8" t="str">
        <f>INDEX(Product_List,MATCH($F775,'Product List'!$B$1:$B$299,0),MATCH('Order SUmmary'!L$2,'Product List'!$A$1:$E$1,0))</f>
        <v>Clarity 53712</v>
      </c>
      <c r="M775" s="8">
        <f>INDEX(Product_List,MATCH($F775,'Product List'!$B$1:$B$299,0),MATCH('Order SUmmary'!M$2,'Product List'!$A$1:$E$1,0))</f>
        <v>2586</v>
      </c>
      <c r="N775" s="8">
        <f>INDEX(Product_List,MATCH($F775,'Product List'!$B$1:$B$299,0),MATCH('Order SUmmary'!N$2,'Product List'!$A$1:$E$1,0))</f>
        <v>2432</v>
      </c>
      <c r="O775" s="8" t="str">
        <f>INDEX(Product_List,MATCH($F775,'Product List'!$B$1:$B$299,0),MATCH('Order SUmmary'!O$2,'Product List'!$A$1:$E$1,0))</f>
        <v>Phones</v>
      </c>
      <c r="P775" s="12">
        <f>HLOOKUP(C775,'Commission Criteria'!$A$2:$I$4,3,FALSE)</f>
        <v>4</v>
      </c>
      <c r="Q775" s="8">
        <f t="shared" si="37"/>
        <v>4864</v>
      </c>
      <c r="R775" s="8">
        <f t="shared" si="38"/>
        <v>5172</v>
      </c>
      <c r="S775" s="36">
        <f>VLOOKUP(R775,'Commission Criteria'!$L$3:$M$11,2,TRUE)</f>
        <v>0.03</v>
      </c>
      <c r="T775" s="36">
        <f>IF(P775&lt;5,VLOOKUP(R775,'Commission Criteria'!$L$3:$M$11,2,1),VLOOKUP('Order SUmmary'!R775,'Commission Criteria'!$P$3:$Q$11,2,1))</f>
        <v>0.03</v>
      </c>
      <c r="U775" s="36">
        <f>VLOOKUP(R775,IF(P775&lt;5,'Commission Criteria'!$L$3:$M$11,'Commission Criteria'!$P$3:$Q$11),2,1)</f>
        <v>0.03</v>
      </c>
      <c r="V775" s="8" t="s">
        <v>35</v>
      </c>
      <c r="W775" s="36">
        <f t="shared" ca="1" si="39"/>
        <v>0.05</v>
      </c>
      <c r="X775" s="8" t="str">
        <f>_xlfn.XLOOKUP(F775,'Product List'!$B$1:$B$299,'Product List'!$A$1:$A$299)</f>
        <v>Clarity 53712</v>
      </c>
      <c r="Y775" s="8"/>
      <c r="Z775" s="8" t="str" cm="1">
        <f t="array" ref="Z775:AD775">_xlfn.XLOOKUP(D775,'Customer Details'!$A$1:$A$17,'Customer Details'!$B$1:$F$17,"No such customer",0,1)</f>
        <v>Suzlon Energy Ltd.</v>
      </c>
      <c r="AA775" s="8" t="str">
        <v>501 Marsh Trail Circle</v>
      </c>
      <c r="AB775" s="8" t="str">
        <v>Tracy</v>
      </c>
      <c r="AC775" s="8" t="str">
        <v>CA</v>
      </c>
      <c r="AD775" s="8" t="str">
        <v>95376</v>
      </c>
    </row>
    <row r="776" spans="1:30">
      <c r="A776" s="8" t="s">
        <v>834</v>
      </c>
      <c r="B776" s="19">
        <v>41996</v>
      </c>
      <c r="C776" s="8" t="s">
        <v>36</v>
      </c>
      <c r="D776" s="8">
        <v>10002</v>
      </c>
      <c r="E776" s="8" t="str">
        <f>VLOOKUP($D776,'Customer Details'!$A$1:$F$17,4,FALSE)</f>
        <v>Omaha</v>
      </c>
      <c r="F776" s="8" t="s">
        <v>190</v>
      </c>
      <c r="G776" s="8">
        <v>2</v>
      </c>
      <c r="H776" s="2" t="str">
        <f>VLOOKUP($D776,'Customer Details'!$A$1:$F$17,MATCH('Order SUmmary'!H$2,'Customer Details'!$A$1:$F$1,0),0)</f>
        <v>Elder Pharmaceuticals</v>
      </c>
      <c r="I776" s="2" t="str">
        <f>VLOOKUP($D776,'Customer Details'!$A$1:$F$17,4,0)</f>
        <v>Omaha</v>
      </c>
      <c r="J776" s="2" t="str">
        <f>VLOOKUP($D776,'Customer Details'!$A$1:$F$17,6,0)</f>
        <v>68127</v>
      </c>
      <c r="K776" s="8" t="str">
        <f>VLOOKUP(VLOOKUP(D776,'Customer Details'!$A$1:$F$17,5,0),'Region INfo'!$A$1:$C$52,3,0)</f>
        <v>Western</v>
      </c>
      <c r="L776" s="8" t="str">
        <f>INDEX(Product_List,MATCH($F776,'Product List'!$B$1:$B$299,0),MATCH('Order SUmmary'!L$2,'Product List'!$A$1:$E$1,0))</f>
        <v>Xerox 1887</v>
      </c>
      <c r="M776" s="8">
        <f>INDEX(Product_List,MATCH($F776,'Product List'!$B$1:$B$299,0),MATCH('Order SUmmary'!M$2,'Product List'!$A$1:$E$1,0))</f>
        <v>2887</v>
      </c>
      <c r="N776" s="8">
        <f>INDEX(Product_List,MATCH($F776,'Product List'!$B$1:$B$299,0),MATCH('Order SUmmary'!N$2,'Product List'!$A$1:$E$1,0))</f>
        <v>1491</v>
      </c>
      <c r="O776" s="8" t="str">
        <f>INDEX(Product_List,MATCH($F776,'Product List'!$B$1:$B$299,0),MATCH('Order SUmmary'!O$2,'Product List'!$A$1:$E$1,0))</f>
        <v>Paper</v>
      </c>
      <c r="P776" s="12">
        <f>HLOOKUP(C776,'Commission Criteria'!$A$2:$I$4,3,FALSE)</f>
        <v>6</v>
      </c>
      <c r="Q776" s="8">
        <f t="shared" si="37"/>
        <v>2982</v>
      </c>
      <c r="R776" s="8">
        <f t="shared" si="38"/>
        <v>5774</v>
      </c>
      <c r="S776" s="36">
        <f>VLOOKUP(R776,'Commission Criteria'!$L$3:$M$11,2,TRUE)</f>
        <v>0.03</v>
      </c>
      <c r="T776" s="36">
        <f>IF(P776&lt;5,VLOOKUP(R776,'Commission Criteria'!$L$3:$M$11,2,1),VLOOKUP('Order SUmmary'!R776,'Commission Criteria'!$P$3:$Q$11,2,1))</f>
        <v>0.02</v>
      </c>
      <c r="U776" s="36">
        <f>VLOOKUP(R776,IF(P776&lt;5,'Commission Criteria'!$L$3:$M$11,'Commission Criteria'!$P$3:$Q$11),2,1)</f>
        <v>0.02</v>
      </c>
      <c r="V776" s="8" t="s">
        <v>35</v>
      </c>
      <c r="W776" s="36">
        <f t="shared" ca="1" si="39"/>
        <v>0.02</v>
      </c>
      <c r="X776" s="8" t="str">
        <f>_xlfn.XLOOKUP(F776,'Product List'!$B$1:$B$299,'Product List'!$A$1:$A$299)</f>
        <v>Xerox 1887</v>
      </c>
      <c r="Y776" s="8"/>
      <c r="Z776" s="8" t="str" cm="1">
        <f t="array" ref="Z776:AD776">_xlfn.XLOOKUP(D776,'Customer Details'!$A$1:$A$17,'Customer Details'!$B$1:$F$17,"No such customer",0,1)</f>
        <v>Elder Pharmaceuticals</v>
      </c>
      <c r="AA776" s="8" t="str">
        <v>57 Neriba Cres</v>
      </c>
      <c r="AB776" s="8" t="str">
        <v>Omaha</v>
      </c>
      <c r="AC776" s="8" t="str">
        <v>NE</v>
      </c>
      <c r="AD776" s="8" t="str">
        <v>68127</v>
      </c>
    </row>
    <row r="777" spans="1:30">
      <c r="A777" s="8" t="s">
        <v>835</v>
      </c>
      <c r="B777" s="19">
        <v>41999</v>
      </c>
      <c r="C777" s="8" t="s">
        <v>33</v>
      </c>
      <c r="D777" s="8">
        <v>10010</v>
      </c>
      <c r="E777" s="8" t="str">
        <f>VLOOKUP($D777,'Customer Details'!$A$1:$F$17,4,FALSE)</f>
        <v>Tracy</v>
      </c>
      <c r="F777" s="8" t="s">
        <v>493</v>
      </c>
      <c r="G777" s="8">
        <v>1</v>
      </c>
      <c r="H777" s="2" t="str">
        <f>VLOOKUP($D777,'Customer Details'!$A$1:$F$17,MATCH('Order SUmmary'!H$2,'Customer Details'!$A$1:$F$1,0),0)</f>
        <v>Suzlon Energy Ltd.</v>
      </c>
      <c r="I777" s="2" t="str">
        <f>VLOOKUP($D777,'Customer Details'!$A$1:$F$17,4,0)</f>
        <v>Tracy</v>
      </c>
      <c r="J777" s="2" t="str">
        <f>VLOOKUP($D777,'Customer Details'!$A$1:$F$17,6,0)</f>
        <v>95376</v>
      </c>
      <c r="K777" s="8" t="str">
        <f>VLOOKUP(VLOOKUP(D777,'Customer Details'!$A$1:$F$17,5,0),'Region INfo'!$A$1:$C$52,3,0)</f>
        <v xml:space="preserve">Pacific   </v>
      </c>
      <c r="L777" s="8" t="str">
        <f>INDEX(Product_List,MATCH($F777,'Product List'!$B$1:$B$299,0),MATCH('Order SUmmary'!L$2,'Product List'!$A$1:$E$1,0))</f>
        <v>Newell 320</v>
      </c>
      <c r="M777" s="8">
        <f>INDEX(Product_List,MATCH($F777,'Product List'!$B$1:$B$299,0),MATCH('Order SUmmary'!M$2,'Product List'!$A$1:$E$1,0))</f>
        <v>4547</v>
      </c>
      <c r="N777" s="8">
        <f>INDEX(Product_List,MATCH($F777,'Product List'!$B$1:$B$299,0),MATCH('Order SUmmary'!N$2,'Product List'!$A$1:$E$1,0))</f>
        <v>2258</v>
      </c>
      <c r="O777" s="8" t="str">
        <f>INDEX(Product_List,MATCH($F777,'Product List'!$B$1:$B$299,0),MATCH('Order SUmmary'!O$2,'Product List'!$A$1:$E$1,0))</f>
        <v>Art</v>
      </c>
      <c r="P777" s="12">
        <f>HLOOKUP(C777,'Commission Criteria'!$A$2:$I$4,3,FALSE)</f>
        <v>1</v>
      </c>
      <c r="Q777" s="8">
        <f t="shared" si="37"/>
        <v>2258</v>
      </c>
      <c r="R777" s="8">
        <f t="shared" si="38"/>
        <v>4547</v>
      </c>
      <c r="S777" s="36">
        <f>VLOOKUP(R777,'Commission Criteria'!$L$3:$M$11,2,TRUE)</f>
        <v>0.01</v>
      </c>
      <c r="T777" s="36">
        <f>IF(P777&lt;5,VLOOKUP(R777,'Commission Criteria'!$L$3:$M$11,2,1),VLOOKUP('Order SUmmary'!R777,'Commission Criteria'!$P$3:$Q$11,2,1))</f>
        <v>0.01</v>
      </c>
      <c r="U777" s="36">
        <f>VLOOKUP(R777,IF(P777&lt;5,'Commission Criteria'!$L$3:$M$11,'Commission Criteria'!$P$3:$Q$11),2,1)</f>
        <v>0.01</v>
      </c>
      <c r="V777" s="8" t="s">
        <v>50</v>
      </c>
      <c r="W777" s="36">
        <f t="shared" ca="1" si="39"/>
        <v>0.03</v>
      </c>
      <c r="X777" s="8" t="str">
        <f>_xlfn.XLOOKUP(F777,'Product List'!$B$1:$B$299,'Product List'!$A$1:$A$299)</f>
        <v>Newell 320</v>
      </c>
      <c r="Y777" s="8"/>
      <c r="Z777" s="8" t="str" cm="1">
        <f t="array" ref="Z777:AD777">_xlfn.XLOOKUP(D777,'Customer Details'!$A$1:$A$17,'Customer Details'!$B$1:$F$17,"No such customer",0,1)</f>
        <v>Suzlon Energy Ltd.</v>
      </c>
      <c r="AA777" s="8" t="str">
        <v>501 Marsh Trail Circle</v>
      </c>
      <c r="AB777" s="8" t="str">
        <v>Tracy</v>
      </c>
      <c r="AC777" s="8" t="str">
        <v>CA</v>
      </c>
      <c r="AD777" s="8" t="str">
        <v>95376</v>
      </c>
    </row>
    <row r="778" spans="1:30">
      <c r="A778" s="8" t="s">
        <v>836</v>
      </c>
      <c r="B778" s="19">
        <v>42001</v>
      </c>
      <c r="C778" s="8" t="s">
        <v>66</v>
      </c>
      <c r="D778" s="8">
        <v>10009</v>
      </c>
      <c r="E778" s="8" t="str">
        <f>VLOOKUP($D778,'Customer Details'!$A$1:$F$17,4,FALSE)</f>
        <v>Salt Lake City</v>
      </c>
      <c r="F778" s="8" t="s">
        <v>472</v>
      </c>
      <c r="G778" s="8">
        <v>3</v>
      </c>
      <c r="H778" s="2" t="str">
        <f>VLOOKUP($D778,'Customer Details'!$A$1:$F$17,MATCH('Order SUmmary'!H$2,'Customer Details'!$A$1:$F$1,0),0)</f>
        <v>Godfrey Philips India Ltd.</v>
      </c>
      <c r="I778" s="2" t="str">
        <f>VLOOKUP($D778,'Customer Details'!$A$1:$F$17,4,0)</f>
        <v>Salt Lake City</v>
      </c>
      <c r="J778" s="2" t="str">
        <f>VLOOKUP($D778,'Customer Details'!$A$1:$F$17,6,0)</f>
        <v>84118</v>
      </c>
      <c r="K778" s="8" t="str">
        <f>VLOOKUP(VLOOKUP(D778,'Customer Details'!$A$1:$F$17,5,0),'Region INfo'!$A$1:$C$52,3,0)</f>
        <v xml:space="preserve">Pacific   </v>
      </c>
      <c r="L778" s="8" t="str">
        <f>INDEX(Product_List,MATCH($F778,'Product List'!$B$1:$B$299,0),MATCH('Order SUmmary'!L$2,'Product List'!$A$1:$E$1,0))</f>
        <v>Avery 488</v>
      </c>
      <c r="M778" s="8">
        <f>INDEX(Product_List,MATCH($F778,'Product List'!$B$1:$B$299,0),MATCH('Order SUmmary'!M$2,'Product List'!$A$1:$E$1,0))</f>
        <v>3663</v>
      </c>
      <c r="N778" s="8">
        <f>INDEX(Product_List,MATCH($F778,'Product List'!$B$1:$B$299,0),MATCH('Order SUmmary'!N$2,'Product List'!$A$1:$E$1,0))</f>
        <v>1550</v>
      </c>
      <c r="O778" s="8" t="str">
        <f>INDEX(Product_List,MATCH($F778,'Product List'!$B$1:$B$299,0),MATCH('Order SUmmary'!O$2,'Product List'!$A$1:$E$1,0))</f>
        <v>Labels</v>
      </c>
      <c r="P778" s="12">
        <f>HLOOKUP(C778,'Commission Criteria'!$A$2:$I$4,3,FALSE)</f>
        <v>5</v>
      </c>
      <c r="Q778" s="8">
        <f t="shared" si="37"/>
        <v>4650</v>
      </c>
      <c r="R778" s="8">
        <f t="shared" si="38"/>
        <v>10989</v>
      </c>
      <c r="S778" s="36">
        <f>VLOOKUP(R778,'Commission Criteria'!$L$3:$M$11,2,TRUE)</f>
        <v>0.03</v>
      </c>
      <c r="T778" s="36">
        <f>IF(P778&lt;5,VLOOKUP(R778,'Commission Criteria'!$L$3:$M$11,2,1),VLOOKUP('Order SUmmary'!R778,'Commission Criteria'!$P$3:$Q$11,2,1))</f>
        <v>0.02</v>
      </c>
      <c r="U778" s="36">
        <f>VLOOKUP(R778,IF(P778&lt;5,'Commission Criteria'!$L$3:$M$11,'Commission Criteria'!$P$3:$Q$11),2,1)</f>
        <v>0.02</v>
      </c>
      <c r="V778" s="8" t="s">
        <v>32</v>
      </c>
      <c r="W778" s="36">
        <f t="shared" ca="1" si="39"/>
        <v>0.04</v>
      </c>
      <c r="X778" s="8" t="str">
        <f>_xlfn.XLOOKUP(F778,'Product List'!$B$1:$B$299,'Product List'!$A$1:$A$299)</f>
        <v>Avery 488</v>
      </c>
      <c r="Y778" s="8"/>
      <c r="Z778" s="8" t="str" cm="1">
        <f t="array" ref="Z778:AD778">_xlfn.XLOOKUP(D778,'Customer Details'!$A$1:$A$17,'Customer Details'!$B$1:$F$17,"No such customer",0,1)</f>
        <v>Godfrey Philips India Ltd.</v>
      </c>
      <c r="AA778" s="8" t="str">
        <v>20501 Ania Ave #2</v>
      </c>
      <c r="AB778" s="8" t="str">
        <v>Salt Lake City</v>
      </c>
      <c r="AC778" s="8" t="str">
        <v>UT</v>
      </c>
      <c r="AD778" s="8" t="str">
        <v>84118</v>
      </c>
    </row>
    <row r="779" spans="1:30">
      <c r="A779" s="8" t="s">
        <v>837</v>
      </c>
      <c r="B779" s="19">
        <v>42002</v>
      </c>
      <c r="C779" s="8" t="s">
        <v>51</v>
      </c>
      <c r="D779" s="8">
        <v>10015</v>
      </c>
      <c r="E779" s="8" t="str">
        <f>VLOOKUP($D779,'Customer Details'!$A$1:$F$17,4,FALSE)</f>
        <v>South Windsor</v>
      </c>
      <c r="F779" s="8" t="s">
        <v>277</v>
      </c>
      <c r="G779" s="8">
        <v>1</v>
      </c>
      <c r="H779" s="2" t="str">
        <f>VLOOKUP($D779,'Customer Details'!$A$1:$F$17,MATCH('Order SUmmary'!H$2,'Customer Details'!$A$1:$F$1,0),0)</f>
        <v>Punj Lloyd Ltd.</v>
      </c>
      <c r="I779" s="2" t="str">
        <f>VLOOKUP($D779,'Customer Details'!$A$1:$F$17,4,0)</f>
        <v>South Windsor</v>
      </c>
      <c r="J779" s="2" t="str">
        <f>VLOOKUP($D779,'Customer Details'!$A$1:$F$17,6,0)</f>
        <v>06074</v>
      </c>
      <c r="K779" s="8" t="str">
        <f>VLOOKUP(VLOOKUP(D779,'Customer Details'!$A$1:$F$17,5,0),'Region INfo'!$A$1:$C$52,3,0)</f>
        <v xml:space="preserve">Northern </v>
      </c>
      <c r="L779" s="8" t="str">
        <f>INDEX(Product_List,MATCH($F779,'Product List'!$B$1:$B$299,0),MATCH('Order SUmmary'!L$2,'Product List'!$A$1:$E$1,0))</f>
        <v>Xerox 1946</v>
      </c>
      <c r="M779" s="8">
        <f>INDEX(Product_List,MATCH($F779,'Product List'!$B$1:$B$299,0),MATCH('Order SUmmary'!M$2,'Product List'!$A$1:$E$1,0))</f>
        <v>2576</v>
      </c>
      <c r="N779" s="8">
        <f>INDEX(Product_List,MATCH($F779,'Product List'!$B$1:$B$299,0),MATCH('Order SUmmary'!N$2,'Product List'!$A$1:$E$1,0))</f>
        <v>1826</v>
      </c>
      <c r="O779" s="8" t="str">
        <f>INDEX(Product_List,MATCH($F779,'Product List'!$B$1:$B$299,0),MATCH('Order SUmmary'!O$2,'Product List'!$A$1:$E$1,0))</f>
        <v>Paper</v>
      </c>
      <c r="P779" s="12">
        <f>HLOOKUP(C779,'Commission Criteria'!$A$2:$I$4,3,FALSE)</f>
        <v>10</v>
      </c>
      <c r="Q779" s="8">
        <f t="shared" si="37"/>
        <v>1826</v>
      </c>
      <c r="R779" s="8">
        <f t="shared" si="38"/>
        <v>2576</v>
      </c>
      <c r="S779" s="36">
        <f>VLOOKUP(R779,'Commission Criteria'!$L$3:$M$11,2,TRUE)</f>
        <v>0.01</v>
      </c>
      <c r="T779" s="36">
        <f>IF(P779&lt;5,VLOOKUP(R779,'Commission Criteria'!$L$3:$M$11,2,1),VLOOKUP('Order SUmmary'!R779,'Commission Criteria'!$P$3:$Q$11,2,1))</f>
        <v>0.02</v>
      </c>
      <c r="U779" s="36">
        <f>VLOOKUP(R779,IF(P779&lt;5,'Commission Criteria'!$L$3:$M$11,'Commission Criteria'!$P$3:$Q$11),2,1)</f>
        <v>0.02</v>
      </c>
      <c r="V779" s="8" t="s">
        <v>35</v>
      </c>
      <c r="W779" s="36">
        <f t="shared" ca="1" si="39"/>
        <v>0.01</v>
      </c>
      <c r="X779" s="8" t="str">
        <f>_xlfn.XLOOKUP(F779,'Product List'!$B$1:$B$299,'Product List'!$A$1:$A$299)</f>
        <v>Xerox 1946</v>
      </c>
      <c r="Y779" s="8"/>
      <c r="Z779" s="8" t="str" cm="1">
        <f t="array" ref="Z779:AD779">_xlfn.XLOOKUP(D779,'Customer Details'!$A$1:$A$17,'Customer Details'!$B$1:$F$17,"No such customer",0,1)</f>
        <v>Punj Lloyd Ltd.</v>
      </c>
      <c r="AA779" s="8" t="str">
        <v>Box 3263</v>
      </c>
      <c r="AB779" s="8" t="str">
        <v>South Windsor</v>
      </c>
      <c r="AC779" s="8" t="str">
        <v>CT</v>
      </c>
      <c r="AD779" s="8" t="str">
        <v>06074</v>
      </c>
    </row>
    <row r="780" spans="1:30">
      <c r="A780" s="8" t="s">
        <v>837</v>
      </c>
      <c r="B780" s="19">
        <v>42002</v>
      </c>
      <c r="C780" s="8" t="s">
        <v>27</v>
      </c>
      <c r="D780" s="8">
        <v>10012</v>
      </c>
      <c r="E780" s="8" t="str">
        <f>VLOOKUP($D780,'Customer Details'!$A$1:$F$17,4,FALSE)</f>
        <v>Santa Barbara</v>
      </c>
      <c r="F780" s="8" t="s">
        <v>154</v>
      </c>
      <c r="G780" s="8">
        <v>1</v>
      </c>
      <c r="H780" s="2" t="str">
        <f>VLOOKUP($D780,'Customer Details'!$A$1:$F$17,MATCH('Order SUmmary'!H$2,'Customer Details'!$A$1:$F$1,0),0)</f>
        <v>Dynamatic Technologies Ltd.</v>
      </c>
      <c r="I780" s="2" t="str">
        <f>VLOOKUP($D780,'Customer Details'!$A$1:$F$17,4,0)</f>
        <v>Santa Barbara</v>
      </c>
      <c r="J780" s="2" t="str">
        <f>VLOOKUP($D780,'Customer Details'!$A$1:$F$17,6,0)</f>
        <v>93110</v>
      </c>
      <c r="K780" s="8" t="str">
        <f>VLOOKUP(VLOOKUP(D780,'Customer Details'!$A$1:$F$17,5,0),'Region INfo'!$A$1:$C$52,3,0)</f>
        <v xml:space="preserve">Pacific   </v>
      </c>
      <c r="L780" s="8" t="str">
        <f>INDEX(Product_List,MATCH($F780,'Product List'!$B$1:$B$299,0),MATCH('Order SUmmary'!L$2,'Product List'!$A$1:$E$1,0))</f>
        <v>Xerox 228</v>
      </c>
      <c r="M780" s="8">
        <f>INDEX(Product_List,MATCH($F780,'Product List'!$B$1:$B$299,0),MATCH('Order SUmmary'!M$2,'Product List'!$A$1:$E$1,0))</f>
        <v>3912</v>
      </c>
      <c r="N780" s="8">
        <f>INDEX(Product_List,MATCH($F780,'Product List'!$B$1:$B$299,0),MATCH('Order SUmmary'!N$2,'Product List'!$A$1:$E$1,0))</f>
        <v>1569</v>
      </c>
      <c r="O780" s="8" t="str">
        <f>INDEX(Product_List,MATCH($F780,'Product List'!$B$1:$B$299,0),MATCH('Order SUmmary'!O$2,'Product List'!$A$1:$E$1,0))</f>
        <v>Paper</v>
      </c>
      <c r="P780" s="12">
        <f>HLOOKUP(C780,'Commission Criteria'!$A$2:$I$4,3,FALSE)</f>
        <v>4</v>
      </c>
      <c r="Q780" s="8">
        <f t="shared" si="37"/>
        <v>1569</v>
      </c>
      <c r="R780" s="8">
        <f t="shared" si="38"/>
        <v>3912</v>
      </c>
      <c r="S780" s="36">
        <f>VLOOKUP(R780,'Commission Criteria'!$L$3:$M$11,2,TRUE)</f>
        <v>0.01</v>
      </c>
      <c r="T780" s="36">
        <f>IF(P780&lt;5,VLOOKUP(R780,'Commission Criteria'!$L$3:$M$11,2,1),VLOOKUP('Order SUmmary'!R780,'Commission Criteria'!$P$3:$Q$11,2,1))</f>
        <v>0.01</v>
      </c>
      <c r="U780" s="36">
        <f>VLOOKUP(R780,IF(P780&lt;5,'Commission Criteria'!$L$3:$M$11,'Commission Criteria'!$P$3:$Q$11),2,1)</f>
        <v>0.01</v>
      </c>
      <c r="V780" s="8" t="s">
        <v>43</v>
      </c>
      <c r="W780" s="36">
        <f t="shared" ca="1" si="39"/>
        <v>0.04</v>
      </c>
      <c r="X780" s="8" t="str">
        <f>_xlfn.XLOOKUP(F780,'Product List'!$B$1:$B$299,'Product List'!$A$1:$A$299)</f>
        <v>Xerox 228</v>
      </c>
      <c r="Y780" s="8"/>
      <c r="Z780" s="8" t="str" cm="1">
        <f t="array" ref="Z780:AD780">_xlfn.XLOOKUP(D780,'Customer Details'!$A$1:$A$17,'Customer Details'!$B$1:$F$17,"No such customer",0,1)</f>
        <v>Dynamatic Technologies Ltd.</v>
      </c>
      <c r="AA780" s="8" t="str">
        <v>402 Pinkster Lane</v>
      </c>
      <c r="AB780" s="8" t="str">
        <v>Santa Barbara</v>
      </c>
      <c r="AC780" s="8" t="str">
        <v>CA</v>
      </c>
      <c r="AD780" s="8" t="str">
        <v>93110</v>
      </c>
    </row>
    <row r="781" spans="1:30">
      <c r="A781" s="8" t="s">
        <v>838</v>
      </c>
      <c r="B781" s="19">
        <v>42004</v>
      </c>
      <c r="C781" s="8" t="s">
        <v>51</v>
      </c>
      <c r="D781" s="8">
        <v>10015</v>
      </c>
      <c r="E781" s="8" t="str">
        <f>VLOOKUP($D781,'Customer Details'!$A$1:$F$17,4,FALSE)</f>
        <v>South Windsor</v>
      </c>
      <c r="F781" s="8" t="s">
        <v>640</v>
      </c>
      <c r="G781" s="8">
        <v>1</v>
      </c>
      <c r="H781" s="2" t="str">
        <f>VLOOKUP($D781,'Customer Details'!$A$1:$F$17,MATCH('Order SUmmary'!H$2,'Customer Details'!$A$1:$F$1,0),0)</f>
        <v>Punj Lloyd Ltd.</v>
      </c>
      <c r="I781" s="2" t="str">
        <f>VLOOKUP($D781,'Customer Details'!$A$1:$F$17,4,0)</f>
        <v>South Windsor</v>
      </c>
      <c r="J781" s="2" t="str">
        <f>VLOOKUP($D781,'Customer Details'!$A$1:$F$17,6,0)</f>
        <v>06074</v>
      </c>
      <c r="K781" s="8" t="str">
        <f>VLOOKUP(VLOOKUP(D781,'Customer Details'!$A$1:$F$17,5,0),'Region INfo'!$A$1:$C$52,3,0)</f>
        <v xml:space="preserve">Northern </v>
      </c>
      <c r="L781" s="8" t="str">
        <f>INDEX(Product_List,MATCH($F781,'Product List'!$B$1:$B$299,0),MATCH('Order SUmmary'!L$2,'Product List'!$A$1:$E$1,0))</f>
        <v>Crate-A-Files</v>
      </c>
      <c r="M781" s="8">
        <f>INDEX(Product_List,MATCH($F781,'Product List'!$B$1:$B$299,0),MATCH('Order SUmmary'!M$2,'Product List'!$A$1:$E$1,0))</f>
        <v>3445</v>
      </c>
      <c r="N781" s="8">
        <f>INDEX(Product_List,MATCH($F781,'Product List'!$B$1:$B$299,0),MATCH('Order SUmmary'!N$2,'Product List'!$A$1:$E$1,0))</f>
        <v>1909</v>
      </c>
      <c r="O781" s="8" t="str">
        <f>INDEX(Product_List,MATCH($F781,'Product List'!$B$1:$B$299,0),MATCH('Order SUmmary'!O$2,'Product List'!$A$1:$E$1,0))</f>
        <v>Storage</v>
      </c>
      <c r="P781" s="12">
        <f>HLOOKUP(C781,'Commission Criteria'!$A$2:$I$4,3,FALSE)</f>
        <v>10</v>
      </c>
      <c r="Q781" s="8">
        <f t="shared" si="37"/>
        <v>1909</v>
      </c>
      <c r="R781" s="8">
        <f t="shared" si="38"/>
        <v>3445</v>
      </c>
      <c r="S781" s="36">
        <f>VLOOKUP(R781,'Commission Criteria'!$L$3:$M$11,2,TRUE)</f>
        <v>0.01</v>
      </c>
      <c r="T781" s="36">
        <f>IF(P781&lt;5,VLOOKUP(R781,'Commission Criteria'!$L$3:$M$11,2,1),VLOOKUP('Order SUmmary'!R781,'Commission Criteria'!$P$3:$Q$11,2,1))</f>
        <v>0.02</v>
      </c>
      <c r="U781" s="36">
        <f>VLOOKUP(R781,IF(P781&lt;5,'Commission Criteria'!$L$3:$M$11,'Commission Criteria'!$P$3:$Q$11),2,1)</f>
        <v>0.02</v>
      </c>
      <c r="V781" s="8" t="s">
        <v>40</v>
      </c>
      <c r="W781" s="36">
        <f t="shared" ca="1" si="39"/>
        <v>0.05</v>
      </c>
      <c r="X781" s="8" t="str">
        <f>_xlfn.XLOOKUP(F781,'Product List'!$B$1:$B$299,'Product List'!$A$1:$A$299)</f>
        <v>Crate-A-Files</v>
      </c>
      <c r="Y781" s="8"/>
      <c r="Z781" s="8" t="str" cm="1">
        <f t="array" ref="Z781:AD781">_xlfn.XLOOKUP(D781,'Customer Details'!$A$1:$A$17,'Customer Details'!$B$1:$F$17,"No such customer",0,1)</f>
        <v>Punj Lloyd Ltd.</v>
      </c>
      <c r="AA781" s="8" t="str">
        <v>Box 3263</v>
      </c>
      <c r="AB781" s="8" t="str">
        <v>South Windsor</v>
      </c>
      <c r="AC781" s="8" t="str">
        <v>CT</v>
      </c>
      <c r="AD781" s="8" t="str">
        <v>06074</v>
      </c>
    </row>
    <row r="782" spans="1:30">
      <c r="A782" s="8" t="s">
        <v>839</v>
      </c>
      <c r="B782" s="19">
        <v>42006</v>
      </c>
      <c r="C782" s="8" t="s">
        <v>46</v>
      </c>
      <c r="D782" s="8">
        <v>10015</v>
      </c>
      <c r="E782" s="8" t="str">
        <f>VLOOKUP($D782,'Customer Details'!$A$1:$F$17,4,FALSE)</f>
        <v>South Windsor</v>
      </c>
      <c r="F782" s="8" t="s">
        <v>455</v>
      </c>
      <c r="G782" s="8">
        <v>1</v>
      </c>
      <c r="H782" s="2" t="str">
        <f>VLOOKUP($D782,'Customer Details'!$A$1:$F$17,MATCH('Order SUmmary'!H$2,'Customer Details'!$A$1:$F$1,0),0)</f>
        <v>Punj Lloyd Ltd.</v>
      </c>
      <c r="I782" s="2" t="str">
        <f>VLOOKUP($D782,'Customer Details'!$A$1:$F$17,4,0)</f>
        <v>South Windsor</v>
      </c>
      <c r="J782" s="2" t="str">
        <f>VLOOKUP($D782,'Customer Details'!$A$1:$F$17,6,0)</f>
        <v>06074</v>
      </c>
      <c r="K782" s="8" t="str">
        <f>VLOOKUP(VLOOKUP(D782,'Customer Details'!$A$1:$F$17,5,0),'Region INfo'!$A$1:$C$52,3,0)</f>
        <v xml:space="preserve">Northern </v>
      </c>
      <c r="L782" s="8" t="str">
        <f>INDEX(Product_List,MATCH($F782,'Product List'!$B$1:$B$299,0),MATCH('Order SUmmary'!L$2,'Product List'!$A$1:$E$1,0))</f>
        <v>Newell 307</v>
      </c>
      <c r="M782" s="8">
        <f>INDEX(Product_List,MATCH($F782,'Product List'!$B$1:$B$299,0),MATCH('Order SUmmary'!M$2,'Product List'!$A$1:$E$1,0))</f>
        <v>4230</v>
      </c>
      <c r="N782" s="8">
        <f>INDEX(Product_List,MATCH($F782,'Product List'!$B$1:$B$299,0),MATCH('Order SUmmary'!N$2,'Product List'!$A$1:$E$1,0))</f>
        <v>1812</v>
      </c>
      <c r="O782" s="8" t="str">
        <f>INDEX(Product_List,MATCH($F782,'Product List'!$B$1:$B$299,0),MATCH('Order SUmmary'!O$2,'Product List'!$A$1:$E$1,0))</f>
        <v>Art</v>
      </c>
      <c r="P782" s="12">
        <f>HLOOKUP(C782,'Commission Criteria'!$A$2:$I$4,3,FALSE)</f>
        <v>8</v>
      </c>
      <c r="Q782" s="8">
        <f t="shared" si="37"/>
        <v>1812</v>
      </c>
      <c r="R782" s="8">
        <f t="shared" si="38"/>
        <v>4230</v>
      </c>
      <c r="S782" s="36">
        <f>VLOOKUP(R782,'Commission Criteria'!$L$3:$M$11,2,TRUE)</f>
        <v>0.01</v>
      </c>
      <c r="T782" s="36">
        <f>IF(P782&lt;5,VLOOKUP(R782,'Commission Criteria'!$L$3:$M$11,2,1),VLOOKUP('Order SUmmary'!R782,'Commission Criteria'!$P$3:$Q$11,2,1))</f>
        <v>0.02</v>
      </c>
      <c r="U782" s="36">
        <f>VLOOKUP(R782,IF(P782&lt;5,'Commission Criteria'!$L$3:$M$11,'Commission Criteria'!$P$3:$Q$11),2,1)</f>
        <v>0.02</v>
      </c>
      <c r="V782" s="8" t="s">
        <v>50</v>
      </c>
      <c r="W782" s="36">
        <f t="shared" ca="1" si="39"/>
        <v>0</v>
      </c>
      <c r="X782" s="8" t="str">
        <f>_xlfn.XLOOKUP(F782,'Product List'!$B$1:$B$299,'Product List'!$A$1:$A$299)</f>
        <v>Newell 307</v>
      </c>
      <c r="Y782" s="8"/>
      <c r="Z782" s="8" t="str" cm="1">
        <f t="array" ref="Z782:AD782">_xlfn.XLOOKUP(D782,'Customer Details'!$A$1:$A$17,'Customer Details'!$B$1:$F$17,"No such customer",0,1)</f>
        <v>Punj Lloyd Ltd.</v>
      </c>
      <c r="AA782" s="8" t="str">
        <v>Box 3263</v>
      </c>
      <c r="AB782" s="8" t="str">
        <v>South Windsor</v>
      </c>
      <c r="AC782" s="8" t="str">
        <v>CT</v>
      </c>
      <c r="AD782" s="8" t="str">
        <v>06074</v>
      </c>
    </row>
    <row r="783" spans="1:30">
      <c r="A783" s="8" t="s">
        <v>839</v>
      </c>
      <c r="B783" s="19">
        <v>42006</v>
      </c>
      <c r="C783" s="8" t="s">
        <v>36</v>
      </c>
      <c r="D783" s="8">
        <v>10004</v>
      </c>
      <c r="E783" s="8" t="str">
        <f>VLOOKUP($D783,'Customer Details'!$A$1:$F$17,4,FALSE)</f>
        <v>New York</v>
      </c>
      <c r="F783" s="8" t="s">
        <v>840</v>
      </c>
      <c r="G783" s="8">
        <v>2</v>
      </c>
      <c r="H783" s="2" t="str">
        <f>VLOOKUP($D783,'Customer Details'!$A$1:$F$17,MATCH('Order SUmmary'!H$2,'Customer Details'!$A$1:$F$1,0),0)</f>
        <v>Lupin Ltd.</v>
      </c>
      <c r="I783" s="2" t="str">
        <f>VLOOKUP($D783,'Customer Details'!$A$1:$F$17,4,0)</f>
        <v>New York</v>
      </c>
      <c r="J783" s="2" t="str">
        <f>VLOOKUP($D783,'Customer Details'!$A$1:$F$17,6,0)</f>
        <v>10019</v>
      </c>
      <c r="K783" s="8" t="str">
        <f>VLOOKUP(VLOOKUP(D783,'Customer Details'!$A$1:$F$17,5,0),'Region INfo'!$A$1:$C$52,3,0)</f>
        <v xml:space="preserve">Northern </v>
      </c>
      <c r="L783" s="8" t="str">
        <f>INDEX(Product_List,MATCH($F783,'Product List'!$B$1:$B$299,0),MATCH('Order SUmmary'!L$2,'Product List'!$A$1:$E$1,0))</f>
        <v>Xerox 1888</v>
      </c>
      <c r="M783" s="8">
        <f>INDEX(Product_List,MATCH($F783,'Product List'!$B$1:$B$299,0),MATCH('Order SUmmary'!M$2,'Product List'!$A$1:$E$1,0))</f>
        <v>3290</v>
      </c>
      <c r="N783" s="8">
        <f>INDEX(Product_List,MATCH($F783,'Product List'!$B$1:$B$299,0),MATCH('Order SUmmary'!N$2,'Product List'!$A$1:$E$1,0))</f>
        <v>1720</v>
      </c>
      <c r="O783" s="8" t="str">
        <f>INDEX(Product_List,MATCH($F783,'Product List'!$B$1:$B$299,0),MATCH('Order SUmmary'!O$2,'Product List'!$A$1:$E$1,0))</f>
        <v>Paper</v>
      </c>
      <c r="P783" s="12">
        <f>HLOOKUP(C783,'Commission Criteria'!$A$2:$I$4,3,FALSE)</f>
        <v>6</v>
      </c>
      <c r="Q783" s="8">
        <f t="shared" si="37"/>
        <v>3440</v>
      </c>
      <c r="R783" s="8">
        <f t="shared" si="38"/>
        <v>6580</v>
      </c>
      <c r="S783" s="36">
        <f>VLOOKUP(R783,'Commission Criteria'!$L$3:$M$11,2,TRUE)</f>
        <v>0.03</v>
      </c>
      <c r="T783" s="36">
        <f>IF(P783&lt;5,VLOOKUP(R783,'Commission Criteria'!$L$3:$M$11,2,1),VLOOKUP('Order SUmmary'!R783,'Commission Criteria'!$P$3:$Q$11,2,1))</f>
        <v>0.02</v>
      </c>
      <c r="U783" s="36">
        <f>VLOOKUP(R783,IF(P783&lt;5,'Commission Criteria'!$L$3:$M$11,'Commission Criteria'!$P$3:$Q$11),2,1)</f>
        <v>0.02</v>
      </c>
      <c r="V783" s="8" t="s">
        <v>40</v>
      </c>
      <c r="W783" s="36">
        <f t="shared" ca="1" si="39"/>
        <v>0</v>
      </c>
      <c r="X783" s="8" t="str">
        <f>_xlfn.XLOOKUP(F783,'Product List'!$B$1:$B$299,'Product List'!$A$1:$A$299)</f>
        <v>Xerox 1888</v>
      </c>
      <c r="Y783" s="8"/>
      <c r="Z783" s="8" t="str" cm="1">
        <f t="array" ref="Z783:AD783">_xlfn.XLOOKUP(D783,'Customer Details'!$A$1:$A$17,'Customer Details'!$B$1:$F$17,"No such customer",0,1)</f>
        <v>Lupin Ltd.</v>
      </c>
      <c r="AA783" s="8" t="str">
        <v>Abbey Wood</v>
      </c>
      <c r="AB783" s="8" t="str">
        <v>New York</v>
      </c>
      <c r="AC783" s="8" t="str">
        <v>NY</v>
      </c>
      <c r="AD783" s="8" t="str">
        <v>10019</v>
      </c>
    </row>
    <row r="784" spans="1:30">
      <c r="A784" s="8" t="s">
        <v>841</v>
      </c>
      <c r="B784" s="19">
        <v>42006</v>
      </c>
      <c r="C784" s="8" t="s">
        <v>27</v>
      </c>
      <c r="D784" s="8">
        <v>10001</v>
      </c>
      <c r="E784" s="8" t="str">
        <f>VLOOKUP($D784,'Customer Details'!$A$1:$F$17,4,FALSE)</f>
        <v>New York</v>
      </c>
      <c r="F784" s="8" t="s">
        <v>842</v>
      </c>
      <c r="G784" s="8">
        <v>2</v>
      </c>
      <c r="H784" s="2" t="str">
        <f>VLOOKUP($D784,'Customer Details'!$A$1:$F$17,MATCH('Order SUmmary'!H$2,'Customer Details'!$A$1:$F$1,0),0)</f>
        <v>Chambal Fertilisers and Chemicals Ltd.</v>
      </c>
      <c r="I784" s="2" t="str">
        <f>VLOOKUP($D784,'Customer Details'!$A$1:$F$17,4,0)</f>
        <v>New York</v>
      </c>
      <c r="J784" s="2" t="str">
        <f>VLOOKUP($D784,'Customer Details'!$A$1:$F$17,6,0)</f>
        <v>10025</v>
      </c>
      <c r="K784" s="8" t="str">
        <f>VLOOKUP(VLOOKUP(D784,'Customer Details'!$A$1:$F$17,5,0),'Region INfo'!$A$1:$C$52,3,0)</f>
        <v xml:space="preserve">Northern </v>
      </c>
      <c r="L784" s="8" t="str">
        <f>INDEX(Product_List,MATCH($F784,'Product List'!$B$1:$B$299,0),MATCH('Order SUmmary'!L$2,'Product List'!$A$1:$E$1,0))</f>
        <v>Xerox 1933</v>
      </c>
      <c r="M784" s="8">
        <f>INDEX(Product_List,MATCH($F784,'Product List'!$B$1:$B$299,0),MATCH('Order SUmmary'!M$2,'Product List'!$A$1:$E$1,0))</f>
        <v>3448</v>
      </c>
      <c r="N784" s="8">
        <f>INDEX(Product_List,MATCH($F784,'Product List'!$B$1:$B$299,0),MATCH('Order SUmmary'!N$2,'Product List'!$A$1:$E$1,0))</f>
        <v>1219</v>
      </c>
      <c r="O784" s="8" t="str">
        <f>INDEX(Product_List,MATCH($F784,'Product List'!$B$1:$B$299,0),MATCH('Order SUmmary'!O$2,'Product List'!$A$1:$E$1,0))</f>
        <v>Paper</v>
      </c>
      <c r="P784" s="12">
        <f>HLOOKUP(C784,'Commission Criteria'!$A$2:$I$4,3,FALSE)</f>
        <v>4</v>
      </c>
      <c r="Q784" s="8">
        <f t="shared" si="37"/>
        <v>2438</v>
      </c>
      <c r="R784" s="8">
        <f t="shared" si="38"/>
        <v>6896</v>
      </c>
      <c r="S784" s="36">
        <f>VLOOKUP(R784,'Commission Criteria'!$L$3:$M$11,2,TRUE)</f>
        <v>0.03</v>
      </c>
      <c r="T784" s="36">
        <f>IF(P784&lt;5,VLOOKUP(R784,'Commission Criteria'!$L$3:$M$11,2,1),VLOOKUP('Order SUmmary'!R784,'Commission Criteria'!$P$3:$Q$11,2,1))</f>
        <v>0.03</v>
      </c>
      <c r="U784" s="36">
        <f>VLOOKUP(R784,IF(P784&lt;5,'Commission Criteria'!$L$3:$M$11,'Commission Criteria'!$P$3:$Q$11),2,1)</f>
        <v>0.03</v>
      </c>
      <c r="V784" s="8" t="s">
        <v>40</v>
      </c>
      <c r="W784" s="36">
        <f t="shared" ca="1" si="39"/>
        <v>0.05</v>
      </c>
      <c r="X784" s="8" t="str">
        <f>_xlfn.XLOOKUP(F784,'Product List'!$B$1:$B$299,'Product List'!$A$1:$A$299)</f>
        <v>Xerox 1933</v>
      </c>
      <c r="Y784" s="8"/>
      <c r="Z784" s="8" t="str" cm="1">
        <f t="array" ref="Z784:AD784">_xlfn.XLOOKUP(D784,'Customer Details'!$A$1:$A$17,'Customer Details'!$B$1:$F$17,"No such customer",0,1)</f>
        <v>Chambal Fertilisers and Chemicals Ltd.</v>
      </c>
      <c r="AA784" s="8" t="str">
        <v>4951 Indiana Ave.</v>
      </c>
      <c r="AB784" s="8" t="str">
        <v>New York</v>
      </c>
      <c r="AC784" s="8" t="str">
        <v>NY</v>
      </c>
      <c r="AD784" s="8" t="str">
        <v>10025</v>
      </c>
    </row>
    <row r="785" spans="1:30">
      <c r="A785" s="8" t="s">
        <v>843</v>
      </c>
      <c r="B785" s="19">
        <v>42007</v>
      </c>
      <c r="C785" s="8" t="s">
        <v>33</v>
      </c>
      <c r="D785" s="8">
        <v>10001</v>
      </c>
      <c r="E785" s="8" t="str">
        <f>VLOOKUP($D785,'Customer Details'!$A$1:$F$17,4,FALSE)</f>
        <v>New York</v>
      </c>
      <c r="F785" s="8" t="s">
        <v>364</v>
      </c>
      <c r="G785" s="8">
        <v>1</v>
      </c>
      <c r="H785" s="2" t="str">
        <f>VLOOKUP($D785,'Customer Details'!$A$1:$F$17,MATCH('Order SUmmary'!H$2,'Customer Details'!$A$1:$F$1,0),0)</f>
        <v>Chambal Fertilisers and Chemicals Ltd.</v>
      </c>
      <c r="I785" s="2" t="str">
        <f>VLOOKUP($D785,'Customer Details'!$A$1:$F$17,4,0)</f>
        <v>New York</v>
      </c>
      <c r="J785" s="2" t="str">
        <f>VLOOKUP($D785,'Customer Details'!$A$1:$F$17,6,0)</f>
        <v>10025</v>
      </c>
      <c r="K785" s="8" t="str">
        <f>VLOOKUP(VLOOKUP(D785,'Customer Details'!$A$1:$F$17,5,0),'Region INfo'!$A$1:$C$52,3,0)</f>
        <v xml:space="preserve">Northern </v>
      </c>
      <c r="L785" s="8" t="str">
        <f>INDEX(Product_List,MATCH($F785,'Product List'!$B$1:$B$299,0),MATCH('Order SUmmary'!L$2,'Product List'!$A$1:$E$1,0))</f>
        <v>Avery 474</v>
      </c>
      <c r="M785" s="8">
        <f>INDEX(Product_List,MATCH($F785,'Product List'!$B$1:$B$299,0),MATCH('Order SUmmary'!M$2,'Product List'!$A$1:$E$1,0))</f>
        <v>3421</v>
      </c>
      <c r="N785" s="8">
        <f>INDEX(Product_List,MATCH($F785,'Product List'!$B$1:$B$299,0),MATCH('Order SUmmary'!N$2,'Product List'!$A$1:$E$1,0))</f>
        <v>1370</v>
      </c>
      <c r="O785" s="8" t="str">
        <f>INDEX(Product_List,MATCH($F785,'Product List'!$B$1:$B$299,0),MATCH('Order SUmmary'!O$2,'Product List'!$A$1:$E$1,0))</f>
        <v>Labels</v>
      </c>
      <c r="P785" s="12">
        <f>HLOOKUP(C785,'Commission Criteria'!$A$2:$I$4,3,FALSE)</f>
        <v>1</v>
      </c>
      <c r="Q785" s="8">
        <f t="shared" si="37"/>
        <v>1370</v>
      </c>
      <c r="R785" s="8">
        <f t="shared" si="38"/>
        <v>3421</v>
      </c>
      <c r="S785" s="36">
        <f>VLOOKUP(R785,'Commission Criteria'!$L$3:$M$11,2,TRUE)</f>
        <v>0.01</v>
      </c>
      <c r="T785" s="36">
        <f>IF(P785&lt;5,VLOOKUP(R785,'Commission Criteria'!$L$3:$M$11,2,1),VLOOKUP('Order SUmmary'!R785,'Commission Criteria'!$P$3:$Q$11,2,1))</f>
        <v>0.01</v>
      </c>
      <c r="U785" s="36">
        <f>VLOOKUP(R785,IF(P785&lt;5,'Commission Criteria'!$L$3:$M$11,'Commission Criteria'!$P$3:$Q$11),2,1)</f>
        <v>0.01</v>
      </c>
      <c r="V785" s="8" t="s">
        <v>40</v>
      </c>
      <c r="W785" s="36">
        <f t="shared" ca="1" si="39"/>
        <v>0.04</v>
      </c>
      <c r="X785" s="8" t="str">
        <f>_xlfn.XLOOKUP(F785,'Product List'!$B$1:$B$299,'Product List'!$A$1:$A$299)</f>
        <v>Avery 474</v>
      </c>
      <c r="Y785" s="8"/>
      <c r="Z785" s="8" t="str" cm="1">
        <f t="array" ref="Z785:AD785">_xlfn.XLOOKUP(D785,'Customer Details'!$A$1:$A$17,'Customer Details'!$B$1:$F$17,"No such customer",0,1)</f>
        <v>Chambal Fertilisers and Chemicals Ltd.</v>
      </c>
      <c r="AA785" s="8" t="str">
        <v>4951 Indiana Ave.</v>
      </c>
      <c r="AB785" s="8" t="str">
        <v>New York</v>
      </c>
      <c r="AC785" s="8" t="str">
        <v>NY</v>
      </c>
      <c r="AD785" s="8" t="str">
        <v>10025</v>
      </c>
    </row>
    <row r="786" spans="1:30">
      <c r="A786" s="8" t="s">
        <v>843</v>
      </c>
      <c r="B786" s="19">
        <v>42007</v>
      </c>
      <c r="C786" s="8" t="s">
        <v>51</v>
      </c>
      <c r="D786" s="8">
        <v>10009</v>
      </c>
      <c r="E786" s="8" t="str">
        <f>VLOOKUP($D786,'Customer Details'!$A$1:$F$17,4,FALSE)</f>
        <v>Salt Lake City</v>
      </c>
      <c r="F786" s="8" t="s">
        <v>760</v>
      </c>
      <c r="G786" s="8">
        <v>1</v>
      </c>
      <c r="H786" s="2" t="str">
        <f>VLOOKUP($D786,'Customer Details'!$A$1:$F$17,MATCH('Order SUmmary'!H$2,'Customer Details'!$A$1:$F$1,0),0)</f>
        <v>Godfrey Philips India Ltd.</v>
      </c>
      <c r="I786" s="2" t="str">
        <f>VLOOKUP($D786,'Customer Details'!$A$1:$F$17,4,0)</f>
        <v>Salt Lake City</v>
      </c>
      <c r="J786" s="2" t="str">
        <f>VLOOKUP($D786,'Customer Details'!$A$1:$F$17,6,0)</f>
        <v>84118</v>
      </c>
      <c r="K786" s="8" t="str">
        <f>VLOOKUP(VLOOKUP(D786,'Customer Details'!$A$1:$F$17,5,0),'Region INfo'!$A$1:$C$52,3,0)</f>
        <v xml:space="preserve">Pacific   </v>
      </c>
      <c r="L786" s="8" t="str">
        <f>INDEX(Product_List,MATCH($F786,'Product List'!$B$1:$B$299,0),MATCH('Order SUmmary'!L$2,'Product List'!$A$1:$E$1,0))</f>
        <v>Xerox 1898</v>
      </c>
      <c r="M786" s="8">
        <f>INDEX(Product_List,MATCH($F786,'Product List'!$B$1:$B$299,0),MATCH('Order SUmmary'!M$2,'Product List'!$A$1:$E$1,0))</f>
        <v>3495</v>
      </c>
      <c r="N786" s="8">
        <f>INDEX(Product_List,MATCH($F786,'Product List'!$B$1:$B$299,0),MATCH('Order SUmmary'!N$2,'Product List'!$A$1:$E$1,0))</f>
        <v>2172</v>
      </c>
      <c r="O786" s="8" t="str">
        <f>INDEX(Product_List,MATCH($F786,'Product List'!$B$1:$B$299,0),MATCH('Order SUmmary'!O$2,'Product List'!$A$1:$E$1,0))</f>
        <v>Paper</v>
      </c>
      <c r="P786" s="12">
        <f>HLOOKUP(C786,'Commission Criteria'!$A$2:$I$4,3,FALSE)</f>
        <v>10</v>
      </c>
      <c r="Q786" s="8">
        <f t="shared" si="37"/>
        <v>2172</v>
      </c>
      <c r="R786" s="8">
        <f t="shared" si="38"/>
        <v>3495</v>
      </c>
      <c r="S786" s="36">
        <f>VLOOKUP(R786,'Commission Criteria'!$L$3:$M$11,2,TRUE)</f>
        <v>0.01</v>
      </c>
      <c r="T786" s="36">
        <f>IF(P786&lt;5,VLOOKUP(R786,'Commission Criteria'!$L$3:$M$11,2,1),VLOOKUP('Order SUmmary'!R786,'Commission Criteria'!$P$3:$Q$11,2,1))</f>
        <v>0.02</v>
      </c>
      <c r="U786" s="36">
        <f>VLOOKUP(R786,IF(P786&lt;5,'Commission Criteria'!$L$3:$M$11,'Commission Criteria'!$P$3:$Q$11),2,1)</f>
        <v>0.02</v>
      </c>
      <c r="V786" s="8" t="s">
        <v>50</v>
      </c>
      <c r="W786" s="36">
        <f t="shared" ca="1" si="39"/>
        <v>0.05</v>
      </c>
      <c r="X786" s="8" t="str">
        <f>_xlfn.XLOOKUP(F786,'Product List'!$B$1:$B$299,'Product List'!$A$1:$A$299)</f>
        <v>Xerox 1898</v>
      </c>
      <c r="Y786" s="8"/>
      <c r="Z786" s="8" t="str" cm="1">
        <f t="array" ref="Z786:AD786">_xlfn.XLOOKUP(D786,'Customer Details'!$A$1:$A$17,'Customer Details'!$B$1:$F$17,"No such customer",0,1)</f>
        <v>Godfrey Philips India Ltd.</v>
      </c>
      <c r="AA786" s="8" t="str">
        <v>20501 Ania Ave #2</v>
      </c>
      <c r="AB786" s="8" t="str">
        <v>Salt Lake City</v>
      </c>
      <c r="AC786" s="8" t="str">
        <v>UT</v>
      </c>
      <c r="AD786" s="8" t="str">
        <v>84118</v>
      </c>
    </row>
    <row r="787" spans="1:30">
      <c r="A787" s="8" t="s">
        <v>844</v>
      </c>
      <c r="B787" s="19">
        <v>42009</v>
      </c>
      <c r="C787" s="8" t="s">
        <v>54</v>
      </c>
      <c r="D787" s="8">
        <v>10002</v>
      </c>
      <c r="E787" s="8" t="str">
        <f>VLOOKUP($D787,'Customer Details'!$A$1:$F$17,4,FALSE)</f>
        <v>Omaha</v>
      </c>
      <c r="F787" s="8" t="s">
        <v>617</v>
      </c>
      <c r="G787" s="8">
        <v>1</v>
      </c>
      <c r="H787" s="2" t="str">
        <f>VLOOKUP($D787,'Customer Details'!$A$1:$F$17,MATCH('Order SUmmary'!H$2,'Customer Details'!$A$1:$F$1,0),0)</f>
        <v>Elder Pharmaceuticals</v>
      </c>
      <c r="I787" s="2" t="str">
        <f>VLOOKUP($D787,'Customer Details'!$A$1:$F$17,4,0)</f>
        <v>Omaha</v>
      </c>
      <c r="J787" s="2" t="str">
        <f>VLOOKUP($D787,'Customer Details'!$A$1:$F$17,6,0)</f>
        <v>68127</v>
      </c>
      <c r="K787" s="8" t="str">
        <f>VLOOKUP(VLOOKUP(D787,'Customer Details'!$A$1:$F$17,5,0),'Region INfo'!$A$1:$C$52,3,0)</f>
        <v>Western</v>
      </c>
      <c r="L787" s="8" t="str">
        <f>INDEX(Product_List,MATCH($F787,'Product List'!$B$1:$B$299,0),MATCH('Order SUmmary'!L$2,'Product List'!$A$1:$E$1,0))</f>
        <v>Xerox 1915</v>
      </c>
      <c r="M787" s="8">
        <f>INDEX(Product_List,MATCH($F787,'Product List'!$B$1:$B$299,0),MATCH('Order SUmmary'!M$2,'Product List'!$A$1:$E$1,0))</f>
        <v>3340</v>
      </c>
      <c r="N787" s="8">
        <f>INDEX(Product_List,MATCH($F787,'Product List'!$B$1:$B$299,0),MATCH('Order SUmmary'!N$2,'Product List'!$A$1:$E$1,0))</f>
        <v>1355</v>
      </c>
      <c r="O787" s="8" t="str">
        <f>INDEX(Product_List,MATCH($F787,'Product List'!$B$1:$B$299,0),MATCH('Order SUmmary'!O$2,'Product List'!$A$1:$E$1,0))</f>
        <v>Paper</v>
      </c>
      <c r="P787" s="12">
        <f>HLOOKUP(C787,'Commission Criteria'!$A$2:$I$4,3,FALSE)</f>
        <v>3</v>
      </c>
      <c r="Q787" s="8">
        <f t="shared" si="37"/>
        <v>1355</v>
      </c>
      <c r="R787" s="8">
        <f t="shared" si="38"/>
        <v>3340</v>
      </c>
      <c r="S787" s="36">
        <f>VLOOKUP(R787,'Commission Criteria'!$L$3:$M$11,2,TRUE)</f>
        <v>0.01</v>
      </c>
      <c r="T787" s="36">
        <f>IF(P787&lt;5,VLOOKUP(R787,'Commission Criteria'!$L$3:$M$11,2,1),VLOOKUP('Order SUmmary'!R787,'Commission Criteria'!$P$3:$Q$11,2,1))</f>
        <v>0.01</v>
      </c>
      <c r="U787" s="36">
        <f>VLOOKUP(R787,IF(P787&lt;5,'Commission Criteria'!$L$3:$M$11,'Commission Criteria'!$P$3:$Q$11),2,1)</f>
        <v>0.01</v>
      </c>
      <c r="V787" s="8" t="s">
        <v>40</v>
      </c>
      <c r="W787" s="36">
        <f t="shared" ca="1" si="39"/>
        <v>0.05</v>
      </c>
      <c r="X787" s="8" t="str">
        <f>_xlfn.XLOOKUP(F787,'Product List'!$B$1:$B$299,'Product List'!$A$1:$A$299)</f>
        <v>Xerox 1915</v>
      </c>
      <c r="Y787" s="8"/>
      <c r="Z787" s="8" t="str" cm="1">
        <f t="array" ref="Z787:AD787">_xlfn.XLOOKUP(D787,'Customer Details'!$A$1:$A$17,'Customer Details'!$B$1:$F$17,"No such customer",0,1)</f>
        <v>Elder Pharmaceuticals</v>
      </c>
      <c r="AA787" s="8" t="str">
        <v>57 Neriba Cres</v>
      </c>
      <c r="AB787" s="8" t="str">
        <v>Omaha</v>
      </c>
      <c r="AC787" s="8" t="str">
        <v>NE</v>
      </c>
      <c r="AD787" s="8" t="str">
        <v>68127</v>
      </c>
    </row>
    <row r="788" spans="1:30">
      <c r="A788" s="8" t="s">
        <v>845</v>
      </c>
      <c r="B788" s="19">
        <v>42011</v>
      </c>
      <c r="C788" s="8" t="s">
        <v>66</v>
      </c>
      <c r="D788" s="8">
        <v>10004</v>
      </c>
      <c r="E788" s="8" t="str">
        <f>VLOOKUP($D788,'Customer Details'!$A$1:$F$17,4,FALSE)</f>
        <v>New York</v>
      </c>
      <c r="F788" s="8" t="s">
        <v>445</v>
      </c>
      <c r="G788" s="8">
        <v>1</v>
      </c>
      <c r="H788" s="2" t="str">
        <f>VLOOKUP($D788,'Customer Details'!$A$1:$F$17,MATCH('Order SUmmary'!H$2,'Customer Details'!$A$1:$F$1,0),0)</f>
        <v>Lupin Ltd.</v>
      </c>
      <c r="I788" s="2" t="str">
        <f>VLOOKUP($D788,'Customer Details'!$A$1:$F$17,4,0)</f>
        <v>New York</v>
      </c>
      <c r="J788" s="2" t="str">
        <f>VLOOKUP($D788,'Customer Details'!$A$1:$F$17,6,0)</f>
        <v>10019</v>
      </c>
      <c r="K788" s="8" t="str">
        <f>VLOOKUP(VLOOKUP(D788,'Customer Details'!$A$1:$F$17,5,0),'Region INfo'!$A$1:$C$52,3,0)</f>
        <v xml:space="preserve">Northern </v>
      </c>
      <c r="L788" s="8" t="str">
        <f>INDEX(Product_List,MATCH($F788,'Product List'!$B$1:$B$299,0),MATCH('Order SUmmary'!L$2,'Product List'!$A$1:$E$1,0))</f>
        <v>Xerox 1882</v>
      </c>
      <c r="M788" s="8">
        <f>INDEX(Product_List,MATCH($F788,'Product List'!$B$1:$B$299,0),MATCH('Order SUmmary'!M$2,'Product List'!$A$1:$E$1,0))</f>
        <v>4206</v>
      </c>
      <c r="N788" s="8">
        <f>INDEX(Product_List,MATCH($F788,'Product List'!$B$1:$B$299,0),MATCH('Order SUmmary'!N$2,'Product List'!$A$1:$E$1,0))</f>
        <v>1201</v>
      </c>
      <c r="O788" s="8" t="str">
        <f>INDEX(Product_List,MATCH($F788,'Product List'!$B$1:$B$299,0),MATCH('Order SUmmary'!O$2,'Product List'!$A$1:$E$1,0))</f>
        <v>Paper</v>
      </c>
      <c r="P788" s="12">
        <f>HLOOKUP(C788,'Commission Criteria'!$A$2:$I$4,3,FALSE)</f>
        <v>5</v>
      </c>
      <c r="Q788" s="8">
        <f t="shared" si="37"/>
        <v>1201</v>
      </c>
      <c r="R788" s="8">
        <f t="shared" si="38"/>
        <v>4206</v>
      </c>
      <c r="S788" s="36">
        <f>VLOOKUP(R788,'Commission Criteria'!$L$3:$M$11,2,TRUE)</f>
        <v>0.01</v>
      </c>
      <c r="T788" s="36">
        <f>IF(P788&lt;5,VLOOKUP(R788,'Commission Criteria'!$L$3:$M$11,2,1),VLOOKUP('Order SUmmary'!R788,'Commission Criteria'!$P$3:$Q$11,2,1))</f>
        <v>0.02</v>
      </c>
      <c r="U788" s="36">
        <f>VLOOKUP(R788,IF(P788&lt;5,'Commission Criteria'!$L$3:$M$11,'Commission Criteria'!$P$3:$Q$11),2,1)</f>
        <v>0.02</v>
      </c>
      <c r="V788" s="8" t="s">
        <v>35</v>
      </c>
      <c r="W788" s="36">
        <f t="shared" ca="1" si="39"/>
        <v>0.01</v>
      </c>
      <c r="X788" s="8" t="str">
        <f>_xlfn.XLOOKUP(F788,'Product List'!$B$1:$B$299,'Product List'!$A$1:$A$299)</f>
        <v>Xerox 1882</v>
      </c>
      <c r="Y788" s="8"/>
      <c r="Z788" s="8" t="str" cm="1">
        <f t="array" ref="Z788:AD788">_xlfn.XLOOKUP(D788,'Customer Details'!$A$1:$A$17,'Customer Details'!$B$1:$F$17,"No such customer",0,1)</f>
        <v>Lupin Ltd.</v>
      </c>
      <c r="AA788" s="8" t="str">
        <v>Abbey Wood</v>
      </c>
      <c r="AB788" s="8" t="str">
        <v>New York</v>
      </c>
      <c r="AC788" s="8" t="str">
        <v>NY</v>
      </c>
      <c r="AD788" s="8" t="str">
        <v>10019</v>
      </c>
    </row>
    <row r="789" spans="1:30">
      <c r="A789" s="8" t="s">
        <v>846</v>
      </c>
      <c r="B789" s="19">
        <v>42011</v>
      </c>
      <c r="C789" s="8" t="s">
        <v>36</v>
      </c>
      <c r="D789" s="8">
        <v>10013</v>
      </c>
      <c r="E789" s="8" t="str">
        <f>VLOOKUP($D789,'Customer Details'!$A$1:$F$17,4,FALSE)</f>
        <v>Naugatuck</v>
      </c>
      <c r="F789" s="8" t="s">
        <v>847</v>
      </c>
      <c r="G789" s="8">
        <v>2</v>
      </c>
      <c r="H789" s="2" t="str">
        <f>VLOOKUP($D789,'Customer Details'!$A$1:$F$17,MATCH('Order SUmmary'!H$2,'Customer Details'!$A$1:$F$1,0),0)</f>
        <v>GMR Infrastructure Ltd.</v>
      </c>
      <c r="I789" s="2" t="str">
        <f>VLOOKUP($D789,'Customer Details'!$A$1:$F$17,4,0)</f>
        <v>Naugatuck</v>
      </c>
      <c r="J789" s="2" t="str">
        <f>VLOOKUP($D789,'Customer Details'!$A$1:$F$17,6,0)</f>
        <v>06770</v>
      </c>
      <c r="K789" s="8" t="str">
        <f>VLOOKUP(VLOOKUP(D789,'Customer Details'!$A$1:$F$17,5,0),'Region INfo'!$A$1:$C$52,3,0)</f>
        <v xml:space="preserve">Northern </v>
      </c>
      <c r="L789" s="8" t="str">
        <f>INDEX(Product_List,MATCH($F789,'Product List'!$B$1:$B$299,0),MATCH('Order SUmmary'!L$2,'Product List'!$A$1:$E$1,0))</f>
        <v>Xerox 1941</v>
      </c>
      <c r="M789" s="8">
        <f>INDEX(Product_List,MATCH($F789,'Product List'!$B$1:$B$299,0),MATCH('Order SUmmary'!M$2,'Product List'!$A$1:$E$1,0))</f>
        <v>2647</v>
      </c>
      <c r="N789" s="8">
        <f>INDEX(Product_List,MATCH($F789,'Product List'!$B$1:$B$299,0),MATCH('Order SUmmary'!N$2,'Product List'!$A$1:$E$1,0))</f>
        <v>1539</v>
      </c>
      <c r="O789" s="8" t="str">
        <f>INDEX(Product_List,MATCH($F789,'Product List'!$B$1:$B$299,0),MATCH('Order SUmmary'!O$2,'Product List'!$A$1:$E$1,0))</f>
        <v>Paper</v>
      </c>
      <c r="P789" s="12">
        <f>HLOOKUP(C789,'Commission Criteria'!$A$2:$I$4,3,FALSE)</f>
        <v>6</v>
      </c>
      <c r="Q789" s="8">
        <f t="shared" si="37"/>
        <v>3078</v>
      </c>
      <c r="R789" s="8">
        <f t="shared" si="38"/>
        <v>5294</v>
      </c>
      <c r="S789" s="36">
        <f>VLOOKUP(R789,'Commission Criteria'!$L$3:$M$11,2,TRUE)</f>
        <v>0.03</v>
      </c>
      <c r="T789" s="36">
        <f>IF(P789&lt;5,VLOOKUP(R789,'Commission Criteria'!$L$3:$M$11,2,1),VLOOKUP('Order SUmmary'!R789,'Commission Criteria'!$P$3:$Q$11,2,1))</f>
        <v>0.02</v>
      </c>
      <c r="U789" s="36">
        <f>VLOOKUP(R789,IF(P789&lt;5,'Commission Criteria'!$L$3:$M$11,'Commission Criteria'!$P$3:$Q$11),2,1)</f>
        <v>0.02</v>
      </c>
      <c r="V789" s="8" t="s">
        <v>40</v>
      </c>
      <c r="W789" s="36">
        <f t="shared" ca="1" si="39"/>
        <v>0.02</v>
      </c>
      <c r="X789" s="8" t="str">
        <f>_xlfn.XLOOKUP(F789,'Product List'!$B$1:$B$299,'Product List'!$A$1:$A$299)</f>
        <v>Xerox 1941</v>
      </c>
      <c r="Y789" s="8"/>
      <c r="Z789" s="8" t="str" cm="1">
        <f t="array" ref="Z789:AD789">_xlfn.XLOOKUP(D789,'Customer Details'!$A$1:$A$17,'Customer Details'!$B$1:$F$17,"No such customer",0,1)</f>
        <v>GMR Infrastructure Ltd.</v>
      </c>
      <c r="AA789" s="8" t="str">
        <v>P.O. Box 4421</v>
      </c>
      <c r="AB789" s="8" t="str">
        <v>Naugatuck</v>
      </c>
      <c r="AC789" s="8" t="str">
        <v>CT</v>
      </c>
      <c r="AD789" s="8" t="str">
        <v>06770</v>
      </c>
    </row>
    <row r="790" spans="1:30">
      <c r="A790" s="8" t="s">
        <v>848</v>
      </c>
      <c r="B790" s="19">
        <v>42013</v>
      </c>
      <c r="C790" s="8" t="s">
        <v>54</v>
      </c>
      <c r="D790" s="8">
        <v>10003</v>
      </c>
      <c r="E790" s="8" t="str">
        <f>VLOOKUP($D790,'Customer Details'!$A$1:$F$17,4,FALSE)</f>
        <v>Miami</v>
      </c>
      <c r="F790" s="8" t="s">
        <v>778</v>
      </c>
      <c r="G790" s="8">
        <v>3</v>
      </c>
      <c r="H790" s="2" t="str">
        <f>VLOOKUP($D790,'Customer Details'!$A$1:$F$17,MATCH('Order SUmmary'!H$2,'Customer Details'!$A$1:$F$1,0),0)</f>
        <v>Honeywell Automation</v>
      </c>
      <c r="I790" s="2" t="str">
        <f>VLOOKUP($D790,'Customer Details'!$A$1:$F$17,4,0)</f>
        <v>Miami</v>
      </c>
      <c r="J790" s="2" t="str">
        <f>VLOOKUP($D790,'Customer Details'!$A$1:$F$17,6,0)</f>
        <v>33732</v>
      </c>
      <c r="K790" s="8" t="str">
        <f>VLOOKUP(VLOOKUP(D790,'Customer Details'!$A$1:$F$17,5,0),'Region INfo'!$A$1:$C$52,3,0)</f>
        <v>Southern</v>
      </c>
      <c r="L790" s="8" t="str">
        <f>INDEX(Product_List,MATCH($F790,'Product List'!$B$1:$B$299,0),MATCH('Order SUmmary'!L$2,'Product List'!$A$1:$E$1,0))</f>
        <v>Xerox 197</v>
      </c>
      <c r="M790" s="8">
        <f>INDEX(Product_List,MATCH($F790,'Product List'!$B$1:$B$299,0),MATCH('Order SUmmary'!M$2,'Product List'!$A$1:$E$1,0))</f>
        <v>2671</v>
      </c>
      <c r="N790" s="8">
        <f>INDEX(Product_List,MATCH($F790,'Product List'!$B$1:$B$299,0),MATCH('Order SUmmary'!N$2,'Product List'!$A$1:$E$1,0))</f>
        <v>1591</v>
      </c>
      <c r="O790" s="8" t="str">
        <f>INDEX(Product_List,MATCH($F790,'Product List'!$B$1:$B$299,0),MATCH('Order SUmmary'!O$2,'Product List'!$A$1:$E$1,0))</f>
        <v>Paper</v>
      </c>
      <c r="P790" s="12">
        <f>HLOOKUP(C790,'Commission Criteria'!$A$2:$I$4,3,FALSE)</f>
        <v>3</v>
      </c>
      <c r="Q790" s="8">
        <f t="shared" si="37"/>
        <v>4773</v>
      </c>
      <c r="R790" s="8">
        <f t="shared" si="38"/>
        <v>8013</v>
      </c>
      <c r="S790" s="36">
        <f>VLOOKUP(R790,'Commission Criteria'!$L$3:$M$11,2,TRUE)</f>
        <v>0.03</v>
      </c>
      <c r="T790" s="36">
        <f>IF(P790&lt;5,VLOOKUP(R790,'Commission Criteria'!$L$3:$M$11,2,1),VLOOKUP('Order SUmmary'!R790,'Commission Criteria'!$P$3:$Q$11,2,1))</f>
        <v>0.03</v>
      </c>
      <c r="U790" s="36">
        <f>VLOOKUP(R790,IF(P790&lt;5,'Commission Criteria'!$L$3:$M$11,'Commission Criteria'!$P$3:$Q$11),2,1)</f>
        <v>0.03</v>
      </c>
      <c r="V790" s="8" t="s">
        <v>40</v>
      </c>
      <c r="W790" s="36">
        <f t="shared" ca="1" si="39"/>
        <v>0.01</v>
      </c>
      <c r="X790" s="8" t="str">
        <f>_xlfn.XLOOKUP(F790,'Product List'!$B$1:$B$299,'Product List'!$A$1:$A$299)</f>
        <v>Xerox 197</v>
      </c>
      <c r="Y790" s="8"/>
      <c r="Z790" s="8" t="str" cm="1">
        <f t="array" ref="Z790:AD790">_xlfn.XLOOKUP(D790,'Customer Details'!$A$1:$A$17,'Customer Details'!$B$1:$F$17,"No such customer",0,1)</f>
        <v>Honeywell Automation</v>
      </c>
      <c r="AA790" s="8" t="str">
        <v>1272 Harbor Road</v>
      </c>
      <c r="AB790" s="8" t="str">
        <v>Miami</v>
      </c>
      <c r="AC790" s="8" t="str">
        <v>FL</v>
      </c>
      <c r="AD790" s="8" t="str">
        <v>33732</v>
      </c>
    </row>
    <row r="791" spans="1:30">
      <c r="A791" s="8" t="s">
        <v>848</v>
      </c>
      <c r="B791" s="19">
        <v>42013</v>
      </c>
      <c r="C791" s="8" t="s">
        <v>51</v>
      </c>
      <c r="D791" s="8">
        <v>10003</v>
      </c>
      <c r="E791" s="8" t="str">
        <f>VLOOKUP($D791,'Customer Details'!$A$1:$F$17,4,FALSE)</f>
        <v>Miami</v>
      </c>
      <c r="F791" s="8" t="s">
        <v>156</v>
      </c>
      <c r="G791" s="8">
        <v>2</v>
      </c>
      <c r="H791" s="2" t="str">
        <f>VLOOKUP($D791,'Customer Details'!$A$1:$F$17,MATCH('Order SUmmary'!H$2,'Customer Details'!$A$1:$F$1,0),0)</f>
        <v>Honeywell Automation</v>
      </c>
      <c r="I791" s="2" t="str">
        <f>VLOOKUP($D791,'Customer Details'!$A$1:$F$17,4,0)</f>
        <v>Miami</v>
      </c>
      <c r="J791" s="2" t="str">
        <f>VLOOKUP($D791,'Customer Details'!$A$1:$F$17,6,0)</f>
        <v>33732</v>
      </c>
      <c r="K791" s="8" t="str">
        <f>VLOOKUP(VLOOKUP(D791,'Customer Details'!$A$1:$F$17,5,0),'Region INfo'!$A$1:$C$52,3,0)</f>
        <v>Southern</v>
      </c>
      <c r="L791" s="8" t="str">
        <f>INDEX(Product_List,MATCH($F791,'Product List'!$B$1:$B$299,0),MATCH('Order SUmmary'!L$2,'Product List'!$A$1:$E$1,0))</f>
        <v>Avery 505</v>
      </c>
      <c r="M791" s="8">
        <f>INDEX(Product_List,MATCH($F791,'Product List'!$B$1:$B$299,0),MATCH('Order SUmmary'!M$2,'Product List'!$A$1:$E$1,0))</f>
        <v>4305</v>
      </c>
      <c r="N791" s="8">
        <f>INDEX(Product_List,MATCH($F791,'Product List'!$B$1:$B$299,0),MATCH('Order SUmmary'!N$2,'Product List'!$A$1:$E$1,0))</f>
        <v>2027</v>
      </c>
      <c r="O791" s="8" t="str">
        <f>INDEX(Product_List,MATCH($F791,'Product List'!$B$1:$B$299,0),MATCH('Order SUmmary'!O$2,'Product List'!$A$1:$E$1,0))</f>
        <v>Labels</v>
      </c>
      <c r="P791" s="12">
        <f>HLOOKUP(C791,'Commission Criteria'!$A$2:$I$4,3,FALSE)</f>
        <v>10</v>
      </c>
      <c r="Q791" s="8">
        <f t="shared" si="37"/>
        <v>4054</v>
      </c>
      <c r="R791" s="8">
        <f t="shared" si="38"/>
        <v>8610</v>
      </c>
      <c r="S791" s="36">
        <f>VLOOKUP(R791,'Commission Criteria'!$L$3:$M$11,2,TRUE)</f>
        <v>0.03</v>
      </c>
      <c r="T791" s="36">
        <f>IF(P791&lt;5,VLOOKUP(R791,'Commission Criteria'!$L$3:$M$11,2,1),VLOOKUP('Order SUmmary'!R791,'Commission Criteria'!$P$3:$Q$11,2,1))</f>
        <v>0.02</v>
      </c>
      <c r="U791" s="36">
        <f>VLOOKUP(R791,IF(P791&lt;5,'Commission Criteria'!$L$3:$M$11,'Commission Criteria'!$P$3:$Q$11),2,1)</f>
        <v>0.02</v>
      </c>
      <c r="V791" s="8" t="s">
        <v>40</v>
      </c>
      <c r="W791" s="36">
        <f t="shared" ca="1" si="39"/>
        <v>0</v>
      </c>
      <c r="X791" s="8" t="str">
        <f>_xlfn.XLOOKUP(F791,'Product List'!$B$1:$B$299,'Product List'!$A$1:$A$299)</f>
        <v>Avery 505</v>
      </c>
      <c r="Y791" s="8"/>
      <c r="Z791" s="8" t="str" cm="1">
        <f t="array" ref="Z791:AD791">_xlfn.XLOOKUP(D791,'Customer Details'!$A$1:$A$17,'Customer Details'!$B$1:$F$17,"No such customer",0,1)</f>
        <v>Honeywell Automation</v>
      </c>
      <c r="AA791" s="8" t="str">
        <v>1272 Harbor Road</v>
      </c>
      <c r="AB791" s="8" t="str">
        <v>Miami</v>
      </c>
      <c r="AC791" s="8" t="str">
        <v>FL</v>
      </c>
      <c r="AD791" s="8" t="str">
        <v>33732</v>
      </c>
    </row>
    <row r="792" spans="1:30">
      <c r="A792" s="8" t="s">
        <v>849</v>
      </c>
      <c r="B792" s="19">
        <v>42014</v>
      </c>
      <c r="C792" s="8" t="s">
        <v>33</v>
      </c>
      <c r="D792" s="8">
        <v>10014</v>
      </c>
      <c r="E792" s="8" t="str">
        <f>VLOOKUP($D792,'Customer Details'!$A$1:$F$17,4,FALSE)</f>
        <v>Honolulu</v>
      </c>
      <c r="F792" s="8" t="s">
        <v>502</v>
      </c>
      <c r="G792" s="8">
        <v>1</v>
      </c>
      <c r="H792" s="2" t="str">
        <f>VLOOKUP($D792,'Customer Details'!$A$1:$F$17,MATCH('Order SUmmary'!H$2,'Customer Details'!$A$1:$F$1,0),0)</f>
        <v>Hindusthan National Glass &amp; Industries Ltd.</v>
      </c>
      <c r="I792" s="2" t="str">
        <f>VLOOKUP($D792,'Customer Details'!$A$1:$F$17,4,0)</f>
        <v>Honolulu</v>
      </c>
      <c r="J792" s="2" t="str">
        <f>VLOOKUP($D792,'Customer Details'!$A$1:$F$17,6,0)</f>
        <v>96825</v>
      </c>
      <c r="K792" s="8" t="str">
        <f>VLOOKUP(VLOOKUP(D792,'Customer Details'!$A$1:$F$17,5,0),'Region INfo'!$A$1:$C$52,3,0)</f>
        <v xml:space="preserve">Pacific   </v>
      </c>
      <c r="L792" s="8" t="str">
        <f>INDEX(Product_List,MATCH($F792,'Product List'!$B$1:$B$299,0),MATCH('Order SUmmary'!L$2,'Product List'!$A$1:$E$1,0))</f>
        <v>Xerox 1896</v>
      </c>
      <c r="M792" s="8">
        <f>INDEX(Product_List,MATCH($F792,'Product List'!$B$1:$B$299,0),MATCH('Order SUmmary'!M$2,'Product List'!$A$1:$E$1,0))</f>
        <v>4239</v>
      </c>
      <c r="N792" s="8">
        <f>INDEX(Product_List,MATCH($F792,'Product List'!$B$1:$B$299,0),MATCH('Order SUmmary'!N$2,'Product List'!$A$1:$E$1,0))</f>
        <v>2267</v>
      </c>
      <c r="O792" s="8" t="str">
        <f>INDEX(Product_List,MATCH($F792,'Product List'!$B$1:$B$299,0),MATCH('Order SUmmary'!O$2,'Product List'!$A$1:$E$1,0))</f>
        <v>Paper</v>
      </c>
      <c r="P792" s="12">
        <f>HLOOKUP(C792,'Commission Criteria'!$A$2:$I$4,3,FALSE)</f>
        <v>1</v>
      </c>
      <c r="Q792" s="8">
        <f t="shared" si="37"/>
        <v>2267</v>
      </c>
      <c r="R792" s="8">
        <f t="shared" si="38"/>
        <v>4239</v>
      </c>
      <c r="S792" s="36">
        <f>VLOOKUP(R792,'Commission Criteria'!$L$3:$M$11,2,TRUE)</f>
        <v>0.01</v>
      </c>
      <c r="T792" s="36">
        <f>IF(P792&lt;5,VLOOKUP(R792,'Commission Criteria'!$L$3:$M$11,2,1),VLOOKUP('Order SUmmary'!R792,'Commission Criteria'!$P$3:$Q$11,2,1))</f>
        <v>0.01</v>
      </c>
      <c r="U792" s="36">
        <f>VLOOKUP(R792,IF(P792&lt;5,'Commission Criteria'!$L$3:$M$11,'Commission Criteria'!$P$3:$Q$11),2,1)</f>
        <v>0.01</v>
      </c>
      <c r="V792" s="8" t="s">
        <v>32</v>
      </c>
      <c r="W792" s="36">
        <f t="shared" ca="1" si="39"/>
        <v>0.05</v>
      </c>
      <c r="X792" s="8" t="str">
        <f>_xlfn.XLOOKUP(F792,'Product List'!$B$1:$B$299,'Product List'!$A$1:$A$299)</f>
        <v>Xerox 1896</v>
      </c>
      <c r="Y792" s="8"/>
      <c r="Z792" s="8" t="str" cm="1">
        <f t="array" ref="Z792:AD792">_xlfn.XLOOKUP(D792,'Customer Details'!$A$1:$A$17,'Customer Details'!$B$1:$F$17,"No such customer",0,1)</f>
        <v>Hindusthan National Glass &amp; Industries Ltd.</v>
      </c>
      <c r="AA792" s="8" t="str">
        <v>11 Cathy St.</v>
      </c>
      <c r="AB792" s="8" t="str">
        <v>Honolulu</v>
      </c>
      <c r="AC792" s="8" t="str">
        <v>HI</v>
      </c>
      <c r="AD792" s="8" t="str">
        <v>96825</v>
      </c>
    </row>
    <row r="793" spans="1:30">
      <c r="A793" s="8" t="s">
        <v>849</v>
      </c>
      <c r="B793" s="19">
        <v>42014</v>
      </c>
      <c r="C793" s="8" t="s">
        <v>54</v>
      </c>
      <c r="D793" s="8">
        <v>10003</v>
      </c>
      <c r="E793" s="8" t="str">
        <f>VLOOKUP($D793,'Customer Details'!$A$1:$F$17,4,FALSE)</f>
        <v>Miami</v>
      </c>
      <c r="F793" s="8" t="s">
        <v>850</v>
      </c>
      <c r="G793" s="8">
        <v>3</v>
      </c>
      <c r="H793" s="2" t="str">
        <f>VLOOKUP($D793,'Customer Details'!$A$1:$F$17,MATCH('Order SUmmary'!H$2,'Customer Details'!$A$1:$F$1,0),0)</f>
        <v>Honeywell Automation</v>
      </c>
      <c r="I793" s="2" t="str">
        <f>VLOOKUP($D793,'Customer Details'!$A$1:$F$17,4,0)</f>
        <v>Miami</v>
      </c>
      <c r="J793" s="2" t="str">
        <f>VLOOKUP($D793,'Customer Details'!$A$1:$F$17,6,0)</f>
        <v>33732</v>
      </c>
      <c r="K793" s="8" t="str">
        <f>VLOOKUP(VLOOKUP(D793,'Customer Details'!$A$1:$F$17,5,0),'Region INfo'!$A$1:$C$52,3,0)</f>
        <v>Southern</v>
      </c>
      <c r="L793" s="8" t="str">
        <f>INDEX(Product_List,MATCH($F793,'Product List'!$B$1:$B$299,0),MATCH('Order SUmmary'!L$2,'Product List'!$A$1:$E$1,0))</f>
        <v>Xerox 225</v>
      </c>
      <c r="M793" s="8">
        <f>INDEX(Product_List,MATCH($F793,'Product List'!$B$1:$B$299,0),MATCH('Order SUmmary'!M$2,'Product List'!$A$1:$E$1,0))</f>
        <v>2672</v>
      </c>
      <c r="N793" s="8">
        <f>INDEX(Product_List,MATCH($F793,'Product List'!$B$1:$B$299,0),MATCH('Order SUmmary'!N$2,'Product List'!$A$1:$E$1,0))</f>
        <v>2236</v>
      </c>
      <c r="O793" s="8" t="str">
        <f>INDEX(Product_List,MATCH($F793,'Product List'!$B$1:$B$299,0),MATCH('Order SUmmary'!O$2,'Product List'!$A$1:$E$1,0))</f>
        <v>Paper</v>
      </c>
      <c r="P793" s="12">
        <f>HLOOKUP(C793,'Commission Criteria'!$A$2:$I$4,3,FALSE)</f>
        <v>3</v>
      </c>
      <c r="Q793" s="8">
        <f t="shared" si="37"/>
        <v>6708</v>
      </c>
      <c r="R793" s="8">
        <f t="shared" si="38"/>
        <v>8016</v>
      </c>
      <c r="S793" s="36">
        <f>VLOOKUP(R793,'Commission Criteria'!$L$3:$M$11,2,TRUE)</f>
        <v>0.03</v>
      </c>
      <c r="T793" s="36">
        <f>IF(P793&lt;5,VLOOKUP(R793,'Commission Criteria'!$L$3:$M$11,2,1),VLOOKUP('Order SUmmary'!R793,'Commission Criteria'!$P$3:$Q$11,2,1))</f>
        <v>0.03</v>
      </c>
      <c r="U793" s="36">
        <f>VLOOKUP(R793,IF(P793&lt;5,'Commission Criteria'!$L$3:$M$11,'Commission Criteria'!$P$3:$Q$11),2,1)</f>
        <v>0.03</v>
      </c>
      <c r="V793" s="8" t="s">
        <v>43</v>
      </c>
      <c r="W793" s="36">
        <f t="shared" ca="1" si="39"/>
        <v>0</v>
      </c>
      <c r="X793" s="8" t="str">
        <f>_xlfn.XLOOKUP(F793,'Product List'!$B$1:$B$299,'Product List'!$A$1:$A$299)</f>
        <v>Xerox 225</v>
      </c>
      <c r="Y793" s="8"/>
      <c r="Z793" s="8" t="str" cm="1">
        <f t="array" ref="Z793:AD793">_xlfn.XLOOKUP(D793,'Customer Details'!$A$1:$A$17,'Customer Details'!$B$1:$F$17,"No such customer",0,1)</f>
        <v>Honeywell Automation</v>
      </c>
      <c r="AA793" s="8" t="str">
        <v>1272 Harbor Road</v>
      </c>
      <c r="AB793" s="8" t="str">
        <v>Miami</v>
      </c>
      <c r="AC793" s="8" t="str">
        <v>FL</v>
      </c>
      <c r="AD793" s="8" t="str">
        <v>33732</v>
      </c>
    </row>
    <row r="794" spans="1:30">
      <c r="A794" s="8" t="s">
        <v>851</v>
      </c>
      <c r="B794" s="19">
        <v>42015</v>
      </c>
      <c r="C794" s="8" t="s">
        <v>46</v>
      </c>
      <c r="D794" s="8">
        <v>10007</v>
      </c>
      <c r="E794" s="8" t="str">
        <f>VLOOKUP($D794,'Customer Details'!$A$1:$F$17,4,FALSE)</f>
        <v>Richmond</v>
      </c>
      <c r="F794" s="8" t="s">
        <v>532</v>
      </c>
      <c r="G794" s="8">
        <v>1</v>
      </c>
      <c r="H794" s="2" t="str">
        <f>VLOOKUP($D794,'Customer Details'!$A$1:$F$17,MATCH('Order SUmmary'!H$2,'Customer Details'!$A$1:$F$1,0),0)</f>
        <v>GHCL Ltd.</v>
      </c>
      <c r="I794" s="2" t="str">
        <f>VLOOKUP($D794,'Customer Details'!$A$1:$F$17,4,0)</f>
        <v>Richmond</v>
      </c>
      <c r="J794" s="2" t="str">
        <f>VLOOKUP($D794,'Customer Details'!$A$1:$F$17,6,0)</f>
        <v>94805</v>
      </c>
      <c r="K794" s="8" t="str">
        <f>VLOOKUP(VLOOKUP(D794,'Customer Details'!$A$1:$F$17,5,0),'Region INfo'!$A$1:$C$52,3,0)</f>
        <v xml:space="preserve">Pacific   </v>
      </c>
      <c r="L794" s="8" t="str">
        <f>INDEX(Product_List,MATCH($F794,'Product List'!$B$1:$B$299,0),MATCH('Order SUmmary'!L$2,'Product List'!$A$1:$E$1,0))</f>
        <v>Clarity 53712</v>
      </c>
      <c r="M794" s="8">
        <f>INDEX(Product_List,MATCH($F794,'Product List'!$B$1:$B$299,0),MATCH('Order SUmmary'!M$2,'Product List'!$A$1:$E$1,0))</f>
        <v>2586</v>
      </c>
      <c r="N794" s="8">
        <f>INDEX(Product_List,MATCH($F794,'Product List'!$B$1:$B$299,0),MATCH('Order SUmmary'!N$2,'Product List'!$A$1:$E$1,0))</f>
        <v>2432</v>
      </c>
      <c r="O794" s="8" t="str">
        <f>INDEX(Product_List,MATCH($F794,'Product List'!$B$1:$B$299,0),MATCH('Order SUmmary'!O$2,'Product List'!$A$1:$E$1,0))</f>
        <v>Phones</v>
      </c>
      <c r="P794" s="12">
        <f>HLOOKUP(C794,'Commission Criteria'!$A$2:$I$4,3,FALSE)</f>
        <v>8</v>
      </c>
      <c r="Q794" s="8">
        <f t="shared" si="37"/>
        <v>2432</v>
      </c>
      <c r="R794" s="8">
        <f t="shared" si="38"/>
        <v>2586</v>
      </c>
      <c r="S794" s="36">
        <f>VLOOKUP(R794,'Commission Criteria'!$L$3:$M$11,2,TRUE)</f>
        <v>0.01</v>
      </c>
      <c r="T794" s="36">
        <f>IF(P794&lt;5,VLOOKUP(R794,'Commission Criteria'!$L$3:$M$11,2,1),VLOOKUP('Order SUmmary'!R794,'Commission Criteria'!$P$3:$Q$11,2,1))</f>
        <v>0.02</v>
      </c>
      <c r="U794" s="36">
        <f>VLOOKUP(R794,IF(P794&lt;5,'Commission Criteria'!$L$3:$M$11,'Commission Criteria'!$P$3:$Q$11),2,1)</f>
        <v>0.02</v>
      </c>
      <c r="V794" s="8" t="s">
        <v>40</v>
      </c>
      <c r="W794" s="36">
        <f t="shared" ca="1" si="39"/>
        <v>0.01</v>
      </c>
      <c r="X794" s="8" t="str">
        <f>_xlfn.XLOOKUP(F794,'Product List'!$B$1:$B$299,'Product List'!$A$1:$A$299)</f>
        <v>Clarity 53712</v>
      </c>
      <c r="Y794" s="8"/>
      <c r="Z794" s="8" t="str" cm="1">
        <f t="array" ref="Z794:AD794">_xlfn.XLOOKUP(D794,'Customer Details'!$A$1:$A$17,'Customer Details'!$B$1:$F$17,"No such customer",0,1)</f>
        <v>GHCL Ltd.</v>
      </c>
      <c r="AA794" s="8" t="str">
        <v>58 Clarence St</v>
      </c>
      <c r="AB794" s="8" t="str">
        <v>Richmond</v>
      </c>
      <c r="AC794" s="8" t="str">
        <v>CA</v>
      </c>
      <c r="AD794" s="8" t="str">
        <v>94805</v>
      </c>
    </row>
    <row r="795" spans="1:30">
      <c r="A795" s="8" t="s">
        <v>851</v>
      </c>
      <c r="B795" s="19">
        <v>42015</v>
      </c>
      <c r="C795" s="8" t="s">
        <v>54</v>
      </c>
      <c r="D795" s="8">
        <v>10004</v>
      </c>
      <c r="E795" s="8" t="str">
        <f>VLOOKUP($D795,'Customer Details'!$A$1:$F$17,4,FALSE)</f>
        <v>New York</v>
      </c>
      <c r="F795" s="8" t="s">
        <v>123</v>
      </c>
      <c r="G795" s="8">
        <v>1</v>
      </c>
      <c r="H795" s="2" t="str">
        <f>VLOOKUP($D795,'Customer Details'!$A$1:$F$17,MATCH('Order SUmmary'!H$2,'Customer Details'!$A$1:$F$1,0),0)</f>
        <v>Lupin Ltd.</v>
      </c>
      <c r="I795" s="2" t="str">
        <f>VLOOKUP($D795,'Customer Details'!$A$1:$F$17,4,0)</f>
        <v>New York</v>
      </c>
      <c r="J795" s="2" t="str">
        <f>VLOOKUP($D795,'Customer Details'!$A$1:$F$17,6,0)</f>
        <v>10019</v>
      </c>
      <c r="K795" s="8" t="str">
        <f>VLOOKUP(VLOOKUP(D795,'Customer Details'!$A$1:$F$17,5,0),'Region INfo'!$A$1:$C$52,3,0)</f>
        <v xml:space="preserve">Northern </v>
      </c>
      <c r="L795" s="8" t="str">
        <f>INDEX(Product_List,MATCH($F795,'Product List'!$B$1:$B$299,0),MATCH('Order SUmmary'!L$2,'Product List'!$A$1:$E$1,0))</f>
        <v>Avery 503</v>
      </c>
      <c r="M795" s="8">
        <f>INDEX(Product_List,MATCH($F795,'Product List'!$B$1:$B$299,0),MATCH('Order SUmmary'!M$2,'Product List'!$A$1:$E$1,0))</f>
        <v>2820</v>
      </c>
      <c r="N795" s="8">
        <f>INDEX(Product_List,MATCH($F795,'Product List'!$B$1:$B$299,0),MATCH('Order SUmmary'!N$2,'Product List'!$A$1:$E$1,0))</f>
        <v>1504</v>
      </c>
      <c r="O795" s="8" t="str">
        <f>INDEX(Product_List,MATCH($F795,'Product List'!$B$1:$B$299,0),MATCH('Order SUmmary'!O$2,'Product List'!$A$1:$E$1,0))</f>
        <v>Labels</v>
      </c>
      <c r="P795" s="12">
        <f>HLOOKUP(C795,'Commission Criteria'!$A$2:$I$4,3,FALSE)</f>
        <v>3</v>
      </c>
      <c r="Q795" s="8">
        <f t="shared" si="37"/>
        <v>1504</v>
      </c>
      <c r="R795" s="8">
        <f t="shared" si="38"/>
        <v>2820</v>
      </c>
      <c r="S795" s="36">
        <f>VLOOKUP(R795,'Commission Criteria'!$L$3:$M$11,2,TRUE)</f>
        <v>0.01</v>
      </c>
      <c r="T795" s="36">
        <f>IF(P795&lt;5,VLOOKUP(R795,'Commission Criteria'!$L$3:$M$11,2,1),VLOOKUP('Order SUmmary'!R795,'Commission Criteria'!$P$3:$Q$11,2,1))</f>
        <v>0.01</v>
      </c>
      <c r="U795" s="36">
        <f>VLOOKUP(R795,IF(P795&lt;5,'Commission Criteria'!$L$3:$M$11,'Commission Criteria'!$P$3:$Q$11),2,1)</f>
        <v>0.01</v>
      </c>
      <c r="V795" s="8" t="s">
        <v>40</v>
      </c>
      <c r="W795" s="36">
        <f t="shared" ca="1" si="39"/>
        <v>0.02</v>
      </c>
      <c r="X795" s="8" t="str">
        <f>_xlfn.XLOOKUP(F795,'Product List'!$B$1:$B$299,'Product List'!$A$1:$A$299)</f>
        <v>Avery 503</v>
      </c>
      <c r="Y795" s="8"/>
      <c r="Z795" s="8" t="str" cm="1">
        <f t="array" ref="Z795:AD795">_xlfn.XLOOKUP(D795,'Customer Details'!$A$1:$A$17,'Customer Details'!$B$1:$F$17,"No such customer",0,1)</f>
        <v>Lupin Ltd.</v>
      </c>
      <c r="AA795" s="8" t="str">
        <v>Abbey Wood</v>
      </c>
      <c r="AB795" s="8" t="str">
        <v>New York</v>
      </c>
      <c r="AC795" s="8" t="str">
        <v>NY</v>
      </c>
      <c r="AD795" s="8" t="str">
        <v>10019</v>
      </c>
    </row>
    <row r="796" spans="1:30">
      <c r="A796" s="8" t="s">
        <v>851</v>
      </c>
      <c r="B796" s="19">
        <v>42015</v>
      </c>
      <c r="C796" s="8" t="s">
        <v>54</v>
      </c>
      <c r="D796" s="8">
        <v>10015</v>
      </c>
      <c r="E796" s="8" t="str">
        <f>VLOOKUP($D796,'Customer Details'!$A$1:$F$17,4,FALSE)</f>
        <v>South Windsor</v>
      </c>
      <c r="F796" s="8" t="s">
        <v>324</v>
      </c>
      <c r="G796" s="8">
        <v>1</v>
      </c>
      <c r="H796" s="2" t="str">
        <f>VLOOKUP($D796,'Customer Details'!$A$1:$F$17,MATCH('Order SUmmary'!H$2,'Customer Details'!$A$1:$F$1,0),0)</f>
        <v>Punj Lloyd Ltd.</v>
      </c>
      <c r="I796" s="2" t="str">
        <f>VLOOKUP($D796,'Customer Details'!$A$1:$F$17,4,0)</f>
        <v>South Windsor</v>
      </c>
      <c r="J796" s="2" t="str">
        <f>VLOOKUP($D796,'Customer Details'!$A$1:$F$17,6,0)</f>
        <v>06074</v>
      </c>
      <c r="K796" s="8" t="str">
        <f>VLOOKUP(VLOOKUP(D796,'Customer Details'!$A$1:$F$17,5,0),'Region INfo'!$A$1:$C$52,3,0)</f>
        <v xml:space="preserve">Northern </v>
      </c>
      <c r="L796" s="8" t="str">
        <f>INDEX(Product_List,MATCH($F796,'Product List'!$B$1:$B$299,0),MATCH('Order SUmmary'!L$2,'Product List'!$A$1:$E$1,0))</f>
        <v>Newell 31</v>
      </c>
      <c r="M796" s="8">
        <f>INDEX(Product_List,MATCH($F796,'Product List'!$B$1:$B$299,0),MATCH('Order SUmmary'!M$2,'Product List'!$A$1:$E$1,0))</f>
        <v>4729</v>
      </c>
      <c r="N796" s="8">
        <f>INDEX(Product_List,MATCH($F796,'Product List'!$B$1:$B$299,0),MATCH('Order SUmmary'!N$2,'Product List'!$A$1:$E$1,0))</f>
        <v>1359</v>
      </c>
      <c r="O796" s="8" t="str">
        <f>INDEX(Product_List,MATCH($F796,'Product List'!$B$1:$B$299,0),MATCH('Order SUmmary'!O$2,'Product List'!$A$1:$E$1,0))</f>
        <v>Art</v>
      </c>
      <c r="P796" s="12">
        <f>HLOOKUP(C796,'Commission Criteria'!$A$2:$I$4,3,FALSE)</f>
        <v>3</v>
      </c>
      <c r="Q796" s="8">
        <f t="shared" si="37"/>
        <v>1359</v>
      </c>
      <c r="R796" s="8">
        <f t="shared" si="38"/>
        <v>4729</v>
      </c>
      <c r="S796" s="36">
        <f>VLOOKUP(R796,'Commission Criteria'!$L$3:$M$11,2,TRUE)</f>
        <v>0.01</v>
      </c>
      <c r="T796" s="36">
        <f>IF(P796&lt;5,VLOOKUP(R796,'Commission Criteria'!$L$3:$M$11,2,1),VLOOKUP('Order SUmmary'!R796,'Commission Criteria'!$P$3:$Q$11,2,1))</f>
        <v>0.01</v>
      </c>
      <c r="U796" s="36">
        <f>VLOOKUP(R796,IF(P796&lt;5,'Commission Criteria'!$L$3:$M$11,'Commission Criteria'!$P$3:$Q$11),2,1)</f>
        <v>0.01</v>
      </c>
      <c r="V796" s="8" t="s">
        <v>50</v>
      </c>
      <c r="W796" s="36">
        <f t="shared" ca="1" si="39"/>
        <v>0.05</v>
      </c>
      <c r="X796" s="8" t="str">
        <f>_xlfn.XLOOKUP(F796,'Product List'!$B$1:$B$299,'Product List'!$A$1:$A$299)</f>
        <v>Newell 31</v>
      </c>
      <c r="Y796" s="8"/>
      <c r="Z796" s="8" t="str" cm="1">
        <f t="array" ref="Z796:AD796">_xlfn.XLOOKUP(D796,'Customer Details'!$A$1:$A$17,'Customer Details'!$B$1:$F$17,"No such customer",0,1)</f>
        <v>Punj Lloyd Ltd.</v>
      </c>
      <c r="AA796" s="8" t="str">
        <v>Box 3263</v>
      </c>
      <c r="AB796" s="8" t="str">
        <v>South Windsor</v>
      </c>
      <c r="AC796" s="8" t="str">
        <v>CT</v>
      </c>
      <c r="AD796" s="8" t="str">
        <v>06074</v>
      </c>
    </row>
    <row r="797" spans="1:30">
      <c r="A797" s="8" t="s">
        <v>852</v>
      </c>
      <c r="B797" s="19">
        <v>42017</v>
      </c>
      <c r="C797" s="8" t="s">
        <v>46</v>
      </c>
      <c r="D797" s="8">
        <v>10011</v>
      </c>
      <c r="E797" s="8" t="str">
        <f>VLOOKUP($D797,'Customer Details'!$A$1:$F$17,4,FALSE)</f>
        <v>Olympia</v>
      </c>
      <c r="F797" s="8" t="s">
        <v>285</v>
      </c>
      <c r="G797" s="8">
        <v>3</v>
      </c>
      <c r="H797" s="2" t="str">
        <f>VLOOKUP($D797,'Customer Details'!$A$1:$F$17,MATCH('Order SUmmary'!H$2,'Customer Details'!$A$1:$F$1,0),0)</f>
        <v>Sonata Software</v>
      </c>
      <c r="I797" s="2" t="str">
        <f>VLOOKUP($D797,'Customer Details'!$A$1:$F$17,4,0)</f>
        <v>Olympia</v>
      </c>
      <c r="J797" s="2" t="str">
        <f>VLOOKUP($D797,'Customer Details'!$A$1:$F$17,6,0)</f>
        <v>98502</v>
      </c>
      <c r="K797" s="8" t="str">
        <f>VLOOKUP(VLOOKUP(D797,'Customer Details'!$A$1:$F$17,5,0),'Region INfo'!$A$1:$C$52,3,0)</f>
        <v xml:space="preserve">Pacific   </v>
      </c>
      <c r="L797" s="8" t="str">
        <f>INDEX(Product_List,MATCH($F797,'Product List'!$B$1:$B$299,0),MATCH('Order SUmmary'!L$2,'Product List'!$A$1:$E$1,0))</f>
        <v>Newell 344</v>
      </c>
      <c r="M797" s="8">
        <f>INDEX(Product_List,MATCH($F797,'Product List'!$B$1:$B$299,0),MATCH('Order SUmmary'!M$2,'Product List'!$A$1:$E$1,0))</f>
        <v>3282</v>
      </c>
      <c r="N797" s="8">
        <f>INDEX(Product_List,MATCH($F797,'Product List'!$B$1:$B$299,0),MATCH('Order SUmmary'!N$2,'Product List'!$A$1:$E$1,0))</f>
        <v>1654</v>
      </c>
      <c r="O797" s="8" t="str">
        <f>INDEX(Product_List,MATCH($F797,'Product List'!$B$1:$B$299,0),MATCH('Order SUmmary'!O$2,'Product List'!$A$1:$E$1,0))</f>
        <v>Art</v>
      </c>
      <c r="P797" s="12">
        <f>HLOOKUP(C797,'Commission Criteria'!$A$2:$I$4,3,FALSE)</f>
        <v>8</v>
      </c>
      <c r="Q797" s="8">
        <f t="shared" si="37"/>
        <v>4962</v>
      </c>
      <c r="R797" s="8">
        <f t="shared" si="38"/>
        <v>9846</v>
      </c>
      <c r="S797" s="36">
        <f>VLOOKUP(R797,'Commission Criteria'!$L$3:$M$11,2,TRUE)</f>
        <v>0.03</v>
      </c>
      <c r="T797" s="36">
        <f>IF(P797&lt;5,VLOOKUP(R797,'Commission Criteria'!$L$3:$M$11,2,1),VLOOKUP('Order SUmmary'!R797,'Commission Criteria'!$P$3:$Q$11,2,1))</f>
        <v>0.02</v>
      </c>
      <c r="U797" s="36">
        <f>VLOOKUP(R797,IF(P797&lt;5,'Commission Criteria'!$L$3:$M$11,'Commission Criteria'!$P$3:$Q$11),2,1)</f>
        <v>0.02</v>
      </c>
      <c r="V797" s="8" t="s">
        <v>50</v>
      </c>
      <c r="W797" s="36">
        <f t="shared" ca="1" si="39"/>
        <v>0.05</v>
      </c>
      <c r="X797" s="8" t="str">
        <f>_xlfn.XLOOKUP(F797,'Product List'!$B$1:$B$299,'Product List'!$A$1:$A$299)</f>
        <v>Newell 344</v>
      </c>
      <c r="Y797" s="8"/>
      <c r="Z797" s="8" t="str" cm="1">
        <f t="array" ref="Z797:AD797">_xlfn.XLOOKUP(D797,'Customer Details'!$A$1:$A$17,'Customer Details'!$B$1:$F$17,"No such customer",0,1)</f>
        <v>Sonata Software</v>
      </c>
      <c r="AA797" s="8" t="str">
        <v>1331 Kimberly Dr.</v>
      </c>
      <c r="AB797" s="8" t="str">
        <v>Olympia</v>
      </c>
      <c r="AC797" s="8" t="str">
        <v>WA</v>
      </c>
      <c r="AD797" s="8" t="str">
        <v>98502</v>
      </c>
    </row>
    <row r="798" spans="1:30">
      <c r="A798" s="8" t="s">
        <v>853</v>
      </c>
      <c r="B798" s="19">
        <v>42019</v>
      </c>
      <c r="C798" s="8" t="s">
        <v>46</v>
      </c>
      <c r="D798" s="8">
        <v>10009</v>
      </c>
      <c r="E798" s="8" t="str">
        <f>VLOOKUP($D798,'Customer Details'!$A$1:$F$17,4,FALSE)</f>
        <v>Salt Lake City</v>
      </c>
      <c r="F798" s="8" t="s">
        <v>309</v>
      </c>
      <c r="G798" s="8">
        <v>1</v>
      </c>
      <c r="H798" s="2" t="str">
        <f>VLOOKUP($D798,'Customer Details'!$A$1:$F$17,MATCH('Order SUmmary'!H$2,'Customer Details'!$A$1:$F$1,0),0)</f>
        <v>Godfrey Philips India Ltd.</v>
      </c>
      <c r="I798" s="2" t="str">
        <f>VLOOKUP($D798,'Customer Details'!$A$1:$F$17,4,0)</f>
        <v>Salt Lake City</v>
      </c>
      <c r="J798" s="2" t="str">
        <f>VLOOKUP($D798,'Customer Details'!$A$1:$F$17,6,0)</f>
        <v>84118</v>
      </c>
      <c r="K798" s="8" t="str">
        <f>VLOOKUP(VLOOKUP(D798,'Customer Details'!$A$1:$F$17,5,0),'Region INfo'!$A$1:$C$52,3,0)</f>
        <v xml:space="preserve">Pacific   </v>
      </c>
      <c r="L798" s="8" t="str">
        <f>INDEX(Product_List,MATCH($F798,'Product List'!$B$1:$B$299,0),MATCH('Order SUmmary'!L$2,'Product List'!$A$1:$E$1,0))</f>
        <v>Xerox 1996</v>
      </c>
      <c r="M798" s="8">
        <f>INDEX(Product_List,MATCH($F798,'Product List'!$B$1:$B$299,0),MATCH('Order SUmmary'!M$2,'Product List'!$A$1:$E$1,0))</f>
        <v>4220</v>
      </c>
      <c r="N798" s="8">
        <f>INDEX(Product_List,MATCH($F798,'Product List'!$B$1:$B$299,0),MATCH('Order SUmmary'!N$2,'Product List'!$A$1:$E$1,0))</f>
        <v>1635</v>
      </c>
      <c r="O798" s="8" t="str">
        <f>INDEX(Product_List,MATCH($F798,'Product List'!$B$1:$B$299,0),MATCH('Order SUmmary'!O$2,'Product List'!$A$1:$E$1,0))</f>
        <v>Paper</v>
      </c>
      <c r="P798" s="12">
        <f>HLOOKUP(C798,'Commission Criteria'!$A$2:$I$4,3,FALSE)</f>
        <v>8</v>
      </c>
      <c r="Q798" s="8">
        <f t="shared" si="37"/>
        <v>1635</v>
      </c>
      <c r="R798" s="8">
        <f t="shared" si="38"/>
        <v>4220</v>
      </c>
      <c r="S798" s="36">
        <f>VLOOKUP(R798,'Commission Criteria'!$L$3:$M$11,2,TRUE)</f>
        <v>0.01</v>
      </c>
      <c r="T798" s="36">
        <f>IF(P798&lt;5,VLOOKUP(R798,'Commission Criteria'!$L$3:$M$11,2,1),VLOOKUP('Order SUmmary'!R798,'Commission Criteria'!$P$3:$Q$11,2,1))</f>
        <v>0.02</v>
      </c>
      <c r="U798" s="36">
        <f>VLOOKUP(R798,IF(P798&lt;5,'Commission Criteria'!$L$3:$M$11,'Commission Criteria'!$P$3:$Q$11),2,1)</f>
        <v>0.02</v>
      </c>
      <c r="V798" s="8" t="s">
        <v>35</v>
      </c>
      <c r="W798" s="36">
        <f t="shared" ca="1" si="39"/>
        <v>0.01</v>
      </c>
      <c r="X798" s="8" t="str">
        <f>_xlfn.XLOOKUP(F798,'Product List'!$B$1:$B$299,'Product List'!$A$1:$A$299)</f>
        <v>Xerox 1996</v>
      </c>
      <c r="Y798" s="8"/>
      <c r="Z798" s="8" t="str" cm="1">
        <f t="array" ref="Z798:AD798">_xlfn.XLOOKUP(D798,'Customer Details'!$A$1:$A$17,'Customer Details'!$B$1:$F$17,"No such customer",0,1)</f>
        <v>Godfrey Philips India Ltd.</v>
      </c>
      <c r="AA798" s="8" t="str">
        <v>20501 Ania Ave #2</v>
      </c>
      <c r="AB798" s="8" t="str">
        <v>Salt Lake City</v>
      </c>
      <c r="AC798" s="8" t="str">
        <v>UT</v>
      </c>
      <c r="AD798" s="8" t="str">
        <v>84118</v>
      </c>
    </row>
    <row r="799" spans="1:30">
      <c r="A799" s="8" t="s">
        <v>853</v>
      </c>
      <c r="B799" s="19">
        <v>42019</v>
      </c>
      <c r="C799" s="8" t="s">
        <v>33</v>
      </c>
      <c r="D799" s="8">
        <v>10014</v>
      </c>
      <c r="E799" s="8" t="str">
        <f>VLOOKUP($D799,'Customer Details'!$A$1:$F$17,4,FALSE)</f>
        <v>Honolulu</v>
      </c>
      <c r="F799" s="8" t="s">
        <v>854</v>
      </c>
      <c r="G799" s="8">
        <v>2</v>
      </c>
      <c r="H799" s="2" t="str">
        <f>VLOOKUP($D799,'Customer Details'!$A$1:$F$17,MATCH('Order SUmmary'!H$2,'Customer Details'!$A$1:$F$1,0),0)</f>
        <v>Hindusthan National Glass &amp; Industries Ltd.</v>
      </c>
      <c r="I799" s="2" t="str">
        <f>VLOOKUP($D799,'Customer Details'!$A$1:$F$17,4,0)</f>
        <v>Honolulu</v>
      </c>
      <c r="J799" s="2" t="str">
        <f>VLOOKUP($D799,'Customer Details'!$A$1:$F$17,6,0)</f>
        <v>96825</v>
      </c>
      <c r="K799" s="8" t="str">
        <f>VLOOKUP(VLOOKUP(D799,'Customer Details'!$A$1:$F$17,5,0),'Region INfo'!$A$1:$C$52,3,0)</f>
        <v xml:space="preserve">Pacific   </v>
      </c>
      <c r="L799" s="8" t="str">
        <f>INDEX(Product_List,MATCH($F799,'Product List'!$B$1:$B$299,0),MATCH('Order SUmmary'!L$2,'Product List'!$A$1:$E$1,0))</f>
        <v>Newell 341</v>
      </c>
      <c r="M799" s="8">
        <f>INDEX(Product_List,MATCH($F799,'Product List'!$B$1:$B$299,0),MATCH('Order SUmmary'!M$2,'Product List'!$A$1:$E$1,0))</f>
        <v>2617</v>
      </c>
      <c r="N799" s="8">
        <f>INDEX(Product_List,MATCH($F799,'Product List'!$B$1:$B$299,0),MATCH('Order SUmmary'!N$2,'Product List'!$A$1:$E$1,0))</f>
        <v>1736</v>
      </c>
      <c r="O799" s="8" t="str">
        <f>INDEX(Product_List,MATCH($F799,'Product List'!$B$1:$B$299,0),MATCH('Order SUmmary'!O$2,'Product List'!$A$1:$E$1,0))</f>
        <v>Art</v>
      </c>
      <c r="P799" s="12">
        <f>HLOOKUP(C799,'Commission Criteria'!$A$2:$I$4,3,FALSE)</f>
        <v>1</v>
      </c>
      <c r="Q799" s="8">
        <f t="shared" si="37"/>
        <v>3472</v>
      </c>
      <c r="R799" s="8">
        <f t="shared" si="38"/>
        <v>5234</v>
      </c>
      <c r="S799" s="36">
        <f>VLOOKUP(R799,'Commission Criteria'!$L$3:$M$11,2,TRUE)</f>
        <v>0.03</v>
      </c>
      <c r="T799" s="36">
        <f>IF(P799&lt;5,VLOOKUP(R799,'Commission Criteria'!$L$3:$M$11,2,1),VLOOKUP('Order SUmmary'!R799,'Commission Criteria'!$P$3:$Q$11,2,1))</f>
        <v>0.03</v>
      </c>
      <c r="U799" s="36">
        <f>VLOOKUP(R799,IF(P799&lt;5,'Commission Criteria'!$L$3:$M$11,'Commission Criteria'!$P$3:$Q$11),2,1)</f>
        <v>0.03</v>
      </c>
      <c r="V799" s="8" t="s">
        <v>32</v>
      </c>
      <c r="W799" s="36">
        <f t="shared" ca="1" si="39"/>
        <v>0.02</v>
      </c>
      <c r="X799" s="8" t="str">
        <f>_xlfn.XLOOKUP(F799,'Product List'!$B$1:$B$299,'Product List'!$A$1:$A$299)</f>
        <v>Newell 341</v>
      </c>
      <c r="Y799" s="8"/>
      <c r="Z799" s="8" t="str" cm="1">
        <f t="array" ref="Z799:AD799">_xlfn.XLOOKUP(D799,'Customer Details'!$A$1:$A$17,'Customer Details'!$B$1:$F$17,"No such customer",0,1)</f>
        <v>Hindusthan National Glass &amp; Industries Ltd.</v>
      </c>
      <c r="AA799" s="8" t="str">
        <v>11 Cathy St.</v>
      </c>
      <c r="AB799" s="8" t="str">
        <v>Honolulu</v>
      </c>
      <c r="AC799" s="8" t="str">
        <v>HI</v>
      </c>
      <c r="AD799" s="8" t="str">
        <v>96825</v>
      </c>
    </row>
    <row r="800" spans="1:30">
      <c r="A800" s="8" t="s">
        <v>855</v>
      </c>
      <c r="B800" s="19">
        <v>42020</v>
      </c>
      <c r="C800" s="8" t="s">
        <v>54</v>
      </c>
      <c r="D800" s="8">
        <v>10003</v>
      </c>
      <c r="E800" s="8" t="str">
        <f>VLOOKUP($D800,'Customer Details'!$A$1:$F$17,4,FALSE)</f>
        <v>Miami</v>
      </c>
      <c r="F800" s="8" t="s">
        <v>311</v>
      </c>
      <c r="G800" s="8">
        <v>2</v>
      </c>
      <c r="H800" s="2" t="str">
        <f>VLOOKUP($D800,'Customer Details'!$A$1:$F$17,MATCH('Order SUmmary'!H$2,'Customer Details'!$A$1:$F$1,0),0)</f>
        <v>Honeywell Automation</v>
      </c>
      <c r="I800" s="2" t="str">
        <f>VLOOKUP($D800,'Customer Details'!$A$1:$F$17,4,0)</f>
        <v>Miami</v>
      </c>
      <c r="J800" s="2" t="str">
        <f>VLOOKUP($D800,'Customer Details'!$A$1:$F$17,6,0)</f>
        <v>33732</v>
      </c>
      <c r="K800" s="8" t="str">
        <f>VLOOKUP(VLOOKUP(D800,'Customer Details'!$A$1:$F$17,5,0),'Region INfo'!$A$1:$C$52,3,0)</f>
        <v>Southern</v>
      </c>
      <c r="L800" s="8" t="str">
        <f>INDEX(Product_List,MATCH($F800,'Product List'!$B$1:$B$299,0),MATCH('Order SUmmary'!L$2,'Product List'!$A$1:$E$1,0))</f>
        <v>Xerox 1923</v>
      </c>
      <c r="M800" s="8">
        <f>INDEX(Product_List,MATCH($F800,'Product List'!$B$1:$B$299,0),MATCH('Order SUmmary'!M$2,'Product List'!$A$1:$E$1,0))</f>
        <v>3039</v>
      </c>
      <c r="N800" s="8">
        <f>INDEX(Product_List,MATCH($F800,'Product List'!$B$1:$B$299,0),MATCH('Order SUmmary'!N$2,'Product List'!$A$1:$E$1,0))</f>
        <v>1730</v>
      </c>
      <c r="O800" s="8" t="str">
        <f>INDEX(Product_List,MATCH($F800,'Product List'!$B$1:$B$299,0),MATCH('Order SUmmary'!O$2,'Product List'!$A$1:$E$1,0))</f>
        <v>Paper</v>
      </c>
      <c r="P800" s="12">
        <f>HLOOKUP(C800,'Commission Criteria'!$A$2:$I$4,3,FALSE)</f>
        <v>3</v>
      </c>
      <c r="Q800" s="8">
        <f t="shared" si="37"/>
        <v>3460</v>
      </c>
      <c r="R800" s="8">
        <f t="shared" si="38"/>
        <v>6078</v>
      </c>
      <c r="S800" s="36">
        <f>VLOOKUP(R800,'Commission Criteria'!$L$3:$M$11,2,TRUE)</f>
        <v>0.03</v>
      </c>
      <c r="T800" s="36">
        <f>IF(P800&lt;5,VLOOKUP(R800,'Commission Criteria'!$L$3:$M$11,2,1),VLOOKUP('Order SUmmary'!R800,'Commission Criteria'!$P$3:$Q$11,2,1))</f>
        <v>0.03</v>
      </c>
      <c r="U800" s="36">
        <f>VLOOKUP(R800,IF(P800&lt;5,'Commission Criteria'!$L$3:$M$11,'Commission Criteria'!$P$3:$Q$11),2,1)</f>
        <v>0.03</v>
      </c>
      <c r="V800" s="8" t="s">
        <v>43</v>
      </c>
      <c r="W800" s="36">
        <f t="shared" ca="1" si="39"/>
        <v>0</v>
      </c>
      <c r="X800" s="8" t="str">
        <f>_xlfn.XLOOKUP(F800,'Product List'!$B$1:$B$299,'Product List'!$A$1:$A$299)</f>
        <v>Xerox 1923</v>
      </c>
      <c r="Y800" s="8"/>
      <c r="Z800" s="8" t="str" cm="1">
        <f t="array" ref="Z800:AD800">_xlfn.XLOOKUP(D800,'Customer Details'!$A$1:$A$17,'Customer Details'!$B$1:$F$17,"No such customer",0,1)</f>
        <v>Honeywell Automation</v>
      </c>
      <c r="AA800" s="8" t="str">
        <v>1272 Harbor Road</v>
      </c>
      <c r="AB800" s="8" t="str">
        <v>Miami</v>
      </c>
      <c r="AC800" s="8" t="str">
        <v>FL</v>
      </c>
      <c r="AD800" s="8" t="str">
        <v>33732</v>
      </c>
    </row>
    <row r="801" spans="1:30">
      <c r="A801" s="8" t="s">
        <v>855</v>
      </c>
      <c r="B801" s="19">
        <v>42020</v>
      </c>
      <c r="C801" s="8" t="s">
        <v>46</v>
      </c>
      <c r="D801" s="8">
        <v>10007</v>
      </c>
      <c r="E801" s="8" t="str">
        <f>VLOOKUP($D801,'Customer Details'!$A$1:$F$17,4,FALSE)</f>
        <v>Richmond</v>
      </c>
      <c r="F801" s="8" t="s">
        <v>309</v>
      </c>
      <c r="G801" s="8">
        <v>2</v>
      </c>
      <c r="H801" s="2" t="str">
        <f>VLOOKUP($D801,'Customer Details'!$A$1:$F$17,MATCH('Order SUmmary'!H$2,'Customer Details'!$A$1:$F$1,0),0)</f>
        <v>GHCL Ltd.</v>
      </c>
      <c r="I801" s="2" t="str">
        <f>VLOOKUP($D801,'Customer Details'!$A$1:$F$17,4,0)</f>
        <v>Richmond</v>
      </c>
      <c r="J801" s="2" t="str">
        <f>VLOOKUP($D801,'Customer Details'!$A$1:$F$17,6,0)</f>
        <v>94805</v>
      </c>
      <c r="K801" s="8" t="str">
        <f>VLOOKUP(VLOOKUP(D801,'Customer Details'!$A$1:$F$17,5,0),'Region INfo'!$A$1:$C$52,3,0)</f>
        <v xml:space="preserve">Pacific   </v>
      </c>
      <c r="L801" s="8" t="str">
        <f>INDEX(Product_List,MATCH($F801,'Product List'!$B$1:$B$299,0),MATCH('Order SUmmary'!L$2,'Product List'!$A$1:$E$1,0))</f>
        <v>Xerox 1996</v>
      </c>
      <c r="M801" s="8">
        <f>INDEX(Product_List,MATCH($F801,'Product List'!$B$1:$B$299,0),MATCH('Order SUmmary'!M$2,'Product List'!$A$1:$E$1,0))</f>
        <v>4220</v>
      </c>
      <c r="N801" s="8">
        <f>INDEX(Product_List,MATCH($F801,'Product List'!$B$1:$B$299,0),MATCH('Order SUmmary'!N$2,'Product List'!$A$1:$E$1,0))</f>
        <v>1635</v>
      </c>
      <c r="O801" s="8" t="str">
        <f>INDEX(Product_List,MATCH($F801,'Product List'!$B$1:$B$299,0),MATCH('Order SUmmary'!O$2,'Product List'!$A$1:$E$1,0))</f>
        <v>Paper</v>
      </c>
      <c r="P801" s="12">
        <f>HLOOKUP(C801,'Commission Criteria'!$A$2:$I$4,3,FALSE)</f>
        <v>8</v>
      </c>
      <c r="Q801" s="8">
        <f t="shared" si="37"/>
        <v>3270</v>
      </c>
      <c r="R801" s="8">
        <f t="shared" si="38"/>
        <v>8440</v>
      </c>
      <c r="S801" s="36">
        <f>VLOOKUP(R801,'Commission Criteria'!$L$3:$M$11,2,TRUE)</f>
        <v>0.03</v>
      </c>
      <c r="T801" s="36">
        <f>IF(P801&lt;5,VLOOKUP(R801,'Commission Criteria'!$L$3:$M$11,2,1),VLOOKUP('Order SUmmary'!R801,'Commission Criteria'!$P$3:$Q$11,2,1))</f>
        <v>0.02</v>
      </c>
      <c r="U801" s="36">
        <f>VLOOKUP(R801,IF(P801&lt;5,'Commission Criteria'!$L$3:$M$11,'Commission Criteria'!$P$3:$Q$11),2,1)</f>
        <v>0.02</v>
      </c>
      <c r="V801" s="8" t="s">
        <v>29</v>
      </c>
      <c r="W801" s="36">
        <f t="shared" ca="1" si="39"/>
        <v>0.05</v>
      </c>
      <c r="X801" s="8" t="str">
        <f>_xlfn.XLOOKUP(F801,'Product List'!$B$1:$B$299,'Product List'!$A$1:$A$299)</f>
        <v>Xerox 1996</v>
      </c>
      <c r="Y801" s="8"/>
      <c r="Z801" s="8" t="str" cm="1">
        <f t="array" ref="Z801:AD801">_xlfn.XLOOKUP(D801,'Customer Details'!$A$1:$A$17,'Customer Details'!$B$1:$F$17,"No such customer",0,1)</f>
        <v>GHCL Ltd.</v>
      </c>
      <c r="AA801" s="8" t="str">
        <v>58 Clarence St</v>
      </c>
      <c r="AB801" s="8" t="str">
        <v>Richmond</v>
      </c>
      <c r="AC801" s="8" t="str">
        <v>CA</v>
      </c>
      <c r="AD801" s="8" t="str">
        <v>94805</v>
      </c>
    </row>
    <row r="802" spans="1:30">
      <c r="A802" s="8" t="s">
        <v>856</v>
      </c>
      <c r="B802" s="19">
        <v>42021</v>
      </c>
      <c r="C802" s="8" t="s">
        <v>33</v>
      </c>
      <c r="D802" s="8">
        <v>10010</v>
      </c>
      <c r="E802" s="8" t="str">
        <f>VLOOKUP($D802,'Customer Details'!$A$1:$F$17,4,FALSE)</f>
        <v>Tracy</v>
      </c>
      <c r="F802" s="8" t="s">
        <v>102</v>
      </c>
      <c r="G802" s="8">
        <v>2</v>
      </c>
      <c r="H802" s="2" t="str">
        <f>VLOOKUP($D802,'Customer Details'!$A$1:$F$17,MATCH('Order SUmmary'!H$2,'Customer Details'!$A$1:$F$1,0),0)</f>
        <v>Suzlon Energy Ltd.</v>
      </c>
      <c r="I802" s="2" t="str">
        <f>VLOOKUP($D802,'Customer Details'!$A$1:$F$17,4,0)</f>
        <v>Tracy</v>
      </c>
      <c r="J802" s="2" t="str">
        <f>VLOOKUP($D802,'Customer Details'!$A$1:$F$17,6,0)</f>
        <v>95376</v>
      </c>
      <c r="K802" s="8" t="str">
        <f>VLOOKUP(VLOOKUP(D802,'Customer Details'!$A$1:$F$17,5,0),'Region INfo'!$A$1:$C$52,3,0)</f>
        <v xml:space="preserve">Pacific   </v>
      </c>
      <c r="L802" s="8" t="str">
        <f>INDEX(Product_List,MATCH($F802,'Product List'!$B$1:$B$299,0),MATCH('Order SUmmary'!L$2,'Product List'!$A$1:$E$1,0))</f>
        <v>Xerox 1997</v>
      </c>
      <c r="M802" s="8">
        <f>INDEX(Product_List,MATCH($F802,'Product List'!$B$1:$B$299,0),MATCH('Order SUmmary'!M$2,'Product List'!$A$1:$E$1,0))</f>
        <v>3844</v>
      </c>
      <c r="N802" s="8">
        <f>INDEX(Product_List,MATCH($F802,'Product List'!$B$1:$B$299,0),MATCH('Order SUmmary'!N$2,'Product List'!$A$1:$E$1,0))</f>
        <v>2157</v>
      </c>
      <c r="O802" s="8" t="str">
        <f>INDEX(Product_List,MATCH($F802,'Product List'!$B$1:$B$299,0),MATCH('Order SUmmary'!O$2,'Product List'!$A$1:$E$1,0))</f>
        <v>Paper</v>
      </c>
      <c r="P802" s="12">
        <f>HLOOKUP(C802,'Commission Criteria'!$A$2:$I$4,3,FALSE)</f>
        <v>1</v>
      </c>
      <c r="Q802" s="8">
        <f t="shared" si="37"/>
        <v>4314</v>
      </c>
      <c r="R802" s="8">
        <f t="shared" si="38"/>
        <v>7688</v>
      </c>
      <c r="S802" s="36">
        <f>VLOOKUP(R802,'Commission Criteria'!$L$3:$M$11,2,TRUE)</f>
        <v>0.03</v>
      </c>
      <c r="T802" s="36">
        <f>IF(P802&lt;5,VLOOKUP(R802,'Commission Criteria'!$L$3:$M$11,2,1),VLOOKUP('Order SUmmary'!R802,'Commission Criteria'!$P$3:$Q$11,2,1))</f>
        <v>0.03</v>
      </c>
      <c r="U802" s="36">
        <f>VLOOKUP(R802,IF(P802&lt;5,'Commission Criteria'!$L$3:$M$11,'Commission Criteria'!$P$3:$Q$11),2,1)</f>
        <v>0.03</v>
      </c>
      <c r="V802" s="8" t="s">
        <v>40</v>
      </c>
      <c r="W802" s="36">
        <f t="shared" ca="1" si="39"/>
        <v>0.01</v>
      </c>
      <c r="X802" s="8" t="str">
        <f>_xlfn.XLOOKUP(F802,'Product List'!$B$1:$B$299,'Product List'!$A$1:$A$299)</f>
        <v>Xerox 1997</v>
      </c>
      <c r="Y802" s="8"/>
      <c r="Z802" s="8" t="str" cm="1">
        <f t="array" ref="Z802:AD802">_xlfn.XLOOKUP(D802,'Customer Details'!$A$1:$A$17,'Customer Details'!$B$1:$F$17,"No such customer",0,1)</f>
        <v>Suzlon Energy Ltd.</v>
      </c>
      <c r="AA802" s="8" t="str">
        <v>501 Marsh Trail Circle</v>
      </c>
      <c r="AB802" s="8" t="str">
        <v>Tracy</v>
      </c>
      <c r="AC802" s="8" t="str">
        <v>CA</v>
      </c>
      <c r="AD802" s="8" t="str">
        <v>95376</v>
      </c>
    </row>
    <row r="803" spans="1:30">
      <c r="A803" s="8" t="s">
        <v>857</v>
      </c>
      <c r="B803" s="19">
        <v>42022</v>
      </c>
      <c r="C803" s="8" t="s">
        <v>33</v>
      </c>
      <c r="D803" s="8">
        <v>10013</v>
      </c>
      <c r="E803" s="8" t="str">
        <f>VLOOKUP($D803,'Customer Details'!$A$1:$F$17,4,FALSE)</f>
        <v>Naugatuck</v>
      </c>
      <c r="F803" s="8" t="s">
        <v>47</v>
      </c>
      <c r="G803" s="8">
        <v>1</v>
      </c>
      <c r="H803" s="2" t="str">
        <f>VLOOKUP($D803,'Customer Details'!$A$1:$F$17,MATCH('Order SUmmary'!H$2,'Customer Details'!$A$1:$F$1,0),0)</f>
        <v>GMR Infrastructure Ltd.</v>
      </c>
      <c r="I803" s="2" t="str">
        <f>VLOOKUP($D803,'Customer Details'!$A$1:$F$17,4,0)</f>
        <v>Naugatuck</v>
      </c>
      <c r="J803" s="2" t="str">
        <f>VLOOKUP($D803,'Customer Details'!$A$1:$F$17,6,0)</f>
        <v>06770</v>
      </c>
      <c r="K803" s="8" t="str">
        <f>VLOOKUP(VLOOKUP(D803,'Customer Details'!$A$1:$F$17,5,0),'Region INfo'!$A$1:$C$52,3,0)</f>
        <v xml:space="preserve">Northern </v>
      </c>
      <c r="L803" s="8" t="str">
        <f>INDEX(Product_List,MATCH($F803,'Product List'!$B$1:$B$299,0),MATCH('Order SUmmary'!L$2,'Product List'!$A$1:$E$1,0))</f>
        <v>Xerox 1907</v>
      </c>
      <c r="M803" s="8">
        <f>INDEX(Product_List,MATCH($F803,'Product List'!$B$1:$B$299,0),MATCH('Order SUmmary'!M$2,'Product List'!$A$1:$E$1,0))</f>
        <v>4990</v>
      </c>
      <c r="N803" s="8">
        <f>INDEX(Product_List,MATCH($F803,'Product List'!$B$1:$B$299,0),MATCH('Order SUmmary'!N$2,'Product List'!$A$1:$E$1,0))</f>
        <v>1360</v>
      </c>
      <c r="O803" s="8" t="str">
        <f>INDEX(Product_List,MATCH($F803,'Product List'!$B$1:$B$299,0),MATCH('Order SUmmary'!O$2,'Product List'!$A$1:$E$1,0))</f>
        <v>Paper</v>
      </c>
      <c r="P803" s="12">
        <f>HLOOKUP(C803,'Commission Criteria'!$A$2:$I$4,3,FALSE)</f>
        <v>1</v>
      </c>
      <c r="Q803" s="8">
        <f t="shared" si="37"/>
        <v>1360</v>
      </c>
      <c r="R803" s="8">
        <f t="shared" si="38"/>
        <v>4990</v>
      </c>
      <c r="S803" s="36">
        <f>VLOOKUP(R803,'Commission Criteria'!$L$3:$M$11,2,TRUE)</f>
        <v>0.01</v>
      </c>
      <c r="T803" s="36">
        <f>IF(P803&lt;5,VLOOKUP(R803,'Commission Criteria'!$L$3:$M$11,2,1),VLOOKUP('Order SUmmary'!R803,'Commission Criteria'!$P$3:$Q$11,2,1))</f>
        <v>0.01</v>
      </c>
      <c r="U803" s="36">
        <f>VLOOKUP(R803,IF(P803&lt;5,'Commission Criteria'!$L$3:$M$11,'Commission Criteria'!$P$3:$Q$11),2,1)</f>
        <v>0.01</v>
      </c>
      <c r="V803" s="8" t="s">
        <v>43</v>
      </c>
      <c r="W803" s="36">
        <f t="shared" ca="1" si="39"/>
        <v>0</v>
      </c>
      <c r="X803" s="8" t="str">
        <f>_xlfn.XLOOKUP(F803,'Product List'!$B$1:$B$299,'Product List'!$A$1:$A$299)</f>
        <v>Xerox 1907</v>
      </c>
      <c r="Y803" s="8"/>
      <c r="Z803" s="8" t="str" cm="1">
        <f t="array" ref="Z803:AD803">_xlfn.XLOOKUP(D803,'Customer Details'!$A$1:$A$17,'Customer Details'!$B$1:$F$17,"No such customer",0,1)</f>
        <v>GMR Infrastructure Ltd.</v>
      </c>
      <c r="AA803" s="8" t="str">
        <v>P.O. Box 4421</v>
      </c>
      <c r="AB803" s="8" t="str">
        <v>Naugatuck</v>
      </c>
      <c r="AC803" s="8" t="str">
        <v>CT</v>
      </c>
      <c r="AD803" s="8" t="str">
        <v>06770</v>
      </c>
    </row>
    <row r="804" spans="1:30">
      <c r="A804" s="8" t="s">
        <v>858</v>
      </c>
      <c r="B804" s="19">
        <v>42022</v>
      </c>
      <c r="C804" s="8" t="s">
        <v>54</v>
      </c>
      <c r="D804" s="8">
        <v>10002</v>
      </c>
      <c r="E804" s="8" t="str">
        <f>VLOOKUP($D804,'Customer Details'!$A$1:$F$17,4,FALSE)</f>
        <v>Omaha</v>
      </c>
      <c r="F804" s="8" t="s">
        <v>859</v>
      </c>
      <c r="G804" s="8">
        <v>2</v>
      </c>
      <c r="H804" s="2" t="str">
        <f>VLOOKUP($D804,'Customer Details'!$A$1:$F$17,MATCH('Order SUmmary'!H$2,'Customer Details'!$A$1:$F$1,0),0)</f>
        <v>Elder Pharmaceuticals</v>
      </c>
      <c r="I804" s="2" t="str">
        <f>VLOOKUP($D804,'Customer Details'!$A$1:$F$17,4,0)</f>
        <v>Omaha</v>
      </c>
      <c r="J804" s="2" t="str">
        <f>VLOOKUP($D804,'Customer Details'!$A$1:$F$17,6,0)</f>
        <v>68127</v>
      </c>
      <c r="K804" s="8" t="str">
        <f>VLOOKUP(VLOOKUP(D804,'Customer Details'!$A$1:$F$17,5,0),'Region INfo'!$A$1:$C$52,3,0)</f>
        <v>Western</v>
      </c>
      <c r="L804" s="8" t="str">
        <f>INDEX(Product_List,MATCH($F804,'Product List'!$B$1:$B$299,0),MATCH('Order SUmmary'!L$2,'Product List'!$A$1:$E$1,0))</f>
        <v>Xerox 1970</v>
      </c>
      <c r="M804" s="8">
        <f>INDEX(Product_List,MATCH($F804,'Product List'!$B$1:$B$299,0),MATCH('Order SUmmary'!M$2,'Product List'!$A$1:$E$1,0))</f>
        <v>3277</v>
      </c>
      <c r="N804" s="8">
        <f>INDEX(Product_List,MATCH($F804,'Product List'!$B$1:$B$299,0),MATCH('Order SUmmary'!N$2,'Product List'!$A$1:$E$1,0))</f>
        <v>1891</v>
      </c>
      <c r="O804" s="8" t="str">
        <f>INDEX(Product_List,MATCH($F804,'Product List'!$B$1:$B$299,0),MATCH('Order SUmmary'!O$2,'Product List'!$A$1:$E$1,0))</f>
        <v>Paper</v>
      </c>
      <c r="P804" s="12">
        <f>HLOOKUP(C804,'Commission Criteria'!$A$2:$I$4,3,FALSE)</f>
        <v>3</v>
      </c>
      <c r="Q804" s="8">
        <f t="shared" si="37"/>
        <v>3782</v>
      </c>
      <c r="R804" s="8">
        <f t="shared" si="38"/>
        <v>6554</v>
      </c>
      <c r="S804" s="36">
        <f>VLOOKUP(R804,'Commission Criteria'!$L$3:$M$11,2,TRUE)</f>
        <v>0.03</v>
      </c>
      <c r="T804" s="36">
        <f>IF(P804&lt;5,VLOOKUP(R804,'Commission Criteria'!$L$3:$M$11,2,1),VLOOKUP('Order SUmmary'!R804,'Commission Criteria'!$P$3:$Q$11,2,1))</f>
        <v>0.03</v>
      </c>
      <c r="U804" s="36">
        <f>VLOOKUP(R804,IF(P804&lt;5,'Commission Criteria'!$L$3:$M$11,'Commission Criteria'!$P$3:$Q$11),2,1)</f>
        <v>0.03</v>
      </c>
      <c r="V804" s="8" t="s">
        <v>32</v>
      </c>
      <c r="W804" s="36">
        <f t="shared" ca="1" si="39"/>
        <v>0.05</v>
      </c>
      <c r="X804" s="8" t="str">
        <f>_xlfn.XLOOKUP(F804,'Product List'!$B$1:$B$299,'Product List'!$A$1:$A$299)</f>
        <v>Xerox 1970</v>
      </c>
      <c r="Y804" s="8"/>
      <c r="Z804" s="8" t="str" cm="1">
        <f t="array" ref="Z804:AD804">_xlfn.XLOOKUP(D804,'Customer Details'!$A$1:$A$17,'Customer Details'!$B$1:$F$17,"No such customer",0,1)</f>
        <v>Elder Pharmaceuticals</v>
      </c>
      <c r="AA804" s="8" t="str">
        <v>57 Neriba Cres</v>
      </c>
      <c r="AB804" s="8" t="str">
        <v>Omaha</v>
      </c>
      <c r="AC804" s="8" t="str">
        <v>NE</v>
      </c>
      <c r="AD804" s="8" t="str">
        <v>68127</v>
      </c>
    </row>
    <row r="805" spans="1:30">
      <c r="A805" s="8" t="s">
        <v>858</v>
      </c>
      <c r="B805" s="19">
        <v>42022</v>
      </c>
      <c r="C805" s="8" t="s">
        <v>66</v>
      </c>
      <c r="D805" s="8">
        <v>10015</v>
      </c>
      <c r="E805" s="8" t="str">
        <f>VLOOKUP($D805,'Customer Details'!$A$1:$F$17,4,FALSE)</f>
        <v>South Windsor</v>
      </c>
      <c r="F805" s="8" t="s">
        <v>462</v>
      </c>
      <c r="G805" s="8">
        <v>2</v>
      </c>
      <c r="H805" s="2" t="str">
        <f>VLOOKUP($D805,'Customer Details'!$A$1:$F$17,MATCH('Order SUmmary'!H$2,'Customer Details'!$A$1:$F$1,0),0)</f>
        <v>Punj Lloyd Ltd.</v>
      </c>
      <c r="I805" s="2" t="str">
        <f>VLOOKUP($D805,'Customer Details'!$A$1:$F$17,4,0)</f>
        <v>South Windsor</v>
      </c>
      <c r="J805" s="2" t="str">
        <f>VLOOKUP($D805,'Customer Details'!$A$1:$F$17,6,0)</f>
        <v>06074</v>
      </c>
      <c r="K805" s="8" t="str">
        <f>VLOOKUP(VLOOKUP(D805,'Customer Details'!$A$1:$F$17,5,0),'Region INfo'!$A$1:$C$52,3,0)</f>
        <v xml:space="preserve">Northern </v>
      </c>
      <c r="L805" s="8" t="str">
        <f>INDEX(Product_List,MATCH($F805,'Product List'!$B$1:$B$299,0),MATCH('Order SUmmary'!L$2,'Product List'!$A$1:$E$1,0))</f>
        <v>Newell 322</v>
      </c>
      <c r="M805" s="8">
        <f>INDEX(Product_List,MATCH($F805,'Product List'!$B$1:$B$299,0),MATCH('Order SUmmary'!M$2,'Product List'!$A$1:$E$1,0))</f>
        <v>3472</v>
      </c>
      <c r="N805" s="8">
        <f>INDEX(Product_List,MATCH($F805,'Product List'!$B$1:$B$299,0),MATCH('Order SUmmary'!N$2,'Product List'!$A$1:$E$1,0))</f>
        <v>2239</v>
      </c>
      <c r="O805" s="8" t="str">
        <f>INDEX(Product_List,MATCH($F805,'Product List'!$B$1:$B$299,0),MATCH('Order SUmmary'!O$2,'Product List'!$A$1:$E$1,0))</f>
        <v>Art</v>
      </c>
      <c r="P805" s="12">
        <f>HLOOKUP(C805,'Commission Criteria'!$A$2:$I$4,3,FALSE)</f>
        <v>5</v>
      </c>
      <c r="Q805" s="8">
        <f t="shared" si="37"/>
        <v>4478</v>
      </c>
      <c r="R805" s="8">
        <f t="shared" si="38"/>
        <v>6944</v>
      </c>
      <c r="S805" s="36">
        <f>VLOOKUP(R805,'Commission Criteria'!$L$3:$M$11,2,TRUE)</f>
        <v>0.03</v>
      </c>
      <c r="T805" s="36">
        <f>IF(P805&lt;5,VLOOKUP(R805,'Commission Criteria'!$L$3:$M$11,2,1),VLOOKUP('Order SUmmary'!R805,'Commission Criteria'!$P$3:$Q$11,2,1))</f>
        <v>0.02</v>
      </c>
      <c r="U805" s="36">
        <f>VLOOKUP(R805,IF(P805&lt;5,'Commission Criteria'!$L$3:$M$11,'Commission Criteria'!$P$3:$Q$11),2,1)</f>
        <v>0.02</v>
      </c>
      <c r="V805" s="8" t="s">
        <v>29</v>
      </c>
      <c r="W805" s="36">
        <f t="shared" ca="1" si="39"/>
        <v>0.04</v>
      </c>
      <c r="X805" s="8" t="str">
        <f>_xlfn.XLOOKUP(F805,'Product List'!$B$1:$B$299,'Product List'!$A$1:$A$299)</f>
        <v>Newell 322</v>
      </c>
      <c r="Y805" s="8"/>
      <c r="Z805" s="8" t="str" cm="1">
        <f t="array" ref="Z805:AD805">_xlfn.XLOOKUP(D805,'Customer Details'!$A$1:$A$17,'Customer Details'!$B$1:$F$17,"No such customer",0,1)</f>
        <v>Punj Lloyd Ltd.</v>
      </c>
      <c r="AA805" s="8" t="str">
        <v>Box 3263</v>
      </c>
      <c r="AB805" s="8" t="str">
        <v>South Windsor</v>
      </c>
      <c r="AC805" s="8" t="str">
        <v>CT</v>
      </c>
      <c r="AD805" s="8" t="str">
        <v>06074</v>
      </c>
    </row>
    <row r="806" spans="1:30">
      <c r="A806" s="8" t="s">
        <v>860</v>
      </c>
      <c r="B806" s="19">
        <v>42023</v>
      </c>
      <c r="C806" s="8" t="s">
        <v>33</v>
      </c>
      <c r="D806" s="8">
        <v>10011</v>
      </c>
      <c r="E806" s="8" t="str">
        <f>VLOOKUP($D806,'Customer Details'!$A$1:$F$17,4,FALSE)</f>
        <v>Olympia</v>
      </c>
      <c r="F806" s="8" t="s">
        <v>315</v>
      </c>
      <c r="G806" s="8">
        <v>1</v>
      </c>
      <c r="H806" s="2" t="str">
        <f>VLOOKUP($D806,'Customer Details'!$A$1:$F$17,MATCH('Order SUmmary'!H$2,'Customer Details'!$A$1:$F$1,0),0)</f>
        <v>Sonata Software</v>
      </c>
      <c r="I806" s="2" t="str">
        <f>VLOOKUP($D806,'Customer Details'!$A$1:$F$17,4,0)</f>
        <v>Olympia</v>
      </c>
      <c r="J806" s="2" t="str">
        <f>VLOOKUP($D806,'Customer Details'!$A$1:$F$17,6,0)</f>
        <v>98502</v>
      </c>
      <c r="K806" s="8" t="str">
        <f>VLOOKUP(VLOOKUP(D806,'Customer Details'!$A$1:$F$17,5,0),'Region INfo'!$A$1:$C$52,3,0)</f>
        <v xml:space="preserve">Pacific   </v>
      </c>
      <c r="L806" s="8" t="str">
        <f>INDEX(Product_List,MATCH($F806,'Product List'!$B$1:$B$299,0),MATCH('Order SUmmary'!L$2,'Product List'!$A$1:$E$1,0))</f>
        <v>Xerox 1918</v>
      </c>
      <c r="M806" s="8">
        <f>INDEX(Product_List,MATCH($F806,'Product List'!$B$1:$B$299,0),MATCH('Order SUmmary'!M$2,'Product List'!$A$1:$E$1,0))</f>
        <v>3421</v>
      </c>
      <c r="N806" s="8">
        <f>INDEX(Product_List,MATCH($F806,'Product List'!$B$1:$B$299,0),MATCH('Order SUmmary'!N$2,'Product List'!$A$1:$E$1,0))</f>
        <v>1569</v>
      </c>
      <c r="O806" s="8" t="str">
        <f>INDEX(Product_List,MATCH($F806,'Product List'!$B$1:$B$299,0),MATCH('Order SUmmary'!O$2,'Product List'!$A$1:$E$1,0))</f>
        <v>Paper</v>
      </c>
      <c r="P806" s="12">
        <f>HLOOKUP(C806,'Commission Criteria'!$A$2:$I$4,3,FALSE)</f>
        <v>1</v>
      </c>
      <c r="Q806" s="8">
        <f t="shared" si="37"/>
        <v>1569</v>
      </c>
      <c r="R806" s="8">
        <f t="shared" si="38"/>
        <v>3421</v>
      </c>
      <c r="S806" s="36">
        <f>VLOOKUP(R806,'Commission Criteria'!$L$3:$M$11,2,TRUE)</f>
        <v>0.01</v>
      </c>
      <c r="T806" s="36">
        <f>IF(P806&lt;5,VLOOKUP(R806,'Commission Criteria'!$L$3:$M$11,2,1),VLOOKUP('Order SUmmary'!R806,'Commission Criteria'!$P$3:$Q$11,2,1))</f>
        <v>0.01</v>
      </c>
      <c r="U806" s="36">
        <f>VLOOKUP(R806,IF(P806&lt;5,'Commission Criteria'!$L$3:$M$11,'Commission Criteria'!$P$3:$Q$11),2,1)</f>
        <v>0.01</v>
      </c>
      <c r="V806" s="8" t="s">
        <v>50</v>
      </c>
      <c r="W806" s="36">
        <f t="shared" ca="1" si="39"/>
        <v>0.05</v>
      </c>
      <c r="X806" s="8" t="str">
        <f>_xlfn.XLOOKUP(F806,'Product List'!$B$1:$B$299,'Product List'!$A$1:$A$299)</f>
        <v>Xerox 1918</v>
      </c>
      <c r="Y806" s="8"/>
      <c r="Z806" s="8" t="str" cm="1">
        <f t="array" ref="Z806:AD806">_xlfn.XLOOKUP(D806,'Customer Details'!$A$1:$A$17,'Customer Details'!$B$1:$F$17,"No such customer",0,1)</f>
        <v>Sonata Software</v>
      </c>
      <c r="AA806" s="8" t="str">
        <v>1331 Kimberly Dr.</v>
      </c>
      <c r="AB806" s="8" t="str">
        <v>Olympia</v>
      </c>
      <c r="AC806" s="8" t="str">
        <v>WA</v>
      </c>
      <c r="AD806" s="8" t="str">
        <v>98502</v>
      </c>
    </row>
    <row r="807" spans="1:30">
      <c r="A807" s="8" t="s">
        <v>860</v>
      </c>
      <c r="B807" s="19">
        <v>42023</v>
      </c>
      <c r="C807" s="8" t="s">
        <v>36</v>
      </c>
      <c r="D807" s="8">
        <v>10010</v>
      </c>
      <c r="E807" s="8" t="str">
        <f>VLOOKUP($D807,'Customer Details'!$A$1:$F$17,4,FALSE)</f>
        <v>Tracy</v>
      </c>
      <c r="F807" s="8" t="s">
        <v>861</v>
      </c>
      <c r="G807" s="8">
        <v>1</v>
      </c>
      <c r="H807" s="2" t="str">
        <f>VLOOKUP($D807,'Customer Details'!$A$1:$F$17,MATCH('Order SUmmary'!H$2,'Customer Details'!$A$1:$F$1,0),0)</f>
        <v>Suzlon Energy Ltd.</v>
      </c>
      <c r="I807" s="2" t="str">
        <f>VLOOKUP($D807,'Customer Details'!$A$1:$F$17,4,0)</f>
        <v>Tracy</v>
      </c>
      <c r="J807" s="2" t="str">
        <f>VLOOKUP($D807,'Customer Details'!$A$1:$F$17,6,0)</f>
        <v>95376</v>
      </c>
      <c r="K807" s="8" t="str">
        <f>VLOOKUP(VLOOKUP(D807,'Customer Details'!$A$1:$F$17,5,0),'Region INfo'!$A$1:$C$52,3,0)</f>
        <v xml:space="preserve">Pacific   </v>
      </c>
      <c r="L807" s="8" t="str">
        <f>INDEX(Product_List,MATCH($F807,'Product List'!$B$1:$B$299,0),MATCH('Order SUmmary'!L$2,'Product List'!$A$1:$E$1,0))</f>
        <v>Xerox 20</v>
      </c>
      <c r="M807" s="8">
        <f>INDEX(Product_List,MATCH($F807,'Product List'!$B$1:$B$299,0),MATCH('Order SUmmary'!M$2,'Product List'!$A$1:$E$1,0))</f>
        <v>4477</v>
      </c>
      <c r="N807" s="8">
        <f>INDEX(Product_List,MATCH($F807,'Product List'!$B$1:$B$299,0),MATCH('Order SUmmary'!N$2,'Product List'!$A$1:$E$1,0))</f>
        <v>1491</v>
      </c>
      <c r="O807" s="8" t="str">
        <f>INDEX(Product_List,MATCH($F807,'Product List'!$B$1:$B$299,0),MATCH('Order SUmmary'!O$2,'Product List'!$A$1:$E$1,0))</f>
        <v>Paper</v>
      </c>
      <c r="P807" s="12">
        <f>HLOOKUP(C807,'Commission Criteria'!$A$2:$I$4,3,FALSE)</f>
        <v>6</v>
      </c>
      <c r="Q807" s="8">
        <f t="shared" si="37"/>
        <v>1491</v>
      </c>
      <c r="R807" s="8">
        <f t="shared" si="38"/>
        <v>4477</v>
      </c>
      <c r="S807" s="36">
        <f>VLOOKUP(R807,'Commission Criteria'!$L$3:$M$11,2,TRUE)</f>
        <v>0.01</v>
      </c>
      <c r="T807" s="36">
        <f>IF(P807&lt;5,VLOOKUP(R807,'Commission Criteria'!$L$3:$M$11,2,1),VLOOKUP('Order SUmmary'!R807,'Commission Criteria'!$P$3:$Q$11,2,1))</f>
        <v>0.02</v>
      </c>
      <c r="U807" s="36">
        <f>VLOOKUP(R807,IF(P807&lt;5,'Commission Criteria'!$L$3:$M$11,'Commission Criteria'!$P$3:$Q$11),2,1)</f>
        <v>0.02</v>
      </c>
      <c r="V807" s="8" t="s">
        <v>35</v>
      </c>
      <c r="W807" s="36">
        <f t="shared" ca="1" si="39"/>
        <v>0.03</v>
      </c>
      <c r="X807" s="8" t="str">
        <f>_xlfn.XLOOKUP(F807,'Product List'!$B$1:$B$299,'Product List'!$A$1:$A$299)</f>
        <v>Xerox 20</v>
      </c>
      <c r="Y807" s="8"/>
      <c r="Z807" s="8" t="str" cm="1">
        <f t="array" ref="Z807:AD807">_xlfn.XLOOKUP(D807,'Customer Details'!$A$1:$A$17,'Customer Details'!$B$1:$F$17,"No such customer",0,1)</f>
        <v>Suzlon Energy Ltd.</v>
      </c>
      <c r="AA807" s="8" t="str">
        <v>501 Marsh Trail Circle</v>
      </c>
      <c r="AB807" s="8" t="str">
        <v>Tracy</v>
      </c>
      <c r="AC807" s="8" t="str">
        <v>CA</v>
      </c>
      <c r="AD807" s="8" t="str">
        <v>95376</v>
      </c>
    </row>
    <row r="808" spans="1:30">
      <c r="A808" s="8" t="s">
        <v>862</v>
      </c>
      <c r="B808" s="19">
        <v>42024</v>
      </c>
      <c r="C808" s="8" t="s">
        <v>66</v>
      </c>
      <c r="D808" s="8">
        <v>10011</v>
      </c>
      <c r="E808" s="8" t="str">
        <f>VLOOKUP($D808,'Customer Details'!$A$1:$F$17,4,FALSE)</f>
        <v>Olympia</v>
      </c>
      <c r="F808" s="8" t="s">
        <v>347</v>
      </c>
      <c r="G808" s="8">
        <v>1</v>
      </c>
      <c r="H808" s="2" t="str">
        <f>VLOOKUP($D808,'Customer Details'!$A$1:$F$17,MATCH('Order SUmmary'!H$2,'Customer Details'!$A$1:$F$1,0),0)</f>
        <v>Sonata Software</v>
      </c>
      <c r="I808" s="2" t="str">
        <f>VLOOKUP($D808,'Customer Details'!$A$1:$F$17,4,0)</f>
        <v>Olympia</v>
      </c>
      <c r="J808" s="2" t="str">
        <f>VLOOKUP($D808,'Customer Details'!$A$1:$F$17,6,0)</f>
        <v>98502</v>
      </c>
      <c r="K808" s="8" t="str">
        <f>VLOOKUP(VLOOKUP(D808,'Customer Details'!$A$1:$F$17,5,0),'Region INfo'!$A$1:$C$52,3,0)</f>
        <v xml:space="preserve">Pacific   </v>
      </c>
      <c r="L808" s="8" t="str">
        <f>INDEX(Product_List,MATCH($F808,'Product List'!$B$1:$B$299,0),MATCH('Order SUmmary'!L$2,'Product List'!$A$1:$E$1,0))</f>
        <v>Avery 511</v>
      </c>
      <c r="M808" s="8">
        <f>INDEX(Product_List,MATCH($F808,'Product List'!$B$1:$B$299,0),MATCH('Order SUmmary'!M$2,'Product List'!$A$1:$E$1,0))</f>
        <v>4706</v>
      </c>
      <c r="N808" s="8">
        <f>INDEX(Product_List,MATCH($F808,'Product List'!$B$1:$B$299,0),MATCH('Order SUmmary'!N$2,'Product List'!$A$1:$E$1,0))</f>
        <v>1714</v>
      </c>
      <c r="O808" s="8" t="str">
        <f>INDEX(Product_List,MATCH($F808,'Product List'!$B$1:$B$299,0),MATCH('Order SUmmary'!O$2,'Product List'!$A$1:$E$1,0))</f>
        <v>Labels</v>
      </c>
      <c r="P808" s="12">
        <f>HLOOKUP(C808,'Commission Criteria'!$A$2:$I$4,3,FALSE)</f>
        <v>5</v>
      </c>
      <c r="Q808" s="8">
        <f t="shared" si="37"/>
        <v>1714</v>
      </c>
      <c r="R808" s="8">
        <f t="shared" si="38"/>
        <v>4706</v>
      </c>
      <c r="S808" s="36">
        <f>VLOOKUP(R808,'Commission Criteria'!$L$3:$M$11,2,TRUE)</f>
        <v>0.01</v>
      </c>
      <c r="T808" s="36">
        <f>IF(P808&lt;5,VLOOKUP(R808,'Commission Criteria'!$L$3:$M$11,2,1),VLOOKUP('Order SUmmary'!R808,'Commission Criteria'!$P$3:$Q$11,2,1))</f>
        <v>0.02</v>
      </c>
      <c r="U808" s="36">
        <f>VLOOKUP(R808,IF(P808&lt;5,'Commission Criteria'!$L$3:$M$11,'Commission Criteria'!$P$3:$Q$11),2,1)</f>
        <v>0.02</v>
      </c>
      <c r="V808" s="8" t="s">
        <v>32</v>
      </c>
      <c r="W808" s="36">
        <f t="shared" ca="1" si="39"/>
        <v>0.05</v>
      </c>
      <c r="X808" s="8" t="str">
        <f>_xlfn.XLOOKUP(F808,'Product List'!$B$1:$B$299,'Product List'!$A$1:$A$299)</f>
        <v>Avery 511</v>
      </c>
      <c r="Y808" s="8"/>
      <c r="Z808" s="8" t="str" cm="1">
        <f t="array" ref="Z808:AD808">_xlfn.XLOOKUP(D808,'Customer Details'!$A$1:$A$17,'Customer Details'!$B$1:$F$17,"No such customer",0,1)</f>
        <v>Sonata Software</v>
      </c>
      <c r="AA808" s="8" t="str">
        <v>1331 Kimberly Dr.</v>
      </c>
      <c r="AB808" s="8" t="str">
        <v>Olympia</v>
      </c>
      <c r="AC808" s="8" t="str">
        <v>WA</v>
      </c>
      <c r="AD808" s="8" t="str">
        <v>98502</v>
      </c>
    </row>
    <row r="809" spans="1:30">
      <c r="A809" s="8" t="s">
        <v>862</v>
      </c>
      <c r="B809" s="19">
        <v>42024</v>
      </c>
      <c r="C809" s="8" t="s">
        <v>66</v>
      </c>
      <c r="D809" s="8">
        <v>10012</v>
      </c>
      <c r="E809" s="8" t="str">
        <f>VLOOKUP($D809,'Customer Details'!$A$1:$F$17,4,FALSE)</f>
        <v>Santa Barbara</v>
      </c>
      <c r="F809" s="8" t="s">
        <v>241</v>
      </c>
      <c r="G809" s="8">
        <v>1</v>
      </c>
      <c r="H809" s="2" t="str">
        <f>VLOOKUP($D809,'Customer Details'!$A$1:$F$17,MATCH('Order SUmmary'!H$2,'Customer Details'!$A$1:$F$1,0),0)</f>
        <v>Dynamatic Technologies Ltd.</v>
      </c>
      <c r="I809" s="2" t="str">
        <f>VLOOKUP($D809,'Customer Details'!$A$1:$F$17,4,0)</f>
        <v>Santa Barbara</v>
      </c>
      <c r="J809" s="2" t="str">
        <f>VLOOKUP($D809,'Customer Details'!$A$1:$F$17,6,0)</f>
        <v>93110</v>
      </c>
      <c r="K809" s="8" t="str">
        <f>VLOOKUP(VLOOKUP(D809,'Customer Details'!$A$1:$F$17,5,0),'Region INfo'!$A$1:$C$52,3,0)</f>
        <v xml:space="preserve">Pacific   </v>
      </c>
      <c r="L809" s="8" t="str">
        <f>INDEX(Product_List,MATCH($F809,'Product List'!$B$1:$B$299,0),MATCH('Order SUmmary'!L$2,'Product List'!$A$1:$E$1,0))</f>
        <v>Xerox 208</v>
      </c>
      <c r="M809" s="8">
        <f>INDEX(Product_List,MATCH($F809,'Product List'!$B$1:$B$299,0),MATCH('Order SUmmary'!M$2,'Product List'!$A$1:$E$1,0))</f>
        <v>4706</v>
      </c>
      <c r="N809" s="8">
        <f>INDEX(Product_List,MATCH($F809,'Product List'!$B$1:$B$299,0),MATCH('Order SUmmary'!N$2,'Product List'!$A$1:$E$1,0))</f>
        <v>1320</v>
      </c>
      <c r="O809" s="8" t="str">
        <f>INDEX(Product_List,MATCH($F809,'Product List'!$B$1:$B$299,0),MATCH('Order SUmmary'!O$2,'Product List'!$A$1:$E$1,0))</f>
        <v>Paper</v>
      </c>
      <c r="P809" s="12">
        <f>HLOOKUP(C809,'Commission Criteria'!$A$2:$I$4,3,FALSE)</f>
        <v>5</v>
      </c>
      <c r="Q809" s="8">
        <f t="shared" si="37"/>
        <v>1320</v>
      </c>
      <c r="R809" s="8">
        <f t="shared" si="38"/>
        <v>4706</v>
      </c>
      <c r="S809" s="36">
        <f>VLOOKUP(R809,'Commission Criteria'!$L$3:$M$11,2,TRUE)</f>
        <v>0.01</v>
      </c>
      <c r="T809" s="36">
        <f>IF(P809&lt;5,VLOOKUP(R809,'Commission Criteria'!$L$3:$M$11,2,1),VLOOKUP('Order SUmmary'!R809,'Commission Criteria'!$P$3:$Q$11,2,1))</f>
        <v>0.02</v>
      </c>
      <c r="U809" s="36">
        <f>VLOOKUP(R809,IF(P809&lt;5,'Commission Criteria'!$L$3:$M$11,'Commission Criteria'!$P$3:$Q$11),2,1)</f>
        <v>0.02</v>
      </c>
      <c r="V809" s="8" t="s">
        <v>29</v>
      </c>
      <c r="W809" s="36">
        <f t="shared" ca="1" si="39"/>
        <v>0.04</v>
      </c>
      <c r="X809" s="8" t="str">
        <f>_xlfn.XLOOKUP(F809,'Product List'!$B$1:$B$299,'Product List'!$A$1:$A$299)</f>
        <v>Xerox 208</v>
      </c>
      <c r="Y809" s="8"/>
      <c r="Z809" s="8" t="str" cm="1">
        <f t="array" ref="Z809:AD809">_xlfn.XLOOKUP(D809,'Customer Details'!$A$1:$A$17,'Customer Details'!$B$1:$F$17,"No such customer",0,1)</f>
        <v>Dynamatic Technologies Ltd.</v>
      </c>
      <c r="AA809" s="8" t="str">
        <v>402 Pinkster Lane</v>
      </c>
      <c r="AB809" s="8" t="str">
        <v>Santa Barbara</v>
      </c>
      <c r="AC809" s="8" t="str">
        <v>CA</v>
      </c>
      <c r="AD809" s="8" t="str">
        <v>93110</v>
      </c>
    </row>
    <row r="810" spans="1:30">
      <c r="A810" s="8" t="s">
        <v>863</v>
      </c>
      <c r="B810" s="19">
        <v>42024</v>
      </c>
      <c r="C810" s="8" t="s">
        <v>36</v>
      </c>
      <c r="D810" s="8">
        <v>10010</v>
      </c>
      <c r="E810" s="8" t="str">
        <f>VLOOKUP($D810,'Customer Details'!$A$1:$F$17,4,FALSE)</f>
        <v>Tracy</v>
      </c>
      <c r="F810" s="8" t="s">
        <v>605</v>
      </c>
      <c r="G810" s="8">
        <v>2</v>
      </c>
      <c r="H810" s="2" t="str">
        <f>VLOOKUP($D810,'Customer Details'!$A$1:$F$17,MATCH('Order SUmmary'!H$2,'Customer Details'!$A$1:$F$1,0),0)</f>
        <v>Suzlon Energy Ltd.</v>
      </c>
      <c r="I810" s="2" t="str">
        <f>VLOOKUP($D810,'Customer Details'!$A$1:$F$17,4,0)</f>
        <v>Tracy</v>
      </c>
      <c r="J810" s="2" t="str">
        <f>VLOOKUP($D810,'Customer Details'!$A$1:$F$17,6,0)</f>
        <v>95376</v>
      </c>
      <c r="K810" s="8" t="str">
        <f>VLOOKUP(VLOOKUP(D810,'Customer Details'!$A$1:$F$17,5,0),'Region INfo'!$A$1:$C$52,3,0)</f>
        <v xml:space="preserve">Pacific   </v>
      </c>
      <c r="L810" s="8" t="str">
        <f>INDEX(Product_List,MATCH($F810,'Product List'!$B$1:$B$299,0),MATCH('Order SUmmary'!L$2,'Product List'!$A$1:$E$1,0))</f>
        <v>Pyle PMP37LED</v>
      </c>
      <c r="M810" s="8">
        <f>INDEX(Product_List,MATCH($F810,'Product List'!$B$1:$B$299,0),MATCH('Order SUmmary'!M$2,'Product List'!$A$1:$E$1,0))</f>
        <v>2808</v>
      </c>
      <c r="N810" s="8">
        <f>INDEX(Product_List,MATCH($F810,'Product List'!$B$1:$B$299,0),MATCH('Order SUmmary'!N$2,'Product List'!$A$1:$E$1,0))</f>
        <v>1759</v>
      </c>
      <c r="O810" s="8" t="str">
        <f>INDEX(Product_List,MATCH($F810,'Product List'!$B$1:$B$299,0),MATCH('Order SUmmary'!O$2,'Product List'!$A$1:$E$1,0))</f>
        <v>Phones</v>
      </c>
      <c r="P810" s="12">
        <f>HLOOKUP(C810,'Commission Criteria'!$A$2:$I$4,3,FALSE)</f>
        <v>6</v>
      </c>
      <c r="Q810" s="8">
        <f t="shared" si="37"/>
        <v>3518</v>
      </c>
      <c r="R810" s="8">
        <f t="shared" si="38"/>
        <v>5616</v>
      </c>
      <c r="S810" s="36">
        <f>VLOOKUP(R810,'Commission Criteria'!$L$3:$M$11,2,TRUE)</f>
        <v>0.03</v>
      </c>
      <c r="T810" s="36">
        <f>IF(P810&lt;5,VLOOKUP(R810,'Commission Criteria'!$L$3:$M$11,2,1),VLOOKUP('Order SUmmary'!R810,'Commission Criteria'!$P$3:$Q$11,2,1))</f>
        <v>0.02</v>
      </c>
      <c r="U810" s="36">
        <f>VLOOKUP(R810,IF(P810&lt;5,'Commission Criteria'!$L$3:$M$11,'Commission Criteria'!$P$3:$Q$11),2,1)</f>
        <v>0.02</v>
      </c>
      <c r="V810" s="8" t="s">
        <v>50</v>
      </c>
      <c r="W810" s="36">
        <f t="shared" ca="1" si="39"/>
        <v>0.05</v>
      </c>
      <c r="X810" s="8" t="str">
        <f>_xlfn.XLOOKUP(F810,'Product List'!$B$1:$B$299,'Product List'!$A$1:$A$299)</f>
        <v>Pyle PMP37LED</v>
      </c>
      <c r="Y810" s="8"/>
      <c r="Z810" s="8" t="str" cm="1">
        <f t="array" ref="Z810:AD810">_xlfn.XLOOKUP(D810,'Customer Details'!$A$1:$A$17,'Customer Details'!$B$1:$F$17,"No such customer",0,1)</f>
        <v>Suzlon Energy Ltd.</v>
      </c>
      <c r="AA810" s="8" t="str">
        <v>501 Marsh Trail Circle</v>
      </c>
      <c r="AB810" s="8" t="str">
        <v>Tracy</v>
      </c>
      <c r="AC810" s="8" t="str">
        <v>CA</v>
      </c>
      <c r="AD810" s="8" t="str">
        <v>95376</v>
      </c>
    </row>
    <row r="811" spans="1:30">
      <c r="A811" s="8" t="s">
        <v>864</v>
      </c>
      <c r="B811" s="19">
        <v>42025</v>
      </c>
      <c r="C811" s="8" t="s">
        <v>44</v>
      </c>
      <c r="D811" s="8">
        <v>10004</v>
      </c>
      <c r="E811" s="8" t="str">
        <f>VLOOKUP($D811,'Customer Details'!$A$1:$F$17,4,FALSE)</f>
        <v>New York</v>
      </c>
      <c r="F811" s="8" t="s">
        <v>518</v>
      </c>
      <c r="G811" s="8">
        <v>1</v>
      </c>
      <c r="H811" s="2" t="str">
        <f>VLOOKUP($D811,'Customer Details'!$A$1:$F$17,MATCH('Order SUmmary'!H$2,'Customer Details'!$A$1:$F$1,0),0)</f>
        <v>Lupin Ltd.</v>
      </c>
      <c r="I811" s="2" t="str">
        <f>VLOOKUP($D811,'Customer Details'!$A$1:$F$17,4,0)</f>
        <v>New York</v>
      </c>
      <c r="J811" s="2" t="str">
        <f>VLOOKUP($D811,'Customer Details'!$A$1:$F$17,6,0)</f>
        <v>10019</v>
      </c>
      <c r="K811" s="8" t="str">
        <f>VLOOKUP(VLOOKUP(D811,'Customer Details'!$A$1:$F$17,5,0),'Region INfo'!$A$1:$C$52,3,0)</f>
        <v xml:space="preserve">Northern </v>
      </c>
      <c r="L811" s="8" t="str">
        <f>INDEX(Product_List,MATCH($F811,'Product List'!$B$1:$B$299,0),MATCH('Order SUmmary'!L$2,'Product List'!$A$1:$E$1,0))</f>
        <v>Xerox 1931</v>
      </c>
      <c r="M811" s="8">
        <f>INDEX(Product_List,MATCH($F811,'Product List'!$B$1:$B$299,0),MATCH('Order SUmmary'!M$2,'Product List'!$A$1:$E$1,0))</f>
        <v>2706</v>
      </c>
      <c r="N811" s="8">
        <f>INDEX(Product_List,MATCH($F811,'Product List'!$B$1:$B$299,0),MATCH('Order SUmmary'!N$2,'Product List'!$A$1:$E$1,0))</f>
        <v>2310</v>
      </c>
      <c r="O811" s="8" t="str">
        <f>INDEX(Product_List,MATCH($F811,'Product List'!$B$1:$B$299,0),MATCH('Order SUmmary'!O$2,'Product List'!$A$1:$E$1,0))</f>
        <v>Paper</v>
      </c>
      <c r="P811" s="12">
        <f>HLOOKUP(C811,'Commission Criteria'!$A$2:$I$4,3,FALSE)</f>
        <v>4</v>
      </c>
      <c r="Q811" s="8">
        <f t="shared" si="37"/>
        <v>2310</v>
      </c>
      <c r="R811" s="8">
        <f t="shared" si="38"/>
        <v>2706</v>
      </c>
      <c r="S811" s="36">
        <f>VLOOKUP(R811,'Commission Criteria'!$L$3:$M$11,2,TRUE)</f>
        <v>0.01</v>
      </c>
      <c r="T811" s="36">
        <f>IF(P811&lt;5,VLOOKUP(R811,'Commission Criteria'!$L$3:$M$11,2,1),VLOOKUP('Order SUmmary'!R811,'Commission Criteria'!$P$3:$Q$11,2,1))</f>
        <v>0.01</v>
      </c>
      <c r="U811" s="36">
        <f>VLOOKUP(R811,IF(P811&lt;5,'Commission Criteria'!$L$3:$M$11,'Commission Criteria'!$P$3:$Q$11),2,1)</f>
        <v>0.01</v>
      </c>
      <c r="V811" s="8" t="s">
        <v>32</v>
      </c>
      <c r="W811" s="36">
        <f t="shared" ca="1" si="39"/>
        <v>0.01</v>
      </c>
      <c r="X811" s="8" t="str">
        <f>_xlfn.XLOOKUP(F811,'Product List'!$B$1:$B$299,'Product List'!$A$1:$A$299)</f>
        <v>Xerox 1931</v>
      </c>
      <c r="Y811" s="8"/>
      <c r="Z811" s="8" t="str" cm="1">
        <f t="array" ref="Z811:AD811">_xlfn.XLOOKUP(D811,'Customer Details'!$A$1:$A$17,'Customer Details'!$B$1:$F$17,"No such customer",0,1)</f>
        <v>Lupin Ltd.</v>
      </c>
      <c r="AA811" s="8" t="str">
        <v>Abbey Wood</v>
      </c>
      <c r="AB811" s="8" t="str">
        <v>New York</v>
      </c>
      <c r="AC811" s="8" t="str">
        <v>NY</v>
      </c>
      <c r="AD811" s="8" t="str">
        <v>10019</v>
      </c>
    </row>
    <row r="812" spans="1:30">
      <c r="A812" s="8" t="s">
        <v>865</v>
      </c>
      <c r="B812" s="19">
        <v>42027</v>
      </c>
      <c r="C812" s="8" t="s">
        <v>54</v>
      </c>
      <c r="D812" s="8">
        <v>10004</v>
      </c>
      <c r="E812" s="8" t="str">
        <f>VLOOKUP($D812,'Customer Details'!$A$1:$F$17,4,FALSE)</f>
        <v>New York</v>
      </c>
      <c r="F812" s="8" t="s">
        <v>203</v>
      </c>
      <c r="G812" s="8">
        <v>1</v>
      </c>
      <c r="H812" s="2" t="str">
        <f>VLOOKUP($D812,'Customer Details'!$A$1:$F$17,MATCH('Order SUmmary'!H$2,'Customer Details'!$A$1:$F$1,0),0)</f>
        <v>Lupin Ltd.</v>
      </c>
      <c r="I812" s="2" t="str">
        <f>VLOOKUP($D812,'Customer Details'!$A$1:$F$17,4,0)</f>
        <v>New York</v>
      </c>
      <c r="J812" s="2" t="str">
        <f>VLOOKUP($D812,'Customer Details'!$A$1:$F$17,6,0)</f>
        <v>10019</v>
      </c>
      <c r="K812" s="8" t="str">
        <f>VLOOKUP(VLOOKUP(D812,'Customer Details'!$A$1:$F$17,5,0),'Region INfo'!$A$1:$C$52,3,0)</f>
        <v xml:space="preserve">Northern </v>
      </c>
      <c r="L812" s="8" t="str">
        <f>INDEX(Product_List,MATCH($F812,'Product List'!$B$1:$B$299,0),MATCH('Order SUmmary'!L$2,'Product List'!$A$1:$E$1,0))</f>
        <v>Xerox 1957</v>
      </c>
      <c r="M812" s="8">
        <f>INDEX(Product_List,MATCH($F812,'Product List'!$B$1:$B$299,0),MATCH('Order SUmmary'!M$2,'Product List'!$A$1:$E$1,0))</f>
        <v>4398</v>
      </c>
      <c r="N812" s="8">
        <f>INDEX(Product_List,MATCH($F812,'Product List'!$B$1:$B$299,0),MATCH('Order SUmmary'!N$2,'Product List'!$A$1:$E$1,0))</f>
        <v>1800</v>
      </c>
      <c r="O812" s="8" t="str">
        <f>INDEX(Product_List,MATCH($F812,'Product List'!$B$1:$B$299,0),MATCH('Order SUmmary'!O$2,'Product List'!$A$1:$E$1,0))</f>
        <v>Paper</v>
      </c>
      <c r="P812" s="12">
        <f>HLOOKUP(C812,'Commission Criteria'!$A$2:$I$4,3,FALSE)</f>
        <v>3</v>
      </c>
      <c r="Q812" s="8">
        <f t="shared" si="37"/>
        <v>1800</v>
      </c>
      <c r="R812" s="8">
        <f t="shared" si="38"/>
        <v>4398</v>
      </c>
      <c r="S812" s="36">
        <f>VLOOKUP(R812,'Commission Criteria'!$L$3:$M$11,2,TRUE)</f>
        <v>0.01</v>
      </c>
      <c r="T812" s="36">
        <f>IF(P812&lt;5,VLOOKUP(R812,'Commission Criteria'!$L$3:$M$11,2,1),VLOOKUP('Order SUmmary'!R812,'Commission Criteria'!$P$3:$Q$11,2,1))</f>
        <v>0.01</v>
      </c>
      <c r="U812" s="36">
        <f>VLOOKUP(R812,IF(P812&lt;5,'Commission Criteria'!$L$3:$M$11,'Commission Criteria'!$P$3:$Q$11),2,1)</f>
        <v>0.01</v>
      </c>
      <c r="V812" s="8" t="s">
        <v>29</v>
      </c>
      <c r="W812" s="36">
        <f t="shared" ca="1" si="39"/>
        <v>0</v>
      </c>
      <c r="X812" s="8" t="str">
        <f>_xlfn.XLOOKUP(F812,'Product List'!$B$1:$B$299,'Product List'!$A$1:$A$299)</f>
        <v>Xerox 1957</v>
      </c>
      <c r="Y812" s="8"/>
      <c r="Z812" s="8" t="str" cm="1">
        <f t="array" ref="Z812:AD812">_xlfn.XLOOKUP(D812,'Customer Details'!$A$1:$A$17,'Customer Details'!$B$1:$F$17,"No such customer",0,1)</f>
        <v>Lupin Ltd.</v>
      </c>
      <c r="AA812" s="8" t="str">
        <v>Abbey Wood</v>
      </c>
      <c r="AB812" s="8" t="str">
        <v>New York</v>
      </c>
      <c r="AC812" s="8" t="str">
        <v>NY</v>
      </c>
      <c r="AD812" s="8" t="str">
        <v>10019</v>
      </c>
    </row>
    <row r="813" spans="1:30">
      <c r="A813" s="8" t="s">
        <v>866</v>
      </c>
      <c r="B813" s="19">
        <v>42027</v>
      </c>
      <c r="C813" s="8" t="s">
        <v>36</v>
      </c>
      <c r="D813" s="8">
        <v>10014</v>
      </c>
      <c r="E813" s="8" t="str">
        <f>VLOOKUP($D813,'Customer Details'!$A$1:$F$17,4,FALSE)</f>
        <v>Honolulu</v>
      </c>
      <c r="F813" s="8" t="s">
        <v>62</v>
      </c>
      <c r="G813" s="8">
        <v>1</v>
      </c>
      <c r="H813" s="2" t="str">
        <f>VLOOKUP($D813,'Customer Details'!$A$1:$F$17,MATCH('Order SUmmary'!H$2,'Customer Details'!$A$1:$F$1,0),0)</f>
        <v>Hindusthan National Glass &amp; Industries Ltd.</v>
      </c>
      <c r="I813" s="2" t="str">
        <f>VLOOKUP($D813,'Customer Details'!$A$1:$F$17,4,0)</f>
        <v>Honolulu</v>
      </c>
      <c r="J813" s="2" t="str">
        <f>VLOOKUP($D813,'Customer Details'!$A$1:$F$17,6,0)</f>
        <v>96825</v>
      </c>
      <c r="K813" s="8" t="str">
        <f>VLOOKUP(VLOOKUP(D813,'Customer Details'!$A$1:$F$17,5,0),'Region INfo'!$A$1:$C$52,3,0)</f>
        <v xml:space="preserve">Pacific   </v>
      </c>
      <c r="L813" s="8" t="str">
        <f>INDEX(Product_List,MATCH($F813,'Product List'!$B$1:$B$299,0),MATCH('Order SUmmary'!L$2,'Product List'!$A$1:$E$1,0))</f>
        <v>Newell 308</v>
      </c>
      <c r="M813" s="8">
        <f>INDEX(Product_List,MATCH($F813,'Product List'!$B$1:$B$299,0),MATCH('Order SUmmary'!M$2,'Product List'!$A$1:$E$1,0))</f>
        <v>4515</v>
      </c>
      <c r="N813" s="8">
        <f>INDEX(Product_List,MATCH($F813,'Product List'!$B$1:$B$299,0),MATCH('Order SUmmary'!N$2,'Product List'!$A$1:$E$1,0))</f>
        <v>1550</v>
      </c>
      <c r="O813" s="8" t="str">
        <f>INDEX(Product_List,MATCH($F813,'Product List'!$B$1:$B$299,0),MATCH('Order SUmmary'!O$2,'Product List'!$A$1:$E$1,0))</f>
        <v>Art</v>
      </c>
      <c r="P813" s="12">
        <f>HLOOKUP(C813,'Commission Criteria'!$A$2:$I$4,3,FALSE)</f>
        <v>6</v>
      </c>
      <c r="Q813" s="8">
        <f t="shared" si="37"/>
        <v>1550</v>
      </c>
      <c r="R813" s="8">
        <f t="shared" si="38"/>
        <v>4515</v>
      </c>
      <c r="S813" s="36">
        <f>VLOOKUP(R813,'Commission Criteria'!$L$3:$M$11,2,TRUE)</f>
        <v>0.01</v>
      </c>
      <c r="T813" s="36">
        <f>IF(P813&lt;5,VLOOKUP(R813,'Commission Criteria'!$L$3:$M$11,2,1),VLOOKUP('Order SUmmary'!R813,'Commission Criteria'!$P$3:$Q$11,2,1))</f>
        <v>0.02</v>
      </c>
      <c r="U813" s="36">
        <f>VLOOKUP(R813,IF(P813&lt;5,'Commission Criteria'!$L$3:$M$11,'Commission Criteria'!$P$3:$Q$11),2,1)</f>
        <v>0.02</v>
      </c>
      <c r="V813" s="8" t="s">
        <v>35</v>
      </c>
      <c r="W813" s="36">
        <f t="shared" ca="1" si="39"/>
        <v>0.05</v>
      </c>
      <c r="X813" s="8" t="str">
        <f>_xlfn.XLOOKUP(F813,'Product List'!$B$1:$B$299,'Product List'!$A$1:$A$299)</f>
        <v>Newell 308</v>
      </c>
      <c r="Y813" s="8"/>
      <c r="Z813" s="8" t="str" cm="1">
        <f t="array" ref="Z813:AD813">_xlfn.XLOOKUP(D813,'Customer Details'!$A$1:$A$17,'Customer Details'!$B$1:$F$17,"No such customer",0,1)</f>
        <v>Hindusthan National Glass &amp; Industries Ltd.</v>
      </c>
      <c r="AA813" s="8" t="str">
        <v>11 Cathy St.</v>
      </c>
      <c r="AB813" s="8" t="str">
        <v>Honolulu</v>
      </c>
      <c r="AC813" s="8" t="str">
        <v>HI</v>
      </c>
      <c r="AD813" s="8" t="str">
        <v>96825</v>
      </c>
    </row>
    <row r="814" spans="1:30">
      <c r="A814" s="8" t="s">
        <v>865</v>
      </c>
      <c r="B814" s="19">
        <v>42027</v>
      </c>
      <c r="C814" s="8" t="s">
        <v>51</v>
      </c>
      <c r="D814" s="8">
        <v>10004</v>
      </c>
      <c r="E814" s="8" t="str">
        <f>VLOOKUP($D814,'Customer Details'!$A$1:$F$17,4,FALSE)</f>
        <v>New York</v>
      </c>
      <c r="F814" s="8" t="s">
        <v>143</v>
      </c>
      <c r="G814" s="8">
        <v>2</v>
      </c>
      <c r="H814" s="2" t="str">
        <f>VLOOKUP($D814,'Customer Details'!$A$1:$F$17,MATCH('Order SUmmary'!H$2,'Customer Details'!$A$1:$F$1,0),0)</f>
        <v>Lupin Ltd.</v>
      </c>
      <c r="I814" s="2" t="str">
        <f>VLOOKUP($D814,'Customer Details'!$A$1:$F$17,4,0)</f>
        <v>New York</v>
      </c>
      <c r="J814" s="2" t="str">
        <f>VLOOKUP($D814,'Customer Details'!$A$1:$F$17,6,0)</f>
        <v>10019</v>
      </c>
      <c r="K814" s="8" t="str">
        <f>VLOOKUP(VLOOKUP(D814,'Customer Details'!$A$1:$F$17,5,0),'Region INfo'!$A$1:$C$52,3,0)</f>
        <v xml:space="preserve">Northern </v>
      </c>
      <c r="L814" s="8" t="str">
        <f>INDEX(Product_List,MATCH($F814,'Product List'!$B$1:$B$299,0),MATCH('Order SUmmary'!L$2,'Product List'!$A$1:$E$1,0))</f>
        <v>Xerox 1932</v>
      </c>
      <c r="M814" s="8">
        <f>INDEX(Product_List,MATCH($F814,'Product List'!$B$1:$B$299,0),MATCH('Order SUmmary'!M$2,'Product List'!$A$1:$E$1,0))</f>
        <v>4309</v>
      </c>
      <c r="N814" s="8">
        <f>INDEX(Product_List,MATCH($F814,'Product List'!$B$1:$B$299,0),MATCH('Order SUmmary'!N$2,'Product List'!$A$1:$E$1,0))</f>
        <v>1779</v>
      </c>
      <c r="O814" s="8" t="str">
        <f>INDEX(Product_List,MATCH($F814,'Product List'!$B$1:$B$299,0),MATCH('Order SUmmary'!O$2,'Product List'!$A$1:$E$1,0))</f>
        <v>Paper</v>
      </c>
      <c r="P814" s="12">
        <f>HLOOKUP(C814,'Commission Criteria'!$A$2:$I$4,3,FALSE)</f>
        <v>10</v>
      </c>
      <c r="Q814" s="8">
        <f t="shared" si="37"/>
        <v>3558</v>
      </c>
      <c r="R814" s="8">
        <f t="shared" si="38"/>
        <v>8618</v>
      </c>
      <c r="S814" s="36">
        <f>VLOOKUP(R814,'Commission Criteria'!$L$3:$M$11,2,TRUE)</f>
        <v>0.03</v>
      </c>
      <c r="T814" s="36">
        <f>IF(P814&lt;5,VLOOKUP(R814,'Commission Criteria'!$L$3:$M$11,2,1),VLOOKUP('Order SUmmary'!R814,'Commission Criteria'!$P$3:$Q$11,2,1))</f>
        <v>0.02</v>
      </c>
      <c r="U814" s="36">
        <f>VLOOKUP(R814,IF(P814&lt;5,'Commission Criteria'!$L$3:$M$11,'Commission Criteria'!$P$3:$Q$11),2,1)</f>
        <v>0.02</v>
      </c>
      <c r="V814" s="8" t="s">
        <v>32</v>
      </c>
      <c r="W814" s="36">
        <f t="shared" ca="1" si="39"/>
        <v>0</v>
      </c>
      <c r="X814" s="8" t="str">
        <f>_xlfn.XLOOKUP(F814,'Product List'!$B$1:$B$299,'Product List'!$A$1:$A$299)</f>
        <v>Xerox 1932</v>
      </c>
      <c r="Y814" s="8"/>
      <c r="Z814" s="8" t="str" cm="1">
        <f t="array" ref="Z814:AD814">_xlfn.XLOOKUP(D814,'Customer Details'!$A$1:$A$17,'Customer Details'!$B$1:$F$17,"No such customer",0,1)</f>
        <v>Lupin Ltd.</v>
      </c>
      <c r="AA814" s="8" t="str">
        <v>Abbey Wood</v>
      </c>
      <c r="AB814" s="8" t="str">
        <v>New York</v>
      </c>
      <c r="AC814" s="8" t="str">
        <v>NY</v>
      </c>
      <c r="AD814" s="8" t="str">
        <v>10019</v>
      </c>
    </row>
    <row r="815" spans="1:30">
      <c r="A815" s="8" t="s">
        <v>865</v>
      </c>
      <c r="B815" s="19">
        <v>42027</v>
      </c>
      <c r="C815" s="8" t="s">
        <v>46</v>
      </c>
      <c r="D815" s="8">
        <v>10013</v>
      </c>
      <c r="E815" s="8" t="str">
        <f>VLOOKUP($D815,'Customer Details'!$A$1:$F$17,4,FALSE)</f>
        <v>Naugatuck</v>
      </c>
      <c r="F815" s="8" t="s">
        <v>122</v>
      </c>
      <c r="G815" s="8">
        <v>2</v>
      </c>
      <c r="H815" s="2" t="str">
        <f>VLOOKUP($D815,'Customer Details'!$A$1:$F$17,MATCH('Order SUmmary'!H$2,'Customer Details'!$A$1:$F$1,0),0)</f>
        <v>GMR Infrastructure Ltd.</v>
      </c>
      <c r="I815" s="2" t="str">
        <f>VLOOKUP($D815,'Customer Details'!$A$1:$F$17,4,0)</f>
        <v>Naugatuck</v>
      </c>
      <c r="J815" s="2" t="str">
        <f>VLOOKUP($D815,'Customer Details'!$A$1:$F$17,6,0)</f>
        <v>06770</v>
      </c>
      <c r="K815" s="8" t="str">
        <f>VLOOKUP(VLOOKUP(D815,'Customer Details'!$A$1:$F$17,5,0),'Region INfo'!$A$1:$C$52,3,0)</f>
        <v xml:space="preserve">Northern </v>
      </c>
      <c r="L815" s="8" t="str">
        <f>INDEX(Product_List,MATCH($F815,'Product List'!$B$1:$B$299,0),MATCH('Order SUmmary'!L$2,'Product List'!$A$1:$E$1,0))</f>
        <v>Avery 510</v>
      </c>
      <c r="M815" s="8">
        <f>INDEX(Product_List,MATCH($F815,'Product List'!$B$1:$B$299,0),MATCH('Order SUmmary'!M$2,'Product List'!$A$1:$E$1,0))</f>
        <v>4788</v>
      </c>
      <c r="N815" s="8">
        <f>INDEX(Product_List,MATCH($F815,'Product List'!$B$1:$B$299,0),MATCH('Order SUmmary'!N$2,'Product List'!$A$1:$E$1,0))</f>
        <v>2063</v>
      </c>
      <c r="O815" s="8" t="str">
        <f>INDEX(Product_List,MATCH($F815,'Product List'!$B$1:$B$299,0),MATCH('Order SUmmary'!O$2,'Product List'!$A$1:$E$1,0))</f>
        <v>Labels</v>
      </c>
      <c r="P815" s="12">
        <f>HLOOKUP(C815,'Commission Criteria'!$A$2:$I$4,3,FALSE)</f>
        <v>8</v>
      </c>
      <c r="Q815" s="8">
        <f t="shared" si="37"/>
        <v>4126</v>
      </c>
      <c r="R815" s="8">
        <f t="shared" si="38"/>
        <v>9576</v>
      </c>
      <c r="S815" s="36">
        <f>VLOOKUP(R815,'Commission Criteria'!$L$3:$M$11,2,TRUE)</f>
        <v>0.03</v>
      </c>
      <c r="T815" s="36">
        <f>IF(P815&lt;5,VLOOKUP(R815,'Commission Criteria'!$L$3:$M$11,2,1),VLOOKUP('Order SUmmary'!R815,'Commission Criteria'!$P$3:$Q$11,2,1))</f>
        <v>0.02</v>
      </c>
      <c r="U815" s="36">
        <f>VLOOKUP(R815,IF(P815&lt;5,'Commission Criteria'!$L$3:$M$11,'Commission Criteria'!$P$3:$Q$11),2,1)</f>
        <v>0.02</v>
      </c>
      <c r="V815" s="8" t="s">
        <v>35</v>
      </c>
      <c r="W815" s="36">
        <f t="shared" ca="1" si="39"/>
        <v>0.01</v>
      </c>
      <c r="X815" s="8" t="str">
        <f>_xlfn.XLOOKUP(F815,'Product List'!$B$1:$B$299,'Product List'!$A$1:$A$299)</f>
        <v>Avery 510</v>
      </c>
      <c r="Y815" s="8"/>
      <c r="Z815" s="8" t="str" cm="1">
        <f t="array" ref="Z815:AD815">_xlfn.XLOOKUP(D815,'Customer Details'!$A$1:$A$17,'Customer Details'!$B$1:$F$17,"No such customer",0,1)</f>
        <v>GMR Infrastructure Ltd.</v>
      </c>
      <c r="AA815" s="8" t="str">
        <v>P.O. Box 4421</v>
      </c>
      <c r="AB815" s="8" t="str">
        <v>Naugatuck</v>
      </c>
      <c r="AC815" s="8" t="str">
        <v>CT</v>
      </c>
      <c r="AD815" s="8" t="str">
        <v>06770</v>
      </c>
    </row>
    <row r="816" spans="1:30">
      <c r="A816" s="8" t="s">
        <v>867</v>
      </c>
      <c r="B816" s="19">
        <v>42028</v>
      </c>
      <c r="C816" s="8" t="s">
        <v>51</v>
      </c>
      <c r="D816" s="8">
        <v>10010</v>
      </c>
      <c r="E816" s="8" t="str">
        <f>VLOOKUP($D816,'Customer Details'!$A$1:$F$17,4,FALSE)</f>
        <v>Tracy</v>
      </c>
      <c r="F816" s="8" t="s">
        <v>131</v>
      </c>
      <c r="G816" s="8">
        <v>1</v>
      </c>
      <c r="H816" s="2" t="str">
        <f>VLOOKUP($D816,'Customer Details'!$A$1:$F$17,MATCH('Order SUmmary'!H$2,'Customer Details'!$A$1:$F$1,0),0)</f>
        <v>Suzlon Energy Ltd.</v>
      </c>
      <c r="I816" s="2" t="str">
        <f>VLOOKUP($D816,'Customer Details'!$A$1:$F$17,4,0)</f>
        <v>Tracy</v>
      </c>
      <c r="J816" s="2" t="str">
        <f>VLOOKUP($D816,'Customer Details'!$A$1:$F$17,6,0)</f>
        <v>95376</v>
      </c>
      <c r="K816" s="8" t="str">
        <f>VLOOKUP(VLOOKUP(D816,'Customer Details'!$A$1:$F$17,5,0),'Region INfo'!$A$1:$C$52,3,0)</f>
        <v xml:space="preserve">Pacific   </v>
      </c>
      <c r="L816" s="8" t="str">
        <f>INDEX(Product_List,MATCH($F816,'Product List'!$B$1:$B$299,0),MATCH('Order SUmmary'!L$2,'Product List'!$A$1:$E$1,0))</f>
        <v>Avery 490</v>
      </c>
      <c r="M816" s="8">
        <f>INDEX(Product_List,MATCH($F816,'Product List'!$B$1:$B$299,0),MATCH('Order SUmmary'!M$2,'Product List'!$A$1:$E$1,0))</f>
        <v>3303</v>
      </c>
      <c r="N816" s="8">
        <f>INDEX(Product_List,MATCH($F816,'Product List'!$B$1:$B$299,0),MATCH('Order SUmmary'!N$2,'Product List'!$A$1:$E$1,0))</f>
        <v>2271</v>
      </c>
      <c r="O816" s="8" t="str">
        <f>INDEX(Product_List,MATCH($F816,'Product List'!$B$1:$B$299,0),MATCH('Order SUmmary'!O$2,'Product List'!$A$1:$E$1,0))</f>
        <v>Labels</v>
      </c>
      <c r="P816" s="12">
        <f>HLOOKUP(C816,'Commission Criteria'!$A$2:$I$4,3,FALSE)</f>
        <v>10</v>
      </c>
      <c r="Q816" s="8">
        <f t="shared" si="37"/>
        <v>2271</v>
      </c>
      <c r="R816" s="8">
        <f t="shared" si="38"/>
        <v>3303</v>
      </c>
      <c r="S816" s="36">
        <f>VLOOKUP(R816,'Commission Criteria'!$L$3:$M$11,2,TRUE)</f>
        <v>0.01</v>
      </c>
      <c r="T816" s="36">
        <f>IF(P816&lt;5,VLOOKUP(R816,'Commission Criteria'!$L$3:$M$11,2,1),VLOOKUP('Order SUmmary'!R816,'Commission Criteria'!$P$3:$Q$11,2,1))</f>
        <v>0.02</v>
      </c>
      <c r="U816" s="36">
        <f>VLOOKUP(R816,IF(P816&lt;5,'Commission Criteria'!$L$3:$M$11,'Commission Criteria'!$P$3:$Q$11),2,1)</f>
        <v>0.02</v>
      </c>
      <c r="V816" s="8" t="s">
        <v>29</v>
      </c>
      <c r="W816" s="36">
        <f t="shared" ca="1" si="39"/>
        <v>0.01</v>
      </c>
      <c r="X816" s="8" t="str">
        <f>_xlfn.XLOOKUP(F816,'Product List'!$B$1:$B$299,'Product List'!$A$1:$A$299)</f>
        <v>Avery 490</v>
      </c>
      <c r="Y816" s="8"/>
      <c r="Z816" s="8" t="str" cm="1">
        <f t="array" ref="Z816:AD816">_xlfn.XLOOKUP(D816,'Customer Details'!$A$1:$A$17,'Customer Details'!$B$1:$F$17,"No such customer",0,1)</f>
        <v>Suzlon Energy Ltd.</v>
      </c>
      <c r="AA816" s="8" t="str">
        <v>501 Marsh Trail Circle</v>
      </c>
      <c r="AB816" s="8" t="str">
        <v>Tracy</v>
      </c>
      <c r="AC816" s="8" t="str">
        <v>CA</v>
      </c>
      <c r="AD816" s="8" t="str">
        <v>95376</v>
      </c>
    </row>
    <row r="817" spans="1:30">
      <c r="A817" s="8" t="s">
        <v>868</v>
      </c>
      <c r="B817" s="19">
        <v>42028</v>
      </c>
      <c r="C817" s="8" t="s">
        <v>44</v>
      </c>
      <c r="D817" s="8">
        <v>10007</v>
      </c>
      <c r="E817" s="8" t="str">
        <f>VLOOKUP($D817,'Customer Details'!$A$1:$F$17,4,FALSE)</f>
        <v>Richmond</v>
      </c>
      <c r="F817" s="8" t="s">
        <v>131</v>
      </c>
      <c r="G817" s="8">
        <v>2</v>
      </c>
      <c r="H817" s="2" t="str">
        <f>VLOOKUP($D817,'Customer Details'!$A$1:$F$17,MATCH('Order SUmmary'!H$2,'Customer Details'!$A$1:$F$1,0),0)</f>
        <v>GHCL Ltd.</v>
      </c>
      <c r="I817" s="2" t="str">
        <f>VLOOKUP($D817,'Customer Details'!$A$1:$F$17,4,0)</f>
        <v>Richmond</v>
      </c>
      <c r="J817" s="2" t="str">
        <f>VLOOKUP($D817,'Customer Details'!$A$1:$F$17,6,0)</f>
        <v>94805</v>
      </c>
      <c r="K817" s="8" t="str">
        <f>VLOOKUP(VLOOKUP(D817,'Customer Details'!$A$1:$F$17,5,0),'Region INfo'!$A$1:$C$52,3,0)</f>
        <v xml:space="preserve">Pacific   </v>
      </c>
      <c r="L817" s="8" t="str">
        <f>INDEX(Product_List,MATCH($F817,'Product List'!$B$1:$B$299,0),MATCH('Order SUmmary'!L$2,'Product List'!$A$1:$E$1,0))</f>
        <v>Avery 490</v>
      </c>
      <c r="M817" s="8">
        <f>INDEX(Product_List,MATCH($F817,'Product List'!$B$1:$B$299,0),MATCH('Order SUmmary'!M$2,'Product List'!$A$1:$E$1,0))</f>
        <v>3303</v>
      </c>
      <c r="N817" s="8">
        <f>INDEX(Product_List,MATCH($F817,'Product List'!$B$1:$B$299,0),MATCH('Order SUmmary'!N$2,'Product List'!$A$1:$E$1,0))</f>
        <v>2271</v>
      </c>
      <c r="O817" s="8" t="str">
        <f>INDEX(Product_List,MATCH($F817,'Product List'!$B$1:$B$299,0),MATCH('Order SUmmary'!O$2,'Product List'!$A$1:$E$1,0))</f>
        <v>Labels</v>
      </c>
      <c r="P817" s="12">
        <f>HLOOKUP(C817,'Commission Criteria'!$A$2:$I$4,3,FALSE)</f>
        <v>4</v>
      </c>
      <c r="Q817" s="8">
        <f t="shared" si="37"/>
        <v>4542</v>
      </c>
      <c r="R817" s="8">
        <f t="shared" si="38"/>
        <v>6606</v>
      </c>
      <c r="S817" s="36">
        <f>VLOOKUP(R817,'Commission Criteria'!$L$3:$M$11,2,TRUE)</f>
        <v>0.03</v>
      </c>
      <c r="T817" s="36">
        <f>IF(P817&lt;5,VLOOKUP(R817,'Commission Criteria'!$L$3:$M$11,2,1),VLOOKUP('Order SUmmary'!R817,'Commission Criteria'!$P$3:$Q$11,2,1))</f>
        <v>0.03</v>
      </c>
      <c r="U817" s="36">
        <f>VLOOKUP(R817,IF(P817&lt;5,'Commission Criteria'!$L$3:$M$11,'Commission Criteria'!$P$3:$Q$11),2,1)</f>
        <v>0.03</v>
      </c>
      <c r="V817" s="8" t="s">
        <v>40</v>
      </c>
      <c r="W817" s="36">
        <f t="shared" ca="1" si="39"/>
        <v>0.01</v>
      </c>
      <c r="X817" s="8" t="str">
        <f>_xlfn.XLOOKUP(F817,'Product List'!$B$1:$B$299,'Product List'!$A$1:$A$299)</f>
        <v>Avery 490</v>
      </c>
      <c r="Y817" s="8"/>
      <c r="Z817" s="8" t="str" cm="1">
        <f t="array" ref="Z817:AD817">_xlfn.XLOOKUP(D817,'Customer Details'!$A$1:$A$17,'Customer Details'!$B$1:$F$17,"No such customer",0,1)</f>
        <v>GHCL Ltd.</v>
      </c>
      <c r="AA817" s="8" t="str">
        <v>58 Clarence St</v>
      </c>
      <c r="AB817" s="8" t="str">
        <v>Richmond</v>
      </c>
      <c r="AC817" s="8" t="str">
        <v>CA</v>
      </c>
      <c r="AD817" s="8" t="str">
        <v>94805</v>
      </c>
    </row>
    <row r="818" spans="1:30">
      <c r="A818" s="8" t="s">
        <v>867</v>
      </c>
      <c r="B818" s="19">
        <v>42028</v>
      </c>
      <c r="C818" s="8" t="s">
        <v>66</v>
      </c>
      <c r="D818" s="8">
        <v>10001</v>
      </c>
      <c r="E818" s="8" t="str">
        <f>VLOOKUP($D818,'Customer Details'!$A$1:$F$17,4,FALSE)</f>
        <v>New York</v>
      </c>
      <c r="F818" s="8" t="s">
        <v>135</v>
      </c>
      <c r="G818" s="8">
        <v>3</v>
      </c>
      <c r="H818" s="2" t="str">
        <f>VLOOKUP($D818,'Customer Details'!$A$1:$F$17,MATCH('Order SUmmary'!H$2,'Customer Details'!$A$1:$F$1,0),0)</f>
        <v>Chambal Fertilisers and Chemicals Ltd.</v>
      </c>
      <c r="I818" s="2" t="str">
        <f>VLOOKUP($D818,'Customer Details'!$A$1:$F$17,4,0)</f>
        <v>New York</v>
      </c>
      <c r="J818" s="2" t="str">
        <f>VLOOKUP($D818,'Customer Details'!$A$1:$F$17,6,0)</f>
        <v>10025</v>
      </c>
      <c r="K818" s="8" t="str">
        <f>VLOOKUP(VLOOKUP(D818,'Customer Details'!$A$1:$F$17,5,0),'Region INfo'!$A$1:$C$52,3,0)</f>
        <v xml:space="preserve">Northern </v>
      </c>
      <c r="L818" s="8" t="str">
        <f>INDEX(Product_List,MATCH($F818,'Product List'!$B$1:$B$299,0),MATCH('Order SUmmary'!L$2,'Product List'!$A$1:$E$1,0))</f>
        <v>Xerox 1939</v>
      </c>
      <c r="M818" s="8">
        <f>INDEX(Product_List,MATCH($F818,'Product List'!$B$1:$B$299,0),MATCH('Order SUmmary'!M$2,'Product List'!$A$1:$E$1,0))</f>
        <v>3408</v>
      </c>
      <c r="N818" s="8">
        <f>INDEX(Product_List,MATCH($F818,'Product List'!$B$1:$B$299,0),MATCH('Order SUmmary'!N$2,'Product List'!$A$1:$E$1,0))</f>
        <v>2467</v>
      </c>
      <c r="O818" s="8" t="str">
        <f>INDEX(Product_List,MATCH($F818,'Product List'!$B$1:$B$299,0),MATCH('Order SUmmary'!O$2,'Product List'!$A$1:$E$1,0))</f>
        <v>Paper</v>
      </c>
      <c r="P818" s="12">
        <f>HLOOKUP(C818,'Commission Criteria'!$A$2:$I$4,3,FALSE)</f>
        <v>5</v>
      </c>
      <c r="Q818" s="8">
        <f t="shared" si="37"/>
        <v>7401</v>
      </c>
      <c r="R818" s="8">
        <f t="shared" si="38"/>
        <v>10224</v>
      </c>
      <c r="S818" s="36">
        <f>VLOOKUP(R818,'Commission Criteria'!$L$3:$M$11,2,TRUE)</f>
        <v>0.03</v>
      </c>
      <c r="T818" s="36">
        <f>IF(P818&lt;5,VLOOKUP(R818,'Commission Criteria'!$L$3:$M$11,2,1),VLOOKUP('Order SUmmary'!R818,'Commission Criteria'!$P$3:$Q$11,2,1))</f>
        <v>0.02</v>
      </c>
      <c r="U818" s="36">
        <f>VLOOKUP(R818,IF(P818&lt;5,'Commission Criteria'!$L$3:$M$11,'Commission Criteria'!$P$3:$Q$11),2,1)</f>
        <v>0.02</v>
      </c>
      <c r="V818" s="8" t="s">
        <v>29</v>
      </c>
      <c r="W818" s="36">
        <f t="shared" ca="1" si="39"/>
        <v>0.04</v>
      </c>
      <c r="X818" s="8" t="str">
        <f>_xlfn.XLOOKUP(F818,'Product List'!$B$1:$B$299,'Product List'!$A$1:$A$299)</f>
        <v>Xerox 1939</v>
      </c>
      <c r="Y818" s="8"/>
      <c r="Z818" s="8" t="str" cm="1">
        <f t="array" ref="Z818:AD818">_xlfn.XLOOKUP(D818,'Customer Details'!$A$1:$A$17,'Customer Details'!$B$1:$F$17,"No such customer",0,1)</f>
        <v>Chambal Fertilisers and Chemicals Ltd.</v>
      </c>
      <c r="AA818" s="8" t="str">
        <v>4951 Indiana Ave.</v>
      </c>
      <c r="AB818" s="8" t="str">
        <v>New York</v>
      </c>
      <c r="AC818" s="8" t="str">
        <v>NY</v>
      </c>
      <c r="AD818" s="8" t="str">
        <v>10025</v>
      </c>
    </row>
    <row r="819" spans="1:30">
      <c r="A819" s="8" t="s">
        <v>869</v>
      </c>
      <c r="B819" s="19">
        <v>42029</v>
      </c>
      <c r="C819" s="8" t="s">
        <v>36</v>
      </c>
      <c r="D819" s="8">
        <v>10004</v>
      </c>
      <c r="E819" s="8" t="str">
        <f>VLOOKUP($D819,'Customer Details'!$A$1:$F$17,4,FALSE)</f>
        <v>New York</v>
      </c>
      <c r="F819" s="8" t="s">
        <v>303</v>
      </c>
      <c r="G819" s="8">
        <v>2</v>
      </c>
      <c r="H819" s="2" t="str">
        <f>VLOOKUP($D819,'Customer Details'!$A$1:$F$17,MATCH('Order SUmmary'!H$2,'Customer Details'!$A$1:$F$1,0),0)</f>
        <v>Lupin Ltd.</v>
      </c>
      <c r="I819" s="2" t="str">
        <f>VLOOKUP($D819,'Customer Details'!$A$1:$F$17,4,0)</f>
        <v>New York</v>
      </c>
      <c r="J819" s="2" t="str">
        <f>VLOOKUP($D819,'Customer Details'!$A$1:$F$17,6,0)</f>
        <v>10019</v>
      </c>
      <c r="K819" s="8" t="str">
        <f>VLOOKUP(VLOOKUP(D819,'Customer Details'!$A$1:$F$17,5,0),'Region INfo'!$A$1:$C$52,3,0)</f>
        <v xml:space="preserve">Northern </v>
      </c>
      <c r="L819" s="8" t="str">
        <f>INDEX(Product_List,MATCH($F819,'Product List'!$B$1:$B$299,0),MATCH('Order SUmmary'!L$2,'Product List'!$A$1:$E$1,0))</f>
        <v>Xerox 1885</v>
      </c>
      <c r="M819" s="8">
        <f>INDEX(Product_List,MATCH($F819,'Product List'!$B$1:$B$299,0),MATCH('Order SUmmary'!M$2,'Product List'!$A$1:$E$1,0))</f>
        <v>3096</v>
      </c>
      <c r="N819" s="8">
        <f>INDEX(Product_List,MATCH($F819,'Product List'!$B$1:$B$299,0),MATCH('Order SUmmary'!N$2,'Product List'!$A$1:$E$1,0))</f>
        <v>2065</v>
      </c>
      <c r="O819" s="8" t="str">
        <f>INDEX(Product_List,MATCH($F819,'Product List'!$B$1:$B$299,0),MATCH('Order SUmmary'!O$2,'Product List'!$A$1:$E$1,0))</f>
        <v>Paper</v>
      </c>
      <c r="P819" s="12">
        <f>HLOOKUP(C819,'Commission Criteria'!$A$2:$I$4,3,FALSE)</f>
        <v>6</v>
      </c>
      <c r="Q819" s="8">
        <f t="shared" si="37"/>
        <v>4130</v>
      </c>
      <c r="R819" s="8">
        <f t="shared" si="38"/>
        <v>6192</v>
      </c>
      <c r="S819" s="36">
        <f>VLOOKUP(R819,'Commission Criteria'!$L$3:$M$11,2,TRUE)</f>
        <v>0.03</v>
      </c>
      <c r="T819" s="36">
        <f>IF(P819&lt;5,VLOOKUP(R819,'Commission Criteria'!$L$3:$M$11,2,1),VLOOKUP('Order SUmmary'!R819,'Commission Criteria'!$P$3:$Q$11,2,1))</f>
        <v>0.02</v>
      </c>
      <c r="U819" s="36">
        <f>VLOOKUP(R819,IF(P819&lt;5,'Commission Criteria'!$L$3:$M$11,'Commission Criteria'!$P$3:$Q$11),2,1)</f>
        <v>0.02</v>
      </c>
      <c r="V819" s="8" t="s">
        <v>32</v>
      </c>
      <c r="W819" s="36">
        <f t="shared" ca="1" si="39"/>
        <v>0.04</v>
      </c>
      <c r="X819" s="8" t="str">
        <f>_xlfn.XLOOKUP(F819,'Product List'!$B$1:$B$299,'Product List'!$A$1:$A$299)</f>
        <v>Xerox 1885</v>
      </c>
      <c r="Y819" s="8"/>
      <c r="Z819" s="8" t="str" cm="1">
        <f t="array" ref="Z819:AD819">_xlfn.XLOOKUP(D819,'Customer Details'!$A$1:$A$17,'Customer Details'!$B$1:$F$17,"No such customer",0,1)</f>
        <v>Lupin Ltd.</v>
      </c>
      <c r="AA819" s="8" t="str">
        <v>Abbey Wood</v>
      </c>
      <c r="AB819" s="8" t="str">
        <v>New York</v>
      </c>
      <c r="AC819" s="8" t="str">
        <v>NY</v>
      </c>
      <c r="AD819" s="8" t="str">
        <v>10019</v>
      </c>
    </row>
    <row r="820" spans="1:30">
      <c r="A820" s="8" t="s">
        <v>869</v>
      </c>
      <c r="B820" s="19">
        <v>42029</v>
      </c>
      <c r="C820" s="8" t="s">
        <v>36</v>
      </c>
      <c r="D820" s="8">
        <v>10006</v>
      </c>
      <c r="E820" s="8" t="str">
        <f>VLOOKUP($D820,'Customer Details'!$A$1:$F$17,4,FALSE)</f>
        <v>Midland</v>
      </c>
      <c r="F820" s="8" t="s">
        <v>97</v>
      </c>
      <c r="G820" s="8">
        <v>2</v>
      </c>
      <c r="H820" s="2" t="str">
        <f>VLOOKUP($D820,'Customer Details'!$A$1:$F$17,MATCH('Order SUmmary'!H$2,'Customer Details'!$A$1:$F$1,0),0)</f>
        <v>Supreme Ind</v>
      </c>
      <c r="I820" s="2" t="str">
        <f>VLOOKUP($D820,'Customer Details'!$A$1:$F$17,4,0)</f>
        <v>Midland</v>
      </c>
      <c r="J820" s="2" t="str">
        <f>VLOOKUP($D820,'Customer Details'!$A$1:$F$17,6,0)</f>
        <v>79706</v>
      </c>
      <c r="K820" s="8" t="str">
        <f>VLOOKUP(VLOOKUP(D820,'Customer Details'!$A$1:$F$17,5,0),'Region INfo'!$A$1:$C$52,3,0)</f>
        <v>Western</v>
      </c>
      <c r="L820" s="8" t="str">
        <f>INDEX(Product_List,MATCH($F820,'Product List'!$B$1:$B$299,0),MATCH('Order SUmmary'!L$2,'Product List'!$A$1:$E$1,0))</f>
        <v>Xerox 204</v>
      </c>
      <c r="M820" s="8">
        <f>INDEX(Product_List,MATCH($F820,'Product List'!$B$1:$B$299,0),MATCH('Order SUmmary'!M$2,'Product List'!$A$1:$E$1,0))</f>
        <v>3245</v>
      </c>
      <c r="N820" s="8">
        <f>INDEX(Product_List,MATCH($F820,'Product List'!$B$1:$B$299,0),MATCH('Order SUmmary'!N$2,'Product List'!$A$1:$E$1,0))</f>
        <v>1964</v>
      </c>
      <c r="O820" s="8" t="str">
        <f>INDEX(Product_List,MATCH($F820,'Product List'!$B$1:$B$299,0),MATCH('Order SUmmary'!O$2,'Product List'!$A$1:$E$1,0))</f>
        <v>Paper</v>
      </c>
      <c r="P820" s="12">
        <f>HLOOKUP(C820,'Commission Criteria'!$A$2:$I$4,3,FALSE)</f>
        <v>6</v>
      </c>
      <c r="Q820" s="8">
        <f t="shared" si="37"/>
        <v>3928</v>
      </c>
      <c r="R820" s="8">
        <f t="shared" si="38"/>
        <v>6490</v>
      </c>
      <c r="S820" s="36">
        <f>VLOOKUP(R820,'Commission Criteria'!$L$3:$M$11,2,TRUE)</f>
        <v>0.03</v>
      </c>
      <c r="T820" s="36">
        <f>IF(P820&lt;5,VLOOKUP(R820,'Commission Criteria'!$L$3:$M$11,2,1),VLOOKUP('Order SUmmary'!R820,'Commission Criteria'!$P$3:$Q$11,2,1))</f>
        <v>0.02</v>
      </c>
      <c r="U820" s="36">
        <f>VLOOKUP(R820,IF(P820&lt;5,'Commission Criteria'!$L$3:$M$11,'Commission Criteria'!$P$3:$Q$11),2,1)</f>
        <v>0.02</v>
      </c>
      <c r="V820" s="8" t="s">
        <v>43</v>
      </c>
      <c r="W820" s="36">
        <f t="shared" ca="1" si="39"/>
        <v>0.01</v>
      </c>
      <c r="X820" s="8" t="str">
        <f>_xlfn.XLOOKUP(F820,'Product List'!$B$1:$B$299,'Product List'!$A$1:$A$299)</f>
        <v>Xerox 204</v>
      </c>
      <c r="Y820" s="8"/>
      <c r="Z820" s="8" t="str" cm="1">
        <f t="array" ref="Z820:AD820">_xlfn.XLOOKUP(D820,'Customer Details'!$A$1:$A$17,'Customer Details'!$B$1:$F$17,"No such customer",0,1)</f>
        <v>Supreme Ind</v>
      </c>
      <c r="AA820" s="8" t="str">
        <v>P.O. Box 1367</v>
      </c>
      <c r="AB820" s="8" t="str">
        <v>Midland</v>
      </c>
      <c r="AC820" s="8" t="str">
        <v>TX</v>
      </c>
      <c r="AD820" s="8" t="str">
        <v>79706</v>
      </c>
    </row>
    <row r="821" spans="1:30">
      <c r="A821" s="8" t="s">
        <v>870</v>
      </c>
      <c r="B821" s="19">
        <v>42029</v>
      </c>
      <c r="C821" s="8" t="s">
        <v>36</v>
      </c>
      <c r="D821" s="8">
        <v>10001</v>
      </c>
      <c r="E821" s="8" t="str">
        <f>VLOOKUP($D821,'Customer Details'!$A$1:$F$17,4,FALSE)</f>
        <v>New York</v>
      </c>
      <c r="F821" s="8" t="s">
        <v>710</v>
      </c>
      <c r="G821" s="8">
        <v>2</v>
      </c>
      <c r="H821" s="2" t="str">
        <f>VLOOKUP($D821,'Customer Details'!$A$1:$F$17,MATCH('Order SUmmary'!H$2,'Customer Details'!$A$1:$F$1,0),0)</f>
        <v>Chambal Fertilisers and Chemicals Ltd.</v>
      </c>
      <c r="I821" s="2" t="str">
        <f>VLOOKUP($D821,'Customer Details'!$A$1:$F$17,4,0)</f>
        <v>New York</v>
      </c>
      <c r="J821" s="2" t="str">
        <f>VLOOKUP($D821,'Customer Details'!$A$1:$F$17,6,0)</f>
        <v>10025</v>
      </c>
      <c r="K821" s="8" t="str">
        <f>VLOOKUP(VLOOKUP(D821,'Customer Details'!$A$1:$F$17,5,0),'Region INfo'!$A$1:$C$52,3,0)</f>
        <v xml:space="preserve">Northern </v>
      </c>
      <c r="L821" s="8" t="str">
        <f>INDEX(Product_List,MATCH($F821,'Product List'!$B$1:$B$299,0),MATCH('Order SUmmary'!L$2,'Product List'!$A$1:$E$1,0))</f>
        <v>Xerox 195</v>
      </c>
      <c r="M821" s="8">
        <f>INDEX(Product_List,MATCH($F821,'Product List'!$B$1:$B$299,0),MATCH('Order SUmmary'!M$2,'Product List'!$A$1:$E$1,0))</f>
        <v>4531</v>
      </c>
      <c r="N821" s="8">
        <f>INDEX(Product_List,MATCH($F821,'Product List'!$B$1:$B$299,0),MATCH('Order SUmmary'!N$2,'Product List'!$A$1:$E$1,0))</f>
        <v>1566</v>
      </c>
      <c r="O821" s="8" t="str">
        <f>INDEX(Product_List,MATCH($F821,'Product List'!$B$1:$B$299,0),MATCH('Order SUmmary'!O$2,'Product List'!$A$1:$E$1,0))</f>
        <v>Paper</v>
      </c>
      <c r="P821" s="12">
        <f>HLOOKUP(C821,'Commission Criteria'!$A$2:$I$4,3,FALSE)</f>
        <v>6</v>
      </c>
      <c r="Q821" s="8">
        <f t="shared" si="37"/>
        <v>3132</v>
      </c>
      <c r="R821" s="8">
        <f t="shared" si="38"/>
        <v>9062</v>
      </c>
      <c r="S821" s="36">
        <f>VLOOKUP(R821,'Commission Criteria'!$L$3:$M$11,2,TRUE)</f>
        <v>0.03</v>
      </c>
      <c r="T821" s="36">
        <f>IF(P821&lt;5,VLOOKUP(R821,'Commission Criteria'!$L$3:$M$11,2,1),VLOOKUP('Order SUmmary'!R821,'Commission Criteria'!$P$3:$Q$11,2,1))</f>
        <v>0.02</v>
      </c>
      <c r="U821" s="36">
        <f>VLOOKUP(R821,IF(P821&lt;5,'Commission Criteria'!$L$3:$M$11,'Commission Criteria'!$P$3:$Q$11),2,1)</f>
        <v>0.02</v>
      </c>
      <c r="V821" s="8" t="s">
        <v>35</v>
      </c>
      <c r="W821" s="36">
        <f t="shared" ca="1" si="39"/>
        <v>0.03</v>
      </c>
      <c r="X821" s="8" t="str">
        <f>_xlfn.XLOOKUP(F821,'Product List'!$B$1:$B$299,'Product List'!$A$1:$A$299)</f>
        <v>Xerox 195</v>
      </c>
      <c r="Y821" s="8"/>
      <c r="Z821" s="8" t="str" cm="1">
        <f t="array" ref="Z821:AD821">_xlfn.XLOOKUP(D821,'Customer Details'!$A$1:$A$17,'Customer Details'!$B$1:$F$17,"No such customer",0,1)</f>
        <v>Chambal Fertilisers and Chemicals Ltd.</v>
      </c>
      <c r="AA821" s="8" t="str">
        <v>4951 Indiana Ave.</v>
      </c>
      <c r="AB821" s="8" t="str">
        <v>New York</v>
      </c>
      <c r="AC821" s="8" t="str">
        <v>NY</v>
      </c>
      <c r="AD821" s="8" t="str">
        <v>10025</v>
      </c>
    </row>
    <row r="822" spans="1:30">
      <c r="A822" s="8" t="s">
        <v>869</v>
      </c>
      <c r="B822" s="19">
        <v>42029</v>
      </c>
      <c r="C822" s="8" t="s">
        <v>33</v>
      </c>
      <c r="D822" s="8">
        <v>10010</v>
      </c>
      <c r="E822" s="8" t="str">
        <f>VLOOKUP($D822,'Customer Details'!$A$1:$F$17,4,FALSE)</f>
        <v>Tracy</v>
      </c>
      <c r="F822" s="8" t="s">
        <v>133</v>
      </c>
      <c r="G822" s="8">
        <v>3</v>
      </c>
      <c r="H822" s="2" t="str">
        <f>VLOOKUP($D822,'Customer Details'!$A$1:$F$17,MATCH('Order SUmmary'!H$2,'Customer Details'!$A$1:$F$1,0),0)</f>
        <v>Suzlon Energy Ltd.</v>
      </c>
      <c r="I822" s="2" t="str">
        <f>VLOOKUP($D822,'Customer Details'!$A$1:$F$17,4,0)</f>
        <v>Tracy</v>
      </c>
      <c r="J822" s="2" t="str">
        <f>VLOOKUP($D822,'Customer Details'!$A$1:$F$17,6,0)</f>
        <v>95376</v>
      </c>
      <c r="K822" s="8" t="str">
        <f>VLOOKUP(VLOOKUP(D822,'Customer Details'!$A$1:$F$17,5,0),'Region INfo'!$A$1:$C$52,3,0)</f>
        <v xml:space="preserve">Pacific   </v>
      </c>
      <c r="L822" s="8" t="str">
        <f>INDEX(Product_List,MATCH($F822,'Product List'!$B$1:$B$299,0),MATCH('Order SUmmary'!L$2,'Product List'!$A$1:$E$1,0))</f>
        <v>Xerox 213</v>
      </c>
      <c r="M822" s="8">
        <f>INDEX(Product_List,MATCH($F822,'Product List'!$B$1:$B$299,0),MATCH('Order SUmmary'!M$2,'Product List'!$A$1:$E$1,0))</f>
        <v>4906</v>
      </c>
      <c r="N822" s="8">
        <f>INDEX(Product_List,MATCH($F822,'Product List'!$B$1:$B$299,0),MATCH('Order SUmmary'!N$2,'Product List'!$A$1:$E$1,0))</f>
        <v>2269</v>
      </c>
      <c r="O822" s="8" t="str">
        <f>INDEX(Product_List,MATCH($F822,'Product List'!$B$1:$B$299,0),MATCH('Order SUmmary'!O$2,'Product List'!$A$1:$E$1,0))</f>
        <v>Paper</v>
      </c>
      <c r="P822" s="12">
        <f>HLOOKUP(C822,'Commission Criteria'!$A$2:$I$4,3,FALSE)</f>
        <v>1</v>
      </c>
      <c r="Q822" s="8">
        <f t="shared" si="37"/>
        <v>6807</v>
      </c>
      <c r="R822" s="8">
        <f t="shared" si="38"/>
        <v>14718</v>
      </c>
      <c r="S822" s="36">
        <f>VLOOKUP(R822,'Commission Criteria'!$L$3:$M$11,2,TRUE)</f>
        <v>0.03</v>
      </c>
      <c r="T822" s="36">
        <f>IF(P822&lt;5,VLOOKUP(R822,'Commission Criteria'!$L$3:$M$11,2,1),VLOOKUP('Order SUmmary'!R822,'Commission Criteria'!$P$3:$Q$11,2,1))</f>
        <v>0.03</v>
      </c>
      <c r="U822" s="36">
        <f>VLOOKUP(R822,IF(P822&lt;5,'Commission Criteria'!$L$3:$M$11,'Commission Criteria'!$P$3:$Q$11),2,1)</f>
        <v>0.03</v>
      </c>
      <c r="V822" s="8" t="s">
        <v>43</v>
      </c>
      <c r="W822" s="36">
        <f t="shared" ca="1" si="39"/>
        <v>0.03</v>
      </c>
      <c r="X822" s="8" t="str">
        <f>_xlfn.XLOOKUP(F822,'Product List'!$B$1:$B$299,'Product List'!$A$1:$A$299)</f>
        <v>Xerox 213</v>
      </c>
      <c r="Y822" s="8"/>
      <c r="Z822" s="8" t="str" cm="1">
        <f t="array" ref="Z822:AD822">_xlfn.XLOOKUP(D822,'Customer Details'!$A$1:$A$17,'Customer Details'!$B$1:$F$17,"No such customer",0,1)</f>
        <v>Suzlon Energy Ltd.</v>
      </c>
      <c r="AA822" s="8" t="str">
        <v>501 Marsh Trail Circle</v>
      </c>
      <c r="AB822" s="8" t="str">
        <v>Tracy</v>
      </c>
      <c r="AC822" s="8" t="str">
        <v>CA</v>
      </c>
      <c r="AD822" s="8" t="str">
        <v>95376</v>
      </c>
    </row>
    <row r="823" spans="1:30">
      <c r="A823" s="8" t="s">
        <v>871</v>
      </c>
      <c r="B823" s="19">
        <v>42031</v>
      </c>
      <c r="C823" s="8" t="s">
        <v>51</v>
      </c>
      <c r="D823" s="8">
        <v>10007</v>
      </c>
      <c r="E823" s="8" t="str">
        <f>VLOOKUP($D823,'Customer Details'!$A$1:$F$17,4,FALSE)</f>
        <v>Richmond</v>
      </c>
      <c r="F823" s="8" t="s">
        <v>37</v>
      </c>
      <c r="G823" s="8">
        <v>1</v>
      </c>
      <c r="H823" s="2" t="str">
        <f>VLOOKUP($D823,'Customer Details'!$A$1:$F$17,MATCH('Order SUmmary'!H$2,'Customer Details'!$A$1:$F$1,0),0)</f>
        <v>GHCL Ltd.</v>
      </c>
      <c r="I823" s="2" t="str">
        <f>VLOOKUP($D823,'Customer Details'!$A$1:$F$17,4,0)</f>
        <v>Richmond</v>
      </c>
      <c r="J823" s="2" t="str">
        <f>VLOOKUP($D823,'Customer Details'!$A$1:$F$17,6,0)</f>
        <v>94805</v>
      </c>
      <c r="K823" s="8" t="str">
        <f>VLOOKUP(VLOOKUP(D823,'Customer Details'!$A$1:$F$17,5,0),'Region INfo'!$A$1:$C$52,3,0)</f>
        <v xml:space="preserve">Pacific   </v>
      </c>
      <c r="L823" s="8" t="str">
        <f>INDEX(Product_List,MATCH($F823,'Product List'!$B$1:$B$299,0),MATCH('Order SUmmary'!L$2,'Product List'!$A$1:$E$1,0))</f>
        <v>Avery 508</v>
      </c>
      <c r="M823" s="8">
        <f>INDEX(Product_List,MATCH($F823,'Product List'!$B$1:$B$299,0),MATCH('Order SUmmary'!M$2,'Product List'!$A$1:$E$1,0))</f>
        <v>3788</v>
      </c>
      <c r="N823" s="8">
        <f>INDEX(Product_List,MATCH($F823,'Product List'!$B$1:$B$299,0),MATCH('Order SUmmary'!N$2,'Product List'!$A$1:$E$1,0))</f>
        <v>2170</v>
      </c>
      <c r="O823" s="8" t="str">
        <f>INDEX(Product_List,MATCH($F823,'Product List'!$B$1:$B$299,0),MATCH('Order SUmmary'!O$2,'Product List'!$A$1:$E$1,0))</f>
        <v>Labels</v>
      </c>
      <c r="P823" s="12">
        <f>HLOOKUP(C823,'Commission Criteria'!$A$2:$I$4,3,FALSE)</f>
        <v>10</v>
      </c>
      <c r="Q823" s="8">
        <f t="shared" si="37"/>
        <v>2170</v>
      </c>
      <c r="R823" s="8">
        <f t="shared" si="38"/>
        <v>3788</v>
      </c>
      <c r="S823" s="36">
        <f>VLOOKUP(R823,'Commission Criteria'!$L$3:$M$11,2,TRUE)</f>
        <v>0.01</v>
      </c>
      <c r="T823" s="36">
        <f>IF(P823&lt;5,VLOOKUP(R823,'Commission Criteria'!$L$3:$M$11,2,1),VLOOKUP('Order SUmmary'!R823,'Commission Criteria'!$P$3:$Q$11,2,1))</f>
        <v>0.02</v>
      </c>
      <c r="U823" s="36">
        <f>VLOOKUP(R823,IF(P823&lt;5,'Commission Criteria'!$L$3:$M$11,'Commission Criteria'!$P$3:$Q$11),2,1)</f>
        <v>0.02</v>
      </c>
      <c r="V823" s="8" t="s">
        <v>40</v>
      </c>
      <c r="W823" s="36">
        <f t="shared" ca="1" si="39"/>
        <v>0.05</v>
      </c>
      <c r="X823" s="8" t="str">
        <f>_xlfn.XLOOKUP(F823,'Product List'!$B$1:$B$299,'Product List'!$A$1:$A$299)</f>
        <v>Avery 508</v>
      </c>
      <c r="Y823" s="8"/>
      <c r="Z823" s="8" t="str" cm="1">
        <f t="array" ref="Z823:AD823">_xlfn.XLOOKUP(D823,'Customer Details'!$A$1:$A$17,'Customer Details'!$B$1:$F$17,"No such customer",0,1)</f>
        <v>GHCL Ltd.</v>
      </c>
      <c r="AA823" s="8" t="str">
        <v>58 Clarence St</v>
      </c>
      <c r="AB823" s="8" t="str">
        <v>Richmond</v>
      </c>
      <c r="AC823" s="8" t="str">
        <v>CA</v>
      </c>
      <c r="AD823" s="8" t="str">
        <v>94805</v>
      </c>
    </row>
    <row r="824" spans="1:30">
      <c r="A824" s="8" t="s">
        <v>871</v>
      </c>
      <c r="B824" s="19">
        <v>42031</v>
      </c>
      <c r="C824" s="8" t="s">
        <v>27</v>
      </c>
      <c r="D824" s="8">
        <v>10015</v>
      </c>
      <c r="E824" s="8" t="str">
        <f>VLOOKUP($D824,'Customer Details'!$A$1:$F$17,4,FALSE)</f>
        <v>South Windsor</v>
      </c>
      <c r="F824" s="8" t="s">
        <v>269</v>
      </c>
      <c r="G824" s="8">
        <v>2</v>
      </c>
      <c r="H824" s="2" t="str">
        <f>VLOOKUP($D824,'Customer Details'!$A$1:$F$17,MATCH('Order SUmmary'!H$2,'Customer Details'!$A$1:$F$1,0),0)</f>
        <v>Punj Lloyd Ltd.</v>
      </c>
      <c r="I824" s="2" t="str">
        <f>VLOOKUP($D824,'Customer Details'!$A$1:$F$17,4,0)</f>
        <v>South Windsor</v>
      </c>
      <c r="J824" s="2" t="str">
        <f>VLOOKUP($D824,'Customer Details'!$A$1:$F$17,6,0)</f>
        <v>06074</v>
      </c>
      <c r="K824" s="8" t="str">
        <f>VLOOKUP(VLOOKUP(D824,'Customer Details'!$A$1:$F$17,5,0),'Region INfo'!$A$1:$C$52,3,0)</f>
        <v xml:space="preserve">Northern </v>
      </c>
      <c r="L824" s="8" t="str">
        <f>INDEX(Product_List,MATCH($F824,'Product List'!$B$1:$B$299,0),MATCH('Order SUmmary'!L$2,'Product List'!$A$1:$E$1,0))</f>
        <v>Xerox 1975</v>
      </c>
      <c r="M824" s="8">
        <f>INDEX(Product_List,MATCH($F824,'Product List'!$B$1:$B$299,0),MATCH('Order SUmmary'!M$2,'Product List'!$A$1:$E$1,0))</f>
        <v>4484</v>
      </c>
      <c r="N824" s="8">
        <f>INDEX(Product_List,MATCH($F824,'Product List'!$B$1:$B$299,0),MATCH('Order SUmmary'!N$2,'Product List'!$A$1:$E$1,0))</f>
        <v>2146</v>
      </c>
      <c r="O824" s="8" t="str">
        <f>INDEX(Product_List,MATCH($F824,'Product List'!$B$1:$B$299,0),MATCH('Order SUmmary'!O$2,'Product List'!$A$1:$E$1,0))</f>
        <v>Paper</v>
      </c>
      <c r="P824" s="12">
        <f>HLOOKUP(C824,'Commission Criteria'!$A$2:$I$4,3,FALSE)</f>
        <v>4</v>
      </c>
      <c r="Q824" s="8">
        <f t="shared" si="37"/>
        <v>4292</v>
      </c>
      <c r="R824" s="8">
        <f t="shared" si="38"/>
        <v>8968</v>
      </c>
      <c r="S824" s="36">
        <f>VLOOKUP(R824,'Commission Criteria'!$L$3:$M$11,2,TRUE)</f>
        <v>0.03</v>
      </c>
      <c r="T824" s="36">
        <f>IF(P824&lt;5,VLOOKUP(R824,'Commission Criteria'!$L$3:$M$11,2,1),VLOOKUP('Order SUmmary'!R824,'Commission Criteria'!$P$3:$Q$11,2,1))</f>
        <v>0.03</v>
      </c>
      <c r="U824" s="36">
        <f>VLOOKUP(R824,IF(P824&lt;5,'Commission Criteria'!$L$3:$M$11,'Commission Criteria'!$P$3:$Q$11),2,1)</f>
        <v>0.03</v>
      </c>
      <c r="V824" s="8" t="s">
        <v>32</v>
      </c>
      <c r="W824" s="36">
        <f t="shared" ca="1" si="39"/>
        <v>0.03</v>
      </c>
      <c r="X824" s="8" t="str">
        <f>_xlfn.XLOOKUP(F824,'Product List'!$B$1:$B$299,'Product List'!$A$1:$A$299)</f>
        <v>Xerox 1975</v>
      </c>
      <c r="Y824" s="8"/>
      <c r="Z824" s="8" t="str" cm="1">
        <f t="array" ref="Z824:AD824">_xlfn.XLOOKUP(D824,'Customer Details'!$A$1:$A$17,'Customer Details'!$B$1:$F$17,"No such customer",0,1)</f>
        <v>Punj Lloyd Ltd.</v>
      </c>
      <c r="AA824" s="8" t="str">
        <v>Box 3263</v>
      </c>
      <c r="AB824" s="8" t="str">
        <v>South Windsor</v>
      </c>
      <c r="AC824" s="8" t="str">
        <v>CT</v>
      </c>
      <c r="AD824" s="8" t="str">
        <v>06074</v>
      </c>
    </row>
    <row r="825" spans="1:30">
      <c r="A825" s="8" t="s">
        <v>872</v>
      </c>
      <c r="B825" s="19">
        <v>42031</v>
      </c>
      <c r="C825" s="8" t="s">
        <v>54</v>
      </c>
      <c r="D825" s="8">
        <v>10003</v>
      </c>
      <c r="E825" s="8" t="str">
        <f>VLOOKUP($D825,'Customer Details'!$A$1:$F$17,4,FALSE)</f>
        <v>Miami</v>
      </c>
      <c r="F825" s="8" t="s">
        <v>362</v>
      </c>
      <c r="G825" s="8">
        <v>2</v>
      </c>
      <c r="H825" s="2" t="str">
        <f>VLOOKUP($D825,'Customer Details'!$A$1:$F$17,MATCH('Order SUmmary'!H$2,'Customer Details'!$A$1:$F$1,0),0)</f>
        <v>Honeywell Automation</v>
      </c>
      <c r="I825" s="2" t="str">
        <f>VLOOKUP($D825,'Customer Details'!$A$1:$F$17,4,0)</f>
        <v>Miami</v>
      </c>
      <c r="J825" s="2" t="str">
        <f>VLOOKUP($D825,'Customer Details'!$A$1:$F$17,6,0)</f>
        <v>33732</v>
      </c>
      <c r="K825" s="8" t="str">
        <f>VLOOKUP(VLOOKUP(D825,'Customer Details'!$A$1:$F$17,5,0),'Region INfo'!$A$1:$C$52,3,0)</f>
        <v>Southern</v>
      </c>
      <c r="L825" s="8" t="str">
        <f>INDEX(Product_List,MATCH($F825,'Product List'!$B$1:$B$299,0),MATCH('Order SUmmary'!L$2,'Product List'!$A$1:$E$1,0))</f>
        <v>Avery 499</v>
      </c>
      <c r="M825" s="8">
        <f>INDEX(Product_List,MATCH($F825,'Product List'!$B$1:$B$299,0),MATCH('Order SUmmary'!M$2,'Product List'!$A$1:$E$1,0))</f>
        <v>4765</v>
      </c>
      <c r="N825" s="8">
        <f>INDEX(Product_List,MATCH($F825,'Product List'!$B$1:$B$299,0),MATCH('Order SUmmary'!N$2,'Product List'!$A$1:$E$1,0))</f>
        <v>1286</v>
      </c>
      <c r="O825" s="8" t="str">
        <f>INDEX(Product_List,MATCH($F825,'Product List'!$B$1:$B$299,0),MATCH('Order SUmmary'!O$2,'Product List'!$A$1:$E$1,0))</f>
        <v>Labels</v>
      </c>
      <c r="P825" s="12">
        <f>HLOOKUP(C825,'Commission Criteria'!$A$2:$I$4,3,FALSE)</f>
        <v>3</v>
      </c>
      <c r="Q825" s="8">
        <f t="shared" si="37"/>
        <v>2572</v>
      </c>
      <c r="R825" s="8">
        <f t="shared" si="38"/>
        <v>9530</v>
      </c>
      <c r="S825" s="36">
        <f>VLOOKUP(R825,'Commission Criteria'!$L$3:$M$11,2,TRUE)</f>
        <v>0.03</v>
      </c>
      <c r="T825" s="36">
        <f>IF(P825&lt;5,VLOOKUP(R825,'Commission Criteria'!$L$3:$M$11,2,1),VLOOKUP('Order SUmmary'!R825,'Commission Criteria'!$P$3:$Q$11,2,1))</f>
        <v>0.03</v>
      </c>
      <c r="U825" s="36">
        <f>VLOOKUP(R825,IF(P825&lt;5,'Commission Criteria'!$L$3:$M$11,'Commission Criteria'!$P$3:$Q$11),2,1)</f>
        <v>0.03</v>
      </c>
      <c r="V825" s="8" t="s">
        <v>35</v>
      </c>
      <c r="W825" s="36">
        <f t="shared" ca="1" si="39"/>
        <v>0</v>
      </c>
      <c r="X825" s="8" t="str">
        <f>_xlfn.XLOOKUP(F825,'Product List'!$B$1:$B$299,'Product List'!$A$1:$A$299)</f>
        <v>Avery 499</v>
      </c>
      <c r="Y825" s="8"/>
      <c r="Z825" s="8" t="str" cm="1">
        <f t="array" ref="Z825:AD825">_xlfn.XLOOKUP(D825,'Customer Details'!$A$1:$A$17,'Customer Details'!$B$1:$F$17,"No such customer",0,1)</f>
        <v>Honeywell Automation</v>
      </c>
      <c r="AA825" s="8" t="str">
        <v>1272 Harbor Road</v>
      </c>
      <c r="AB825" s="8" t="str">
        <v>Miami</v>
      </c>
      <c r="AC825" s="8" t="str">
        <v>FL</v>
      </c>
      <c r="AD825" s="8" t="str">
        <v>33732</v>
      </c>
    </row>
    <row r="826" spans="1:30">
      <c r="A826" s="8" t="s">
        <v>873</v>
      </c>
      <c r="B826" s="19">
        <v>42032</v>
      </c>
      <c r="C826" s="8" t="s">
        <v>51</v>
      </c>
      <c r="D826" s="8">
        <v>10014</v>
      </c>
      <c r="E826" s="8" t="str">
        <f>VLOOKUP($D826,'Customer Details'!$A$1:$F$17,4,FALSE)</f>
        <v>Honolulu</v>
      </c>
      <c r="F826" s="8" t="s">
        <v>213</v>
      </c>
      <c r="G826" s="8">
        <v>1</v>
      </c>
      <c r="H826" s="2" t="str">
        <f>VLOOKUP($D826,'Customer Details'!$A$1:$F$17,MATCH('Order SUmmary'!H$2,'Customer Details'!$A$1:$F$1,0),0)</f>
        <v>Hindusthan National Glass &amp; Industries Ltd.</v>
      </c>
      <c r="I826" s="2" t="str">
        <f>VLOOKUP($D826,'Customer Details'!$A$1:$F$17,4,0)</f>
        <v>Honolulu</v>
      </c>
      <c r="J826" s="2" t="str">
        <f>VLOOKUP($D826,'Customer Details'!$A$1:$F$17,6,0)</f>
        <v>96825</v>
      </c>
      <c r="K826" s="8" t="str">
        <f>VLOOKUP(VLOOKUP(D826,'Customer Details'!$A$1:$F$17,5,0),'Region INfo'!$A$1:$C$52,3,0)</f>
        <v xml:space="preserve">Pacific   </v>
      </c>
      <c r="L826" s="8" t="str">
        <f>INDEX(Product_List,MATCH($F826,'Product List'!$B$1:$B$299,0),MATCH('Order SUmmary'!L$2,'Product List'!$A$1:$E$1,0))</f>
        <v>Cisco SPA301</v>
      </c>
      <c r="M826" s="8">
        <f>INDEX(Product_List,MATCH($F826,'Product List'!$B$1:$B$299,0),MATCH('Order SUmmary'!M$2,'Product List'!$A$1:$E$1,0))</f>
        <v>2921</v>
      </c>
      <c r="N826" s="8">
        <f>INDEX(Product_List,MATCH($F826,'Product List'!$B$1:$B$299,0),MATCH('Order SUmmary'!N$2,'Product List'!$A$1:$E$1,0))</f>
        <v>1786</v>
      </c>
      <c r="O826" s="8" t="str">
        <f>INDEX(Product_List,MATCH($F826,'Product List'!$B$1:$B$299,0),MATCH('Order SUmmary'!O$2,'Product List'!$A$1:$E$1,0))</f>
        <v>Phones</v>
      </c>
      <c r="P826" s="12">
        <f>HLOOKUP(C826,'Commission Criteria'!$A$2:$I$4,3,FALSE)</f>
        <v>10</v>
      </c>
      <c r="Q826" s="8">
        <f t="shared" si="37"/>
        <v>1786</v>
      </c>
      <c r="R826" s="8">
        <f t="shared" si="38"/>
        <v>2921</v>
      </c>
      <c r="S826" s="36">
        <f>VLOOKUP(R826,'Commission Criteria'!$L$3:$M$11,2,TRUE)</f>
        <v>0.01</v>
      </c>
      <c r="T826" s="36">
        <f>IF(P826&lt;5,VLOOKUP(R826,'Commission Criteria'!$L$3:$M$11,2,1),VLOOKUP('Order SUmmary'!R826,'Commission Criteria'!$P$3:$Q$11,2,1))</f>
        <v>0.02</v>
      </c>
      <c r="U826" s="36">
        <f>VLOOKUP(R826,IF(P826&lt;5,'Commission Criteria'!$L$3:$M$11,'Commission Criteria'!$P$3:$Q$11),2,1)</f>
        <v>0.02</v>
      </c>
      <c r="V826" s="8" t="s">
        <v>50</v>
      </c>
      <c r="W826" s="36">
        <f t="shared" ca="1" si="39"/>
        <v>0.02</v>
      </c>
      <c r="X826" s="8" t="str">
        <f>_xlfn.XLOOKUP(F826,'Product List'!$B$1:$B$299,'Product List'!$A$1:$A$299)</f>
        <v>Cisco SPA301</v>
      </c>
      <c r="Y826" s="8"/>
      <c r="Z826" s="8" t="str" cm="1">
        <f t="array" ref="Z826:AD826">_xlfn.XLOOKUP(D826,'Customer Details'!$A$1:$A$17,'Customer Details'!$B$1:$F$17,"No such customer",0,1)</f>
        <v>Hindusthan National Glass &amp; Industries Ltd.</v>
      </c>
      <c r="AA826" s="8" t="str">
        <v>11 Cathy St.</v>
      </c>
      <c r="AB826" s="8" t="str">
        <v>Honolulu</v>
      </c>
      <c r="AC826" s="8" t="str">
        <v>HI</v>
      </c>
      <c r="AD826" s="8" t="str">
        <v>96825</v>
      </c>
    </row>
    <row r="827" spans="1:30">
      <c r="A827" s="8" t="s">
        <v>874</v>
      </c>
      <c r="B827" s="19">
        <v>42033</v>
      </c>
      <c r="C827" s="8" t="s">
        <v>33</v>
      </c>
      <c r="D827" s="8">
        <v>10011</v>
      </c>
      <c r="E827" s="8" t="str">
        <f>VLOOKUP($D827,'Customer Details'!$A$1:$F$17,4,FALSE)</f>
        <v>Olympia</v>
      </c>
      <c r="F827" s="8" t="s">
        <v>364</v>
      </c>
      <c r="G827" s="8">
        <v>1</v>
      </c>
      <c r="H827" s="2" t="str">
        <f>VLOOKUP($D827,'Customer Details'!$A$1:$F$17,MATCH('Order SUmmary'!H$2,'Customer Details'!$A$1:$F$1,0),0)</f>
        <v>Sonata Software</v>
      </c>
      <c r="I827" s="2" t="str">
        <f>VLOOKUP($D827,'Customer Details'!$A$1:$F$17,4,0)</f>
        <v>Olympia</v>
      </c>
      <c r="J827" s="2" t="str">
        <f>VLOOKUP($D827,'Customer Details'!$A$1:$F$17,6,0)</f>
        <v>98502</v>
      </c>
      <c r="K827" s="8" t="str">
        <f>VLOOKUP(VLOOKUP(D827,'Customer Details'!$A$1:$F$17,5,0),'Region INfo'!$A$1:$C$52,3,0)</f>
        <v xml:space="preserve">Pacific   </v>
      </c>
      <c r="L827" s="8" t="str">
        <f>INDEX(Product_List,MATCH($F827,'Product List'!$B$1:$B$299,0),MATCH('Order SUmmary'!L$2,'Product List'!$A$1:$E$1,0))</f>
        <v>Avery 474</v>
      </c>
      <c r="M827" s="8">
        <f>INDEX(Product_List,MATCH($F827,'Product List'!$B$1:$B$299,0),MATCH('Order SUmmary'!M$2,'Product List'!$A$1:$E$1,0))</f>
        <v>3421</v>
      </c>
      <c r="N827" s="8">
        <f>INDEX(Product_List,MATCH($F827,'Product List'!$B$1:$B$299,0),MATCH('Order SUmmary'!N$2,'Product List'!$A$1:$E$1,0))</f>
        <v>1370</v>
      </c>
      <c r="O827" s="8" t="str">
        <f>INDEX(Product_List,MATCH($F827,'Product List'!$B$1:$B$299,0),MATCH('Order SUmmary'!O$2,'Product List'!$A$1:$E$1,0))</f>
        <v>Labels</v>
      </c>
      <c r="P827" s="12">
        <f>HLOOKUP(C827,'Commission Criteria'!$A$2:$I$4,3,FALSE)</f>
        <v>1</v>
      </c>
      <c r="Q827" s="8">
        <f t="shared" si="37"/>
        <v>1370</v>
      </c>
      <c r="R827" s="8">
        <f t="shared" si="38"/>
        <v>3421</v>
      </c>
      <c r="S827" s="36">
        <f>VLOOKUP(R827,'Commission Criteria'!$L$3:$M$11,2,TRUE)</f>
        <v>0.01</v>
      </c>
      <c r="T827" s="36">
        <f>IF(P827&lt;5,VLOOKUP(R827,'Commission Criteria'!$L$3:$M$11,2,1),VLOOKUP('Order SUmmary'!R827,'Commission Criteria'!$P$3:$Q$11,2,1))</f>
        <v>0.01</v>
      </c>
      <c r="U827" s="36">
        <f>VLOOKUP(R827,IF(P827&lt;5,'Commission Criteria'!$L$3:$M$11,'Commission Criteria'!$P$3:$Q$11),2,1)</f>
        <v>0.01</v>
      </c>
      <c r="V827" s="8" t="s">
        <v>35</v>
      </c>
      <c r="W827" s="36">
        <f t="shared" ca="1" si="39"/>
        <v>0.02</v>
      </c>
      <c r="X827" s="8" t="str">
        <f>_xlfn.XLOOKUP(F827,'Product List'!$B$1:$B$299,'Product List'!$A$1:$A$299)</f>
        <v>Avery 474</v>
      </c>
      <c r="Y827" s="8"/>
      <c r="Z827" s="8" t="str" cm="1">
        <f t="array" ref="Z827:AD827">_xlfn.XLOOKUP(D827,'Customer Details'!$A$1:$A$17,'Customer Details'!$B$1:$F$17,"No such customer",0,1)</f>
        <v>Sonata Software</v>
      </c>
      <c r="AA827" s="8" t="str">
        <v>1331 Kimberly Dr.</v>
      </c>
      <c r="AB827" s="8" t="str">
        <v>Olympia</v>
      </c>
      <c r="AC827" s="8" t="str">
        <v>WA</v>
      </c>
      <c r="AD827" s="8" t="str">
        <v>98502</v>
      </c>
    </row>
    <row r="828" spans="1:30">
      <c r="A828" s="8" t="s">
        <v>874</v>
      </c>
      <c r="B828" s="19">
        <v>42033</v>
      </c>
      <c r="C828" s="8" t="s">
        <v>66</v>
      </c>
      <c r="D828" s="8">
        <v>10014</v>
      </c>
      <c r="E828" s="8" t="str">
        <f>VLOOKUP($D828,'Customer Details'!$A$1:$F$17,4,FALSE)</f>
        <v>Honolulu</v>
      </c>
      <c r="F828" s="8" t="s">
        <v>505</v>
      </c>
      <c r="G828" s="8">
        <v>1</v>
      </c>
      <c r="H828" s="2" t="str">
        <f>VLOOKUP($D828,'Customer Details'!$A$1:$F$17,MATCH('Order SUmmary'!H$2,'Customer Details'!$A$1:$F$1,0),0)</f>
        <v>Hindusthan National Glass &amp; Industries Ltd.</v>
      </c>
      <c r="I828" s="2" t="str">
        <f>VLOOKUP($D828,'Customer Details'!$A$1:$F$17,4,0)</f>
        <v>Honolulu</v>
      </c>
      <c r="J828" s="2" t="str">
        <f>VLOOKUP($D828,'Customer Details'!$A$1:$F$17,6,0)</f>
        <v>96825</v>
      </c>
      <c r="K828" s="8" t="str">
        <f>VLOOKUP(VLOOKUP(D828,'Customer Details'!$A$1:$F$17,5,0),'Region INfo'!$A$1:$C$52,3,0)</f>
        <v xml:space="preserve">Pacific   </v>
      </c>
      <c r="L828" s="8" t="str">
        <f>INDEX(Product_List,MATCH($F828,'Product List'!$B$1:$B$299,0),MATCH('Order SUmmary'!L$2,'Product List'!$A$1:$E$1,0))</f>
        <v>Xerox 1934</v>
      </c>
      <c r="M828" s="8">
        <f>INDEX(Product_List,MATCH($F828,'Product List'!$B$1:$B$299,0),MATCH('Order SUmmary'!M$2,'Product List'!$A$1:$E$1,0))</f>
        <v>4307</v>
      </c>
      <c r="N828" s="8">
        <f>INDEX(Product_List,MATCH($F828,'Product List'!$B$1:$B$299,0),MATCH('Order SUmmary'!N$2,'Product List'!$A$1:$E$1,0))</f>
        <v>1503</v>
      </c>
      <c r="O828" s="8" t="str">
        <f>INDEX(Product_List,MATCH($F828,'Product List'!$B$1:$B$299,0),MATCH('Order SUmmary'!O$2,'Product List'!$A$1:$E$1,0))</f>
        <v>Paper</v>
      </c>
      <c r="P828" s="12">
        <f>HLOOKUP(C828,'Commission Criteria'!$A$2:$I$4,3,FALSE)</f>
        <v>5</v>
      </c>
      <c r="Q828" s="8">
        <f t="shared" si="37"/>
        <v>1503</v>
      </c>
      <c r="R828" s="8">
        <f t="shared" si="38"/>
        <v>4307</v>
      </c>
      <c r="S828" s="36">
        <f>VLOOKUP(R828,'Commission Criteria'!$L$3:$M$11,2,TRUE)</f>
        <v>0.01</v>
      </c>
      <c r="T828" s="36">
        <f>IF(P828&lt;5,VLOOKUP(R828,'Commission Criteria'!$L$3:$M$11,2,1),VLOOKUP('Order SUmmary'!R828,'Commission Criteria'!$P$3:$Q$11,2,1))</f>
        <v>0.02</v>
      </c>
      <c r="U828" s="36">
        <f>VLOOKUP(R828,IF(P828&lt;5,'Commission Criteria'!$L$3:$M$11,'Commission Criteria'!$P$3:$Q$11),2,1)</f>
        <v>0.02</v>
      </c>
      <c r="V828" s="8" t="s">
        <v>32</v>
      </c>
      <c r="W828" s="36">
        <f t="shared" ca="1" si="39"/>
        <v>0</v>
      </c>
      <c r="X828" s="8" t="str">
        <f>_xlfn.XLOOKUP(F828,'Product List'!$B$1:$B$299,'Product List'!$A$1:$A$299)</f>
        <v>Xerox 1934</v>
      </c>
      <c r="Y828" s="8"/>
      <c r="Z828" s="8" t="str" cm="1">
        <f t="array" ref="Z828:AD828">_xlfn.XLOOKUP(D828,'Customer Details'!$A$1:$A$17,'Customer Details'!$B$1:$F$17,"No such customer",0,1)</f>
        <v>Hindusthan National Glass &amp; Industries Ltd.</v>
      </c>
      <c r="AA828" s="8" t="str">
        <v>11 Cathy St.</v>
      </c>
      <c r="AB828" s="8" t="str">
        <v>Honolulu</v>
      </c>
      <c r="AC828" s="8" t="str">
        <v>HI</v>
      </c>
      <c r="AD828" s="8" t="str">
        <v>96825</v>
      </c>
    </row>
    <row r="829" spans="1:30">
      <c r="A829" s="8" t="s">
        <v>875</v>
      </c>
      <c r="B829" s="19">
        <v>42034</v>
      </c>
      <c r="C829" s="8" t="s">
        <v>36</v>
      </c>
      <c r="D829" s="8">
        <v>10013</v>
      </c>
      <c r="E829" s="8" t="str">
        <f>VLOOKUP($D829,'Customer Details'!$A$1:$F$17,4,FALSE)</f>
        <v>Naugatuck</v>
      </c>
      <c r="F829" s="8" t="s">
        <v>439</v>
      </c>
      <c r="G829" s="8">
        <v>1</v>
      </c>
      <c r="H829" s="2" t="str">
        <f>VLOOKUP($D829,'Customer Details'!$A$1:$F$17,MATCH('Order SUmmary'!H$2,'Customer Details'!$A$1:$F$1,0),0)</f>
        <v>GMR Infrastructure Ltd.</v>
      </c>
      <c r="I829" s="2" t="str">
        <f>VLOOKUP($D829,'Customer Details'!$A$1:$F$17,4,0)</f>
        <v>Naugatuck</v>
      </c>
      <c r="J829" s="2" t="str">
        <f>VLOOKUP($D829,'Customer Details'!$A$1:$F$17,6,0)</f>
        <v>06770</v>
      </c>
      <c r="K829" s="8" t="str">
        <f>VLOOKUP(VLOOKUP(D829,'Customer Details'!$A$1:$F$17,5,0),'Region INfo'!$A$1:$C$52,3,0)</f>
        <v xml:space="preserve">Northern </v>
      </c>
      <c r="L829" s="8" t="str">
        <f>INDEX(Product_List,MATCH($F829,'Product List'!$B$1:$B$299,0),MATCH('Order SUmmary'!L$2,'Product List'!$A$1:$E$1,0))</f>
        <v>Xerox 1919</v>
      </c>
      <c r="M829" s="8">
        <f>INDEX(Product_List,MATCH($F829,'Product List'!$B$1:$B$299,0),MATCH('Order SUmmary'!M$2,'Product List'!$A$1:$E$1,0))</f>
        <v>2535</v>
      </c>
      <c r="N829" s="8">
        <f>INDEX(Product_List,MATCH($F829,'Product List'!$B$1:$B$299,0),MATCH('Order SUmmary'!N$2,'Product List'!$A$1:$E$1,0))</f>
        <v>1841</v>
      </c>
      <c r="O829" s="8" t="str">
        <f>INDEX(Product_List,MATCH($F829,'Product List'!$B$1:$B$299,0),MATCH('Order SUmmary'!O$2,'Product List'!$A$1:$E$1,0))</f>
        <v>Paper</v>
      </c>
      <c r="P829" s="12">
        <f>HLOOKUP(C829,'Commission Criteria'!$A$2:$I$4,3,FALSE)</f>
        <v>6</v>
      </c>
      <c r="Q829" s="8">
        <f t="shared" si="37"/>
        <v>1841</v>
      </c>
      <c r="R829" s="8">
        <f t="shared" si="38"/>
        <v>2535</v>
      </c>
      <c r="S829" s="36">
        <f>VLOOKUP(R829,'Commission Criteria'!$L$3:$M$11,2,TRUE)</f>
        <v>0.01</v>
      </c>
      <c r="T829" s="36">
        <f>IF(P829&lt;5,VLOOKUP(R829,'Commission Criteria'!$L$3:$M$11,2,1),VLOOKUP('Order SUmmary'!R829,'Commission Criteria'!$P$3:$Q$11,2,1))</f>
        <v>0.02</v>
      </c>
      <c r="U829" s="36">
        <f>VLOOKUP(R829,IF(P829&lt;5,'Commission Criteria'!$L$3:$M$11,'Commission Criteria'!$P$3:$Q$11),2,1)</f>
        <v>0.02</v>
      </c>
      <c r="V829" s="8" t="s">
        <v>40</v>
      </c>
      <c r="W829" s="36">
        <f t="shared" ca="1" si="39"/>
        <v>0.02</v>
      </c>
      <c r="X829" s="8" t="str">
        <f>_xlfn.XLOOKUP(F829,'Product List'!$B$1:$B$299,'Product List'!$A$1:$A$299)</f>
        <v>Xerox 1919</v>
      </c>
      <c r="Y829" s="8"/>
      <c r="Z829" s="8" t="str" cm="1">
        <f t="array" ref="Z829:AD829">_xlfn.XLOOKUP(D829,'Customer Details'!$A$1:$A$17,'Customer Details'!$B$1:$F$17,"No such customer",0,1)</f>
        <v>GMR Infrastructure Ltd.</v>
      </c>
      <c r="AA829" s="8" t="str">
        <v>P.O. Box 4421</v>
      </c>
      <c r="AB829" s="8" t="str">
        <v>Naugatuck</v>
      </c>
      <c r="AC829" s="8" t="str">
        <v>CT</v>
      </c>
      <c r="AD829" s="8" t="str">
        <v>06770</v>
      </c>
    </row>
    <row r="830" spans="1:30">
      <c r="A830" s="8" t="s">
        <v>875</v>
      </c>
      <c r="B830" s="19">
        <v>42034</v>
      </c>
      <c r="C830" s="8" t="s">
        <v>33</v>
      </c>
      <c r="D830" s="8">
        <v>10015</v>
      </c>
      <c r="E830" s="8" t="str">
        <f>VLOOKUP($D830,'Customer Details'!$A$1:$F$17,4,FALSE)</f>
        <v>South Windsor</v>
      </c>
      <c r="F830" s="8" t="s">
        <v>195</v>
      </c>
      <c r="G830" s="8">
        <v>3</v>
      </c>
      <c r="H830" s="2" t="str">
        <f>VLOOKUP($D830,'Customer Details'!$A$1:$F$17,MATCH('Order SUmmary'!H$2,'Customer Details'!$A$1:$F$1,0),0)</f>
        <v>Punj Lloyd Ltd.</v>
      </c>
      <c r="I830" s="2" t="str">
        <f>VLOOKUP($D830,'Customer Details'!$A$1:$F$17,4,0)</f>
        <v>South Windsor</v>
      </c>
      <c r="J830" s="2" t="str">
        <f>VLOOKUP($D830,'Customer Details'!$A$1:$F$17,6,0)</f>
        <v>06074</v>
      </c>
      <c r="K830" s="8" t="str">
        <f>VLOOKUP(VLOOKUP(D830,'Customer Details'!$A$1:$F$17,5,0),'Region INfo'!$A$1:$C$52,3,0)</f>
        <v xml:space="preserve">Northern </v>
      </c>
      <c r="L830" s="8" t="str">
        <f>INDEX(Product_List,MATCH($F830,'Product List'!$B$1:$B$299,0),MATCH('Order SUmmary'!L$2,'Product List'!$A$1:$E$1,0))</f>
        <v>Newell 335</v>
      </c>
      <c r="M830" s="8">
        <f>INDEX(Product_List,MATCH($F830,'Product List'!$B$1:$B$299,0),MATCH('Order SUmmary'!M$2,'Product List'!$A$1:$E$1,0))</f>
        <v>3467</v>
      </c>
      <c r="N830" s="8">
        <f>INDEX(Product_List,MATCH($F830,'Product List'!$B$1:$B$299,0),MATCH('Order SUmmary'!N$2,'Product List'!$A$1:$E$1,0))</f>
        <v>1230</v>
      </c>
      <c r="O830" s="8" t="str">
        <f>INDEX(Product_List,MATCH($F830,'Product List'!$B$1:$B$299,0),MATCH('Order SUmmary'!O$2,'Product List'!$A$1:$E$1,0))</f>
        <v>Art</v>
      </c>
      <c r="P830" s="12">
        <f>HLOOKUP(C830,'Commission Criteria'!$A$2:$I$4,3,FALSE)</f>
        <v>1</v>
      </c>
      <c r="Q830" s="8">
        <f t="shared" si="37"/>
        <v>3690</v>
      </c>
      <c r="R830" s="8">
        <f t="shared" si="38"/>
        <v>10401</v>
      </c>
      <c r="S830" s="36">
        <f>VLOOKUP(R830,'Commission Criteria'!$L$3:$M$11,2,TRUE)</f>
        <v>0.03</v>
      </c>
      <c r="T830" s="36">
        <f>IF(P830&lt;5,VLOOKUP(R830,'Commission Criteria'!$L$3:$M$11,2,1),VLOOKUP('Order SUmmary'!R830,'Commission Criteria'!$P$3:$Q$11,2,1))</f>
        <v>0.03</v>
      </c>
      <c r="U830" s="36">
        <f>VLOOKUP(R830,IF(P830&lt;5,'Commission Criteria'!$L$3:$M$11,'Commission Criteria'!$P$3:$Q$11),2,1)</f>
        <v>0.03</v>
      </c>
      <c r="V830" s="8" t="s">
        <v>50</v>
      </c>
      <c r="W830" s="36">
        <f t="shared" ca="1" si="39"/>
        <v>0.04</v>
      </c>
      <c r="X830" s="8" t="str">
        <f>_xlfn.XLOOKUP(F830,'Product List'!$B$1:$B$299,'Product List'!$A$1:$A$299)</f>
        <v>Newell 335</v>
      </c>
      <c r="Y830" s="8"/>
      <c r="Z830" s="8" t="str" cm="1">
        <f t="array" ref="Z830:AD830">_xlfn.XLOOKUP(D830,'Customer Details'!$A$1:$A$17,'Customer Details'!$B$1:$F$17,"No such customer",0,1)</f>
        <v>Punj Lloyd Ltd.</v>
      </c>
      <c r="AA830" s="8" t="str">
        <v>Box 3263</v>
      </c>
      <c r="AB830" s="8" t="str">
        <v>South Windsor</v>
      </c>
      <c r="AC830" s="8" t="str">
        <v>CT</v>
      </c>
      <c r="AD830" s="8" t="str">
        <v>06074</v>
      </c>
    </row>
    <row r="831" spans="1:30">
      <c r="A831" s="8" t="s">
        <v>876</v>
      </c>
      <c r="B831" s="19">
        <v>42035</v>
      </c>
      <c r="C831" s="8" t="s">
        <v>27</v>
      </c>
      <c r="D831" s="8">
        <v>10011</v>
      </c>
      <c r="E831" s="8" t="str">
        <f>VLOOKUP($D831,'Customer Details'!$A$1:$F$17,4,FALSE)</f>
        <v>Olympia</v>
      </c>
      <c r="F831" s="8" t="s">
        <v>877</v>
      </c>
      <c r="G831" s="8">
        <v>3</v>
      </c>
      <c r="H831" s="2" t="str">
        <f>VLOOKUP($D831,'Customer Details'!$A$1:$F$17,MATCH('Order SUmmary'!H$2,'Customer Details'!$A$1:$F$1,0),0)</f>
        <v>Sonata Software</v>
      </c>
      <c r="I831" s="2" t="str">
        <f>VLOOKUP($D831,'Customer Details'!$A$1:$F$17,4,0)</f>
        <v>Olympia</v>
      </c>
      <c r="J831" s="2" t="str">
        <f>VLOOKUP($D831,'Customer Details'!$A$1:$F$17,6,0)</f>
        <v>98502</v>
      </c>
      <c r="K831" s="8" t="str">
        <f>VLOOKUP(VLOOKUP(D831,'Customer Details'!$A$1:$F$17,5,0),'Region INfo'!$A$1:$C$52,3,0)</f>
        <v xml:space="preserve">Pacific   </v>
      </c>
      <c r="L831" s="8" t="str">
        <f>INDEX(Product_List,MATCH($F831,'Product List'!$B$1:$B$299,0),MATCH('Order SUmmary'!L$2,'Product List'!$A$1:$E$1,0))</f>
        <v>Avery 484</v>
      </c>
      <c r="M831" s="8">
        <f>INDEX(Product_List,MATCH($F831,'Product List'!$B$1:$B$299,0),MATCH('Order SUmmary'!M$2,'Product List'!$A$1:$E$1,0))</f>
        <v>4548</v>
      </c>
      <c r="N831" s="8">
        <f>INDEX(Product_List,MATCH($F831,'Product List'!$B$1:$B$299,0),MATCH('Order SUmmary'!N$2,'Product List'!$A$1:$E$1,0))</f>
        <v>1983</v>
      </c>
      <c r="O831" s="8" t="str">
        <f>INDEX(Product_List,MATCH($F831,'Product List'!$B$1:$B$299,0),MATCH('Order SUmmary'!O$2,'Product List'!$A$1:$E$1,0))</f>
        <v>Labels</v>
      </c>
      <c r="P831" s="12">
        <f>HLOOKUP(C831,'Commission Criteria'!$A$2:$I$4,3,FALSE)</f>
        <v>4</v>
      </c>
      <c r="Q831" s="8">
        <f t="shared" si="37"/>
        <v>5949</v>
      </c>
      <c r="R831" s="8">
        <f t="shared" si="38"/>
        <v>13644</v>
      </c>
      <c r="S831" s="36">
        <f>VLOOKUP(R831,'Commission Criteria'!$L$3:$M$11,2,TRUE)</f>
        <v>0.03</v>
      </c>
      <c r="T831" s="36">
        <f>IF(P831&lt;5,VLOOKUP(R831,'Commission Criteria'!$L$3:$M$11,2,1),VLOOKUP('Order SUmmary'!R831,'Commission Criteria'!$P$3:$Q$11,2,1))</f>
        <v>0.03</v>
      </c>
      <c r="U831" s="36">
        <f>VLOOKUP(R831,IF(P831&lt;5,'Commission Criteria'!$L$3:$M$11,'Commission Criteria'!$P$3:$Q$11),2,1)</f>
        <v>0.03</v>
      </c>
      <c r="V831" s="8" t="s">
        <v>43</v>
      </c>
      <c r="W831" s="36">
        <f t="shared" ca="1" si="39"/>
        <v>0.05</v>
      </c>
      <c r="X831" s="8" t="str">
        <f>_xlfn.XLOOKUP(F831,'Product List'!$B$1:$B$299,'Product List'!$A$1:$A$299)</f>
        <v>Avery 484</v>
      </c>
      <c r="Y831" s="8"/>
      <c r="Z831" s="8" t="str" cm="1">
        <f t="array" ref="Z831:AD831">_xlfn.XLOOKUP(D831,'Customer Details'!$A$1:$A$17,'Customer Details'!$B$1:$F$17,"No such customer",0,1)</f>
        <v>Sonata Software</v>
      </c>
      <c r="AA831" s="8" t="str">
        <v>1331 Kimberly Dr.</v>
      </c>
      <c r="AB831" s="8" t="str">
        <v>Olympia</v>
      </c>
      <c r="AC831" s="8" t="str">
        <v>WA</v>
      </c>
      <c r="AD831" s="8" t="str">
        <v>98502</v>
      </c>
    </row>
    <row r="832" spans="1:30">
      <c r="A832" s="8" t="s">
        <v>878</v>
      </c>
      <c r="B832" s="19">
        <v>42036</v>
      </c>
      <c r="C832" s="8" t="s">
        <v>33</v>
      </c>
      <c r="D832" s="8">
        <v>10015</v>
      </c>
      <c r="E832" s="8" t="str">
        <f>VLOOKUP($D832,'Customer Details'!$A$1:$F$17,4,FALSE)</f>
        <v>South Windsor</v>
      </c>
      <c r="F832" s="8" t="s">
        <v>474</v>
      </c>
      <c r="G832" s="8">
        <v>1</v>
      </c>
      <c r="H832" s="2" t="str">
        <f>VLOOKUP($D832,'Customer Details'!$A$1:$F$17,MATCH('Order SUmmary'!H$2,'Customer Details'!$A$1:$F$1,0),0)</f>
        <v>Punj Lloyd Ltd.</v>
      </c>
      <c r="I832" s="2" t="str">
        <f>VLOOKUP($D832,'Customer Details'!$A$1:$F$17,4,0)</f>
        <v>South Windsor</v>
      </c>
      <c r="J832" s="2" t="str">
        <f>VLOOKUP($D832,'Customer Details'!$A$1:$F$17,6,0)</f>
        <v>06074</v>
      </c>
      <c r="K832" s="8" t="str">
        <f>VLOOKUP(VLOOKUP(D832,'Customer Details'!$A$1:$F$17,5,0),'Region INfo'!$A$1:$C$52,3,0)</f>
        <v xml:space="preserve">Northern </v>
      </c>
      <c r="L832" s="8" t="str">
        <f>INDEX(Product_List,MATCH($F832,'Product List'!$B$1:$B$299,0),MATCH('Order SUmmary'!L$2,'Product List'!$A$1:$E$1,0))</f>
        <v>Ideal Clamps</v>
      </c>
      <c r="M832" s="8">
        <f>INDEX(Product_List,MATCH($F832,'Product List'!$B$1:$B$299,0),MATCH('Order SUmmary'!M$2,'Product List'!$A$1:$E$1,0))</f>
        <v>4459</v>
      </c>
      <c r="N832" s="8">
        <f>INDEX(Product_List,MATCH($F832,'Product List'!$B$1:$B$299,0),MATCH('Order SUmmary'!N$2,'Product List'!$A$1:$E$1,0))</f>
        <v>1722</v>
      </c>
      <c r="O832" s="8" t="str">
        <f>INDEX(Product_List,MATCH($F832,'Product List'!$B$1:$B$299,0),MATCH('Order SUmmary'!O$2,'Product List'!$A$1:$E$1,0))</f>
        <v>Fasteners</v>
      </c>
      <c r="P832" s="12">
        <f>HLOOKUP(C832,'Commission Criteria'!$A$2:$I$4,3,FALSE)</f>
        <v>1</v>
      </c>
      <c r="Q832" s="8">
        <f t="shared" si="37"/>
        <v>1722</v>
      </c>
      <c r="R832" s="8">
        <f t="shared" si="38"/>
        <v>4459</v>
      </c>
      <c r="S832" s="36">
        <f>VLOOKUP(R832,'Commission Criteria'!$L$3:$M$11,2,TRUE)</f>
        <v>0.01</v>
      </c>
      <c r="T832" s="36">
        <f>IF(P832&lt;5,VLOOKUP(R832,'Commission Criteria'!$L$3:$M$11,2,1),VLOOKUP('Order SUmmary'!R832,'Commission Criteria'!$P$3:$Q$11,2,1))</f>
        <v>0.01</v>
      </c>
      <c r="U832" s="36">
        <f>VLOOKUP(R832,IF(P832&lt;5,'Commission Criteria'!$L$3:$M$11,'Commission Criteria'!$P$3:$Q$11),2,1)</f>
        <v>0.01</v>
      </c>
      <c r="V832" s="8" t="s">
        <v>40</v>
      </c>
      <c r="W832" s="36">
        <f t="shared" ca="1" si="39"/>
        <v>0.02</v>
      </c>
      <c r="X832" s="8" t="str">
        <f>_xlfn.XLOOKUP(F832,'Product List'!$B$1:$B$299,'Product List'!$A$1:$A$299)</f>
        <v>Ideal Clamps</v>
      </c>
      <c r="Y832" s="8"/>
      <c r="Z832" s="8" t="str" cm="1">
        <f t="array" ref="Z832:AD832">_xlfn.XLOOKUP(D832,'Customer Details'!$A$1:$A$17,'Customer Details'!$B$1:$F$17,"No such customer",0,1)</f>
        <v>Punj Lloyd Ltd.</v>
      </c>
      <c r="AA832" s="8" t="str">
        <v>Box 3263</v>
      </c>
      <c r="AB832" s="8" t="str">
        <v>South Windsor</v>
      </c>
      <c r="AC832" s="8" t="str">
        <v>CT</v>
      </c>
      <c r="AD832" s="8" t="str">
        <v>06074</v>
      </c>
    </row>
    <row r="833" spans="1:30">
      <c r="A833" s="8" t="s">
        <v>879</v>
      </c>
      <c r="B833" s="19">
        <v>42036</v>
      </c>
      <c r="C833" s="8" t="s">
        <v>66</v>
      </c>
      <c r="D833" s="8">
        <v>10001</v>
      </c>
      <c r="E833" s="8" t="str">
        <f>VLOOKUP($D833,'Customer Details'!$A$1:$F$17,4,FALSE)</f>
        <v>New York</v>
      </c>
      <c r="F833" s="8" t="s">
        <v>47</v>
      </c>
      <c r="G833" s="8">
        <v>1</v>
      </c>
      <c r="H833" s="2" t="str">
        <f>VLOOKUP($D833,'Customer Details'!$A$1:$F$17,MATCH('Order SUmmary'!H$2,'Customer Details'!$A$1:$F$1,0),0)</f>
        <v>Chambal Fertilisers and Chemicals Ltd.</v>
      </c>
      <c r="I833" s="2" t="str">
        <f>VLOOKUP($D833,'Customer Details'!$A$1:$F$17,4,0)</f>
        <v>New York</v>
      </c>
      <c r="J833" s="2" t="str">
        <f>VLOOKUP($D833,'Customer Details'!$A$1:$F$17,6,0)</f>
        <v>10025</v>
      </c>
      <c r="K833" s="8" t="str">
        <f>VLOOKUP(VLOOKUP(D833,'Customer Details'!$A$1:$F$17,5,0),'Region INfo'!$A$1:$C$52,3,0)</f>
        <v xml:space="preserve">Northern </v>
      </c>
      <c r="L833" s="8" t="str">
        <f>INDEX(Product_List,MATCH($F833,'Product List'!$B$1:$B$299,0),MATCH('Order SUmmary'!L$2,'Product List'!$A$1:$E$1,0))</f>
        <v>Xerox 1907</v>
      </c>
      <c r="M833" s="8">
        <f>INDEX(Product_List,MATCH($F833,'Product List'!$B$1:$B$299,0),MATCH('Order SUmmary'!M$2,'Product List'!$A$1:$E$1,0))</f>
        <v>4990</v>
      </c>
      <c r="N833" s="8">
        <f>INDEX(Product_List,MATCH($F833,'Product List'!$B$1:$B$299,0),MATCH('Order SUmmary'!N$2,'Product List'!$A$1:$E$1,0))</f>
        <v>1360</v>
      </c>
      <c r="O833" s="8" t="str">
        <f>INDEX(Product_List,MATCH($F833,'Product List'!$B$1:$B$299,0),MATCH('Order SUmmary'!O$2,'Product List'!$A$1:$E$1,0))</f>
        <v>Paper</v>
      </c>
      <c r="P833" s="12">
        <f>HLOOKUP(C833,'Commission Criteria'!$A$2:$I$4,3,FALSE)</f>
        <v>5</v>
      </c>
      <c r="Q833" s="8">
        <f t="shared" si="37"/>
        <v>1360</v>
      </c>
      <c r="R833" s="8">
        <f t="shared" si="38"/>
        <v>4990</v>
      </c>
      <c r="S833" s="36">
        <f>VLOOKUP(R833,'Commission Criteria'!$L$3:$M$11,2,TRUE)</f>
        <v>0.01</v>
      </c>
      <c r="T833" s="36">
        <f>IF(P833&lt;5,VLOOKUP(R833,'Commission Criteria'!$L$3:$M$11,2,1),VLOOKUP('Order SUmmary'!R833,'Commission Criteria'!$P$3:$Q$11,2,1))</f>
        <v>0.02</v>
      </c>
      <c r="U833" s="36">
        <f>VLOOKUP(R833,IF(P833&lt;5,'Commission Criteria'!$L$3:$M$11,'Commission Criteria'!$P$3:$Q$11),2,1)</f>
        <v>0.02</v>
      </c>
      <c r="V833" s="8" t="s">
        <v>35</v>
      </c>
      <c r="W833" s="36">
        <f t="shared" ca="1" si="39"/>
        <v>0.03</v>
      </c>
      <c r="X833" s="8" t="str">
        <f>_xlfn.XLOOKUP(F833,'Product List'!$B$1:$B$299,'Product List'!$A$1:$A$299)</f>
        <v>Xerox 1907</v>
      </c>
      <c r="Y833" s="8"/>
      <c r="Z833" s="8" t="str" cm="1">
        <f t="array" ref="Z833:AD833">_xlfn.XLOOKUP(D833,'Customer Details'!$A$1:$A$17,'Customer Details'!$B$1:$F$17,"No such customer",0,1)</f>
        <v>Chambal Fertilisers and Chemicals Ltd.</v>
      </c>
      <c r="AA833" s="8" t="str">
        <v>4951 Indiana Ave.</v>
      </c>
      <c r="AB833" s="8" t="str">
        <v>New York</v>
      </c>
      <c r="AC833" s="8" t="str">
        <v>NY</v>
      </c>
      <c r="AD833" s="8" t="str">
        <v>10025</v>
      </c>
    </row>
    <row r="834" spans="1:30">
      <c r="A834" s="8" t="s">
        <v>880</v>
      </c>
      <c r="B834" s="19">
        <v>42039</v>
      </c>
      <c r="C834" s="8" t="s">
        <v>54</v>
      </c>
      <c r="D834" s="8">
        <v>10004</v>
      </c>
      <c r="E834" s="8" t="str">
        <f>VLOOKUP($D834,'Customer Details'!$A$1:$F$17,4,FALSE)</f>
        <v>New York</v>
      </c>
      <c r="F834" s="8" t="s">
        <v>395</v>
      </c>
      <c r="G834" s="8">
        <v>1</v>
      </c>
      <c r="H834" s="2" t="str">
        <f>VLOOKUP($D834,'Customer Details'!$A$1:$F$17,MATCH('Order SUmmary'!H$2,'Customer Details'!$A$1:$F$1,0),0)</f>
        <v>Lupin Ltd.</v>
      </c>
      <c r="I834" s="2" t="str">
        <f>VLOOKUP($D834,'Customer Details'!$A$1:$F$17,4,0)</f>
        <v>New York</v>
      </c>
      <c r="J834" s="2" t="str">
        <f>VLOOKUP($D834,'Customer Details'!$A$1:$F$17,6,0)</f>
        <v>10019</v>
      </c>
      <c r="K834" s="8" t="str">
        <f>VLOOKUP(VLOOKUP(D834,'Customer Details'!$A$1:$F$17,5,0),'Region INfo'!$A$1:$C$52,3,0)</f>
        <v xml:space="preserve">Northern </v>
      </c>
      <c r="L834" s="8" t="str">
        <f>INDEX(Product_List,MATCH($F834,'Product List'!$B$1:$B$299,0),MATCH('Order SUmmary'!L$2,'Product List'!$A$1:$E$1,0))</f>
        <v>Xerox 1883</v>
      </c>
      <c r="M834" s="8">
        <f>INDEX(Product_List,MATCH($F834,'Product List'!$B$1:$B$299,0),MATCH('Order SUmmary'!M$2,'Product List'!$A$1:$E$1,0))</f>
        <v>3112</v>
      </c>
      <c r="N834" s="8">
        <f>INDEX(Product_List,MATCH($F834,'Product List'!$B$1:$B$299,0),MATCH('Order SUmmary'!N$2,'Product List'!$A$1:$E$1,0))</f>
        <v>1766</v>
      </c>
      <c r="O834" s="8" t="str">
        <f>INDEX(Product_List,MATCH($F834,'Product List'!$B$1:$B$299,0),MATCH('Order SUmmary'!O$2,'Product List'!$A$1:$E$1,0))</f>
        <v>Paper</v>
      </c>
      <c r="P834" s="12">
        <f>HLOOKUP(C834,'Commission Criteria'!$A$2:$I$4,3,FALSE)</f>
        <v>3</v>
      </c>
      <c r="Q834" s="8">
        <f t="shared" si="37"/>
        <v>1766</v>
      </c>
      <c r="R834" s="8">
        <f t="shared" si="38"/>
        <v>3112</v>
      </c>
      <c r="S834" s="36">
        <f>VLOOKUP(R834,'Commission Criteria'!$L$3:$M$11,2,TRUE)</f>
        <v>0.01</v>
      </c>
      <c r="T834" s="36">
        <f>IF(P834&lt;5,VLOOKUP(R834,'Commission Criteria'!$L$3:$M$11,2,1),VLOOKUP('Order SUmmary'!R834,'Commission Criteria'!$P$3:$Q$11,2,1))</f>
        <v>0.01</v>
      </c>
      <c r="U834" s="36">
        <f>VLOOKUP(R834,IF(P834&lt;5,'Commission Criteria'!$L$3:$M$11,'Commission Criteria'!$P$3:$Q$11),2,1)</f>
        <v>0.01</v>
      </c>
      <c r="V834" s="8" t="s">
        <v>43</v>
      </c>
      <c r="W834" s="36">
        <f t="shared" ca="1" si="39"/>
        <v>0</v>
      </c>
      <c r="X834" s="8" t="str">
        <f>_xlfn.XLOOKUP(F834,'Product List'!$B$1:$B$299,'Product List'!$A$1:$A$299)</f>
        <v>Xerox 1883</v>
      </c>
      <c r="Y834" s="8"/>
      <c r="Z834" s="8" t="str" cm="1">
        <f t="array" ref="Z834:AD834">_xlfn.XLOOKUP(D834,'Customer Details'!$A$1:$A$17,'Customer Details'!$B$1:$F$17,"No such customer",0,1)</f>
        <v>Lupin Ltd.</v>
      </c>
      <c r="AA834" s="8" t="str">
        <v>Abbey Wood</v>
      </c>
      <c r="AB834" s="8" t="str">
        <v>New York</v>
      </c>
      <c r="AC834" s="8" t="str">
        <v>NY</v>
      </c>
      <c r="AD834" s="8" t="str">
        <v>10019</v>
      </c>
    </row>
    <row r="835" spans="1:30">
      <c r="A835" s="8" t="s">
        <v>880</v>
      </c>
      <c r="B835" s="19">
        <v>42039</v>
      </c>
      <c r="C835" s="8" t="s">
        <v>27</v>
      </c>
      <c r="D835" s="8">
        <v>10004</v>
      </c>
      <c r="E835" s="8" t="str">
        <f>VLOOKUP($D835,'Customer Details'!$A$1:$F$17,4,FALSE)</f>
        <v>New York</v>
      </c>
      <c r="F835" s="8" t="s">
        <v>206</v>
      </c>
      <c r="G835" s="8">
        <v>1</v>
      </c>
      <c r="H835" s="2" t="str">
        <f>VLOOKUP($D835,'Customer Details'!$A$1:$F$17,MATCH('Order SUmmary'!H$2,'Customer Details'!$A$1:$F$1,0),0)</f>
        <v>Lupin Ltd.</v>
      </c>
      <c r="I835" s="2" t="str">
        <f>VLOOKUP($D835,'Customer Details'!$A$1:$F$17,4,0)</f>
        <v>New York</v>
      </c>
      <c r="J835" s="2" t="str">
        <f>VLOOKUP($D835,'Customer Details'!$A$1:$F$17,6,0)</f>
        <v>10019</v>
      </c>
      <c r="K835" s="8" t="str">
        <f>VLOOKUP(VLOOKUP(D835,'Customer Details'!$A$1:$F$17,5,0),'Region INfo'!$A$1:$C$52,3,0)</f>
        <v xml:space="preserve">Northern </v>
      </c>
      <c r="L835" s="8" t="str">
        <f>INDEX(Product_List,MATCH($F835,'Product List'!$B$1:$B$299,0),MATCH('Order SUmmary'!L$2,'Product List'!$A$1:$E$1,0))</f>
        <v>Xerox 1973</v>
      </c>
      <c r="M835" s="8">
        <f>INDEX(Product_List,MATCH($F835,'Product List'!$B$1:$B$299,0),MATCH('Order SUmmary'!M$2,'Product List'!$A$1:$E$1,0))</f>
        <v>4928</v>
      </c>
      <c r="N835" s="8">
        <f>INDEX(Product_List,MATCH($F835,'Product List'!$B$1:$B$299,0),MATCH('Order SUmmary'!N$2,'Product List'!$A$1:$E$1,0))</f>
        <v>2101</v>
      </c>
      <c r="O835" s="8" t="str">
        <f>INDEX(Product_List,MATCH($F835,'Product List'!$B$1:$B$299,0),MATCH('Order SUmmary'!O$2,'Product List'!$A$1:$E$1,0))</f>
        <v>Paper</v>
      </c>
      <c r="P835" s="12">
        <f>HLOOKUP(C835,'Commission Criteria'!$A$2:$I$4,3,FALSE)</f>
        <v>4</v>
      </c>
      <c r="Q835" s="8">
        <f t="shared" si="37"/>
        <v>2101</v>
      </c>
      <c r="R835" s="8">
        <f t="shared" si="38"/>
        <v>4928</v>
      </c>
      <c r="S835" s="36">
        <f>VLOOKUP(R835,'Commission Criteria'!$L$3:$M$11,2,TRUE)</f>
        <v>0.01</v>
      </c>
      <c r="T835" s="36">
        <f>IF(P835&lt;5,VLOOKUP(R835,'Commission Criteria'!$L$3:$M$11,2,1),VLOOKUP('Order SUmmary'!R835,'Commission Criteria'!$P$3:$Q$11,2,1))</f>
        <v>0.01</v>
      </c>
      <c r="U835" s="36">
        <f>VLOOKUP(R835,IF(P835&lt;5,'Commission Criteria'!$L$3:$M$11,'Commission Criteria'!$P$3:$Q$11),2,1)</f>
        <v>0.01</v>
      </c>
      <c r="V835" s="8" t="s">
        <v>50</v>
      </c>
      <c r="W835" s="36">
        <f t="shared" ca="1" si="39"/>
        <v>0</v>
      </c>
      <c r="X835" s="8" t="str">
        <f>_xlfn.XLOOKUP(F835,'Product List'!$B$1:$B$299,'Product List'!$A$1:$A$299)</f>
        <v>Xerox 1973</v>
      </c>
      <c r="Y835" s="8"/>
      <c r="Z835" s="8" t="str" cm="1">
        <f t="array" ref="Z835:AD835">_xlfn.XLOOKUP(D835,'Customer Details'!$A$1:$A$17,'Customer Details'!$B$1:$F$17,"No such customer",0,1)</f>
        <v>Lupin Ltd.</v>
      </c>
      <c r="AA835" s="8" t="str">
        <v>Abbey Wood</v>
      </c>
      <c r="AB835" s="8" t="str">
        <v>New York</v>
      </c>
      <c r="AC835" s="8" t="str">
        <v>NY</v>
      </c>
      <c r="AD835" s="8" t="str">
        <v>10019</v>
      </c>
    </row>
    <row r="836" spans="1:30">
      <c r="A836" s="8" t="s">
        <v>881</v>
      </c>
      <c r="B836" s="19">
        <v>42040</v>
      </c>
      <c r="C836" s="8" t="s">
        <v>33</v>
      </c>
      <c r="D836" s="8">
        <v>10002</v>
      </c>
      <c r="E836" s="8" t="str">
        <f>VLOOKUP($D836,'Customer Details'!$A$1:$F$17,4,FALSE)</f>
        <v>Omaha</v>
      </c>
      <c r="F836" s="8" t="s">
        <v>882</v>
      </c>
      <c r="G836" s="8">
        <v>1</v>
      </c>
      <c r="H836" s="2" t="str">
        <f>VLOOKUP($D836,'Customer Details'!$A$1:$F$17,MATCH('Order SUmmary'!H$2,'Customer Details'!$A$1:$F$1,0),0)</f>
        <v>Elder Pharmaceuticals</v>
      </c>
      <c r="I836" s="2" t="str">
        <f>VLOOKUP($D836,'Customer Details'!$A$1:$F$17,4,0)</f>
        <v>Omaha</v>
      </c>
      <c r="J836" s="2" t="str">
        <f>VLOOKUP($D836,'Customer Details'!$A$1:$F$17,6,0)</f>
        <v>68127</v>
      </c>
      <c r="K836" s="8" t="str">
        <f>VLOOKUP(VLOOKUP(D836,'Customer Details'!$A$1:$F$17,5,0),'Region INfo'!$A$1:$C$52,3,0)</f>
        <v>Western</v>
      </c>
      <c r="L836" s="8" t="str">
        <f>INDEX(Product_List,MATCH($F836,'Product List'!$B$1:$B$299,0),MATCH('Order SUmmary'!L$2,'Product List'!$A$1:$E$1,0))</f>
        <v>Xerox 1935</v>
      </c>
      <c r="M836" s="8">
        <f>INDEX(Product_List,MATCH($F836,'Product List'!$B$1:$B$299,0),MATCH('Order SUmmary'!M$2,'Product List'!$A$1:$E$1,0))</f>
        <v>2929</v>
      </c>
      <c r="N836" s="8">
        <f>INDEX(Product_List,MATCH($F836,'Product List'!$B$1:$B$299,0),MATCH('Order SUmmary'!N$2,'Product List'!$A$1:$E$1,0))</f>
        <v>1320</v>
      </c>
      <c r="O836" s="8" t="str">
        <f>INDEX(Product_List,MATCH($F836,'Product List'!$B$1:$B$299,0),MATCH('Order SUmmary'!O$2,'Product List'!$A$1:$E$1,0))</f>
        <v>Paper</v>
      </c>
      <c r="P836" s="12">
        <f>HLOOKUP(C836,'Commission Criteria'!$A$2:$I$4,3,FALSE)</f>
        <v>1</v>
      </c>
      <c r="Q836" s="8">
        <f t="shared" ref="Q836:Q899" si="40">N836*G836</f>
        <v>1320</v>
      </c>
      <c r="R836" s="8">
        <f t="shared" ref="R836:R899" si="41">M836*G836</f>
        <v>2929</v>
      </c>
      <c r="S836" s="36">
        <f>VLOOKUP(R836,'Commission Criteria'!$L$3:$M$11,2,TRUE)</f>
        <v>0.01</v>
      </c>
      <c r="T836" s="36">
        <f>IF(P836&lt;5,VLOOKUP(R836,'Commission Criteria'!$L$3:$M$11,2,1),VLOOKUP('Order SUmmary'!R836,'Commission Criteria'!$P$3:$Q$11,2,1))</f>
        <v>0.01</v>
      </c>
      <c r="U836" s="36">
        <f>VLOOKUP(R836,IF(P836&lt;5,'Commission Criteria'!$L$3:$M$11,'Commission Criteria'!$P$3:$Q$11),2,1)</f>
        <v>0.01</v>
      </c>
      <c r="V836" s="8" t="s">
        <v>50</v>
      </c>
      <c r="W836" s="36">
        <f t="shared" ref="W836:W899" ca="1" si="42">VLOOKUP(F836,INDIRECT(V836&amp;"!$A$1:$B$296"),2,0)</f>
        <v>0.04</v>
      </c>
      <c r="X836" s="8" t="str">
        <f>_xlfn.XLOOKUP(F836,'Product List'!$B$1:$B$299,'Product List'!$A$1:$A$299)</f>
        <v>Xerox 1935</v>
      </c>
      <c r="Y836" s="8"/>
      <c r="Z836" s="8" t="str" cm="1">
        <f t="array" ref="Z836:AD836">_xlfn.XLOOKUP(D836,'Customer Details'!$A$1:$A$17,'Customer Details'!$B$1:$F$17,"No such customer",0,1)</f>
        <v>Elder Pharmaceuticals</v>
      </c>
      <c r="AA836" s="8" t="str">
        <v>57 Neriba Cres</v>
      </c>
      <c r="AB836" s="8" t="str">
        <v>Omaha</v>
      </c>
      <c r="AC836" s="8" t="str">
        <v>NE</v>
      </c>
      <c r="AD836" s="8" t="str">
        <v>68127</v>
      </c>
    </row>
    <row r="837" spans="1:30">
      <c r="A837" s="8" t="s">
        <v>883</v>
      </c>
      <c r="B837" s="19">
        <v>42040</v>
      </c>
      <c r="C837" s="8" t="s">
        <v>51</v>
      </c>
      <c r="D837" s="8">
        <v>10015</v>
      </c>
      <c r="E837" s="8" t="str">
        <f>VLOOKUP($D837,'Customer Details'!$A$1:$F$17,4,FALSE)</f>
        <v>South Windsor</v>
      </c>
      <c r="F837" s="8" t="s">
        <v>487</v>
      </c>
      <c r="G837" s="8">
        <v>1</v>
      </c>
      <c r="H837" s="2" t="str">
        <f>VLOOKUP($D837,'Customer Details'!$A$1:$F$17,MATCH('Order SUmmary'!H$2,'Customer Details'!$A$1:$F$1,0),0)</f>
        <v>Punj Lloyd Ltd.</v>
      </c>
      <c r="I837" s="2" t="str">
        <f>VLOOKUP($D837,'Customer Details'!$A$1:$F$17,4,0)</f>
        <v>South Windsor</v>
      </c>
      <c r="J837" s="2" t="str">
        <f>VLOOKUP($D837,'Customer Details'!$A$1:$F$17,6,0)</f>
        <v>06074</v>
      </c>
      <c r="K837" s="8" t="str">
        <f>VLOOKUP(VLOOKUP(D837,'Customer Details'!$A$1:$F$17,5,0),'Region INfo'!$A$1:$C$52,3,0)</f>
        <v xml:space="preserve">Northern </v>
      </c>
      <c r="L837" s="8" t="str">
        <f>INDEX(Product_List,MATCH($F837,'Product List'!$B$1:$B$299,0),MATCH('Order SUmmary'!L$2,'Product List'!$A$1:$E$1,0))</f>
        <v>Xerox 1949</v>
      </c>
      <c r="M837" s="8">
        <f>INDEX(Product_List,MATCH($F837,'Product List'!$B$1:$B$299,0),MATCH('Order SUmmary'!M$2,'Product List'!$A$1:$E$1,0))</f>
        <v>3197</v>
      </c>
      <c r="N837" s="8">
        <f>INDEX(Product_List,MATCH($F837,'Product List'!$B$1:$B$299,0),MATCH('Order SUmmary'!N$2,'Product List'!$A$1:$E$1,0))</f>
        <v>1625</v>
      </c>
      <c r="O837" s="8" t="str">
        <f>INDEX(Product_List,MATCH($F837,'Product List'!$B$1:$B$299,0),MATCH('Order SUmmary'!O$2,'Product List'!$A$1:$E$1,0))</f>
        <v>Paper</v>
      </c>
      <c r="P837" s="12">
        <f>HLOOKUP(C837,'Commission Criteria'!$A$2:$I$4,3,FALSE)</f>
        <v>10</v>
      </c>
      <c r="Q837" s="8">
        <f t="shared" si="40"/>
        <v>1625</v>
      </c>
      <c r="R837" s="8">
        <f t="shared" si="41"/>
        <v>3197</v>
      </c>
      <c r="S837" s="36">
        <f>VLOOKUP(R837,'Commission Criteria'!$L$3:$M$11,2,TRUE)</f>
        <v>0.01</v>
      </c>
      <c r="T837" s="36">
        <f>IF(P837&lt;5,VLOOKUP(R837,'Commission Criteria'!$L$3:$M$11,2,1),VLOOKUP('Order SUmmary'!R837,'Commission Criteria'!$P$3:$Q$11,2,1))</f>
        <v>0.02</v>
      </c>
      <c r="U837" s="36">
        <f>VLOOKUP(R837,IF(P837&lt;5,'Commission Criteria'!$L$3:$M$11,'Commission Criteria'!$P$3:$Q$11),2,1)</f>
        <v>0.02</v>
      </c>
      <c r="V837" s="8" t="s">
        <v>32</v>
      </c>
      <c r="W837" s="36">
        <f t="shared" ca="1" si="42"/>
        <v>0.03</v>
      </c>
      <c r="X837" s="8" t="str">
        <f>_xlfn.XLOOKUP(F837,'Product List'!$B$1:$B$299,'Product List'!$A$1:$A$299)</f>
        <v>Xerox 1949</v>
      </c>
      <c r="Y837" s="8"/>
      <c r="Z837" s="8" t="str" cm="1">
        <f t="array" ref="Z837:AD837">_xlfn.XLOOKUP(D837,'Customer Details'!$A$1:$A$17,'Customer Details'!$B$1:$F$17,"No such customer",0,1)</f>
        <v>Punj Lloyd Ltd.</v>
      </c>
      <c r="AA837" s="8" t="str">
        <v>Box 3263</v>
      </c>
      <c r="AB837" s="8" t="str">
        <v>South Windsor</v>
      </c>
      <c r="AC837" s="8" t="str">
        <v>CT</v>
      </c>
      <c r="AD837" s="8" t="str">
        <v>06074</v>
      </c>
    </row>
    <row r="838" spans="1:30">
      <c r="A838" s="8" t="s">
        <v>883</v>
      </c>
      <c r="B838" s="19">
        <v>42040</v>
      </c>
      <c r="C838" s="8" t="s">
        <v>46</v>
      </c>
      <c r="D838" s="8">
        <v>10009</v>
      </c>
      <c r="E838" s="8" t="str">
        <f>VLOOKUP($D838,'Customer Details'!$A$1:$F$17,4,FALSE)</f>
        <v>Salt Lake City</v>
      </c>
      <c r="F838" s="8" t="s">
        <v>158</v>
      </c>
      <c r="G838" s="8">
        <v>2</v>
      </c>
      <c r="H838" s="2" t="str">
        <f>VLOOKUP($D838,'Customer Details'!$A$1:$F$17,MATCH('Order SUmmary'!H$2,'Customer Details'!$A$1:$F$1,0),0)</f>
        <v>Godfrey Philips India Ltd.</v>
      </c>
      <c r="I838" s="2" t="str">
        <f>VLOOKUP($D838,'Customer Details'!$A$1:$F$17,4,0)</f>
        <v>Salt Lake City</v>
      </c>
      <c r="J838" s="2" t="str">
        <f>VLOOKUP($D838,'Customer Details'!$A$1:$F$17,6,0)</f>
        <v>84118</v>
      </c>
      <c r="K838" s="8" t="str">
        <f>VLOOKUP(VLOOKUP(D838,'Customer Details'!$A$1:$F$17,5,0),'Region INfo'!$A$1:$C$52,3,0)</f>
        <v xml:space="preserve">Pacific   </v>
      </c>
      <c r="L838" s="8" t="str">
        <f>INDEX(Product_List,MATCH($F838,'Product List'!$B$1:$B$299,0),MATCH('Order SUmmary'!L$2,'Product List'!$A$1:$E$1,0))</f>
        <v>Vtech CS6719</v>
      </c>
      <c r="M838" s="8">
        <f>INDEX(Product_List,MATCH($F838,'Product List'!$B$1:$B$299,0),MATCH('Order SUmmary'!M$2,'Product List'!$A$1:$E$1,0))</f>
        <v>3553</v>
      </c>
      <c r="N838" s="8">
        <f>INDEX(Product_List,MATCH($F838,'Product List'!$B$1:$B$299,0),MATCH('Order SUmmary'!N$2,'Product List'!$A$1:$E$1,0))</f>
        <v>2174</v>
      </c>
      <c r="O838" s="8" t="str">
        <f>INDEX(Product_List,MATCH($F838,'Product List'!$B$1:$B$299,0),MATCH('Order SUmmary'!O$2,'Product List'!$A$1:$E$1,0))</f>
        <v>Phones</v>
      </c>
      <c r="P838" s="12">
        <f>HLOOKUP(C838,'Commission Criteria'!$A$2:$I$4,3,FALSE)</f>
        <v>8</v>
      </c>
      <c r="Q838" s="8">
        <f t="shared" si="40"/>
        <v>4348</v>
      </c>
      <c r="R838" s="8">
        <f t="shared" si="41"/>
        <v>7106</v>
      </c>
      <c r="S838" s="36">
        <f>VLOOKUP(R838,'Commission Criteria'!$L$3:$M$11,2,TRUE)</f>
        <v>0.03</v>
      </c>
      <c r="T838" s="36">
        <f>IF(P838&lt;5,VLOOKUP(R838,'Commission Criteria'!$L$3:$M$11,2,1),VLOOKUP('Order SUmmary'!R838,'Commission Criteria'!$P$3:$Q$11,2,1))</f>
        <v>0.02</v>
      </c>
      <c r="U838" s="36">
        <f>VLOOKUP(R838,IF(P838&lt;5,'Commission Criteria'!$L$3:$M$11,'Commission Criteria'!$P$3:$Q$11),2,1)</f>
        <v>0.02</v>
      </c>
      <c r="V838" s="8" t="s">
        <v>50</v>
      </c>
      <c r="W838" s="36">
        <f t="shared" ca="1" si="42"/>
        <v>0.03</v>
      </c>
      <c r="X838" s="8" t="str">
        <f>_xlfn.XLOOKUP(F838,'Product List'!$B$1:$B$299,'Product List'!$A$1:$A$299)</f>
        <v>Vtech CS6719</v>
      </c>
      <c r="Y838" s="8"/>
      <c r="Z838" s="8" t="str" cm="1">
        <f t="array" ref="Z838:AD838">_xlfn.XLOOKUP(D838,'Customer Details'!$A$1:$A$17,'Customer Details'!$B$1:$F$17,"No such customer",0,1)</f>
        <v>Godfrey Philips India Ltd.</v>
      </c>
      <c r="AA838" s="8" t="str">
        <v>20501 Ania Ave #2</v>
      </c>
      <c r="AB838" s="8" t="str">
        <v>Salt Lake City</v>
      </c>
      <c r="AC838" s="8" t="str">
        <v>UT</v>
      </c>
      <c r="AD838" s="8" t="str">
        <v>84118</v>
      </c>
    </row>
    <row r="839" spans="1:30">
      <c r="A839" s="8" t="s">
        <v>884</v>
      </c>
      <c r="B839" s="19">
        <v>42041</v>
      </c>
      <c r="C839" s="8" t="s">
        <v>51</v>
      </c>
      <c r="D839" s="8">
        <v>10003</v>
      </c>
      <c r="E839" s="8" t="str">
        <f>VLOOKUP($D839,'Customer Details'!$A$1:$F$17,4,FALSE)</f>
        <v>Miami</v>
      </c>
      <c r="F839" s="8" t="s">
        <v>145</v>
      </c>
      <c r="G839" s="8">
        <v>1</v>
      </c>
      <c r="H839" s="2" t="str">
        <f>VLOOKUP($D839,'Customer Details'!$A$1:$F$17,MATCH('Order SUmmary'!H$2,'Customer Details'!$A$1:$F$1,0),0)</f>
        <v>Honeywell Automation</v>
      </c>
      <c r="I839" s="2" t="str">
        <f>VLOOKUP($D839,'Customer Details'!$A$1:$F$17,4,0)</f>
        <v>Miami</v>
      </c>
      <c r="J839" s="2" t="str">
        <f>VLOOKUP($D839,'Customer Details'!$A$1:$F$17,6,0)</f>
        <v>33732</v>
      </c>
      <c r="K839" s="8" t="str">
        <f>VLOOKUP(VLOOKUP(D839,'Customer Details'!$A$1:$F$17,5,0),'Region INfo'!$A$1:$C$52,3,0)</f>
        <v>Southern</v>
      </c>
      <c r="L839" s="8" t="str">
        <f>INDEX(Product_List,MATCH($F839,'Product List'!$B$1:$B$299,0),MATCH('Order SUmmary'!L$2,'Product List'!$A$1:$E$1,0))</f>
        <v>Xerox 1913</v>
      </c>
      <c r="M839" s="8">
        <f>INDEX(Product_List,MATCH($F839,'Product List'!$B$1:$B$299,0),MATCH('Order SUmmary'!M$2,'Product List'!$A$1:$E$1,0))</f>
        <v>2547</v>
      </c>
      <c r="N839" s="8">
        <f>INDEX(Product_List,MATCH($F839,'Product List'!$B$1:$B$299,0),MATCH('Order SUmmary'!N$2,'Product List'!$A$1:$E$1,0))</f>
        <v>1419</v>
      </c>
      <c r="O839" s="8" t="str">
        <f>INDEX(Product_List,MATCH($F839,'Product List'!$B$1:$B$299,0),MATCH('Order SUmmary'!O$2,'Product List'!$A$1:$E$1,0))</f>
        <v>Paper</v>
      </c>
      <c r="P839" s="12">
        <f>HLOOKUP(C839,'Commission Criteria'!$A$2:$I$4,3,FALSE)</f>
        <v>10</v>
      </c>
      <c r="Q839" s="8">
        <f t="shared" si="40"/>
        <v>1419</v>
      </c>
      <c r="R839" s="8">
        <f t="shared" si="41"/>
        <v>2547</v>
      </c>
      <c r="S839" s="36">
        <f>VLOOKUP(R839,'Commission Criteria'!$L$3:$M$11,2,TRUE)</f>
        <v>0.01</v>
      </c>
      <c r="T839" s="36">
        <f>IF(P839&lt;5,VLOOKUP(R839,'Commission Criteria'!$L$3:$M$11,2,1),VLOOKUP('Order SUmmary'!R839,'Commission Criteria'!$P$3:$Q$11,2,1))</f>
        <v>0.02</v>
      </c>
      <c r="U839" s="36">
        <f>VLOOKUP(R839,IF(P839&lt;5,'Commission Criteria'!$L$3:$M$11,'Commission Criteria'!$P$3:$Q$11),2,1)</f>
        <v>0.02</v>
      </c>
      <c r="V839" s="8" t="s">
        <v>35</v>
      </c>
      <c r="W839" s="36">
        <f t="shared" ca="1" si="42"/>
        <v>0</v>
      </c>
      <c r="X839" s="8" t="str">
        <f>_xlfn.XLOOKUP(F839,'Product List'!$B$1:$B$299,'Product List'!$A$1:$A$299)</f>
        <v>Xerox 1913</v>
      </c>
      <c r="Y839" s="8"/>
      <c r="Z839" s="8" t="str" cm="1">
        <f t="array" ref="Z839:AD839">_xlfn.XLOOKUP(D839,'Customer Details'!$A$1:$A$17,'Customer Details'!$B$1:$F$17,"No such customer",0,1)</f>
        <v>Honeywell Automation</v>
      </c>
      <c r="AA839" s="8" t="str">
        <v>1272 Harbor Road</v>
      </c>
      <c r="AB839" s="8" t="str">
        <v>Miami</v>
      </c>
      <c r="AC839" s="8" t="str">
        <v>FL</v>
      </c>
      <c r="AD839" s="8" t="str">
        <v>33732</v>
      </c>
    </row>
    <row r="840" spans="1:30">
      <c r="A840" s="8" t="s">
        <v>885</v>
      </c>
      <c r="B840" s="19">
        <v>42041</v>
      </c>
      <c r="C840" s="8" t="s">
        <v>46</v>
      </c>
      <c r="D840" s="8">
        <v>10003</v>
      </c>
      <c r="E840" s="8" t="str">
        <f>VLOOKUP($D840,'Customer Details'!$A$1:$F$17,4,FALSE)</f>
        <v>Miami</v>
      </c>
      <c r="F840" s="8" t="s">
        <v>541</v>
      </c>
      <c r="G840" s="8">
        <v>2</v>
      </c>
      <c r="H840" s="2" t="str">
        <f>VLOOKUP($D840,'Customer Details'!$A$1:$F$17,MATCH('Order SUmmary'!H$2,'Customer Details'!$A$1:$F$1,0),0)</f>
        <v>Honeywell Automation</v>
      </c>
      <c r="I840" s="2" t="str">
        <f>VLOOKUP($D840,'Customer Details'!$A$1:$F$17,4,0)</f>
        <v>Miami</v>
      </c>
      <c r="J840" s="2" t="str">
        <f>VLOOKUP($D840,'Customer Details'!$A$1:$F$17,6,0)</f>
        <v>33732</v>
      </c>
      <c r="K840" s="8" t="str">
        <f>VLOOKUP(VLOOKUP(D840,'Customer Details'!$A$1:$F$17,5,0),'Region INfo'!$A$1:$C$52,3,0)</f>
        <v>Southern</v>
      </c>
      <c r="L840" s="8" t="str">
        <f>INDEX(Product_List,MATCH($F840,'Product List'!$B$1:$B$299,0),MATCH('Order SUmmary'!L$2,'Product List'!$A$1:$E$1,0))</f>
        <v>Xerox 221</v>
      </c>
      <c r="M840" s="8">
        <f>INDEX(Product_List,MATCH($F840,'Product List'!$B$1:$B$299,0),MATCH('Order SUmmary'!M$2,'Product List'!$A$1:$E$1,0))</f>
        <v>4152</v>
      </c>
      <c r="N840" s="8">
        <f>INDEX(Product_List,MATCH($F840,'Product List'!$B$1:$B$299,0),MATCH('Order SUmmary'!N$2,'Product List'!$A$1:$E$1,0))</f>
        <v>1278</v>
      </c>
      <c r="O840" s="8" t="str">
        <f>INDEX(Product_List,MATCH($F840,'Product List'!$B$1:$B$299,0),MATCH('Order SUmmary'!O$2,'Product List'!$A$1:$E$1,0))</f>
        <v>Paper</v>
      </c>
      <c r="P840" s="12">
        <f>HLOOKUP(C840,'Commission Criteria'!$A$2:$I$4,3,FALSE)</f>
        <v>8</v>
      </c>
      <c r="Q840" s="8">
        <f t="shared" si="40"/>
        <v>2556</v>
      </c>
      <c r="R840" s="8">
        <f t="shared" si="41"/>
        <v>8304</v>
      </c>
      <c r="S840" s="36">
        <f>VLOOKUP(R840,'Commission Criteria'!$L$3:$M$11,2,TRUE)</f>
        <v>0.03</v>
      </c>
      <c r="T840" s="36">
        <f>IF(P840&lt;5,VLOOKUP(R840,'Commission Criteria'!$L$3:$M$11,2,1),VLOOKUP('Order SUmmary'!R840,'Commission Criteria'!$P$3:$Q$11,2,1))</f>
        <v>0.02</v>
      </c>
      <c r="U840" s="36">
        <f>VLOOKUP(R840,IF(P840&lt;5,'Commission Criteria'!$L$3:$M$11,'Commission Criteria'!$P$3:$Q$11),2,1)</f>
        <v>0.02</v>
      </c>
      <c r="V840" s="8" t="s">
        <v>40</v>
      </c>
      <c r="W840" s="36">
        <f t="shared" ca="1" si="42"/>
        <v>0.01</v>
      </c>
      <c r="X840" s="8" t="str">
        <f>_xlfn.XLOOKUP(F840,'Product List'!$B$1:$B$299,'Product List'!$A$1:$A$299)</f>
        <v>Xerox 221</v>
      </c>
      <c r="Y840" s="8"/>
      <c r="Z840" s="8" t="str" cm="1">
        <f t="array" ref="Z840:AD840">_xlfn.XLOOKUP(D840,'Customer Details'!$A$1:$A$17,'Customer Details'!$B$1:$F$17,"No such customer",0,1)</f>
        <v>Honeywell Automation</v>
      </c>
      <c r="AA840" s="8" t="str">
        <v>1272 Harbor Road</v>
      </c>
      <c r="AB840" s="8" t="str">
        <v>Miami</v>
      </c>
      <c r="AC840" s="8" t="str">
        <v>FL</v>
      </c>
      <c r="AD840" s="8" t="str">
        <v>33732</v>
      </c>
    </row>
    <row r="841" spans="1:30">
      <c r="A841" s="8" t="s">
        <v>884</v>
      </c>
      <c r="B841" s="19">
        <v>42041</v>
      </c>
      <c r="C841" s="8" t="s">
        <v>54</v>
      </c>
      <c r="D841" s="8">
        <v>10004</v>
      </c>
      <c r="E841" s="8" t="str">
        <f>VLOOKUP($D841,'Customer Details'!$A$1:$F$17,4,FALSE)</f>
        <v>New York</v>
      </c>
      <c r="F841" s="8" t="s">
        <v>84</v>
      </c>
      <c r="G841" s="8">
        <v>2</v>
      </c>
      <c r="H841" s="2" t="str">
        <f>VLOOKUP($D841,'Customer Details'!$A$1:$F$17,MATCH('Order SUmmary'!H$2,'Customer Details'!$A$1:$F$1,0),0)</f>
        <v>Lupin Ltd.</v>
      </c>
      <c r="I841" s="2" t="str">
        <f>VLOOKUP($D841,'Customer Details'!$A$1:$F$17,4,0)</f>
        <v>New York</v>
      </c>
      <c r="J841" s="2" t="str">
        <f>VLOOKUP($D841,'Customer Details'!$A$1:$F$17,6,0)</f>
        <v>10019</v>
      </c>
      <c r="K841" s="8" t="str">
        <f>VLOOKUP(VLOOKUP(D841,'Customer Details'!$A$1:$F$17,5,0),'Region INfo'!$A$1:$C$52,3,0)</f>
        <v xml:space="preserve">Northern </v>
      </c>
      <c r="L841" s="8" t="str">
        <f>INDEX(Product_List,MATCH($F841,'Product List'!$B$1:$B$299,0),MATCH('Order SUmmary'!L$2,'Product List'!$A$1:$E$1,0))</f>
        <v>Xerox 1979</v>
      </c>
      <c r="M841" s="8">
        <f>INDEX(Product_List,MATCH($F841,'Product List'!$B$1:$B$299,0),MATCH('Order SUmmary'!M$2,'Product List'!$A$1:$E$1,0))</f>
        <v>4731</v>
      </c>
      <c r="N841" s="8">
        <f>INDEX(Product_List,MATCH($F841,'Product List'!$B$1:$B$299,0),MATCH('Order SUmmary'!N$2,'Product List'!$A$1:$E$1,0))</f>
        <v>1858</v>
      </c>
      <c r="O841" s="8" t="str">
        <f>INDEX(Product_List,MATCH($F841,'Product List'!$B$1:$B$299,0),MATCH('Order SUmmary'!O$2,'Product List'!$A$1:$E$1,0))</f>
        <v>Paper</v>
      </c>
      <c r="P841" s="12">
        <f>HLOOKUP(C841,'Commission Criteria'!$A$2:$I$4,3,FALSE)</f>
        <v>3</v>
      </c>
      <c r="Q841" s="8">
        <f t="shared" si="40"/>
        <v>3716</v>
      </c>
      <c r="R841" s="8">
        <f t="shared" si="41"/>
        <v>9462</v>
      </c>
      <c r="S841" s="36">
        <f>VLOOKUP(R841,'Commission Criteria'!$L$3:$M$11,2,TRUE)</f>
        <v>0.03</v>
      </c>
      <c r="T841" s="36">
        <f>IF(P841&lt;5,VLOOKUP(R841,'Commission Criteria'!$L$3:$M$11,2,1),VLOOKUP('Order SUmmary'!R841,'Commission Criteria'!$P$3:$Q$11,2,1))</f>
        <v>0.03</v>
      </c>
      <c r="U841" s="36">
        <f>VLOOKUP(R841,IF(P841&lt;5,'Commission Criteria'!$L$3:$M$11,'Commission Criteria'!$P$3:$Q$11),2,1)</f>
        <v>0.03</v>
      </c>
      <c r="V841" s="8" t="s">
        <v>50</v>
      </c>
      <c r="W841" s="36">
        <f t="shared" ca="1" si="42"/>
        <v>0.01</v>
      </c>
      <c r="X841" s="8" t="str">
        <f>_xlfn.XLOOKUP(F841,'Product List'!$B$1:$B$299,'Product List'!$A$1:$A$299)</f>
        <v>Xerox 1979</v>
      </c>
      <c r="Y841" s="8"/>
      <c r="Z841" s="8" t="str" cm="1">
        <f t="array" ref="Z841:AD841">_xlfn.XLOOKUP(D841,'Customer Details'!$A$1:$A$17,'Customer Details'!$B$1:$F$17,"No such customer",0,1)</f>
        <v>Lupin Ltd.</v>
      </c>
      <c r="AA841" s="8" t="str">
        <v>Abbey Wood</v>
      </c>
      <c r="AB841" s="8" t="str">
        <v>New York</v>
      </c>
      <c r="AC841" s="8" t="str">
        <v>NY</v>
      </c>
      <c r="AD841" s="8" t="str">
        <v>10019</v>
      </c>
    </row>
    <row r="842" spans="1:30">
      <c r="A842" s="8" t="s">
        <v>886</v>
      </c>
      <c r="B842" s="19">
        <v>42042</v>
      </c>
      <c r="C842" s="8" t="s">
        <v>44</v>
      </c>
      <c r="D842" s="8">
        <v>10002</v>
      </c>
      <c r="E842" s="8" t="str">
        <f>VLOOKUP($D842,'Customer Details'!$A$1:$F$17,4,FALSE)</f>
        <v>Omaha</v>
      </c>
      <c r="F842" s="8" t="s">
        <v>861</v>
      </c>
      <c r="G842" s="8">
        <v>2</v>
      </c>
      <c r="H842" s="2" t="str">
        <f>VLOOKUP($D842,'Customer Details'!$A$1:$F$17,MATCH('Order SUmmary'!H$2,'Customer Details'!$A$1:$F$1,0),0)</f>
        <v>Elder Pharmaceuticals</v>
      </c>
      <c r="I842" s="2" t="str">
        <f>VLOOKUP($D842,'Customer Details'!$A$1:$F$17,4,0)</f>
        <v>Omaha</v>
      </c>
      <c r="J842" s="2" t="str">
        <f>VLOOKUP($D842,'Customer Details'!$A$1:$F$17,6,0)</f>
        <v>68127</v>
      </c>
      <c r="K842" s="8" t="str">
        <f>VLOOKUP(VLOOKUP(D842,'Customer Details'!$A$1:$F$17,5,0),'Region INfo'!$A$1:$C$52,3,0)</f>
        <v>Western</v>
      </c>
      <c r="L842" s="8" t="str">
        <f>INDEX(Product_List,MATCH($F842,'Product List'!$B$1:$B$299,0),MATCH('Order SUmmary'!L$2,'Product List'!$A$1:$E$1,0))</f>
        <v>Xerox 20</v>
      </c>
      <c r="M842" s="8">
        <f>INDEX(Product_List,MATCH($F842,'Product List'!$B$1:$B$299,0),MATCH('Order SUmmary'!M$2,'Product List'!$A$1:$E$1,0))</f>
        <v>4477</v>
      </c>
      <c r="N842" s="8">
        <f>INDEX(Product_List,MATCH($F842,'Product List'!$B$1:$B$299,0),MATCH('Order SUmmary'!N$2,'Product List'!$A$1:$E$1,0))</f>
        <v>1491</v>
      </c>
      <c r="O842" s="8" t="str">
        <f>INDEX(Product_List,MATCH($F842,'Product List'!$B$1:$B$299,0),MATCH('Order SUmmary'!O$2,'Product List'!$A$1:$E$1,0))</f>
        <v>Paper</v>
      </c>
      <c r="P842" s="12">
        <f>HLOOKUP(C842,'Commission Criteria'!$A$2:$I$4,3,FALSE)</f>
        <v>4</v>
      </c>
      <c r="Q842" s="8">
        <f t="shared" si="40"/>
        <v>2982</v>
      </c>
      <c r="R842" s="8">
        <f t="shared" si="41"/>
        <v>8954</v>
      </c>
      <c r="S842" s="36">
        <f>VLOOKUP(R842,'Commission Criteria'!$L$3:$M$11,2,TRUE)</f>
        <v>0.03</v>
      </c>
      <c r="T842" s="36">
        <f>IF(P842&lt;5,VLOOKUP(R842,'Commission Criteria'!$L$3:$M$11,2,1),VLOOKUP('Order SUmmary'!R842,'Commission Criteria'!$P$3:$Q$11,2,1))</f>
        <v>0.03</v>
      </c>
      <c r="U842" s="36">
        <f>VLOOKUP(R842,IF(P842&lt;5,'Commission Criteria'!$L$3:$M$11,'Commission Criteria'!$P$3:$Q$11),2,1)</f>
        <v>0.03</v>
      </c>
      <c r="V842" s="8" t="s">
        <v>32</v>
      </c>
      <c r="W842" s="36">
        <f t="shared" ca="1" si="42"/>
        <v>0.02</v>
      </c>
      <c r="X842" s="8" t="str">
        <f>_xlfn.XLOOKUP(F842,'Product List'!$B$1:$B$299,'Product List'!$A$1:$A$299)</f>
        <v>Xerox 20</v>
      </c>
      <c r="Y842" s="8"/>
      <c r="Z842" s="8" t="str" cm="1">
        <f t="array" ref="Z842:AD842">_xlfn.XLOOKUP(D842,'Customer Details'!$A$1:$A$17,'Customer Details'!$B$1:$F$17,"No such customer",0,1)</f>
        <v>Elder Pharmaceuticals</v>
      </c>
      <c r="AA842" s="8" t="str">
        <v>57 Neriba Cres</v>
      </c>
      <c r="AB842" s="8" t="str">
        <v>Omaha</v>
      </c>
      <c r="AC842" s="8" t="str">
        <v>NE</v>
      </c>
      <c r="AD842" s="8" t="str">
        <v>68127</v>
      </c>
    </row>
    <row r="843" spans="1:30">
      <c r="A843" s="8" t="s">
        <v>887</v>
      </c>
      <c r="B843" s="19">
        <v>42044</v>
      </c>
      <c r="C843" s="8" t="s">
        <v>36</v>
      </c>
      <c r="D843" s="8">
        <v>10002</v>
      </c>
      <c r="E843" s="8" t="str">
        <f>VLOOKUP($D843,'Customer Details'!$A$1:$F$17,4,FALSE)</f>
        <v>Omaha</v>
      </c>
      <c r="F843" s="8" t="s">
        <v>256</v>
      </c>
      <c r="G843" s="8">
        <v>1</v>
      </c>
      <c r="H843" s="2" t="str">
        <f>VLOOKUP($D843,'Customer Details'!$A$1:$F$17,MATCH('Order SUmmary'!H$2,'Customer Details'!$A$1:$F$1,0),0)</f>
        <v>Elder Pharmaceuticals</v>
      </c>
      <c r="I843" s="2" t="str">
        <f>VLOOKUP($D843,'Customer Details'!$A$1:$F$17,4,0)</f>
        <v>Omaha</v>
      </c>
      <c r="J843" s="2" t="str">
        <f>VLOOKUP($D843,'Customer Details'!$A$1:$F$17,6,0)</f>
        <v>68127</v>
      </c>
      <c r="K843" s="8" t="str">
        <f>VLOOKUP(VLOOKUP(D843,'Customer Details'!$A$1:$F$17,5,0),'Region INfo'!$A$1:$C$52,3,0)</f>
        <v>Western</v>
      </c>
      <c r="L843" s="8" t="str">
        <f>INDEX(Product_List,MATCH($F843,'Product List'!$B$1:$B$299,0),MATCH('Order SUmmary'!L$2,'Product List'!$A$1:$E$1,0))</f>
        <v>Newell 313</v>
      </c>
      <c r="M843" s="8">
        <f>INDEX(Product_List,MATCH($F843,'Product List'!$B$1:$B$299,0),MATCH('Order SUmmary'!M$2,'Product List'!$A$1:$E$1,0))</f>
        <v>2517</v>
      </c>
      <c r="N843" s="8">
        <f>INDEX(Product_List,MATCH($F843,'Product List'!$B$1:$B$299,0),MATCH('Order SUmmary'!N$2,'Product List'!$A$1:$E$1,0))</f>
        <v>2149</v>
      </c>
      <c r="O843" s="8" t="str">
        <f>INDEX(Product_List,MATCH($F843,'Product List'!$B$1:$B$299,0),MATCH('Order SUmmary'!O$2,'Product List'!$A$1:$E$1,0))</f>
        <v>Art</v>
      </c>
      <c r="P843" s="12">
        <f>HLOOKUP(C843,'Commission Criteria'!$A$2:$I$4,3,FALSE)</f>
        <v>6</v>
      </c>
      <c r="Q843" s="8">
        <f t="shared" si="40"/>
        <v>2149</v>
      </c>
      <c r="R843" s="8">
        <f t="shared" si="41"/>
        <v>2517</v>
      </c>
      <c r="S843" s="36">
        <f>VLOOKUP(R843,'Commission Criteria'!$L$3:$M$11,2,TRUE)</f>
        <v>0.01</v>
      </c>
      <c r="T843" s="36">
        <f>IF(P843&lt;5,VLOOKUP(R843,'Commission Criteria'!$L$3:$M$11,2,1),VLOOKUP('Order SUmmary'!R843,'Commission Criteria'!$P$3:$Q$11,2,1))</f>
        <v>0.02</v>
      </c>
      <c r="U843" s="36">
        <f>VLOOKUP(R843,IF(P843&lt;5,'Commission Criteria'!$L$3:$M$11,'Commission Criteria'!$P$3:$Q$11),2,1)</f>
        <v>0.02</v>
      </c>
      <c r="V843" s="8" t="s">
        <v>40</v>
      </c>
      <c r="W843" s="36">
        <f t="shared" ca="1" si="42"/>
        <v>0</v>
      </c>
      <c r="X843" s="8" t="str">
        <f>_xlfn.XLOOKUP(F843,'Product List'!$B$1:$B$299,'Product List'!$A$1:$A$299)</f>
        <v>Newell 313</v>
      </c>
      <c r="Y843" s="8"/>
      <c r="Z843" s="8" t="str" cm="1">
        <f t="array" ref="Z843:AD843">_xlfn.XLOOKUP(D843,'Customer Details'!$A$1:$A$17,'Customer Details'!$B$1:$F$17,"No such customer",0,1)</f>
        <v>Elder Pharmaceuticals</v>
      </c>
      <c r="AA843" s="8" t="str">
        <v>57 Neriba Cres</v>
      </c>
      <c r="AB843" s="8" t="str">
        <v>Omaha</v>
      </c>
      <c r="AC843" s="8" t="str">
        <v>NE</v>
      </c>
      <c r="AD843" s="8" t="str">
        <v>68127</v>
      </c>
    </row>
    <row r="844" spans="1:30">
      <c r="A844" s="8" t="s">
        <v>887</v>
      </c>
      <c r="B844" s="19">
        <v>42044</v>
      </c>
      <c r="C844" s="8" t="s">
        <v>51</v>
      </c>
      <c r="D844" s="8">
        <v>10005</v>
      </c>
      <c r="E844" s="8" t="str">
        <f>VLOOKUP($D844,'Customer Details'!$A$1:$F$17,4,FALSE)</f>
        <v>Goleta</v>
      </c>
      <c r="F844" s="8" t="s">
        <v>515</v>
      </c>
      <c r="G844" s="8">
        <v>2</v>
      </c>
      <c r="H844" s="2" t="str">
        <f>VLOOKUP($D844,'Customer Details'!$A$1:$F$17,MATCH('Order SUmmary'!H$2,'Customer Details'!$A$1:$F$1,0),0)</f>
        <v>Fortis Healthcare Ltd.</v>
      </c>
      <c r="I844" s="2" t="str">
        <f>VLOOKUP($D844,'Customer Details'!$A$1:$F$17,4,0)</f>
        <v>Goleta</v>
      </c>
      <c r="J844" s="2" t="str">
        <f>VLOOKUP($D844,'Customer Details'!$A$1:$F$17,6,0)</f>
        <v>93117</v>
      </c>
      <c r="K844" s="8" t="str">
        <f>VLOOKUP(VLOOKUP(D844,'Customer Details'!$A$1:$F$17,5,0),'Region INfo'!$A$1:$C$52,3,0)</f>
        <v xml:space="preserve">Pacific   </v>
      </c>
      <c r="L844" s="8" t="str">
        <f>INDEX(Product_List,MATCH($F844,'Product List'!$B$1:$B$299,0),MATCH('Order SUmmary'!L$2,'Product List'!$A$1:$E$1,0))</f>
        <v>Staple holder</v>
      </c>
      <c r="M844" s="8">
        <f>INDEX(Product_List,MATCH($F844,'Product List'!$B$1:$B$299,0),MATCH('Order SUmmary'!M$2,'Product List'!$A$1:$E$1,0))</f>
        <v>2500</v>
      </c>
      <c r="N844" s="8">
        <f>INDEX(Product_List,MATCH($F844,'Product List'!$B$1:$B$299,0),MATCH('Order SUmmary'!N$2,'Product List'!$A$1:$E$1,0))</f>
        <v>1914</v>
      </c>
      <c r="O844" s="8" t="str">
        <f>INDEX(Product_List,MATCH($F844,'Product List'!$B$1:$B$299,0),MATCH('Order SUmmary'!O$2,'Product List'!$A$1:$E$1,0))</f>
        <v>Appliances</v>
      </c>
      <c r="P844" s="12">
        <f>HLOOKUP(C844,'Commission Criteria'!$A$2:$I$4,3,FALSE)</f>
        <v>10</v>
      </c>
      <c r="Q844" s="8">
        <f t="shared" si="40"/>
        <v>3828</v>
      </c>
      <c r="R844" s="8">
        <f t="shared" si="41"/>
        <v>5000</v>
      </c>
      <c r="S844" s="36">
        <f>VLOOKUP(R844,'Commission Criteria'!$L$3:$M$11,2,TRUE)</f>
        <v>0.03</v>
      </c>
      <c r="T844" s="36">
        <f>IF(P844&lt;5,VLOOKUP(R844,'Commission Criteria'!$L$3:$M$11,2,1),VLOOKUP('Order SUmmary'!R844,'Commission Criteria'!$P$3:$Q$11,2,1))</f>
        <v>0.02</v>
      </c>
      <c r="U844" s="36">
        <f>VLOOKUP(R844,IF(P844&lt;5,'Commission Criteria'!$L$3:$M$11,'Commission Criteria'!$P$3:$Q$11),2,1)</f>
        <v>0.02</v>
      </c>
      <c r="V844" s="8" t="s">
        <v>35</v>
      </c>
      <c r="W844" s="36">
        <f t="shared" ca="1" si="42"/>
        <v>0.05</v>
      </c>
      <c r="X844" s="8" t="str">
        <f>_xlfn.XLOOKUP(F844,'Product List'!$B$1:$B$299,'Product List'!$A$1:$A$299)</f>
        <v>Staple holder</v>
      </c>
      <c r="Y844" s="8"/>
      <c r="Z844" s="8" t="str" cm="1">
        <f t="array" ref="Z844:AD844">_xlfn.XLOOKUP(D844,'Customer Details'!$A$1:$A$17,'Customer Details'!$B$1:$F$17,"No such customer",0,1)</f>
        <v>Fortis Healthcare Ltd.</v>
      </c>
      <c r="AA844" s="8" t="str">
        <v>14 Elsworthy Terrace</v>
      </c>
      <c r="AB844" s="8" t="str">
        <v>Goleta</v>
      </c>
      <c r="AC844" s="8" t="str">
        <v>CA</v>
      </c>
      <c r="AD844" s="8" t="str">
        <v>93117</v>
      </c>
    </row>
    <row r="845" spans="1:30">
      <c r="A845" s="8" t="s">
        <v>888</v>
      </c>
      <c r="B845" s="19">
        <v>42045</v>
      </c>
      <c r="C845" s="8" t="s">
        <v>36</v>
      </c>
      <c r="D845" s="8">
        <v>10005</v>
      </c>
      <c r="E845" s="8" t="str">
        <f>VLOOKUP($D845,'Customer Details'!$A$1:$F$17,4,FALSE)</f>
        <v>Goleta</v>
      </c>
      <c r="F845" s="8" t="s">
        <v>322</v>
      </c>
      <c r="G845" s="8">
        <v>1</v>
      </c>
      <c r="H845" s="2" t="str">
        <f>VLOOKUP($D845,'Customer Details'!$A$1:$F$17,MATCH('Order SUmmary'!H$2,'Customer Details'!$A$1:$F$1,0),0)</f>
        <v>Fortis Healthcare Ltd.</v>
      </c>
      <c r="I845" s="2" t="str">
        <f>VLOOKUP($D845,'Customer Details'!$A$1:$F$17,4,0)</f>
        <v>Goleta</v>
      </c>
      <c r="J845" s="2" t="str">
        <f>VLOOKUP($D845,'Customer Details'!$A$1:$F$17,6,0)</f>
        <v>93117</v>
      </c>
      <c r="K845" s="8" t="str">
        <f>VLOOKUP(VLOOKUP(D845,'Customer Details'!$A$1:$F$17,5,0),'Region INfo'!$A$1:$C$52,3,0)</f>
        <v xml:space="preserve">Pacific   </v>
      </c>
      <c r="L845" s="8" t="str">
        <f>INDEX(Product_List,MATCH($F845,'Product List'!$B$1:$B$299,0),MATCH('Order SUmmary'!L$2,'Product List'!$A$1:$E$1,0))</f>
        <v>Xerox 1966</v>
      </c>
      <c r="M845" s="8">
        <f>INDEX(Product_List,MATCH($F845,'Product List'!$B$1:$B$299,0),MATCH('Order SUmmary'!M$2,'Product List'!$A$1:$E$1,0))</f>
        <v>4476</v>
      </c>
      <c r="N845" s="8">
        <f>INDEX(Product_List,MATCH($F845,'Product List'!$B$1:$B$299,0),MATCH('Order SUmmary'!N$2,'Product List'!$A$1:$E$1,0))</f>
        <v>2494</v>
      </c>
      <c r="O845" s="8" t="str">
        <f>INDEX(Product_List,MATCH($F845,'Product List'!$B$1:$B$299,0),MATCH('Order SUmmary'!O$2,'Product List'!$A$1:$E$1,0))</f>
        <v>Paper</v>
      </c>
      <c r="P845" s="12">
        <f>HLOOKUP(C845,'Commission Criteria'!$A$2:$I$4,3,FALSE)</f>
        <v>6</v>
      </c>
      <c r="Q845" s="8">
        <f t="shared" si="40"/>
        <v>2494</v>
      </c>
      <c r="R845" s="8">
        <f t="shared" si="41"/>
        <v>4476</v>
      </c>
      <c r="S845" s="36">
        <f>VLOOKUP(R845,'Commission Criteria'!$L$3:$M$11,2,TRUE)</f>
        <v>0.01</v>
      </c>
      <c r="T845" s="36">
        <f>IF(P845&lt;5,VLOOKUP(R845,'Commission Criteria'!$L$3:$M$11,2,1),VLOOKUP('Order SUmmary'!R845,'Commission Criteria'!$P$3:$Q$11,2,1))</f>
        <v>0.02</v>
      </c>
      <c r="U845" s="36">
        <f>VLOOKUP(R845,IF(P845&lt;5,'Commission Criteria'!$L$3:$M$11,'Commission Criteria'!$P$3:$Q$11),2,1)</f>
        <v>0.02</v>
      </c>
      <c r="V845" s="8" t="s">
        <v>50</v>
      </c>
      <c r="W845" s="36">
        <f t="shared" ca="1" si="42"/>
        <v>0.01</v>
      </c>
      <c r="X845" s="8" t="str">
        <f>_xlfn.XLOOKUP(F845,'Product List'!$B$1:$B$299,'Product List'!$A$1:$A$299)</f>
        <v>Xerox 1966</v>
      </c>
      <c r="Y845" s="8"/>
      <c r="Z845" s="8" t="str" cm="1">
        <f t="array" ref="Z845:AD845">_xlfn.XLOOKUP(D845,'Customer Details'!$A$1:$A$17,'Customer Details'!$B$1:$F$17,"No such customer",0,1)</f>
        <v>Fortis Healthcare Ltd.</v>
      </c>
      <c r="AA845" s="8" t="str">
        <v>14 Elsworthy Terrace</v>
      </c>
      <c r="AB845" s="8" t="str">
        <v>Goleta</v>
      </c>
      <c r="AC845" s="8" t="str">
        <v>CA</v>
      </c>
      <c r="AD845" s="8" t="str">
        <v>93117</v>
      </c>
    </row>
    <row r="846" spans="1:30">
      <c r="A846" s="8" t="s">
        <v>889</v>
      </c>
      <c r="B846" s="19">
        <v>42046</v>
      </c>
      <c r="C846" s="8" t="s">
        <v>27</v>
      </c>
      <c r="D846" s="8">
        <v>10004</v>
      </c>
      <c r="E846" s="8" t="str">
        <f>VLOOKUP($D846,'Customer Details'!$A$1:$F$17,4,FALSE)</f>
        <v>New York</v>
      </c>
      <c r="F846" s="8" t="s">
        <v>760</v>
      </c>
      <c r="G846" s="8">
        <v>2</v>
      </c>
      <c r="H846" s="2" t="str">
        <f>VLOOKUP($D846,'Customer Details'!$A$1:$F$17,MATCH('Order SUmmary'!H$2,'Customer Details'!$A$1:$F$1,0),0)</f>
        <v>Lupin Ltd.</v>
      </c>
      <c r="I846" s="2" t="str">
        <f>VLOOKUP($D846,'Customer Details'!$A$1:$F$17,4,0)</f>
        <v>New York</v>
      </c>
      <c r="J846" s="2" t="str">
        <f>VLOOKUP($D846,'Customer Details'!$A$1:$F$17,6,0)</f>
        <v>10019</v>
      </c>
      <c r="K846" s="8" t="str">
        <f>VLOOKUP(VLOOKUP(D846,'Customer Details'!$A$1:$F$17,5,0),'Region INfo'!$A$1:$C$52,3,0)</f>
        <v xml:space="preserve">Northern </v>
      </c>
      <c r="L846" s="8" t="str">
        <f>INDEX(Product_List,MATCH($F846,'Product List'!$B$1:$B$299,0),MATCH('Order SUmmary'!L$2,'Product List'!$A$1:$E$1,0))</f>
        <v>Xerox 1898</v>
      </c>
      <c r="M846" s="8">
        <f>INDEX(Product_List,MATCH($F846,'Product List'!$B$1:$B$299,0),MATCH('Order SUmmary'!M$2,'Product List'!$A$1:$E$1,0))</f>
        <v>3495</v>
      </c>
      <c r="N846" s="8">
        <f>INDEX(Product_List,MATCH($F846,'Product List'!$B$1:$B$299,0),MATCH('Order SUmmary'!N$2,'Product List'!$A$1:$E$1,0))</f>
        <v>2172</v>
      </c>
      <c r="O846" s="8" t="str">
        <f>INDEX(Product_List,MATCH($F846,'Product List'!$B$1:$B$299,0),MATCH('Order SUmmary'!O$2,'Product List'!$A$1:$E$1,0))</f>
        <v>Paper</v>
      </c>
      <c r="P846" s="12">
        <f>HLOOKUP(C846,'Commission Criteria'!$A$2:$I$4,3,FALSE)</f>
        <v>4</v>
      </c>
      <c r="Q846" s="8">
        <f t="shared" si="40"/>
        <v>4344</v>
      </c>
      <c r="R846" s="8">
        <f t="shared" si="41"/>
        <v>6990</v>
      </c>
      <c r="S846" s="36">
        <f>VLOOKUP(R846,'Commission Criteria'!$L$3:$M$11,2,TRUE)</f>
        <v>0.03</v>
      </c>
      <c r="T846" s="36">
        <f>IF(P846&lt;5,VLOOKUP(R846,'Commission Criteria'!$L$3:$M$11,2,1),VLOOKUP('Order SUmmary'!R846,'Commission Criteria'!$P$3:$Q$11,2,1))</f>
        <v>0.03</v>
      </c>
      <c r="U846" s="36">
        <f>VLOOKUP(R846,IF(P846&lt;5,'Commission Criteria'!$L$3:$M$11,'Commission Criteria'!$P$3:$Q$11),2,1)</f>
        <v>0.03</v>
      </c>
      <c r="V846" s="8" t="s">
        <v>29</v>
      </c>
      <c r="W846" s="36">
        <f t="shared" ca="1" si="42"/>
        <v>0.04</v>
      </c>
      <c r="X846" s="8" t="str">
        <f>_xlfn.XLOOKUP(F846,'Product List'!$B$1:$B$299,'Product List'!$A$1:$A$299)</f>
        <v>Xerox 1898</v>
      </c>
      <c r="Y846" s="8"/>
      <c r="Z846" s="8" t="str" cm="1">
        <f t="array" ref="Z846:AD846">_xlfn.XLOOKUP(D846,'Customer Details'!$A$1:$A$17,'Customer Details'!$B$1:$F$17,"No such customer",0,1)</f>
        <v>Lupin Ltd.</v>
      </c>
      <c r="AA846" s="8" t="str">
        <v>Abbey Wood</v>
      </c>
      <c r="AB846" s="8" t="str">
        <v>New York</v>
      </c>
      <c r="AC846" s="8" t="str">
        <v>NY</v>
      </c>
      <c r="AD846" s="8" t="str">
        <v>10019</v>
      </c>
    </row>
    <row r="847" spans="1:30">
      <c r="A847" s="8" t="s">
        <v>890</v>
      </c>
      <c r="B847" s="19">
        <v>42047</v>
      </c>
      <c r="C847" s="8" t="s">
        <v>46</v>
      </c>
      <c r="D847" s="8">
        <v>10010</v>
      </c>
      <c r="E847" s="8" t="str">
        <f>VLOOKUP($D847,'Customer Details'!$A$1:$F$17,4,FALSE)</f>
        <v>Tracy</v>
      </c>
      <c r="F847" s="8" t="s">
        <v>291</v>
      </c>
      <c r="G847" s="8">
        <v>2</v>
      </c>
      <c r="H847" s="2" t="str">
        <f>VLOOKUP($D847,'Customer Details'!$A$1:$F$17,MATCH('Order SUmmary'!H$2,'Customer Details'!$A$1:$F$1,0),0)</f>
        <v>Suzlon Energy Ltd.</v>
      </c>
      <c r="I847" s="2" t="str">
        <f>VLOOKUP($D847,'Customer Details'!$A$1:$F$17,4,0)</f>
        <v>Tracy</v>
      </c>
      <c r="J847" s="2" t="str">
        <f>VLOOKUP($D847,'Customer Details'!$A$1:$F$17,6,0)</f>
        <v>95376</v>
      </c>
      <c r="K847" s="8" t="str">
        <f>VLOOKUP(VLOOKUP(D847,'Customer Details'!$A$1:$F$17,5,0),'Region INfo'!$A$1:$C$52,3,0)</f>
        <v xml:space="preserve">Pacific   </v>
      </c>
      <c r="L847" s="8" t="str">
        <f>INDEX(Product_List,MATCH($F847,'Product List'!$B$1:$B$299,0),MATCH('Order SUmmary'!L$2,'Product List'!$A$1:$E$1,0))</f>
        <v>Xerox 1990</v>
      </c>
      <c r="M847" s="8">
        <f>INDEX(Product_List,MATCH($F847,'Product List'!$B$1:$B$299,0),MATCH('Order SUmmary'!M$2,'Product List'!$A$1:$E$1,0))</f>
        <v>3330</v>
      </c>
      <c r="N847" s="8">
        <f>INDEX(Product_List,MATCH($F847,'Product List'!$B$1:$B$299,0),MATCH('Order SUmmary'!N$2,'Product List'!$A$1:$E$1,0))</f>
        <v>2283</v>
      </c>
      <c r="O847" s="8" t="str">
        <f>INDEX(Product_List,MATCH($F847,'Product List'!$B$1:$B$299,0),MATCH('Order SUmmary'!O$2,'Product List'!$A$1:$E$1,0))</f>
        <v>Paper</v>
      </c>
      <c r="P847" s="12">
        <f>HLOOKUP(C847,'Commission Criteria'!$A$2:$I$4,3,FALSE)</f>
        <v>8</v>
      </c>
      <c r="Q847" s="8">
        <f t="shared" si="40"/>
        <v>4566</v>
      </c>
      <c r="R847" s="8">
        <f t="shared" si="41"/>
        <v>6660</v>
      </c>
      <c r="S847" s="36">
        <f>VLOOKUP(R847,'Commission Criteria'!$L$3:$M$11,2,TRUE)</f>
        <v>0.03</v>
      </c>
      <c r="T847" s="36">
        <f>IF(P847&lt;5,VLOOKUP(R847,'Commission Criteria'!$L$3:$M$11,2,1),VLOOKUP('Order SUmmary'!R847,'Commission Criteria'!$P$3:$Q$11,2,1))</f>
        <v>0.02</v>
      </c>
      <c r="U847" s="36">
        <f>VLOOKUP(R847,IF(P847&lt;5,'Commission Criteria'!$L$3:$M$11,'Commission Criteria'!$P$3:$Q$11),2,1)</f>
        <v>0.02</v>
      </c>
      <c r="V847" s="8" t="s">
        <v>50</v>
      </c>
      <c r="W847" s="36">
        <f t="shared" ca="1" si="42"/>
        <v>0.01</v>
      </c>
      <c r="X847" s="8" t="str">
        <f>_xlfn.XLOOKUP(F847,'Product List'!$B$1:$B$299,'Product List'!$A$1:$A$299)</f>
        <v>Xerox 1990</v>
      </c>
      <c r="Y847" s="8"/>
      <c r="Z847" s="8" t="str" cm="1">
        <f t="array" ref="Z847:AD847">_xlfn.XLOOKUP(D847,'Customer Details'!$A$1:$A$17,'Customer Details'!$B$1:$F$17,"No such customer",0,1)</f>
        <v>Suzlon Energy Ltd.</v>
      </c>
      <c r="AA847" s="8" t="str">
        <v>501 Marsh Trail Circle</v>
      </c>
      <c r="AB847" s="8" t="str">
        <v>Tracy</v>
      </c>
      <c r="AC847" s="8" t="str">
        <v>CA</v>
      </c>
      <c r="AD847" s="8" t="str">
        <v>95376</v>
      </c>
    </row>
    <row r="848" spans="1:30">
      <c r="A848" s="8" t="s">
        <v>891</v>
      </c>
      <c r="B848" s="19">
        <v>42048</v>
      </c>
      <c r="C848" s="8" t="s">
        <v>33</v>
      </c>
      <c r="D848" s="8">
        <v>10010</v>
      </c>
      <c r="E848" s="8" t="str">
        <f>VLOOKUP($D848,'Customer Details'!$A$1:$F$17,4,FALSE)</f>
        <v>Tracy</v>
      </c>
      <c r="F848" s="8" t="s">
        <v>116</v>
      </c>
      <c r="G848" s="8">
        <v>1</v>
      </c>
      <c r="H848" s="2" t="str">
        <f>VLOOKUP($D848,'Customer Details'!$A$1:$F$17,MATCH('Order SUmmary'!H$2,'Customer Details'!$A$1:$F$1,0),0)</f>
        <v>Suzlon Energy Ltd.</v>
      </c>
      <c r="I848" s="2" t="str">
        <f>VLOOKUP($D848,'Customer Details'!$A$1:$F$17,4,0)</f>
        <v>Tracy</v>
      </c>
      <c r="J848" s="2" t="str">
        <f>VLOOKUP($D848,'Customer Details'!$A$1:$F$17,6,0)</f>
        <v>95376</v>
      </c>
      <c r="K848" s="8" t="str">
        <f>VLOOKUP(VLOOKUP(D848,'Customer Details'!$A$1:$F$17,5,0),'Region INfo'!$A$1:$C$52,3,0)</f>
        <v xml:space="preserve">Pacific   </v>
      </c>
      <c r="L848" s="8" t="str">
        <f>INDEX(Product_List,MATCH($F848,'Product List'!$B$1:$B$299,0),MATCH('Order SUmmary'!L$2,'Product List'!$A$1:$E$1,0))</f>
        <v>Newell 326</v>
      </c>
      <c r="M848" s="8">
        <f>INDEX(Product_List,MATCH($F848,'Product List'!$B$1:$B$299,0),MATCH('Order SUmmary'!M$2,'Product List'!$A$1:$E$1,0))</f>
        <v>3645</v>
      </c>
      <c r="N848" s="8">
        <f>INDEX(Product_List,MATCH($F848,'Product List'!$B$1:$B$299,0),MATCH('Order SUmmary'!N$2,'Product List'!$A$1:$E$1,0))</f>
        <v>2466</v>
      </c>
      <c r="O848" s="8" t="str">
        <f>INDEX(Product_List,MATCH($F848,'Product List'!$B$1:$B$299,0),MATCH('Order SUmmary'!O$2,'Product List'!$A$1:$E$1,0))</f>
        <v>Art</v>
      </c>
      <c r="P848" s="12">
        <f>HLOOKUP(C848,'Commission Criteria'!$A$2:$I$4,3,FALSE)</f>
        <v>1</v>
      </c>
      <c r="Q848" s="8">
        <f t="shared" si="40"/>
        <v>2466</v>
      </c>
      <c r="R848" s="8">
        <f t="shared" si="41"/>
        <v>3645</v>
      </c>
      <c r="S848" s="36">
        <f>VLOOKUP(R848,'Commission Criteria'!$L$3:$M$11,2,TRUE)</f>
        <v>0.01</v>
      </c>
      <c r="T848" s="36">
        <f>IF(P848&lt;5,VLOOKUP(R848,'Commission Criteria'!$L$3:$M$11,2,1),VLOOKUP('Order SUmmary'!R848,'Commission Criteria'!$P$3:$Q$11,2,1))</f>
        <v>0.01</v>
      </c>
      <c r="U848" s="36">
        <f>VLOOKUP(R848,IF(P848&lt;5,'Commission Criteria'!$L$3:$M$11,'Commission Criteria'!$P$3:$Q$11),2,1)</f>
        <v>0.01</v>
      </c>
      <c r="V848" s="8" t="s">
        <v>50</v>
      </c>
      <c r="W848" s="36">
        <f t="shared" ca="1" si="42"/>
        <v>0.04</v>
      </c>
      <c r="X848" s="8" t="str">
        <f>_xlfn.XLOOKUP(F848,'Product List'!$B$1:$B$299,'Product List'!$A$1:$A$299)</f>
        <v>Newell 326</v>
      </c>
      <c r="Y848" s="8"/>
      <c r="Z848" s="8" t="str" cm="1">
        <f t="array" ref="Z848:AD848">_xlfn.XLOOKUP(D848,'Customer Details'!$A$1:$A$17,'Customer Details'!$B$1:$F$17,"No such customer",0,1)</f>
        <v>Suzlon Energy Ltd.</v>
      </c>
      <c r="AA848" s="8" t="str">
        <v>501 Marsh Trail Circle</v>
      </c>
      <c r="AB848" s="8" t="str">
        <v>Tracy</v>
      </c>
      <c r="AC848" s="8" t="str">
        <v>CA</v>
      </c>
      <c r="AD848" s="8" t="str">
        <v>95376</v>
      </c>
    </row>
    <row r="849" spans="1:30">
      <c r="A849" s="8" t="s">
        <v>891</v>
      </c>
      <c r="B849" s="19">
        <v>42048</v>
      </c>
      <c r="C849" s="8" t="s">
        <v>51</v>
      </c>
      <c r="D849" s="8">
        <v>10009</v>
      </c>
      <c r="E849" s="8" t="str">
        <f>VLOOKUP($D849,'Customer Details'!$A$1:$F$17,4,FALSE)</f>
        <v>Salt Lake City</v>
      </c>
      <c r="F849" s="8" t="s">
        <v>892</v>
      </c>
      <c r="G849" s="8">
        <v>1</v>
      </c>
      <c r="H849" s="2" t="str">
        <f>VLOOKUP($D849,'Customer Details'!$A$1:$F$17,MATCH('Order SUmmary'!H$2,'Customer Details'!$A$1:$F$1,0),0)</f>
        <v>Godfrey Philips India Ltd.</v>
      </c>
      <c r="I849" s="2" t="str">
        <f>VLOOKUP($D849,'Customer Details'!$A$1:$F$17,4,0)</f>
        <v>Salt Lake City</v>
      </c>
      <c r="J849" s="2" t="str">
        <f>VLOOKUP($D849,'Customer Details'!$A$1:$F$17,6,0)</f>
        <v>84118</v>
      </c>
      <c r="K849" s="8" t="str">
        <f>VLOOKUP(VLOOKUP(D849,'Customer Details'!$A$1:$F$17,5,0),'Region INfo'!$A$1:$C$52,3,0)</f>
        <v xml:space="preserve">Pacific   </v>
      </c>
      <c r="L849" s="8" t="str">
        <f>INDEX(Product_List,MATCH($F849,'Product List'!$B$1:$B$299,0),MATCH('Order SUmmary'!L$2,'Product List'!$A$1:$E$1,0))</f>
        <v>Avery 515</v>
      </c>
      <c r="M849" s="8">
        <f>INDEX(Product_List,MATCH($F849,'Product List'!$B$1:$B$299,0),MATCH('Order SUmmary'!M$2,'Product List'!$A$1:$E$1,0))</f>
        <v>4283</v>
      </c>
      <c r="N849" s="8">
        <f>INDEX(Product_List,MATCH($F849,'Product List'!$B$1:$B$299,0),MATCH('Order SUmmary'!N$2,'Product List'!$A$1:$E$1,0))</f>
        <v>1658</v>
      </c>
      <c r="O849" s="8" t="str">
        <f>INDEX(Product_List,MATCH($F849,'Product List'!$B$1:$B$299,0),MATCH('Order SUmmary'!O$2,'Product List'!$A$1:$E$1,0))</f>
        <v>Labels</v>
      </c>
      <c r="P849" s="12">
        <f>HLOOKUP(C849,'Commission Criteria'!$A$2:$I$4,3,FALSE)</f>
        <v>10</v>
      </c>
      <c r="Q849" s="8">
        <f t="shared" si="40"/>
        <v>1658</v>
      </c>
      <c r="R849" s="8">
        <f t="shared" si="41"/>
        <v>4283</v>
      </c>
      <c r="S849" s="36">
        <f>VLOOKUP(R849,'Commission Criteria'!$L$3:$M$11,2,TRUE)</f>
        <v>0.01</v>
      </c>
      <c r="T849" s="36">
        <f>IF(P849&lt;5,VLOOKUP(R849,'Commission Criteria'!$L$3:$M$11,2,1),VLOOKUP('Order SUmmary'!R849,'Commission Criteria'!$P$3:$Q$11,2,1))</f>
        <v>0.02</v>
      </c>
      <c r="U849" s="36">
        <f>VLOOKUP(R849,IF(P849&lt;5,'Commission Criteria'!$L$3:$M$11,'Commission Criteria'!$P$3:$Q$11),2,1)</f>
        <v>0.02</v>
      </c>
      <c r="V849" s="8" t="s">
        <v>29</v>
      </c>
      <c r="W849" s="36">
        <f t="shared" ca="1" si="42"/>
        <v>0.04</v>
      </c>
      <c r="X849" s="8" t="str">
        <f>_xlfn.XLOOKUP(F849,'Product List'!$B$1:$B$299,'Product List'!$A$1:$A$299)</f>
        <v>Avery 515</v>
      </c>
      <c r="Y849" s="8"/>
      <c r="Z849" s="8" t="str" cm="1">
        <f t="array" ref="Z849:AD849">_xlfn.XLOOKUP(D849,'Customer Details'!$A$1:$A$17,'Customer Details'!$B$1:$F$17,"No such customer",0,1)</f>
        <v>Godfrey Philips India Ltd.</v>
      </c>
      <c r="AA849" s="8" t="str">
        <v>20501 Ania Ave #2</v>
      </c>
      <c r="AB849" s="8" t="str">
        <v>Salt Lake City</v>
      </c>
      <c r="AC849" s="8" t="str">
        <v>UT</v>
      </c>
      <c r="AD849" s="8" t="str">
        <v>84118</v>
      </c>
    </row>
    <row r="850" spans="1:30">
      <c r="A850" s="8" t="s">
        <v>891</v>
      </c>
      <c r="B850" s="19">
        <v>42048</v>
      </c>
      <c r="C850" s="8" t="s">
        <v>51</v>
      </c>
      <c r="D850" s="8">
        <v>10003</v>
      </c>
      <c r="E850" s="8" t="str">
        <f>VLOOKUP($D850,'Customer Details'!$A$1:$F$17,4,FALSE)</f>
        <v>Miami</v>
      </c>
      <c r="F850" s="8" t="s">
        <v>247</v>
      </c>
      <c r="G850" s="8">
        <v>2</v>
      </c>
      <c r="H850" s="2" t="str">
        <f>VLOOKUP($D850,'Customer Details'!$A$1:$F$17,MATCH('Order SUmmary'!H$2,'Customer Details'!$A$1:$F$1,0),0)</f>
        <v>Honeywell Automation</v>
      </c>
      <c r="I850" s="2" t="str">
        <f>VLOOKUP($D850,'Customer Details'!$A$1:$F$17,4,0)</f>
        <v>Miami</v>
      </c>
      <c r="J850" s="2" t="str">
        <f>VLOOKUP($D850,'Customer Details'!$A$1:$F$17,6,0)</f>
        <v>33732</v>
      </c>
      <c r="K850" s="8" t="str">
        <f>VLOOKUP(VLOOKUP(D850,'Customer Details'!$A$1:$F$17,5,0),'Region INfo'!$A$1:$C$52,3,0)</f>
        <v>Southern</v>
      </c>
      <c r="L850" s="8" t="str">
        <f>INDEX(Product_List,MATCH($F850,'Product List'!$B$1:$B$299,0),MATCH('Order SUmmary'!L$2,'Product List'!$A$1:$E$1,0))</f>
        <v>Newell 329</v>
      </c>
      <c r="M850" s="8">
        <f>INDEX(Product_List,MATCH($F850,'Product List'!$B$1:$B$299,0),MATCH('Order SUmmary'!M$2,'Product List'!$A$1:$E$1,0))</f>
        <v>2787</v>
      </c>
      <c r="N850" s="8">
        <f>INDEX(Product_List,MATCH($F850,'Product List'!$B$1:$B$299,0),MATCH('Order SUmmary'!N$2,'Product List'!$A$1:$E$1,0))</f>
        <v>1470</v>
      </c>
      <c r="O850" s="8" t="str">
        <f>INDEX(Product_List,MATCH($F850,'Product List'!$B$1:$B$299,0),MATCH('Order SUmmary'!O$2,'Product List'!$A$1:$E$1,0))</f>
        <v>Art</v>
      </c>
      <c r="P850" s="12">
        <f>HLOOKUP(C850,'Commission Criteria'!$A$2:$I$4,3,FALSE)</f>
        <v>10</v>
      </c>
      <c r="Q850" s="8">
        <f t="shared" si="40"/>
        <v>2940</v>
      </c>
      <c r="R850" s="8">
        <f t="shared" si="41"/>
        <v>5574</v>
      </c>
      <c r="S850" s="36">
        <f>VLOOKUP(R850,'Commission Criteria'!$L$3:$M$11,2,TRUE)</f>
        <v>0.03</v>
      </c>
      <c r="T850" s="36">
        <f>IF(P850&lt;5,VLOOKUP(R850,'Commission Criteria'!$L$3:$M$11,2,1),VLOOKUP('Order SUmmary'!R850,'Commission Criteria'!$P$3:$Q$11,2,1))</f>
        <v>0.02</v>
      </c>
      <c r="U850" s="36">
        <f>VLOOKUP(R850,IF(P850&lt;5,'Commission Criteria'!$L$3:$M$11,'Commission Criteria'!$P$3:$Q$11),2,1)</f>
        <v>0.02</v>
      </c>
      <c r="V850" s="8" t="s">
        <v>29</v>
      </c>
      <c r="W850" s="36">
        <f t="shared" ca="1" si="42"/>
        <v>0.02</v>
      </c>
      <c r="X850" s="8" t="str">
        <f>_xlfn.XLOOKUP(F850,'Product List'!$B$1:$B$299,'Product List'!$A$1:$A$299)</f>
        <v>Newell 329</v>
      </c>
      <c r="Y850" s="8"/>
      <c r="Z850" s="8" t="str" cm="1">
        <f t="array" ref="Z850:AD850">_xlfn.XLOOKUP(D850,'Customer Details'!$A$1:$A$17,'Customer Details'!$B$1:$F$17,"No such customer",0,1)</f>
        <v>Honeywell Automation</v>
      </c>
      <c r="AA850" s="8" t="str">
        <v>1272 Harbor Road</v>
      </c>
      <c r="AB850" s="8" t="str">
        <v>Miami</v>
      </c>
      <c r="AC850" s="8" t="str">
        <v>FL</v>
      </c>
      <c r="AD850" s="8" t="str">
        <v>33732</v>
      </c>
    </row>
    <row r="851" spans="1:30">
      <c r="A851" s="8" t="s">
        <v>893</v>
      </c>
      <c r="B851" s="19">
        <v>42049</v>
      </c>
      <c r="C851" s="8" t="s">
        <v>66</v>
      </c>
      <c r="D851" s="8">
        <v>10004</v>
      </c>
      <c r="E851" s="8" t="str">
        <f>VLOOKUP($D851,'Customer Details'!$A$1:$F$17,4,FALSE)</f>
        <v>New York</v>
      </c>
      <c r="F851" s="8" t="s">
        <v>303</v>
      </c>
      <c r="G851" s="8">
        <v>2</v>
      </c>
      <c r="H851" s="2" t="str">
        <f>VLOOKUP($D851,'Customer Details'!$A$1:$F$17,MATCH('Order SUmmary'!H$2,'Customer Details'!$A$1:$F$1,0),0)</f>
        <v>Lupin Ltd.</v>
      </c>
      <c r="I851" s="2" t="str">
        <f>VLOOKUP($D851,'Customer Details'!$A$1:$F$17,4,0)</f>
        <v>New York</v>
      </c>
      <c r="J851" s="2" t="str">
        <f>VLOOKUP($D851,'Customer Details'!$A$1:$F$17,6,0)</f>
        <v>10019</v>
      </c>
      <c r="K851" s="8" t="str">
        <f>VLOOKUP(VLOOKUP(D851,'Customer Details'!$A$1:$F$17,5,0),'Region INfo'!$A$1:$C$52,3,0)</f>
        <v xml:space="preserve">Northern </v>
      </c>
      <c r="L851" s="8" t="str">
        <f>INDEX(Product_List,MATCH($F851,'Product List'!$B$1:$B$299,0),MATCH('Order SUmmary'!L$2,'Product List'!$A$1:$E$1,0))</f>
        <v>Xerox 1885</v>
      </c>
      <c r="M851" s="8">
        <f>INDEX(Product_List,MATCH($F851,'Product List'!$B$1:$B$299,0),MATCH('Order SUmmary'!M$2,'Product List'!$A$1:$E$1,0))</f>
        <v>3096</v>
      </c>
      <c r="N851" s="8">
        <f>INDEX(Product_List,MATCH($F851,'Product List'!$B$1:$B$299,0),MATCH('Order SUmmary'!N$2,'Product List'!$A$1:$E$1,0))</f>
        <v>2065</v>
      </c>
      <c r="O851" s="8" t="str">
        <f>INDEX(Product_List,MATCH($F851,'Product List'!$B$1:$B$299,0),MATCH('Order SUmmary'!O$2,'Product List'!$A$1:$E$1,0))</f>
        <v>Paper</v>
      </c>
      <c r="P851" s="12">
        <f>HLOOKUP(C851,'Commission Criteria'!$A$2:$I$4,3,FALSE)</f>
        <v>5</v>
      </c>
      <c r="Q851" s="8">
        <f t="shared" si="40"/>
        <v>4130</v>
      </c>
      <c r="R851" s="8">
        <f t="shared" si="41"/>
        <v>6192</v>
      </c>
      <c r="S851" s="36">
        <f>VLOOKUP(R851,'Commission Criteria'!$L$3:$M$11,2,TRUE)</f>
        <v>0.03</v>
      </c>
      <c r="T851" s="36">
        <f>IF(P851&lt;5,VLOOKUP(R851,'Commission Criteria'!$L$3:$M$11,2,1),VLOOKUP('Order SUmmary'!R851,'Commission Criteria'!$P$3:$Q$11,2,1))</f>
        <v>0.02</v>
      </c>
      <c r="U851" s="36">
        <f>VLOOKUP(R851,IF(P851&lt;5,'Commission Criteria'!$L$3:$M$11,'Commission Criteria'!$P$3:$Q$11),2,1)</f>
        <v>0.02</v>
      </c>
      <c r="V851" s="8" t="s">
        <v>35</v>
      </c>
      <c r="W851" s="36">
        <f t="shared" ca="1" si="42"/>
        <v>0.01</v>
      </c>
      <c r="X851" s="8" t="str">
        <f>_xlfn.XLOOKUP(F851,'Product List'!$B$1:$B$299,'Product List'!$A$1:$A$299)</f>
        <v>Xerox 1885</v>
      </c>
      <c r="Y851" s="8"/>
      <c r="Z851" s="8" t="str" cm="1">
        <f t="array" ref="Z851:AD851">_xlfn.XLOOKUP(D851,'Customer Details'!$A$1:$A$17,'Customer Details'!$B$1:$F$17,"No such customer",0,1)</f>
        <v>Lupin Ltd.</v>
      </c>
      <c r="AA851" s="8" t="str">
        <v>Abbey Wood</v>
      </c>
      <c r="AB851" s="8" t="str">
        <v>New York</v>
      </c>
      <c r="AC851" s="8" t="str">
        <v>NY</v>
      </c>
      <c r="AD851" s="8" t="str">
        <v>10019</v>
      </c>
    </row>
    <row r="852" spans="1:30">
      <c r="A852" s="8" t="s">
        <v>894</v>
      </c>
      <c r="B852" s="19">
        <v>42051</v>
      </c>
      <c r="C852" s="8" t="s">
        <v>66</v>
      </c>
      <c r="D852" s="8">
        <v>10007</v>
      </c>
      <c r="E852" s="8" t="str">
        <f>VLOOKUP($D852,'Customer Details'!$A$1:$F$17,4,FALSE)</f>
        <v>Richmond</v>
      </c>
      <c r="F852" s="8" t="s">
        <v>86</v>
      </c>
      <c r="G852" s="8">
        <v>1</v>
      </c>
      <c r="H852" s="2" t="str">
        <f>VLOOKUP($D852,'Customer Details'!$A$1:$F$17,MATCH('Order SUmmary'!H$2,'Customer Details'!$A$1:$F$1,0),0)</f>
        <v>GHCL Ltd.</v>
      </c>
      <c r="I852" s="2" t="str">
        <f>VLOOKUP($D852,'Customer Details'!$A$1:$F$17,4,0)</f>
        <v>Richmond</v>
      </c>
      <c r="J852" s="2" t="str">
        <f>VLOOKUP($D852,'Customer Details'!$A$1:$F$17,6,0)</f>
        <v>94805</v>
      </c>
      <c r="K852" s="8" t="str">
        <f>VLOOKUP(VLOOKUP(D852,'Customer Details'!$A$1:$F$17,5,0),'Region INfo'!$A$1:$C$52,3,0)</f>
        <v xml:space="preserve">Pacific   </v>
      </c>
      <c r="L852" s="8" t="str">
        <f>INDEX(Product_List,MATCH($F852,'Product List'!$B$1:$B$299,0),MATCH('Order SUmmary'!L$2,'Product List'!$A$1:$E$1,0))</f>
        <v>Newell 316</v>
      </c>
      <c r="M852" s="8">
        <f>INDEX(Product_List,MATCH($F852,'Product List'!$B$1:$B$299,0),MATCH('Order SUmmary'!M$2,'Product List'!$A$1:$E$1,0))</f>
        <v>2958</v>
      </c>
      <c r="N852" s="8">
        <f>INDEX(Product_List,MATCH($F852,'Product List'!$B$1:$B$299,0),MATCH('Order SUmmary'!N$2,'Product List'!$A$1:$E$1,0))</f>
        <v>1678</v>
      </c>
      <c r="O852" s="8" t="str">
        <f>INDEX(Product_List,MATCH($F852,'Product List'!$B$1:$B$299,0),MATCH('Order SUmmary'!O$2,'Product List'!$A$1:$E$1,0))</f>
        <v>Art</v>
      </c>
      <c r="P852" s="12">
        <f>HLOOKUP(C852,'Commission Criteria'!$A$2:$I$4,3,FALSE)</f>
        <v>5</v>
      </c>
      <c r="Q852" s="8">
        <f t="shared" si="40"/>
        <v>1678</v>
      </c>
      <c r="R852" s="8">
        <f t="shared" si="41"/>
        <v>2958</v>
      </c>
      <c r="S852" s="36">
        <f>VLOOKUP(R852,'Commission Criteria'!$L$3:$M$11,2,TRUE)</f>
        <v>0.01</v>
      </c>
      <c r="T852" s="36">
        <f>IF(P852&lt;5,VLOOKUP(R852,'Commission Criteria'!$L$3:$M$11,2,1),VLOOKUP('Order SUmmary'!R852,'Commission Criteria'!$P$3:$Q$11,2,1))</f>
        <v>0.02</v>
      </c>
      <c r="U852" s="36">
        <f>VLOOKUP(R852,IF(P852&lt;5,'Commission Criteria'!$L$3:$M$11,'Commission Criteria'!$P$3:$Q$11),2,1)</f>
        <v>0.02</v>
      </c>
      <c r="V852" s="8" t="s">
        <v>43</v>
      </c>
      <c r="W852" s="36">
        <f t="shared" ca="1" si="42"/>
        <v>0.04</v>
      </c>
      <c r="X852" s="8" t="str">
        <f>_xlfn.XLOOKUP(F852,'Product List'!$B$1:$B$299,'Product List'!$A$1:$A$299)</f>
        <v>Newell 316</v>
      </c>
      <c r="Y852" s="8"/>
      <c r="Z852" s="8" t="str" cm="1">
        <f t="array" ref="Z852:AD852">_xlfn.XLOOKUP(D852,'Customer Details'!$A$1:$A$17,'Customer Details'!$B$1:$F$17,"No such customer",0,1)</f>
        <v>GHCL Ltd.</v>
      </c>
      <c r="AA852" s="8" t="str">
        <v>58 Clarence St</v>
      </c>
      <c r="AB852" s="8" t="str">
        <v>Richmond</v>
      </c>
      <c r="AC852" s="8" t="str">
        <v>CA</v>
      </c>
      <c r="AD852" s="8" t="str">
        <v>94805</v>
      </c>
    </row>
    <row r="853" spans="1:30">
      <c r="A853" s="8" t="s">
        <v>895</v>
      </c>
      <c r="B853" s="19">
        <v>42052</v>
      </c>
      <c r="C853" s="8" t="s">
        <v>46</v>
      </c>
      <c r="D853" s="8">
        <v>10006</v>
      </c>
      <c r="E853" s="8" t="str">
        <f>VLOOKUP($D853,'Customer Details'!$A$1:$F$17,4,FALSE)</f>
        <v>Midland</v>
      </c>
      <c r="F853" s="8" t="s">
        <v>355</v>
      </c>
      <c r="G853" s="8">
        <v>1</v>
      </c>
      <c r="H853" s="2" t="str">
        <f>VLOOKUP($D853,'Customer Details'!$A$1:$F$17,MATCH('Order SUmmary'!H$2,'Customer Details'!$A$1:$F$1,0),0)</f>
        <v>Supreme Ind</v>
      </c>
      <c r="I853" s="2" t="str">
        <f>VLOOKUP($D853,'Customer Details'!$A$1:$F$17,4,0)</f>
        <v>Midland</v>
      </c>
      <c r="J853" s="2" t="str">
        <f>VLOOKUP($D853,'Customer Details'!$A$1:$F$17,6,0)</f>
        <v>79706</v>
      </c>
      <c r="K853" s="8" t="str">
        <f>VLOOKUP(VLOOKUP(D853,'Customer Details'!$A$1:$F$17,5,0),'Region INfo'!$A$1:$C$52,3,0)</f>
        <v>Western</v>
      </c>
      <c r="L853" s="8" t="str">
        <f>INDEX(Product_List,MATCH($F853,'Product List'!$B$1:$B$299,0),MATCH('Order SUmmary'!L$2,'Product List'!$A$1:$E$1,0))</f>
        <v>Avery 51</v>
      </c>
      <c r="M853" s="8">
        <f>INDEX(Product_List,MATCH($F853,'Product List'!$B$1:$B$299,0),MATCH('Order SUmmary'!M$2,'Product List'!$A$1:$E$1,0))</f>
        <v>3717</v>
      </c>
      <c r="N853" s="8">
        <f>INDEX(Product_List,MATCH($F853,'Product List'!$B$1:$B$299,0),MATCH('Order SUmmary'!N$2,'Product List'!$A$1:$E$1,0))</f>
        <v>2146</v>
      </c>
      <c r="O853" s="8" t="str">
        <f>INDEX(Product_List,MATCH($F853,'Product List'!$B$1:$B$299,0),MATCH('Order SUmmary'!O$2,'Product List'!$A$1:$E$1,0))</f>
        <v>Labels</v>
      </c>
      <c r="P853" s="12">
        <f>HLOOKUP(C853,'Commission Criteria'!$A$2:$I$4,3,FALSE)</f>
        <v>8</v>
      </c>
      <c r="Q853" s="8">
        <f t="shared" si="40"/>
        <v>2146</v>
      </c>
      <c r="R853" s="8">
        <f t="shared" si="41"/>
        <v>3717</v>
      </c>
      <c r="S853" s="36">
        <f>VLOOKUP(R853,'Commission Criteria'!$L$3:$M$11,2,TRUE)</f>
        <v>0.01</v>
      </c>
      <c r="T853" s="36">
        <f>IF(P853&lt;5,VLOOKUP(R853,'Commission Criteria'!$L$3:$M$11,2,1),VLOOKUP('Order SUmmary'!R853,'Commission Criteria'!$P$3:$Q$11,2,1))</f>
        <v>0.02</v>
      </c>
      <c r="U853" s="36">
        <f>VLOOKUP(R853,IF(P853&lt;5,'Commission Criteria'!$L$3:$M$11,'Commission Criteria'!$P$3:$Q$11),2,1)</f>
        <v>0.02</v>
      </c>
      <c r="V853" s="8" t="s">
        <v>43</v>
      </c>
      <c r="W853" s="36">
        <f t="shared" ca="1" si="42"/>
        <v>0.02</v>
      </c>
      <c r="X853" s="8" t="str">
        <f>_xlfn.XLOOKUP(F853,'Product List'!$B$1:$B$299,'Product List'!$A$1:$A$299)</f>
        <v>Avery 51</v>
      </c>
      <c r="Y853" s="8"/>
      <c r="Z853" s="8" t="str" cm="1">
        <f t="array" ref="Z853:AD853">_xlfn.XLOOKUP(D853,'Customer Details'!$A$1:$A$17,'Customer Details'!$B$1:$F$17,"No such customer",0,1)</f>
        <v>Supreme Ind</v>
      </c>
      <c r="AA853" s="8" t="str">
        <v>P.O. Box 1367</v>
      </c>
      <c r="AB853" s="8" t="str">
        <v>Midland</v>
      </c>
      <c r="AC853" s="8" t="str">
        <v>TX</v>
      </c>
      <c r="AD853" s="8" t="str">
        <v>79706</v>
      </c>
    </row>
    <row r="854" spans="1:30">
      <c r="A854" s="8" t="s">
        <v>895</v>
      </c>
      <c r="B854" s="19">
        <v>42052</v>
      </c>
      <c r="C854" s="8" t="s">
        <v>27</v>
      </c>
      <c r="D854" s="8">
        <v>10015</v>
      </c>
      <c r="E854" s="8" t="str">
        <f>VLOOKUP($D854,'Customer Details'!$A$1:$F$17,4,FALSE)</f>
        <v>South Windsor</v>
      </c>
      <c r="F854" s="8" t="s">
        <v>406</v>
      </c>
      <c r="G854" s="8">
        <v>1</v>
      </c>
      <c r="H854" s="2" t="str">
        <f>VLOOKUP($D854,'Customer Details'!$A$1:$F$17,MATCH('Order SUmmary'!H$2,'Customer Details'!$A$1:$F$1,0),0)</f>
        <v>Punj Lloyd Ltd.</v>
      </c>
      <c r="I854" s="2" t="str">
        <f>VLOOKUP($D854,'Customer Details'!$A$1:$F$17,4,0)</f>
        <v>South Windsor</v>
      </c>
      <c r="J854" s="2" t="str">
        <f>VLOOKUP($D854,'Customer Details'!$A$1:$F$17,6,0)</f>
        <v>06074</v>
      </c>
      <c r="K854" s="8" t="str">
        <f>VLOOKUP(VLOOKUP(D854,'Customer Details'!$A$1:$F$17,5,0),'Region INfo'!$A$1:$C$52,3,0)</f>
        <v xml:space="preserve">Northern </v>
      </c>
      <c r="L854" s="8" t="str">
        <f>INDEX(Product_List,MATCH($F854,'Product List'!$B$1:$B$299,0),MATCH('Order SUmmary'!L$2,'Product List'!$A$1:$E$1,0))</f>
        <v>Xerox 198</v>
      </c>
      <c r="M854" s="8">
        <f>INDEX(Product_List,MATCH($F854,'Product List'!$B$1:$B$299,0),MATCH('Order SUmmary'!M$2,'Product List'!$A$1:$E$1,0))</f>
        <v>4120</v>
      </c>
      <c r="N854" s="8">
        <f>INDEX(Product_List,MATCH($F854,'Product List'!$B$1:$B$299,0),MATCH('Order SUmmary'!N$2,'Product List'!$A$1:$E$1,0))</f>
        <v>1841</v>
      </c>
      <c r="O854" s="8" t="str">
        <f>INDEX(Product_List,MATCH($F854,'Product List'!$B$1:$B$299,0),MATCH('Order SUmmary'!O$2,'Product List'!$A$1:$E$1,0))</f>
        <v>Paper</v>
      </c>
      <c r="P854" s="12">
        <f>HLOOKUP(C854,'Commission Criteria'!$A$2:$I$4,3,FALSE)</f>
        <v>4</v>
      </c>
      <c r="Q854" s="8">
        <f t="shared" si="40"/>
        <v>1841</v>
      </c>
      <c r="R854" s="8">
        <f t="shared" si="41"/>
        <v>4120</v>
      </c>
      <c r="S854" s="36">
        <f>VLOOKUP(R854,'Commission Criteria'!$L$3:$M$11,2,TRUE)</f>
        <v>0.01</v>
      </c>
      <c r="T854" s="36">
        <f>IF(P854&lt;5,VLOOKUP(R854,'Commission Criteria'!$L$3:$M$11,2,1),VLOOKUP('Order SUmmary'!R854,'Commission Criteria'!$P$3:$Q$11,2,1))</f>
        <v>0.01</v>
      </c>
      <c r="U854" s="36">
        <f>VLOOKUP(R854,IF(P854&lt;5,'Commission Criteria'!$L$3:$M$11,'Commission Criteria'!$P$3:$Q$11),2,1)</f>
        <v>0.01</v>
      </c>
      <c r="V854" s="8" t="s">
        <v>43</v>
      </c>
      <c r="W854" s="36">
        <f t="shared" ca="1" si="42"/>
        <v>0.04</v>
      </c>
      <c r="X854" s="8" t="str">
        <f>_xlfn.XLOOKUP(F854,'Product List'!$B$1:$B$299,'Product List'!$A$1:$A$299)</f>
        <v>Xerox 198</v>
      </c>
      <c r="Y854" s="8"/>
      <c r="Z854" s="8" t="str" cm="1">
        <f t="array" ref="Z854:AD854">_xlfn.XLOOKUP(D854,'Customer Details'!$A$1:$A$17,'Customer Details'!$B$1:$F$17,"No such customer",0,1)</f>
        <v>Punj Lloyd Ltd.</v>
      </c>
      <c r="AA854" s="8" t="str">
        <v>Box 3263</v>
      </c>
      <c r="AB854" s="8" t="str">
        <v>South Windsor</v>
      </c>
      <c r="AC854" s="8" t="str">
        <v>CT</v>
      </c>
      <c r="AD854" s="8" t="str">
        <v>06074</v>
      </c>
    </row>
    <row r="855" spans="1:30">
      <c r="A855" s="8" t="s">
        <v>896</v>
      </c>
      <c r="B855" s="19">
        <v>42052</v>
      </c>
      <c r="C855" s="8" t="s">
        <v>51</v>
      </c>
      <c r="D855" s="8">
        <v>10011</v>
      </c>
      <c r="E855" s="8" t="str">
        <f>VLOOKUP($D855,'Customer Details'!$A$1:$F$17,4,FALSE)</f>
        <v>Olympia</v>
      </c>
      <c r="F855" s="8" t="s">
        <v>391</v>
      </c>
      <c r="G855" s="8">
        <v>2</v>
      </c>
      <c r="H855" s="2" t="str">
        <f>VLOOKUP($D855,'Customer Details'!$A$1:$F$17,MATCH('Order SUmmary'!H$2,'Customer Details'!$A$1:$F$1,0),0)</f>
        <v>Sonata Software</v>
      </c>
      <c r="I855" s="2" t="str">
        <f>VLOOKUP($D855,'Customer Details'!$A$1:$F$17,4,0)</f>
        <v>Olympia</v>
      </c>
      <c r="J855" s="2" t="str">
        <f>VLOOKUP($D855,'Customer Details'!$A$1:$F$17,6,0)</f>
        <v>98502</v>
      </c>
      <c r="K855" s="8" t="str">
        <f>VLOOKUP(VLOOKUP(D855,'Customer Details'!$A$1:$F$17,5,0),'Region INfo'!$A$1:$C$52,3,0)</f>
        <v xml:space="preserve">Pacific   </v>
      </c>
      <c r="L855" s="8" t="str">
        <f>INDEX(Product_List,MATCH($F855,'Product List'!$B$1:$B$299,0),MATCH('Order SUmmary'!L$2,'Product List'!$A$1:$E$1,0))</f>
        <v>Xerox 1958</v>
      </c>
      <c r="M855" s="8">
        <f>INDEX(Product_List,MATCH($F855,'Product List'!$B$1:$B$299,0),MATCH('Order SUmmary'!M$2,'Product List'!$A$1:$E$1,0))</f>
        <v>4481</v>
      </c>
      <c r="N855" s="8">
        <f>INDEX(Product_List,MATCH($F855,'Product List'!$B$1:$B$299,0),MATCH('Order SUmmary'!N$2,'Product List'!$A$1:$E$1,0))</f>
        <v>2114</v>
      </c>
      <c r="O855" s="8" t="str">
        <f>INDEX(Product_List,MATCH($F855,'Product List'!$B$1:$B$299,0),MATCH('Order SUmmary'!O$2,'Product List'!$A$1:$E$1,0))</f>
        <v>Paper</v>
      </c>
      <c r="P855" s="12">
        <f>HLOOKUP(C855,'Commission Criteria'!$A$2:$I$4,3,FALSE)</f>
        <v>10</v>
      </c>
      <c r="Q855" s="8">
        <f t="shared" si="40"/>
        <v>4228</v>
      </c>
      <c r="R855" s="8">
        <f t="shared" si="41"/>
        <v>8962</v>
      </c>
      <c r="S855" s="36">
        <f>VLOOKUP(R855,'Commission Criteria'!$L$3:$M$11,2,TRUE)</f>
        <v>0.03</v>
      </c>
      <c r="T855" s="36">
        <f>IF(P855&lt;5,VLOOKUP(R855,'Commission Criteria'!$L$3:$M$11,2,1),VLOOKUP('Order SUmmary'!R855,'Commission Criteria'!$P$3:$Q$11,2,1))</f>
        <v>0.02</v>
      </c>
      <c r="U855" s="36">
        <f>VLOOKUP(R855,IF(P855&lt;5,'Commission Criteria'!$L$3:$M$11,'Commission Criteria'!$P$3:$Q$11),2,1)</f>
        <v>0.02</v>
      </c>
      <c r="V855" s="8" t="s">
        <v>29</v>
      </c>
      <c r="W855" s="36">
        <f t="shared" ca="1" si="42"/>
        <v>0.03</v>
      </c>
      <c r="X855" s="8" t="str">
        <f>_xlfn.XLOOKUP(F855,'Product List'!$B$1:$B$299,'Product List'!$A$1:$A$299)</f>
        <v>Xerox 1958</v>
      </c>
      <c r="Y855" s="8"/>
      <c r="Z855" s="8" t="str" cm="1">
        <f t="array" ref="Z855:AD855">_xlfn.XLOOKUP(D855,'Customer Details'!$A$1:$A$17,'Customer Details'!$B$1:$F$17,"No such customer",0,1)</f>
        <v>Sonata Software</v>
      </c>
      <c r="AA855" s="8" t="str">
        <v>1331 Kimberly Dr.</v>
      </c>
      <c r="AB855" s="8" t="str">
        <v>Olympia</v>
      </c>
      <c r="AC855" s="8" t="str">
        <v>WA</v>
      </c>
      <c r="AD855" s="8" t="str">
        <v>98502</v>
      </c>
    </row>
    <row r="856" spans="1:30">
      <c r="A856" s="8" t="s">
        <v>897</v>
      </c>
      <c r="B856" s="19">
        <v>42053</v>
      </c>
      <c r="C856" s="8" t="s">
        <v>36</v>
      </c>
      <c r="D856" s="8">
        <v>10011</v>
      </c>
      <c r="E856" s="8" t="str">
        <f>VLOOKUP($D856,'Customer Details'!$A$1:$F$17,4,FALSE)</f>
        <v>Olympia</v>
      </c>
      <c r="F856" s="8" t="s">
        <v>103</v>
      </c>
      <c r="G856" s="8">
        <v>1</v>
      </c>
      <c r="H856" s="2" t="str">
        <f>VLOOKUP($D856,'Customer Details'!$A$1:$F$17,MATCH('Order SUmmary'!H$2,'Customer Details'!$A$1:$F$1,0),0)</f>
        <v>Sonata Software</v>
      </c>
      <c r="I856" s="2" t="str">
        <f>VLOOKUP($D856,'Customer Details'!$A$1:$F$17,4,0)</f>
        <v>Olympia</v>
      </c>
      <c r="J856" s="2" t="str">
        <f>VLOOKUP($D856,'Customer Details'!$A$1:$F$17,6,0)</f>
        <v>98502</v>
      </c>
      <c r="K856" s="8" t="str">
        <f>VLOOKUP(VLOOKUP(D856,'Customer Details'!$A$1:$F$17,5,0),'Region INfo'!$A$1:$C$52,3,0)</f>
        <v xml:space="preserve">Pacific   </v>
      </c>
      <c r="L856" s="8" t="str">
        <f>INDEX(Product_List,MATCH($F856,'Product List'!$B$1:$B$299,0),MATCH('Order SUmmary'!L$2,'Product List'!$A$1:$E$1,0))</f>
        <v>Xerox 1981</v>
      </c>
      <c r="M856" s="8">
        <f>INDEX(Product_List,MATCH($F856,'Product List'!$B$1:$B$299,0),MATCH('Order SUmmary'!M$2,'Product List'!$A$1:$E$1,0))</f>
        <v>2658</v>
      </c>
      <c r="N856" s="8">
        <f>INDEX(Product_List,MATCH($F856,'Product List'!$B$1:$B$299,0),MATCH('Order SUmmary'!N$2,'Product List'!$A$1:$E$1,0))</f>
        <v>1274</v>
      </c>
      <c r="O856" s="8" t="str">
        <f>INDEX(Product_List,MATCH($F856,'Product List'!$B$1:$B$299,0),MATCH('Order SUmmary'!O$2,'Product List'!$A$1:$E$1,0))</f>
        <v>Paper</v>
      </c>
      <c r="P856" s="12">
        <f>HLOOKUP(C856,'Commission Criteria'!$A$2:$I$4,3,FALSE)</f>
        <v>6</v>
      </c>
      <c r="Q856" s="8">
        <f t="shared" si="40"/>
        <v>1274</v>
      </c>
      <c r="R856" s="8">
        <f t="shared" si="41"/>
        <v>2658</v>
      </c>
      <c r="S856" s="36">
        <f>VLOOKUP(R856,'Commission Criteria'!$L$3:$M$11,2,TRUE)</f>
        <v>0.01</v>
      </c>
      <c r="T856" s="36">
        <f>IF(P856&lt;5,VLOOKUP(R856,'Commission Criteria'!$L$3:$M$11,2,1),VLOOKUP('Order SUmmary'!R856,'Commission Criteria'!$P$3:$Q$11,2,1))</f>
        <v>0.02</v>
      </c>
      <c r="U856" s="36">
        <f>VLOOKUP(R856,IF(P856&lt;5,'Commission Criteria'!$L$3:$M$11,'Commission Criteria'!$P$3:$Q$11),2,1)</f>
        <v>0.02</v>
      </c>
      <c r="V856" s="8" t="s">
        <v>40</v>
      </c>
      <c r="W856" s="36">
        <f t="shared" ca="1" si="42"/>
        <v>0.04</v>
      </c>
      <c r="X856" s="8" t="str">
        <f>_xlfn.XLOOKUP(F856,'Product List'!$B$1:$B$299,'Product List'!$A$1:$A$299)</f>
        <v>Xerox 1981</v>
      </c>
      <c r="Y856" s="8"/>
      <c r="Z856" s="8" t="str" cm="1">
        <f t="array" ref="Z856:AD856">_xlfn.XLOOKUP(D856,'Customer Details'!$A$1:$A$17,'Customer Details'!$B$1:$F$17,"No such customer",0,1)</f>
        <v>Sonata Software</v>
      </c>
      <c r="AA856" s="8" t="str">
        <v>1331 Kimberly Dr.</v>
      </c>
      <c r="AB856" s="8" t="str">
        <v>Olympia</v>
      </c>
      <c r="AC856" s="8" t="str">
        <v>WA</v>
      </c>
      <c r="AD856" s="8" t="str">
        <v>98502</v>
      </c>
    </row>
    <row r="857" spans="1:30">
      <c r="A857" s="8" t="s">
        <v>898</v>
      </c>
      <c r="B857" s="19">
        <v>42053</v>
      </c>
      <c r="C857" s="8" t="s">
        <v>44</v>
      </c>
      <c r="D857" s="8">
        <v>10013</v>
      </c>
      <c r="E857" s="8" t="str">
        <f>VLOOKUP($D857,'Customer Details'!$A$1:$F$17,4,FALSE)</f>
        <v>Naugatuck</v>
      </c>
      <c r="F857" s="8" t="s">
        <v>223</v>
      </c>
      <c r="G857" s="8">
        <v>1</v>
      </c>
      <c r="H857" s="2" t="str">
        <f>VLOOKUP($D857,'Customer Details'!$A$1:$F$17,MATCH('Order SUmmary'!H$2,'Customer Details'!$A$1:$F$1,0),0)</f>
        <v>GMR Infrastructure Ltd.</v>
      </c>
      <c r="I857" s="2" t="str">
        <f>VLOOKUP($D857,'Customer Details'!$A$1:$F$17,4,0)</f>
        <v>Naugatuck</v>
      </c>
      <c r="J857" s="2" t="str">
        <f>VLOOKUP($D857,'Customer Details'!$A$1:$F$17,6,0)</f>
        <v>06770</v>
      </c>
      <c r="K857" s="8" t="str">
        <f>VLOOKUP(VLOOKUP(D857,'Customer Details'!$A$1:$F$17,5,0),'Region INfo'!$A$1:$C$52,3,0)</f>
        <v xml:space="preserve">Northern </v>
      </c>
      <c r="L857" s="8" t="str">
        <f>INDEX(Product_List,MATCH($F857,'Product List'!$B$1:$B$299,0),MATCH('Order SUmmary'!L$2,'Product List'!$A$1:$E$1,0))</f>
        <v>Avery 513</v>
      </c>
      <c r="M857" s="8">
        <f>INDEX(Product_List,MATCH($F857,'Product List'!$B$1:$B$299,0),MATCH('Order SUmmary'!M$2,'Product List'!$A$1:$E$1,0))</f>
        <v>3579</v>
      </c>
      <c r="N857" s="8">
        <f>INDEX(Product_List,MATCH($F857,'Product List'!$B$1:$B$299,0),MATCH('Order SUmmary'!N$2,'Product List'!$A$1:$E$1,0))</f>
        <v>1579</v>
      </c>
      <c r="O857" s="8" t="str">
        <f>INDEX(Product_List,MATCH($F857,'Product List'!$B$1:$B$299,0),MATCH('Order SUmmary'!O$2,'Product List'!$A$1:$E$1,0))</f>
        <v>Labels</v>
      </c>
      <c r="P857" s="12">
        <f>HLOOKUP(C857,'Commission Criteria'!$A$2:$I$4,3,FALSE)</f>
        <v>4</v>
      </c>
      <c r="Q857" s="8">
        <f t="shared" si="40"/>
        <v>1579</v>
      </c>
      <c r="R857" s="8">
        <f t="shared" si="41"/>
        <v>3579</v>
      </c>
      <c r="S857" s="36">
        <f>VLOOKUP(R857,'Commission Criteria'!$L$3:$M$11,2,TRUE)</f>
        <v>0.01</v>
      </c>
      <c r="T857" s="36">
        <f>IF(P857&lt;5,VLOOKUP(R857,'Commission Criteria'!$L$3:$M$11,2,1),VLOOKUP('Order SUmmary'!R857,'Commission Criteria'!$P$3:$Q$11,2,1))</f>
        <v>0.01</v>
      </c>
      <c r="U857" s="36">
        <f>VLOOKUP(R857,IF(P857&lt;5,'Commission Criteria'!$L$3:$M$11,'Commission Criteria'!$P$3:$Q$11),2,1)</f>
        <v>0.01</v>
      </c>
      <c r="V857" s="8" t="s">
        <v>43</v>
      </c>
      <c r="W857" s="36">
        <f t="shared" ca="1" si="42"/>
        <v>0.01</v>
      </c>
      <c r="X857" s="8" t="str">
        <f>_xlfn.XLOOKUP(F857,'Product List'!$B$1:$B$299,'Product List'!$A$1:$A$299)</f>
        <v>Avery 513</v>
      </c>
      <c r="Y857" s="8"/>
      <c r="Z857" s="8" t="str" cm="1">
        <f t="array" ref="Z857:AD857">_xlfn.XLOOKUP(D857,'Customer Details'!$A$1:$A$17,'Customer Details'!$B$1:$F$17,"No such customer",0,1)</f>
        <v>GMR Infrastructure Ltd.</v>
      </c>
      <c r="AA857" s="8" t="str">
        <v>P.O. Box 4421</v>
      </c>
      <c r="AB857" s="8" t="str">
        <v>Naugatuck</v>
      </c>
      <c r="AC857" s="8" t="str">
        <v>CT</v>
      </c>
      <c r="AD857" s="8" t="str">
        <v>06770</v>
      </c>
    </row>
    <row r="858" spans="1:30">
      <c r="A858" s="8" t="s">
        <v>898</v>
      </c>
      <c r="B858" s="19">
        <v>42053</v>
      </c>
      <c r="C858" s="8" t="s">
        <v>27</v>
      </c>
      <c r="D858" s="8">
        <v>10007</v>
      </c>
      <c r="E858" s="8" t="str">
        <f>VLOOKUP($D858,'Customer Details'!$A$1:$F$17,4,FALSE)</f>
        <v>Richmond</v>
      </c>
      <c r="F858" s="8" t="s">
        <v>524</v>
      </c>
      <c r="G858" s="8">
        <v>1</v>
      </c>
      <c r="H858" s="2" t="str">
        <f>VLOOKUP($D858,'Customer Details'!$A$1:$F$17,MATCH('Order SUmmary'!H$2,'Customer Details'!$A$1:$F$1,0),0)</f>
        <v>GHCL Ltd.</v>
      </c>
      <c r="I858" s="2" t="str">
        <f>VLOOKUP($D858,'Customer Details'!$A$1:$F$17,4,0)</f>
        <v>Richmond</v>
      </c>
      <c r="J858" s="2" t="str">
        <f>VLOOKUP($D858,'Customer Details'!$A$1:$F$17,6,0)</f>
        <v>94805</v>
      </c>
      <c r="K858" s="8" t="str">
        <f>VLOOKUP(VLOOKUP(D858,'Customer Details'!$A$1:$F$17,5,0),'Region INfo'!$A$1:$C$52,3,0)</f>
        <v xml:space="preserve">Pacific   </v>
      </c>
      <c r="L858" s="8" t="str">
        <f>INDEX(Product_List,MATCH($F858,'Product List'!$B$1:$B$299,0),MATCH('Order SUmmary'!L$2,'Product List'!$A$1:$E$1,0))</f>
        <v>Avery 495</v>
      </c>
      <c r="M858" s="8">
        <f>INDEX(Product_List,MATCH($F858,'Product List'!$B$1:$B$299,0),MATCH('Order SUmmary'!M$2,'Product List'!$A$1:$E$1,0))</f>
        <v>4542</v>
      </c>
      <c r="N858" s="8">
        <f>INDEX(Product_List,MATCH($F858,'Product List'!$B$1:$B$299,0),MATCH('Order SUmmary'!N$2,'Product List'!$A$1:$E$1,0))</f>
        <v>1226</v>
      </c>
      <c r="O858" s="8" t="str">
        <f>INDEX(Product_List,MATCH($F858,'Product List'!$B$1:$B$299,0),MATCH('Order SUmmary'!O$2,'Product List'!$A$1:$E$1,0))</f>
        <v>Labels</v>
      </c>
      <c r="P858" s="12">
        <f>HLOOKUP(C858,'Commission Criteria'!$A$2:$I$4,3,FALSE)</f>
        <v>4</v>
      </c>
      <c r="Q858" s="8">
        <f t="shared" si="40"/>
        <v>1226</v>
      </c>
      <c r="R858" s="8">
        <f t="shared" si="41"/>
        <v>4542</v>
      </c>
      <c r="S858" s="36">
        <f>VLOOKUP(R858,'Commission Criteria'!$L$3:$M$11,2,TRUE)</f>
        <v>0.01</v>
      </c>
      <c r="T858" s="36">
        <f>IF(P858&lt;5,VLOOKUP(R858,'Commission Criteria'!$L$3:$M$11,2,1),VLOOKUP('Order SUmmary'!R858,'Commission Criteria'!$P$3:$Q$11,2,1))</f>
        <v>0.01</v>
      </c>
      <c r="U858" s="36">
        <f>VLOOKUP(R858,IF(P858&lt;5,'Commission Criteria'!$L$3:$M$11,'Commission Criteria'!$P$3:$Q$11),2,1)</f>
        <v>0.01</v>
      </c>
      <c r="V858" s="8" t="s">
        <v>40</v>
      </c>
      <c r="W858" s="36">
        <f t="shared" ca="1" si="42"/>
        <v>0.02</v>
      </c>
      <c r="X858" s="8" t="str">
        <f>_xlfn.XLOOKUP(F858,'Product List'!$B$1:$B$299,'Product List'!$A$1:$A$299)</f>
        <v>Avery 495</v>
      </c>
      <c r="Y858" s="8"/>
      <c r="Z858" s="8" t="str" cm="1">
        <f t="array" ref="Z858:AD858">_xlfn.XLOOKUP(D858,'Customer Details'!$A$1:$A$17,'Customer Details'!$B$1:$F$17,"No such customer",0,1)</f>
        <v>GHCL Ltd.</v>
      </c>
      <c r="AA858" s="8" t="str">
        <v>58 Clarence St</v>
      </c>
      <c r="AB858" s="8" t="str">
        <v>Richmond</v>
      </c>
      <c r="AC858" s="8" t="str">
        <v>CA</v>
      </c>
      <c r="AD858" s="8" t="str">
        <v>94805</v>
      </c>
    </row>
    <row r="859" spans="1:30">
      <c r="A859" s="8" t="s">
        <v>899</v>
      </c>
      <c r="B859" s="19">
        <v>42053</v>
      </c>
      <c r="C859" s="8" t="s">
        <v>46</v>
      </c>
      <c r="D859" s="8">
        <v>10015</v>
      </c>
      <c r="E859" s="8" t="str">
        <f>VLOOKUP($D859,'Customer Details'!$A$1:$F$17,4,FALSE)</f>
        <v>South Windsor</v>
      </c>
      <c r="F859" s="8" t="s">
        <v>208</v>
      </c>
      <c r="G859" s="8">
        <v>2</v>
      </c>
      <c r="H859" s="2" t="str">
        <f>VLOOKUP($D859,'Customer Details'!$A$1:$F$17,MATCH('Order SUmmary'!H$2,'Customer Details'!$A$1:$F$1,0),0)</f>
        <v>Punj Lloyd Ltd.</v>
      </c>
      <c r="I859" s="2" t="str">
        <f>VLOOKUP($D859,'Customer Details'!$A$1:$F$17,4,0)</f>
        <v>South Windsor</v>
      </c>
      <c r="J859" s="2" t="str">
        <f>VLOOKUP($D859,'Customer Details'!$A$1:$F$17,6,0)</f>
        <v>06074</v>
      </c>
      <c r="K859" s="8" t="str">
        <f>VLOOKUP(VLOOKUP(D859,'Customer Details'!$A$1:$F$17,5,0),'Region INfo'!$A$1:$C$52,3,0)</f>
        <v xml:space="preserve">Northern </v>
      </c>
      <c r="L859" s="8" t="str">
        <f>INDEX(Product_List,MATCH($F859,'Product List'!$B$1:$B$299,0),MATCH('Order SUmmary'!L$2,'Product List'!$A$1:$E$1,0))</f>
        <v>Xerox 1928</v>
      </c>
      <c r="M859" s="8">
        <f>INDEX(Product_List,MATCH($F859,'Product List'!$B$1:$B$299,0),MATCH('Order SUmmary'!M$2,'Product List'!$A$1:$E$1,0))</f>
        <v>3034</v>
      </c>
      <c r="N859" s="8">
        <f>INDEX(Product_List,MATCH($F859,'Product List'!$B$1:$B$299,0),MATCH('Order SUmmary'!N$2,'Product List'!$A$1:$E$1,0))</f>
        <v>2312</v>
      </c>
      <c r="O859" s="8" t="str">
        <f>INDEX(Product_List,MATCH($F859,'Product List'!$B$1:$B$299,0),MATCH('Order SUmmary'!O$2,'Product List'!$A$1:$E$1,0))</f>
        <v>Paper</v>
      </c>
      <c r="P859" s="12">
        <f>HLOOKUP(C859,'Commission Criteria'!$A$2:$I$4,3,FALSE)</f>
        <v>8</v>
      </c>
      <c r="Q859" s="8">
        <f t="shared" si="40"/>
        <v>4624</v>
      </c>
      <c r="R859" s="8">
        <f t="shared" si="41"/>
        <v>6068</v>
      </c>
      <c r="S859" s="36">
        <f>VLOOKUP(R859,'Commission Criteria'!$L$3:$M$11,2,TRUE)</f>
        <v>0.03</v>
      </c>
      <c r="T859" s="36">
        <f>IF(P859&lt;5,VLOOKUP(R859,'Commission Criteria'!$L$3:$M$11,2,1),VLOOKUP('Order SUmmary'!R859,'Commission Criteria'!$P$3:$Q$11,2,1))</f>
        <v>0.02</v>
      </c>
      <c r="U859" s="36">
        <f>VLOOKUP(R859,IF(P859&lt;5,'Commission Criteria'!$L$3:$M$11,'Commission Criteria'!$P$3:$Q$11),2,1)</f>
        <v>0.02</v>
      </c>
      <c r="V859" s="8" t="s">
        <v>35</v>
      </c>
      <c r="W859" s="36">
        <f t="shared" ca="1" si="42"/>
        <v>0</v>
      </c>
      <c r="X859" s="8" t="str">
        <f>_xlfn.XLOOKUP(F859,'Product List'!$B$1:$B$299,'Product List'!$A$1:$A$299)</f>
        <v>Xerox 1928</v>
      </c>
      <c r="Y859" s="8"/>
      <c r="Z859" s="8" t="str" cm="1">
        <f t="array" ref="Z859:AD859">_xlfn.XLOOKUP(D859,'Customer Details'!$A$1:$A$17,'Customer Details'!$B$1:$F$17,"No such customer",0,1)</f>
        <v>Punj Lloyd Ltd.</v>
      </c>
      <c r="AA859" s="8" t="str">
        <v>Box 3263</v>
      </c>
      <c r="AB859" s="8" t="str">
        <v>South Windsor</v>
      </c>
      <c r="AC859" s="8" t="str">
        <v>CT</v>
      </c>
      <c r="AD859" s="8" t="str">
        <v>06074</v>
      </c>
    </row>
    <row r="860" spans="1:30">
      <c r="A860" s="8" t="s">
        <v>899</v>
      </c>
      <c r="B860" s="19">
        <v>42053</v>
      </c>
      <c r="C860" s="8" t="s">
        <v>33</v>
      </c>
      <c r="D860" s="8">
        <v>10010</v>
      </c>
      <c r="E860" s="8" t="str">
        <f>VLOOKUP($D860,'Customer Details'!$A$1:$F$17,4,FALSE)</f>
        <v>Tracy</v>
      </c>
      <c r="F860" s="8" t="s">
        <v>877</v>
      </c>
      <c r="G860" s="8">
        <v>2</v>
      </c>
      <c r="H860" s="2" t="str">
        <f>VLOOKUP($D860,'Customer Details'!$A$1:$F$17,MATCH('Order SUmmary'!H$2,'Customer Details'!$A$1:$F$1,0),0)</f>
        <v>Suzlon Energy Ltd.</v>
      </c>
      <c r="I860" s="2" t="str">
        <f>VLOOKUP($D860,'Customer Details'!$A$1:$F$17,4,0)</f>
        <v>Tracy</v>
      </c>
      <c r="J860" s="2" t="str">
        <f>VLOOKUP($D860,'Customer Details'!$A$1:$F$17,6,0)</f>
        <v>95376</v>
      </c>
      <c r="K860" s="8" t="str">
        <f>VLOOKUP(VLOOKUP(D860,'Customer Details'!$A$1:$F$17,5,0),'Region INfo'!$A$1:$C$52,3,0)</f>
        <v xml:space="preserve">Pacific   </v>
      </c>
      <c r="L860" s="8" t="str">
        <f>INDEX(Product_List,MATCH($F860,'Product List'!$B$1:$B$299,0),MATCH('Order SUmmary'!L$2,'Product List'!$A$1:$E$1,0))</f>
        <v>Avery 484</v>
      </c>
      <c r="M860" s="8">
        <f>INDEX(Product_List,MATCH($F860,'Product List'!$B$1:$B$299,0),MATCH('Order SUmmary'!M$2,'Product List'!$A$1:$E$1,0))</f>
        <v>4548</v>
      </c>
      <c r="N860" s="8">
        <f>INDEX(Product_List,MATCH($F860,'Product List'!$B$1:$B$299,0),MATCH('Order SUmmary'!N$2,'Product List'!$A$1:$E$1,0))</f>
        <v>1983</v>
      </c>
      <c r="O860" s="8" t="str">
        <f>INDEX(Product_List,MATCH($F860,'Product List'!$B$1:$B$299,0),MATCH('Order SUmmary'!O$2,'Product List'!$A$1:$E$1,0))</f>
        <v>Labels</v>
      </c>
      <c r="P860" s="12">
        <f>HLOOKUP(C860,'Commission Criteria'!$A$2:$I$4,3,FALSE)</f>
        <v>1</v>
      </c>
      <c r="Q860" s="8">
        <f t="shared" si="40"/>
        <v>3966</v>
      </c>
      <c r="R860" s="8">
        <f t="shared" si="41"/>
        <v>9096</v>
      </c>
      <c r="S860" s="36">
        <f>VLOOKUP(R860,'Commission Criteria'!$L$3:$M$11,2,TRUE)</f>
        <v>0.03</v>
      </c>
      <c r="T860" s="36">
        <f>IF(P860&lt;5,VLOOKUP(R860,'Commission Criteria'!$L$3:$M$11,2,1),VLOOKUP('Order SUmmary'!R860,'Commission Criteria'!$P$3:$Q$11,2,1))</f>
        <v>0.03</v>
      </c>
      <c r="U860" s="36">
        <f>VLOOKUP(R860,IF(P860&lt;5,'Commission Criteria'!$L$3:$M$11,'Commission Criteria'!$P$3:$Q$11),2,1)</f>
        <v>0.03</v>
      </c>
      <c r="V860" s="8" t="s">
        <v>35</v>
      </c>
      <c r="W860" s="36">
        <f t="shared" ca="1" si="42"/>
        <v>0.02</v>
      </c>
      <c r="X860" s="8" t="str">
        <f>_xlfn.XLOOKUP(F860,'Product List'!$B$1:$B$299,'Product List'!$A$1:$A$299)</f>
        <v>Avery 484</v>
      </c>
      <c r="Y860" s="8"/>
      <c r="Z860" s="8" t="str" cm="1">
        <f t="array" ref="Z860:AD860">_xlfn.XLOOKUP(D860,'Customer Details'!$A$1:$A$17,'Customer Details'!$B$1:$F$17,"No such customer",0,1)</f>
        <v>Suzlon Energy Ltd.</v>
      </c>
      <c r="AA860" s="8" t="str">
        <v>501 Marsh Trail Circle</v>
      </c>
      <c r="AB860" s="8" t="str">
        <v>Tracy</v>
      </c>
      <c r="AC860" s="8" t="str">
        <v>CA</v>
      </c>
      <c r="AD860" s="8" t="str">
        <v>95376</v>
      </c>
    </row>
    <row r="861" spans="1:30">
      <c r="A861" s="8" t="s">
        <v>898</v>
      </c>
      <c r="B861" s="19">
        <v>42053</v>
      </c>
      <c r="C861" s="8" t="s">
        <v>46</v>
      </c>
      <c r="D861" s="8">
        <v>10003</v>
      </c>
      <c r="E861" s="8" t="str">
        <f>VLOOKUP($D861,'Customer Details'!$A$1:$F$17,4,FALSE)</f>
        <v>Miami</v>
      </c>
      <c r="F861" s="8" t="s">
        <v>729</v>
      </c>
      <c r="G861" s="8">
        <v>3</v>
      </c>
      <c r="H861" s="2" t="str">
        <f>VLOOKUP($D861,'Customer Details'!$A$1:$F$17,MATCH('Order SUmmary'!H$2,'Customer Details'!$A$1:$F$1,0),0)</f>
        <v>Honeywell Automation</v>
      </c>
      <c r="I861" s="2" t="str">
        <f>VLOOKUP($D861,'Customer Details'!$A$1:$F$17,4,0)</f>
        <v>Miami</v>
      </c>
      <c r="J861" s="2" t="str">
        <f>VLOOKUP($D861,'Customer Details'!$A$1:$F$17,6,0)</f>
        <v>33732</v>
      </c>
      <c r="K861" s="8" t="str">
        <f>VLOOKUP(VLOOKUP(D861,'Customer Details'!$A$1:$F$17,5,0),'Region INfo'!$A$1:$C$52,3,0)</f>
        <v>Southern</v>
      </c>
      <c r="L861" s="8" t="str">
        <f>INDEX(Product_List,MATCH($F861,'Product List'!$B$1:$B$299,0),MATCH('Order SUmmary'!L$2,'Product List'!$A$1:$E$1,0))</f>
        <v>Newell 324</v>
      </c>
      <c r="M861" s="8">
        <f>INDEX(Product_List,MATCH($F861,'Product List'!$B$1:$B$299,0),MATCH('Order SUmmary'!M$2,'Product List'!$A$1:$E$1,0))</f>
        <v>3859</v>
      </c>
      <c r="N861" s="8">
        <f>INDEX(Product_List,MATCH($F861,'Product List'!$B$1:$B$299,0),MATCH('Order SUmmary'!N$2,'Product List'!$A$1:$E$1,0))</f>
        <v>1465</v>
      </c>
      <c r="O861" s="8" t="str">
        <f>INDEX(Product_List,MATCH($F861,'Product List'!$B$1:$B$299,0),MATCH('Order SUmmary'!O$2,'Product List'!$A$1:$E$1,0))</f>
        <v>Art</v>
      </c>
      <c r="P861" s="12">
        <f>HLOOKUP(C861,'Commission Criteria'!$A$2:$I$4,3,FALSE)</f>
        <v>8</v>
      </c>
      <c r="Q861" s="8">
        <f t="shared" si="40"/>
        <v>4395</v>
      </c>
      <c r="R861" s="8">
        <f t="shared" si="41"/>
        <v>11577</v>
      </c>
      <c r="S861" s="36">
        <f>VLOOKUP(R861,'Commission Criteria'!$L$3:$M$11,2,TRUE)</f>
        <v>0.03</v>
      </c>
      <c r="T861" s="36">
        <f>IF(P861&lt;5,VLOOKUP(R861,'Commission Criteria'!$L$3:$M$11,2,1),VLOOKUP('Order SUmmary'!R861,'Commission Criteria'!$P$3:$Q$11,2,1))</f>
        <v>0.02</v>
      </c>
      <c r="U861" s="36">
        <f>VLOOKUP(R861,IF(P861&lt;5,'Commission Criteria'!$L$3:$M$11,'Commission Criteria'!$P$3:$Q$11),2,1)</f>
        <v>0.02</v>
      </c>
      <c r="V861" s="8" t="s">
        <v>32</v>
      </c>
      <c r="W861" s="36">
        <f t="shared" ca="1" si="42"/>
        <v>0.04</v>
      </c>
      <c r="X861" s="8" t="str">
        <f>_xlfn.XLOOKUP(F861,'Product List'!$B$1:$B$299,'Product List'!$A$1:$A$299)</f>
        <v>Newell 324</v>
      </c>
      <c r="Y861" s="8"/>
      <c r="Z861" s="8" t="str" cm="1">
        <f t="array" ref="Z861:AD861">_xlfn.XLOOKUP(D861,'Customer Details'!$A$1:$A$17,'Customer Details'!$B$1:$F$17,"No such customer",0,1)</f>
        <v>Honeywell Automation</v>
      </c>
      <c r="AA861" s="8" t="str">
        <v>1272 Harbor Road</v>
      </c>
      <c r="AB861" s="8" t="str">
        <v>Miami</v>
      </c>
      <c r="AC861" s="8" t="str">
        <v>FL</v>
      </c>
      <c r="AD861" s="8" t="str">
        <v>33732</v>
      </c>
    </row>
    <row r="862" spans="1:30">
      <c r="A862" s="8" t="s">
        <v>900</v>
      </c>
      <c r="B862" s="19">
        <v>42054</v>
      </c>
      <c r="C862" s="8" t="s">
        <v>27</v>
      </c>
      <c r="D862" s="8">
        <v>10002</v>
      </c>
      <c r="E862" s="8" t="str">
        <f>VLOOKUP($D862,'Customer Details'!$A$1:$F$17,4,FALSE)</f>
        <v>Omaha</v>
      </c>
      <c r="F862" s="8" t="s">
        <v>94</v>
      </c>
      <c r="G862" s="8">
        <v>2</v>
      </c>
      <c r="H862" s="2" t="str">
        <f>VLOOKUP($D862,'Customer Details'!$A$1:$F$17,MATCH('Order SUmmary'!H$2,'Customer Details'!$A$1:$F$1,0),0)</f>
        <v>Elder Pharmaceuticals</v>
      </c>
      <c r="I862" s="2" t="str">
        <f>VLOOKUP($D862,'Customer Details'!$A$1:$F$17,4,0)</f>
        <v>Omaha</v>
      </c>
      <c r="J862" s="2" t="str">
        <f>VLOOKUP($D862,'Customer Details'!$A$1:$F$17,6,0)</f>
        <v>68127</v>
      </c>
      <c r="K862" s="8" t="str">
        <f>VLOOKUP(VLOOKUP(D862,'Customer Details'!$A$1:$F$17,5,0),'Region INfo'!$A$1:$C$52,3,0)</f>
        <v>Western</v>
      </c>
      <c r="L862" s="8" t="str">
        <f>INDEX(Product_List,MATCH($F862,'Product List'!$B$1:$B$299,0),MATCH('Order SUmmary'!L$2,'Product List'!$A$1:$E$1,0))</f>
        <v>Xerox 191</v>
      </c>
      <c r="M862" s="8">
        <f>INDEX(Product_List,MATCH($F862,'Product List'!$B$1:$B$299,0),MATCH('Order SUmmary'!M$2,'Product List'!$A$1:$E$1,0))</f>
        <v>3768</v>
      </c>
      <c r="N862" s="8">
        <f>INDEX(Product_List,MATCH($F862,'Product List'!$B$1:$B$299,0),MATCH('Order SUmmary'!N$2,'Product List'!$A$1:$E$1,0))</f>
        <v>1353</v>
      </c>
      <c r="O862" s="8" t="str">
        <f>INDEX(Product_List,MATCH($F862,'Product List'!$B$1:$B$299,0),MATCH('Order SUmmary'!O$2,'Product List'!$A$1:$E$1,0))</f>
        <v>Paper</v>
      </c>
      <c r="P862" s="12">
        <f>HLOOKUP(C862,'Commission Criteria'!$A$2:$I$4,3,FALSE)</f>
        <v>4</v>
      </c>
      <c r="Q862" s="8">
        <f t="shared" si="40"/>
        <v>2706</v>
      </c>
      <c r="R862" s="8">
        <f t="shared" si="41"/>
        <v>7536</v>
      </c>
      <c r="S862" s="36">
        <f>VLOOKUP(R862,'Commission Criteria'!$L$3:$M$11,2,TRUE)</f>
        <v>0.03</v>
      </c>
      <c r="T862" s="36">
        <f>IF(P862&lt;5,VLOOKUP(R862,'Commission Criteria'!$L$3:$M$11,2,1),VLOOKUP('Order SUmmary'!R862,'Commission Criteria'!$P$3:$Q$11,2,1))</f>
        <v>0.03</v>
      </c>
      <c r="U862" s="36">
        <f>VLOOKUP(R862,IF(P862&lt;5,'Commission Criteria'!$L$3:$M$11,'Commission Criteria'!$P$3:$Q$11),2,1)</f>
        <v>0.03</v>
      </c>
      <c r="V862" s="8" t="s">
        <v>40</v>
      </c>
      <c r="W862" s="36">
        <f t="shared" ca="1" si="42"/>
        <v>0.05</v>
      </c>
      <c r="X862" s="8" t="str">
        <f>_xlfn.XLOOKUP(F862,'Product List'!$B$1:$B$299,'Product List'!$A$1:$A$299)</f>
        <v>Xerox 191</v>
      </c>
      <c r="Y862" s="8"/>
      <c r="Z862" s="8" t="str" cm="1">
        <f t="array" ref="Z862:AD862">_xlfn.XLOOKUP(D862,'Customer Details'!$A$1:$A$17,'Customer Details'!$B$1:$F$17,"No such customer",0,1)</f>
        <v>Elder Pharmaceuticals</v>
      </c>
      <c r="AA862" s="8" t="str">
        <v>57 Neriba Cres</v>
      </c>
      <c r="AB862" s="8" t="str">
        <v>Omaha</v>
      </c>
      <c r="AC862" s="8" t="str">
        <v>NE</v>
      </c>
      <c r="AD862" s="8" t="str">
        <v>68127</v>
      </c>
    </row>
    <row r="863" spans="1:30">
      <c r="A863" s="8" t="s">
        <v>900</v>
      </c>
      <c r="B863" s="19">
        <v>42054</v>
      </c>
      <c r="C863" s="8" t="s">
        <v>54</v>
      </c>
      <c r="D863" s="8">
        <v>10009</v>
      </c>
      <c r="E863" s="8" t="str">
        <f>VLOOKUP($D863,'Customer Details'!$A$1:$F$17,4,FALSE)</f>
        <v>Salt Lake City</v>
      </c>
      <c r="F863" s="8" t="s">
        <v>406</v>
      </c>
      <c r="G863" s="8">
        <v>12</v>
      </c>
      <c r="H863" s="2" t="str">
        <f>VLOOKUP($D863,'Customer Details'!$A$1:$F$17,MATCH('Order SUmmary'!H$2,'Customer Details'!$A$1:$F$1,0),0)</f>
        <v>Godfrey Philips India Ltd.</v>
      </c>
      <c r="I863" s="2" t="str">
        <f>VLOOKUP($D863,'Customer Details'!$A$1:$F$17,4,0)</f>
        <v>Salt Lake City</v>
      </c>
      <c r="J863" s="2" t="str">
        <f>VLOOKUP($D863,'Customer Details'!$A$1:$F$17,6,0)</f>
        <v>84118</v>
      </c>
      <c r="K863" s="8" t="str">
        <f>VLOOKUP(VLOOKUP(D863,'Customer Details'!$A$1:$F$17,5,0),'Region INfo'!$A$1:$C$52,3,0)</f>
        <v xml:space="preserve">Pacific   </v>
      </c>
      <c r="L863" s="8" t="str">
        <f>INDEX(Product_List,MATCH($F863,'Product List'!$B$1:$B$299,0),MATCH('Order SUmmary'!L$2,'Product List'!$A$1:$E$1,0))</f>
        <v>Xerox 198</v>
      </c>
      <c r="M863" s="8">
        <f>INDEX(Product_List,MATCH($F863,'Product List'!$B$1:$B$299,0),MATCH('Order SUmmary'!M$2,'Product List'!$A$1:$E$1,0))</f>
        <v>4120</v>
      </c>
      <c r="N863" s="8">
        <f>INDEX(Product_List,MATCH($F863,'Product List'!$B$1:$B$299,0),MATCH('Order SUmmary'!N$2,'Product List'!$A$1:$E$1,0))</f>
        <v>1841</v>
      </c>
      <c r="O863" s="8" t="str">
        <f>INDEX(Product_List,MATCH($F863,'Product List'!$B$1:$B$299,0),MATCH('Order SUmmary'!O$2,'Product List'!$A$1:$E$1,0))</f>
        <v>Paper</v>
      </c>
      <c r="P863" s="12">
        <f>HLOOKUP(C863,'Commission Criteria'!$A$2:$I$4,3,FALSE)</f>
        <v>3</v>
      </c>
      <c r="Q863" s="8">
        <f t="shared" si="40"/>
        <v>22092</v>
      </c>
      <c r="R863" s="8">
        <f t="shared" si="41"/>
        <v>49440</v>
      </c>
      <c r="S863" s="36">
        <f>VLOOKUP(R863,'Commission Criteria'!$L$3:$M$11,2,TRUE)</f>
        <v>0.05</v>
      </c>
      <c r="T863" s="36">
        <f>IF(P863&lt;5,VLOOKUP(R863,'Commission Criteria'!$L$3:$M$11,2,1),VLOOKUP('Order SUmmary'!R863,'Commission Criteria'!$P$3:$Q$11,2,1))</f>
        <v>0.05</v>
      </c>
      <c r="U863" s="36">
        <f>VLOOKUP(R863,IF(P863&lt;5,'Commission Criteria'!$L$3:$M$11,'Commission Criteria'!$P$3:$Q$11),2,1)</f>
        <v>0.05</v>
      </c>
      <c r="V863" s="8" t="s">
        <v>35</v>
      </c>
      <c r="W863" s="36">
        <f t="shared" ca="1" si="42"/>
        <v>0.01</v>
      </c>
      <c r="X863" s="8" t="str">
        <f>_xlfn.XLOOKUP(F863,'Product List'!$B$1:$B$299,'Product List'!$A$1:$A$299)</f>
        <v>Xerox 198</v>
      </c>
      <c r="Y863" s="8"/>
      <c r="Z863" s="8" t="str" cm="1">
        <f t="array" ref="Z863:AD863">_xlfn.XLOOKUP(D863,'Customer Details'!$A$1:$A$17,'Customer Details'!$B$1:$F$17,"No such customer",0,1)</f>
        <v>Godfrey Philips India Ltd.</v>
      </c>
      <c r="AA863" s="8" t="str">
        <v>20501 Ania Ave #2</v>
      </c>
      <c r="AB863" s="8" t="str">
        <v>Salt Lake City</v>
      </c>
      <c r="AC863" s="8" t="str">
        <v>UT</v>
      </c>
      <c r="AD863" s="8" t="str">
        <v>84118</v>
      </c>
    </row>
    <row r="864" spans="1:30">
      <c r="A864" s="8" t="s">
        <v>901</v>
      </c>
      <c r="B864" s="19">
        <v>42057</v>
      </c>
      <c r="C864" s="8" t="s">
        <v>66</v>
      </c>
      <c r="D864" s="8">
        <v>10014</v>
      </c>
      <c r="E864" s="8" t="str">
        <f>VLOOKUP($D864,'Customer Details'!$A$1:$F$17,4,FALSE)</f>
        <v>Honolulu</v>
      </c>
      <c r="F864" s="8" t="s">
        <v>149</v>
      </c>
      <c r="G864" s="8">
        <v>1</v>
      </c>
      <c r="H864" s="2" t="str">
        <f>VLOOKUP($D864,'Customer Details'!$A$1:$F$17,MATCH('Order SUmmary'!H$2,'Customer Details'!$A$1:$F$1,0),0)</f>
        <v>Hindusthan National Glass &amp; Industries Ltd.</v>
      </c>
      <c r="I864" s="2" t="str">
        <f>VLOOKUP($D864,'Customer Details'!$A$1:$F$17,4,0)</f>
        <v>Honolulu</v>
      </c>
      <c r="J864" s="2" t="str">
        <f>VLOOKUP($D864,'Customer Details'!$A$1:$F$17,6,0)</f>
        <v>96825</v>
      </c>
      <c r="K864" s="8" t="str">
        <f>VLOOKUP(VLOOKUP(D864,'Customer Details'!$A$1:$F$17,5,0),'Region INfo'!$A$1:$C$52,3,0)</f>
        <v xml:space="preserve">Pacific   </v>
      </c>
      <c r="L864" s="8" t="str">
        <f>INDEX(Product_List,MATCH($F864,'Product List'!$B$1:$B$299,0),MATCH('Order SUmmary'!L$2,'Product List'!$A$1:$E$1,0))</f>
        <v>Xerox 1992</v>
      </c>
      <c r="M864" s="8">
        <f>INDEX(Product_List,MATCH($F864,'Product List'!$B$1:$B$299,0),MATCH('Order SUmmary'!M$2,'Product List'!$A$1:$E$1,0))</f>
        <v>4218</v>
      </c>
      <c r="N864" s="8">
        <f>INDEX(Product_List,MATCH($F864,'Product List'!$B$1:$B$299,0),MATCH('Order SUmmary'!N$2,'Product List'!$A$1:$E$1,0))</f>
        <v>2421</v>
      </c>
      <c r="O864" s="8" t="str">
        <f>INDEX(Product_List,MATCH($F864,'Product List'!$B$1:$B$299,0),MATCH('Order SUmmary'!O$2,'Product List'!$A$1:$E$1,0))</f>
        <v>Paper</v>
      </c>
      <c r="P864" s="12">
        <f>HLOOKUP(C864,'Commission Criteria'!$A$2:$I$4,3,FALSE)</f>
        <v>5</v>
      </c>
      <c r="Q864" s="8">
        <f t="shared" si="40"/>
        <v>2421</v>
      </c>
      <c r="R864" s="8">
        <f t="shared" si="41"/>
        <v>4218</v>
      </c>
      <c r="S864" s="36">
        <f>VLOOKUP(R864,'Commission Criteria'!$L$3:$M$11,2,TRUE)</f>
        <v>0.01</v>
      </c>
      <c r="T864" s="36">
        <f>IF(P864&lt;5,VLOOKUP(R864,'Commission Criteria'!$L$3:$M$11,2,1),VLOOKUP('Order SUmmary'!R864,'Commission Criteria'!$P$3:$Q$11,2,1))</f>
        <v>0.02</v>
      </c>
      <c r="U864" s="36">
        <f>VLOOKUP(R864,IF(P864&lt;5,'Commission Criteria'!$L$3:$M$11,'Commission Criteria'!$P$3:$Q$11),2,1)</f>
        <v>0.02</v>
      </c>
      <c r="V864" s="8" t="s">
        <v>29</v>
      </c>
      <c r="W864" s="36">
        <f t="shared" ca="1" si="42"/>
        <v>0.03</v>
      </c>
      <c r="X864" s="8" t="str">
        <f>_xlfn.XLOOKUP(F864,'Product List'!$B$1:$B$299,'Product List'!$A$1:$A$299)</f>
        <v>Xerox 1992</v>
      </c>
      <c r="Y864" s="8"/>
      <c r="Z864" s="8" t="str" cm="1">
        <f t="array" ref="Z864:AD864">_xlfn.XLOOKUP(D864,'Customer Details'!$A$1:$A$17,'Customer Details'!$B$1:$F$17,"No such customer",0,1)</f>
        <v>Hindusthan National Glass &amp; Industries Ltd.</v>
      </c>
      <c r="AA864" s="8" t="str">
        <v>11 Cathy St.</v>
      </c>
      <c r="AB864" s="8" t="str">
        <v>Honolulu</v>
      </c>
      <c r="AC864" s="8" t="str">
        <v>HI</v>
      </c>
      <c r="AD864" s="8" t="str">
        <v>96825</v>
      </c>
    </row>
    <row r="865" spans="1:30">
      <c r="A865" s="8" t="s">
        <v>901</v>
      </c>
      <c r="B865" s="19">
        <v>42057</v>
      </c>
      <c r="C865" s="8" t="s">
        <v>27</v>
      </c>
      <c r="D865" s="8">
        <v>10012</v>
      </c>
      <c r="E865" s="8" t="str">
        <f>VLOOKUP($D865,'Customer Details'!$A$1:$F$17,4,FALSE)</f>
        <v>Santa Barbara</v>
      </c>
      <c r="F865" s="8" t="s">
        <v>432</v>
      </c>
      <c r="G865" s="8">
        <v>2</v>
      </c>
      <c r="H865" s="2" t="str">
        <f>VLOOKUP($D865,'Customer Details'!$A$1:$F$17,MATCH('Order SUmmary'!H$2,'Customer Details'!$A$1:$F$1,0),0)</f>
        <v>Dynamatic Technologies Ltd.</v>
      </c>
      <c r="I865" s="2" t="str">
        <f>VLOOKUP($D865,'Customer Details'!$A$1:$F$17,4,0)</f>
        <v>Santa Barbara</v>
      </c>
      <c r="J865" s="2" t="str">
        <f>VLOOKUP($D865,'Customer Details'!$A$1:$F$17,6,0)</f>
        <v>93110</v>
      </c>
      <c r="K865" s="8" t="str">
        <f>VLOOKUP(VLOOKUP(D865,'Customer Details'!$A$1:$F$17,5,0),'Region INfo'!$A$1:$C$52,3,0)</f>
        <v xml:space="preserve">Pacific   </v>
      </c>
      <c r="L865" s="8" t="str">
        <f>INDEX(Product_List,MATCH($F865,'Product List'!$B$1:$B$299,0),MATCH('Order SUmmary'!L$2,'Product List'!$A$1:$E$1,0))</f>
        <v>Avery 476</v>
      </c>
      <c r="M865" s="8">
        <f>INDEX(Product_List,MATCH($F865,'Product List'!$B$1:$B$299,0),MATCH('Order SUmmary'!M$2,'Product List'!$A$1:$E$1,0))</f>
        <v>3569</v>
      </c>
      <c r="N865" s="8">
        <f>INDEX(Product_List,MATCH($F865,'Product List'!$B$1:$B$299,0),MATCH('Order SUmmary'!N$2,'Product List'!$A$1:$E$1,0))</f>
        <v>2320</v>
      </c>
      <c r="O865" s="8" t="str">
        <f>INDEX(Product_List,MATCH($F865,'Product List'!$B$1:$B$299,0),MATCH('Order SUmmary'!O$2,'Product List'!$A$1:$E$1,0))</f>
        <v>Labels</v>
      </c>
      <c r="P865" s="12">
        <f>HLOOKUP(C865,'Commission Criteria'!$A$2:$I$4,3,FALSE)</f>
        <v>4</v>
      </c>
      <c r="Q865" s="8">
        <f t="shared" si="40"/>
        <v>4640</v>
      </c>
      <c r="R865" s="8">
        <f t="shared" si="41"/>
        <v>7138</v>
      </c>
      <c r="S865" s="36">
        <f>VLOOKUP(R865,'Commission Criteria'!$L$3:$M$11,2,TRUE)</f>
        <v>0.03</v>
      </c>
      <c r="T865" s="36">
        <f>IF(P865&lt;5,VLOOKUP(R865,'Commission Criteria'!$L$3:$M$11,2,1),VLOOKUP('Order SUmmary'!R865,'Commission Criteria'!$P$3:$Q$11,2,1))</f>
        <v>0.03</v>
      </c>
      <c r="U865" s="36">
        <f>VLOOKUP(R865,IF(P865&lt;5,'Commission Criteria'!$L$3:$M$11,'Commission Criteria'!$P$3:$Q$11),2,1)</f>
        <v>0.03</v>
      </c>
      <c r="V865" s="8" t="s">
        <v>43</v>
      </c>
      <c r="W865" s="36">
        <f t="shared" ca="1" si="42"/>
        <v>0.02</v>
      </c>
      <c r="X865" s="8" t="str">
        <f>_xlfn.XLOOKUP(F865,'Product List'!$B$1:$B$299,'Product List'!$A$1:$A$299)</f>
        <v>Avery 476</v>
      </c>
      <c r="Y865" s="8"/>
      <c r="Z865" s="8" t="str" cm="1">
        <f t="array" ref="Z865:AD865">_xlfn.XLOOKUP(D865,'Customer Details'!$A$1:$A$17,'Customer Details'!$B$1:$F$17,"No such customer",0,1)</f>
        <v>Dynamatic Technologies Ltd.</v>
      </c>
      <c r="AA865" s="8" t="str">
        <v>402 Pinkster Lane</v>
      </c>
      <c r="AB865" s="8" t="str">
        <v>Santa Barbara</v>
      </c>
      <c r="AC865" s="8" t="str">
        <v>CA</v>
      </c>
      <c r="AD865" s="8" t="str">
        <v>93110</v>
      </c>
    </row>
    <row r="866" spans="1:30">
      <c r="A866" s="8" t="s">
        <v>902</v>
      </c>
      <c r="B866" s="19">
        <v>42062</v>
      </c>
      <c r="C866" s="8" t="s">
        <v>36</v>
      </c>
      <c r="D866" s="8">
        <v>10010</v>
      </c>
      <c r="E866" s="8" t="str">
        <f>VLOOKUP($D866,'Customer Details'!$A$1:$F$17,4,FALSE)</f>
        <v>Tracy</v>
      </c>
      <c r="F866" s="8" t="s">
        <v>218</v>
      </c>
      <c r="G866" s="8">
        <v>2</v>
      </c>
      <c r="H866" s="2" t="str">
        <f>VLOOKUP($D866,'Customer Details'!$A$1:$F$17,MATCH('Order SUmmary'!H$2,'Customer Details'!$A$1:$F$1,0),0)</f>
        <v>Suzlon Energy Ltd.</v>
      </c>
      <c r="I866" s="2" t="str">
        <f>VLOOKUP($D866,'Customer Details'!$A$1:$F$17,4,0)</f>
        <v>Tracy</v>
      </c>
      <c r="J866" s="2" t="str">
        <f>VLOOKUP($D866,'Customer Details'!$A$1:$F$17,6,0)</f>
        <v>95376</v>
      </c>
      <c r="K866" s="8" t="str">
        <f>VLOOKUP(VLOOKUP(D866,'Customer Details'!$A$1:$F$17,5,0),'Region INfo'!$A$1:$C$52,3,0)</f>
        <v xml:space="preserve">Pacific   </v>
      </c>
      <c r="L866" s="8" t="str">
        <f>INDEX(Product_List,MATCH($F866,'Product List'!$B$1:$B$299,0),MATCH('Order SUmmary'!L$2,'Product List'!$A$1:$E$1,0))</f>
        <v>Avery 509</v>
      </c>
      <c r="M866" s="8">
        <f>INDEX(Product_List,MATCH($F866,'Product List'!$B$1:$B$299,0),MATCH('Order SUmmary'!M$2,'Product List'!$A$1:$E$1,0))</f>
        <v>3377</v>
      </c>
      <c r="N866" s="8">
        <f>INDEX(Product_List,MATCH($F866,'Product List'!$B$1:$B$299,0),MATCH('Order SUmmary'!N$2,'Product List'!$A$1:$E$1,0))</f>
        <v>2112</v>
      </c>
      <c r="O866" s="8" t="str">
        <f>INDEX(Product_List,MATCH($F866,'Product List'!$B$1:$B$299,0),MATCH('Order SUmmary'!O$2,'Product List'!$A$1:$E$1,0))</f>
        <v>Labels</v>
      </c>
      <c r="P866" s="12">
        <f>HLOOKUP(C866,'Commission Criteria'!$A$2:$I$4,3,FALSE)</f>
        <v>6</v>
      </c>
      <c r="Q866" s="8">
        <f t="shared" si="40"/>
        <v>4224</v>
      </c>
      <c r="R866" s="8">
        <f t="shared" si="41"/>
        <v>6754</v>
      </c>
      <c r="S866" s="36">
        <f>VLOOKUP(R866,'Commission Criteria'!$L$3:$M$11,2,TRUE)</f>
        <v>0.03</v>
      </c>
      <c r="T866" s="36">
        <f>IF(P866&lt;5,VLOOKUP(R866,'Commission Criteria'!$L$3:$M$11,2,1),VLOOKUP('Order SUmmary'!R866,'Commission Criteria'!$P$3:$Q$11,2,1))</f>
        <v>0.02</v>
      </c>
      <c r="U866" s="36">
        <f>VLOOKUP(R866,IF(P866&lt;5,'Commission Criteria'!$L$3:$M$11,'Commission Criteria'!$P$3:$Q$11),2,1)</f>
        <v>0.02</v>
      </c>
      <c r="V866" s="8" t="s">
        <v>40</v>
      </c>
      <c r="W866" s="36">
        <f t="shared" ca="1" si="42"/>
        <v>0.05</v>
      </c>
      <c r="X866" s="8" t="str">
        <f>_xlfn.XLOOKUP(F866,'Product List'!$B$1:$B$299,'Product List'!$A$1:$A$299)</f>
        <v>Avery 509</v>
      </c>
      <c r="Y866" s="8"/>
      <c r="Z866" s="8" t="str" cm="1">
        <f t="array" ref="Z866:AD866">_xlfn.XLOOKUP(D866,'Customer Details'!$A$1:$A$17,'Customer Details'!$B$1:$F$17,"No such customer",0,1)</f>
        <v>Suzlon Energy Ltd.</v>
      </c>
      <c r="AA866" s="8" t="str">
        <v>501 Marsh Trail Circle</v>
      </c>
      <c r="AB866" s="8" t="str">
        <v>Tracy</v>
      </c>
      <c r="AC866" s="8" t="str">
        <v>CA</v>
      </c>
      <c r="AD866" s="8" t="str">
        <v>95376</v>
      </c>
    </row>
    <row r="867" spans="1:30">
      <c r="A867" s="8" t="s">
        <v>903</v>
      </c>
      <c r="B867" s="19">
        <v>42063</v>
      </c>
      <c r="C867" s="8" t="s">
        <v>54</v>
      </c>
      <c r="D867" s="8">
        <v>10001</v>
      </c>
      <c r="E867" s="8" t="str">
        <f>VLOOKUP($D867,'Customer Details'!$A$1:$F$17,4,FALSE)</f>
        <v>New York</v>
      </c>
      <c r="F867" s="8" t="s">
        <v>640</v>
      </c>
      <c r="G867" s="8">
        <v>1</v>
      </c>
      <c r="H867" s="2" t="str">
        <f>VLOOKUP($D867,'Customer Details'!$A$1:$F$17,MATCH('Order SUmmary'!H$2,'Customer Details'!$A$1:$F$1,0),0)</f>
        <v>Chambal Fertilisers and Chemicals Ltd.</v>
      </c>
      <c r="I867" s="2" t="str">
        <f>VLOOKUP($D867,'Customer Details'!$A$1:$F$17,4,0)</f>
        <v>New York</v>
      </c>
      <c r="J867" s="2" t="str">
        <f>VLOOKUP($D867,'Customer Details'!$A$1:$F$17,6,0)</f>
        <v>10025</v>
      </c>
      <c r="K867" s="8" t="str">
        <f>VLOOKUP(VLOOKUP(D867,'Customer Details'!$A$1:$F$17,5,0),'Region INfo'!$A$1:$C$52,3,0)</f>
        <v xml:space="preserve">Northern </v>
      </c>
      <c r="L867" s="8" t="str">
        <f>INDEX(Product_List,MATCH($F867,'Product List'!$B$1:$B$299,0),MATCH('Order SUmmary'!L$2,'Product List'!$A$1:$E$1,0))</f>
        <v>Crate-A-Files</v>
      </c>
      <c r="M867" s="8">
        <f>INDEX(Product_List,MATCH($F867,'Product List'!$B$1:$B$299,0),MATCH('Order SUmmary'!M$2,'Product List'!$A$1:$E$1,0))</f>
        <v>3445</v>
      </c>
      <c r="N867" s="8">
        <f>INDEX(Product_List,MATCH($F867,'Product List'!$B$1:$B$299,0),MATCH('Order SUmmary'!N$2,'Product List'!$A$1:$E$1,0))</f>
        <v>1909</v>
      </c>
      <c r="O867" s="8" t="str">
        <f>INDEX(Product_List,MATCH($F867,'Product List'!$B$1:$B$299,0),MATCH('Order SUmmary'!O$2,'Product List'!$A$1:$E$1,0))</f>
        <v>Storage</v>
      </c>
      <c r="P867" s="12">
        <f>HLOOKUP(C867,'Commission Criteria'!$A$2:$I$4,3,FALSE)</f>
        <v>3</v>
      </c>
      <c r="Q867" s="8">
        <f t="shared" si="40"/>
        <v>1909</v>
      </c>
      <c r="R867" s="8">
        <f t="shared" si="41"/>
        <v>3445</v>
      </c>
      <c r="S867" s="36">
        <f>VLOOKUP(R867,'Commission Criteria'!$L$3:$M$11,2,TRUE)</f>
        <v>0.01</v>
      </c>
      <c r="T867" s="36">
        <f>IF(P867&lt;5,VLOOKUP(R867,'Commission Criteria'!$L$3:$M$11,2,1),VLOOKUP('Order SUmmary'!R867,'Commission Criteria'!$P$3:$Q$11,2,1))</f>
        <v>0.01</v>
      </c>
      <c r="U867" s="36">
        <f>VLOOKUP(R867,IF(P867&lt;5,'Commission Criteria'!$L$3:$M$11,'Commission Criteria'!$P$3:$Q$11),2,1)</f>
        <v>0.01</v>
      </c>
      <c r="V867" s="8" t="s">
        <v>32</v>
      </c>
      <c r="W867" s="36">
        <f t="shared" ca="1" si="42"/>
        <v>0</v>
      </c>
      <c r="X867" s="8" t="str">
        <f>_xlfn.XLOOKUP(F867,'Product List'!$B$1:$B$299,'Product List'!$A$1:$A$299)</f>
        <v>Crate-A-Files</v>
      </c>
      <c r="Y867" s="8"/>
      <c r="Z867" s="8" t="str" cm="1">
        <f t="array" ref="Z867:AD867">_xlfn.XLOOKUP(D867,'Customer Details'!$A$1:$A$17,'Customer Details'!$B$1:$F$17,"No such customer",0,1)</f>
        <v>Chambal Fertilisers and Chemicals Ltd.</v>
      </c>
      <c r="AA867" s="8" t="str">
        <v>4951 Indiana Ave.</v>
      </c>
      <c r="AB867" s="8" t="str">
        <v>New York</v>
      </c>
      <c r="AC867" s="8" t="str">
        <v>NY</v>
      </c>
      <c r="AD867" s="8" t="str">
        <v>10025</v>
      </c>
    </row>
    <row r="868" spans="1:30">
      <c r="A868" s="8" t="s">
        <v>904</v>
      </c>
      <c r="B868" s="19">
        <v>42063</v>
      </c>
      <c r="C868" s="8" t="s">
        <v>44</v>
      </c>
      <c r="D868" s="8">
        <v>10011</v>
      </c>
      <c r="E868" s="8" t="str">
        <f>VLOOKUP($D868,'Customer Details'!$A$1:$F$17,4,FALSE)</f>
        <v>Olympia</v>
      </c>
      <c r="F868" s="8" t="s">
        <v>250</v>
      </c>
      <c r="G868" s="8">
        <v>1</v>
      </c>
      <c r="H868" s="2" t="str">
        <f>VLOOKUP($D868,'Customer Details'!$A$1:$F$17,MATCH('Order SUmmary'!H$2,'Customer Details'!$A$1:$F$1,0),0)</f>
        <v>Sonata Software</v>
      </c>
      <c r="I868" s="2" t="str">
        <f>VLOOKUP($D868,'Customer Details'!$A$1:$F$17,4,0)</f>
        <v>Olympia</v>
      </c>
      <c r="J868" s="2" t="str">
        <f>VLOOKUP($D868,'Customer Details'!$A$1:$F$17,6,0)</f>
        <v>98502</v>
      </c>
      <c r="K868" s="8" t="str">
        <f>VLOOKUP(VLOOKUP(D868,'Customer Details'!$A$1:$F$17,5,0),'Region INfo'!$A$1:$C$52,3,0)</f>
        <v xml:space="preserve">Pacific   </v>
      </c>
      <c r="L868" s="8" t="str">
        <f>INDEX(Product_List,MATCH($F868,'Product List'!$B$1:$B$299,0),MATCH('Order SUmmary'!L$2,'Product List'!$A$1:$E$1,0))</f>
        <v>Avery 473</v>
      </c>
      <c r="M868" s="8">
        <f>INDEX(Product_List,MATCH($F868,'Product List'!$B$1:$B$299,0),MATCH('Order SUmmary'!M$2,'Product List'!$A$1:$E$1,0))</f>
        <v>4185</v>
      </c>
      <c r="N868" s="8">
        <f>INDEX(Product_List,MATCH($F868,'Product List'!$B$1:$B$299,0),MATCH('Order SUmmary'!N$2,'Product List'!$A$1:$E$1,0))</f>
        <v>1204</v>
      </c>
      <c r="O868" s="8" t="str">
        <f>INDEX(Product_List,MATCH($F868,'Product List'!$B$1:$B$299,0),MATCH('Order SUmmary'!O$2,'Product List'!$A$1:$E$1,0))</f>
        <v>Labels</v>
      </c>
      <c r="P868" s="12">
        <f>HLOOKUP(C868,'Commission Criteria'!$A$2:$I$4,3,FALSE)</f>
        <v>4</v>
      </c>
      <c r="Q868" s="8">
        <f t="shared" si="40"/>
        <v>1204</v>
      </c>
      <c r="R868" s="8">
        <f t="shared" si="41"/>
        <v>4185</v>
      </c>
      <c r="S868" s="36">
        <f>VLOOKUP(R868,'Commission Criteria'!$L$3:$M$11,2,TRUE)</f>
        <v>0.01</v>
      </c>
      <c r="T868" s="36">
        <f>IF(P868&lt;5,VLOOKUP(R868,'Commission Criteria'!$L$3:$M$11,2,1),VLOOKUP('Order SUmmary'!R868,'Commission Criteria'!$P$3:$Q$11,2,1))</f>
        <v>0.01</v>
      </c>
      <c r="U868" s="36">
        <f>VLOOKUP(R868,IF(P868&lt;5,'Commission Criteria'!$L$3:$M$11,'Commission Criteria'!$P$3:$Q$11),2,1)</f>
        <v>0.01</v>
      </c>
      <c r="V868" s="8" t="s">
        <v>35</v>
      </c>
      <c r="W868" s="36">
        <f t="shared" ca="1" si="42"/>
        <v>0.03</v>
      </c>
      <c r="X868" s="8" t="str">
        <f>_xlfn.XLOOKUP(F868,'Product List'!$B$1:$B$299,'Product List'!$A$1:$A$299)</f>
        <v>Avery 473</v>
      </c>
      <c r="Y868" s="8"/>
      <c r="Z868" s="8" t="str" cm="1">
        <f t="array" ref="Z868:AD868">_xlfn.XLOOKUP(D868,'Customer Details'!$A$1:$A$17,'Customer Details'!$B$1:$F$17,"No such customer",0,1)</f>
        <v>Sonata Software</v>
      </c>
      <c r="AA868" s="8" t="str">
        <v>1331 Kimberly Dr.</v>
      </c>
      <c r="AB868" s="8" t="str">
        <v>Olympia</v>
      </c>
      <c r="AC868" s="8" t="str">
        <v>WA</v>
      </c>
      <c r="AD868" s="8" t="str">
        <v>98502</v>
      </c>
    </row>
    <row r="869" spans="1:30">
      <c r="A869" s="8" t="s">
        <v>905</v>
      </c>
      <c r="B869" s="19">
        <v>42063</v>
      </c>
      <c r="C869" s="8" t="s">
        <v>46</v>
      </c>
      <c r="D869" s="8">
        <v>10014</v>
      </c>
      <c r="E869" s="8" t="str">
        <f>VLOOKUP($D869,'Customer Details'!$A$1:$F$17,4,FALSE)</f>
        <v>Honolulu</v>
      </c>
      <c r="F869" s="8" t="s">
        <v>316</v>
      </c>
      <c r="G869" s="8">
        <v>1</v>
      </c>
      <c r="H869" s="2" t="str">
        <f>VLOOKUP($D869,'Customer Details'!$A$1:$F$17,MATCH('Order SUmmary'!H$2,'Customer Details'!$A$1:$F$1,0),0)</f>
        <v>Hindusthan National Glass &amp; Industries Ltd.</v>
      </c>
      <c r="I869" s="2" t="str">
        <f>VLOOKUP($D869,'Customer Details'!$A$1:$F$17,4,0)</f>
        <v>Honolulu</v>
      </c>
      <c r="J869" s="2" t="str">
        <f>VLOOKUP($D869,'Customer Details'!$A$1:$F$17,6,0)</f>
        <v>96825</v>
      </c>
      <c r="K869" s="8" t="str">
        <f>VLOOKUP(VLOOKUP(D869,'Customer Details'!$A$1:$F$17,5,0),'Region INfo'!$A$1:$C$52,3,0)</f>
        <v xml:space="preserve">Pacific   </v>
      </c>
      <c r="L869" s="8" t="str">
        <f>INDEX(Product_List,MATCH($F869,'Product List'!$B$1:$B$299,0),MATCH('Order SUmmary'!L$2,'Product List'!$A$1:$E$1,0))</f>
        <v>Xerox 1900</v>
      </c>
      <c r="M869" s="8">
        <f>INDEX(Product_List,MATCH($F869,'Product List'!$B$1:$B$299,0),MATCH('Order SUmmary'!M$2,'Product List'!$A$1:$E$1,0))</f>
        <v>4399</v>
      </c>
      <c r="N869" s="8">
        <f>INDEX(Product_List,MATCH($F869,'Product List'!$B$1:$B$299,0),MATCH('Order SUmmary'!N$2,'Product List'!$A$1:$E$1,0))</f>
        <v>2093</v>
      </c>
      <c r="O869" s="8" t="str">
        <f>INDEX(Product_List,MATCH($F869,'Product List'!$B$1:$B$299,0),MATCH('Order SUmmary'!O$2,'Product List'!$A$1:$E$1,0))</f>
        <v>Paper</v>
      </c>
      <c r="P869" s="12">
        <f>HLOOKUP(C869,'Commission Criteria'!$A$2:$I$4,3,FALSE)</f>
        <v>8</v>
      </c>
      <c r="Q869" s="8">
        <f t="shared" si="40"/>
        <v>2093</v>
      </c>
      <c r="R869" s="8">
        <f t="shared" si="41"/>
        <v>4399</v>
      </c>
      <c r="S869" s="36">
        <f>VLOOKUP(R869,'Commission Criteria'!$L$3:$M$11,2,TRUE)</f>
        <v>0.01</v>
      </c>
      <c r="T869" s="36">
        <f>IF(P869&lt;5,VLOOKUP(R869,'Commission Criteria'!$L$3:$M$11,2,1),VLOOKUP('Order SUmmary'!R869,'Commission Criteria'!$P$3:$Q$11,2,1))</f>
        <v>0.02</v>
      </c>
      <c r="U869" s="36">
        <f>VLOOKUP(R869,IF(P869&lt;5,'Commission Criteria'!$L$3:$M$11,'Commission Criteria'!$P$3:$Q$11),2,1)</f>
        <v>0.02</v>
      </c>
      <c r="V869" s="8" t="s">
        <v>50</v>
      </c>
      <c r="W869" s="36">
        <f t="shared" ca="1" si="42"/>
        <v>0</v>
      </c>
      <c r="X869" s="8" t="str">
        <f>_xlfn.XLOOKUP(F869,'Product List'!$B$1:$B$299,'Product List'!$A$1:$A$299)</f>
        <v>Xerox 1900</v>
      </c>
      <c r="Y869" s="8"/>
      <c r="Z869" s="8" t="str" cm="1">
        <f t="array" ref="Z869:AD869">_xlfn.XLOOKUP(D869,'Customer Details'!$A$1:$A$17,'Customer Details'!$B$1:$F$17,"No such customer",0,1)</f>
        <v>Hindusthan National Glass &amp; Industries Ltd.</v>
      </c>
      <c r="AA869" s="8" t="str">
        <v>11 Cathy St.</v>
      </c>
      <c r="AB869" s="8" t="str">
        <v>Honolulu</v>
      </c>
      <c r="AC869" s="8" t="str">
        <v>HI</v>
      </c>
      <c r="AD869" s="8" t="str">
        <v>96825</v>
      </c>
    </row>
    <row r="870" spans="1:30">
      <c r="A870" s="8" t="s">
        <v>903</v>
      </c>
      <c r="B870" s="19">
        <v>42063</v>
      </c>
      <c r="C870" s="8" t="s">
        <v>66</v>
      </c>
      <c r="D870" s="8">
        <v>10015</v>
      </c>
      <c r="E870" s="8" t="str">
        <f>VLOOKUP($D870,'Customer Details'!$A$1:$F$17,4,FALSE)</f>
        <v>South Windsor</v>
      </c>
      <c r="F870" s="8" t="s">
        <v>281</v>
      </c>
      <c r="G870" s="8">
        <v>1</v>
      </c>
      <c r="H870" s="2" t="str">
        <f>VLOOKUP($D870,'Customer Details'!$A$1:$F$17,MATCH('Order SUmmary'!H$2,'Customer Details'!$A$1:$F$1,0),0)</f>
        <v>Punj Lloyd Ltd.</v>
      </c>
      <c r="I870" s="2" t="str">
        <f>VLOOKUP($D870,'Customer Details'!$A$1:$F$17,4,0)</f>
        <v>South Windsor</v>
      </c>
      <c r="J870" s="2" t="str">
        <f>VLOOKUP($D870,'Customer Details'!$A$1:$F$17,6,0)</f>
        <v>06074</v>
      </c>
      <c r="K870" s="8" t="str">
        <f>VLOOKUP(VLOOKUP(D870,'Customer Details'!$A$1:$F$17,5,0),'Region INfo'!$A$1:$C$52,3,0)</f>
        <v xml:space="preserve">Northern </v>
      </c>
      <c r="L870" s="8" t="str">
        <f>INDEX(Product_List,MATCH($F870,'Product List'!$B$1:$B$299,0),MATCH('Order SUmmary'!L$2,'Product List'!$A$1:$E$1,0))</f>
        <v>Newell 309</v>
      </c>
      <c r="M870" s="8">
        <f>INDEX(Product_List,MATCH($F870,'Product List'!$B$1:$B$299,0),MATCH('Order SUmmary'!M$2,'Product List'!$A$1:$E$1,0))</f>
        <v>4927</v>
      </c>
      <c r="N870" s="8">
        <f>INDEX(Product_List,MATCH($F870,'Product List'!$B$1:$B$299,0),MATCH('Order SUmmary'!N$2,'Product List'!$A$1:$E$1,0))</f>
        <v>2034</v>
      </c>
      <c r="O870" s="8" t="str">
        <f>INDEX(Product_List,MATCH($F870,'Product List'!$B$1:$B$299,0),MATCH('Order SUmmary'!O$2,'Product List'!$A$1:$E$1,0))</f>
        <v>Art</v>
      </c>
      <c r="P870" s="12">
        <f>HLOOKUP(C870,'Commission Criteria'!$A$2:$I$4,3,FALSE)</f>
        <v>5</v>
      </c>
      <c r="Q870" s="8">
        <f t="shared" si="40"/>
        <v>2034</v>
      </c>
      <c r="R870" s="8">
        <f t="shared" si="41"/>
        <v>4927</v>
      </c>
      <c r="S870" s="36">
        <f>VLOOKUP(R870,'Commission Criteria'!$L$3:$M$11,2,TRUE)</f>
        <v>0.01</v>
      </c>
      <c r="T870" s="36">
        <f>IF(P870&lt;5,VLOOKUP(R870,'Commission Criteria'!$L$3:$M$11,2,1),VLOOKUP('Order SUmmary'!R870,'Commission Criteria'!$P$3:$Q$11,2,1))</f>
        <v>0.02</v>
      </c>
      <c r="U870" s="36">
        <f>VLOOKUP(R870,IF(P870&lt;5,'Commission Criteria'!$L$3:$M$11,'Commission Criteria'!$P$3:$Q$11),2,1)</f>
        <v>0.02</v>
      </c>
      <c r="V870" s="8" t="s">
        <v>32</v>
      </c>
      <c r="W870" s="36">
        <f t="shared" ca="1" si="42"/>
        <v>0.01</v>
      </c>
      <c r="X870" s="8" t="str">
        <f>_xlfn.XLOOKUP(F870,'Product List'!$B$1:$B$299,'Product List'!$A$1:$A$299)</f>
        <v>Newell 309</v>
      </c>
      <c r="Y870" s="8"/>
      <c r="Z870" s="8" t="str" cm="1">
        <f t="array" ref="Z870:AD870">_xlfn.XLOOKUP(D870,'Customer Details'!$A$1:$A$17,'Customer Details'!$B$1:$F$17,"No such customer",0,1)</f>
        <v>Punj Lloyd Ltd.</v>
      </c>
      <c r="AA870" s="8" t="str">
        <v>Box 3263</v>
      </c>
      <c r="AB870" s="8" t="str">
        <v>South Windsor</v>
      </c>
      <c r="AC870" s="8" t="str">
        <v>CT</v>
      </c>
      <c r="AD870" s="8" t="str">
        <v>06074</v>
      </c>
    </row>
    <row r="871" spans="1:30">
      <c r="A871" s="8" t="s">
        <v>906</v>
      </c>
      <c r="B871" s="19">
        <v>42063</v>
      </c>
      <c r="C871" s="8" t="s">
        <v>54</v>
      </c>
      <c r="D871" s="8">
        <v>10012</v>
      </c>
      <c r="E871" s="8" t="str">
        <f>VLOOKUP($D871,'Customer Details'!$A$1:$F$17,4,FALSE)</f>
        <v>Santa Barbara</v>
      </c>
      <c r="F871" s="8" t="s">
        <v>524</v>
      </c>
      <c r="G871" s="8">
        <v>2</v>
      </c>
      <c r="H871" s="2" t="str">
        <f>VLOOKUP($D871,'Customer Details'!$A$1:$F$17,MATCH('Order SUmmary'!H$2,'Customer Details'!$A$1:$F$1,0),0)</f>
        <v>Dynamatic Technologies Ltd.</v>
      </c>
      <c r="I871" s="2" t="str">
        <f>VLOOKUP($D871,'Customer Details'!$A$1:$F$17,4,0)</f>
        <v>Santa Barbara</v>
      </c>
      <c r="J871" s="2" t="str">
        <f>VLOOKUP($D871,'Customer Details'!$A$1:$F$17,6,0)</f>
        <v>93110</v>
      </c>
      <c r="K871" s="8" t="str">
        <f>VLOOKUP(VLOOKUP(D871,'Customer Details'!$A$1:$F$17,5,0),'Region INfo'!$A$1:$C$52,3,0)</f>
        <v xml:space="preserve">Pacific   </v>
      </c>
      <c r="L871" s="8" t="str">
        <f>INDEX(Product_List,MATCH($F871,'Product List'!$B$1:$B$299,0),MATCH('Order SUmmary'!L$2,'Product List'!$A$1:$E$1,0))</f>
        <v>Avery 495</v>
      </c>
      <c r="M871" s="8">
        <f>INDEX(Product_List,MATCH($F871,'Product List'!$B$1:$B$299,0),MATCH('Order SUmmary'!M$2,'Product List'!$A$1:$E$1,0))</f>
        <v>4542</v>
      </c>
      <c r="N871" s="8">
        <f>INDEX(Product_List,MATCH($F871,'Product List'!$B$1:$B$299,0),MATCH('Order SUmmary'!N$2,'Product List'!$A$1:$E$1,0))</f>
        <v>1226</v>
      </c>
      <c r="O871" s="8" t="str">
        <f>INDEX(Product_List,MATCH($F871,'Product List'!$B$1:$B$299,0),MATCH('Order SUmmary'!O$2,'Product List'!$A$1:$E$1,0))</f>
        <v>Labels</v>
      </c>
      <c r="P871" s="12">
        <f>HLOOKUP(C871,'Commission Criteria'!$A$2:$I$4,3,FALSE)</f>
        <v>3</v>
      </c>
      <c r="Q871" s="8">
        <f t="shared" si="40"/>
        <v>2452</v>
      </c>
      <c r="R871" s="8">
        <f t="shared" si="41"/>
        <v>9084</v>
      </c>
      <c r="S871" s="36">
        <f>VLOOKUP(R871,'Commission Criteria'!$L$3:$M$11,2,TRUE)</f>
        <v>0.03</v>
      </c>
      <c r="T871" s="36">
        <f>IF(P871&lt;5,VLOOKUP(R871,'Commission Criteria'!$L$3:$M$11,2,1),VLOOKUP('Order SUmmary'!R871,'Commission Criteria'!$P$3:$Q$11,2,1))</f>
        <v>0.03</v>
      </c>
      <c r="U871" s="36">
        <f>VLOOKUP(R871,IF(P871&lt;5,'Commission Criteria'!$L$3:$M$11,'Commission Criteria'!$P$3:$Q$11),2,1)</f>
        <v>0.03</v>
      </c>
      <c r="V871" s="8" t="s">
        <v>43</v>
      </c>
      <c r="W871" s="36">
        <f t="shared" ca="1" si="42"/>
        <v>0.03</v>
      </c>
      <c r="X871" s="8" t="str">
        <f>_xlfn.XLOOKUP(F871,'Product List'!$B$1:$B$299,'Product List'!$A$1:$A$299)</f>
        <v>Avery 495</v>
      </c>
      <c r="Y871" s="8"/>
      <c r="Z871" s="8" t="str" cm="1">
        <f t="array" ref="Z871:AD871">_xlfn.XLOOKUP(D871,'Customer Details'!$A$1:$A$17,'Customer Details'!$B$1:$F$17,"No such customer",0,1)</f>
        <v>Dynamatic Technologies Ltd.</v>
      </c>
      <c r="AA871" s="8" t="str">
        <v>402 Pinkster Lane</v>
      </c>
      <c r="AB871" s="8" t="str">
        <v>Santa Barbara</v>
      </c>
      <c r="AC871" s="8" t="str">
        <v>CA</v>
      </c>
      <c r="AD871" s="8" t="str">
        <v>93110</v>
      </c>
    </row>
    <row r="872" spans="1:30">
      <c r="A872" s="8" t="s">
        <v>907</v>
      </c>
      <c r="B872" s="19">
        <v>42064</v>
      </c>
      <c r="C872" s="8" t="s">
        <v>27</v>
      </c>
      <c r="D872" s="8">
        <v>10015</v>
      </c>
      <c r="E872" s="8" t="str">
        <f>VLOOKUP($D872,'Customer Details'!$A$1:$F$17,4,FALSE)</f>
        <v>South Windsor</v>
      </c>
      <c r="F872" s="8" t="s">
        <v>343</v>
      </c>
      <c r="G872" s="8">
        <v>12</v>
      </c>
      <c r="H872" s="2" t="str">
        <f>VLOOKUP($D872,'Customer Details'!$A$1:$F$17,MATCH('Order SUmmary'!H$2,'Customer Details'!$A$1:$F$1,0),0)</f>
        <v>Punj Lloyd Ltd.</v>
      </c>
      <c r="I872" s="2" t="str">
        <f>VLOOKUP($D872,'Customer Details'!$A$1:$F$17,4,0)</f>
        <v>South Windsor</v>
      </c>
      <c r="J872" s="2" t="str">
        <f>VLOOKUP($D872,'Customer Details'!$A$1:$F$17,6,0)</f>
        <v>06074</v>
      </c>
      <c r="K872" s="8" t="str">
        <f>VLOOKUP(VLOOKUP(D872,'Customer Details'!$A$1:$F$17,5,0),'Region INfo'!$A$1:$C$52,3,0)</f>
        <v xml:space="preserve">Northern </v>
      </c>
      <c r="L872" s="8" t="str">
        <f>INDEX(Product_List,MATCH($F872,'Product List'!$B$1:$B$299,0),MATCH('Order SUmmary'!L$2,'Product List'!$A$1:$E$1,0))</f>
        <v>Newell 333</v>
      </c>
      <c r="M872" s="8">
        <f>INDEX(Product_List,MATCH($F872,'Product List'!$B$1:$B$299,0),MATCH('Order SUmmary'!M$2,'Product List'!$A$1:$E$1,0))</f>
        <v>3000</v>
      </c>
      <c r="N872" s="8">
        <f>INDEX(Product_List,MATCH($F872,'Product List'!$B$1:$B$299,0),MATCH('Order SUmmary'!N$2,'Product List'!$A$1:$E$1,0))</f>
        <v>2148</v>
      </c>
      <c r="O872" s="8" t="str">
        <f>INDEX(Product_List,MATCH($F872,'Product List'!$B$1:$B$299,0),MATCH('Order SUmmary'!O$2,'Product List'!$A$1:$E$1,0))</f>
        <v>Art</v>
      </c>
      <c r="P872" s="12">
        <f>HLOOKUP(C872,'Commission Criteria'!$A$2:$I$4,3,FALSE)</f>
        <v>4</v>
      </c>
      <c r="Q872" s="8">
        <f t="shared" si="40"/>
        <v>25776</v>
      </c>
      <c r="R872" s="8">
        <f t="shared" si="41"/>
        <v>36000</v>
      </c>
      <c r="S872" s="36">
        <f>VLOOKUP(R872,'Commission Criteria'!$L$3:$M$11,2,TRUE)</f>
        <v>0.05</v>
      </c>
      <c r="T872" s="36">
        <f>IF(P872&lt;5,VLOOKUP(R872,'Commission Criteria'!$L$3:$M$11,2,1),VLOOKUP('Order SUmmary'!R872,'Commission Criteria'!$P$3:$Q$11,2,1))</f>
        <v>0.05</v>
      </c>
      <c r="U872" s="36">
        <f>VLOOKUP(R872,IF(P872&lt;5,'Commission Criteria'!$L$3:$M$11,'Commission Criteria'!$P$3:$Q$11),2,1)</f>
        <v>0.05</v>
      </c>
      <c r="V872" s="8" t="s">
        <v>50</v>
      </c>
      <c r="W872" s="36">
        <f t="shared" ca="1" si="42"/>
        <v>0.05</v>
      </c>
      <c r="X872" s="8" t="str">
        <f>_xlfn.XLOOKUP(F872,'Product List'!$B$1:$B$299,'Product List'!$A$1:$A$299)</f>
        <v>Newell 333</v>
      </c>
      <c r="Y872" s="8"/>
      <c r="Z872" s="8" t="str" cm="1">
        <f t="array" ref="Z872:AD872">_xlfn.XLOOKUP(D872,'Customer Details'!$A$1:$A$17,'Customer Details'!$B$1:$F$17,"No such customer",0,1)</f>
        <v>Punj Lloyd Ltd.</v>
      </c>
      <c r="AA872" s="8" t="str">
        <v>Box 3263</v>
      </c>
      <c r="AB872" s="8" t="str">
        <v>South Windsor</v>
      </c>
      <c r="AC872" s="8" t="str">
        <v>CT</v>
      </c>
      <c r="AD872" s="8" t="str">
        <v>06074</v>
      </c>
    </row>
    <row r="873" spans="1:30">
      <c r="A873" s="8" t="s">
        <v>908</v>
      </c>
      <c r="B873" s="19">
        <v>42068</v>
      </c>
      <c r="C873" s="8" t="s">
        <v>54</v>
      </c>
      <c r="D873" s="8">
        <v>10004</v>
      </c>
      <c r="E873" s="8" t="str">
        <f>VLOOKUP($D873,'Customer Details'!$A$1:$F$17,4,FALSE)</f>
        <v>New York</v>
      </c>
      <c r="F873" s="8" t="s">
        <v>511</v>
      </c>
      <c r="G873" s="8">
        <v>2</v>
      </c>
      <c r="H873" s="2" t="str">
        <f>VLOOKUP($D873,'Customer Details'!$A$1:$F$17,MATCH('Order SUmmary'!H$2,'Customer Details'!$A$1:$F$1,0),0)</f>
        <v>Lupin Ltd.</v>
      </c>
      <c r="I873" s="2" t="str">
        <f>VLOOKUP($D873,'Customer Details'!$A$1:$F$17,4,0)</f>
        <v>New York</v>
      </c>
      <c r="J873" s="2" t="str">
        <f>VLOOKUP($D873,'Customer Details'!$A$1:$F$17,6,0)</f>
        <v>10019</v>
      </c>
      <c r="K873" s="8" t="str">
        <f>VLOOKUP(VLOOKUP(D873,'Customer Details'!$A$1:$F$17,5,0),'Region INfo'!$A$1:$C$52,3,0)</f>
        <v xml:space="preserve">Northern </v>
      </c>
      <c r="L873" s="8" t="str">
        <f>INDEX(Product_List,MATCH($F873,'Product List'!$B$1:$B$299,0),MATCH('Order SUmmary'!L$2,'Product List'!$A$1:$E$1,0))</f>
        <v>Xerox 1999</v>
      </c>
      <c r="M873" s="8">
        <f>INDEX(Product_List,MATCH($F873,'Product List'!$B$1:$B$299,0),MATCH('Order SUmmary'!M$2,'Product List'!$A$1:$E$1,0))</f>
        <v>2612</v>
      </c>
      <c r="N873" s="8">
        <f>INDEX(Product_List,MATCH($F873,'Product List'!$B$1:$B$299,0),MATCH('Order SUmmary'!N$2,'Product List'!$A$1:$E$1,0))</f>
        <v>1994</v>
      </c>
      <c r="O873" s="8" t="str">
        <f>INDEX(Product_List,MATCH($F873,'Product List'!$B$1:$B$299,0),MATCH('Order SUmmary'!O$2,'Product List'!$A$1:$E$1,0))</f>
        <v>Paper</v>
      </c>
      <c r="P873" s="12">
        <f>HLOOKUP(C873,'Commission Criteria'!$A$2:$I$4,3,FALSE)</f>
        <v>3</v>
      </c>
      <c r="Q873" s="8">
        <f t="shared" si="40"/>
        <v>3988</v>
      </c>
      <c r="R873" s="8">
        <f t="shared" si="41"/>
        <v>5224</v>
      </c>
      <c r="S873" s="36">
        <f>VLOOKUP(R873,'Commission Criteria'!$L$3:$M$11,2,TRUE)</f>
        <v>0.03</v>
      </c>
      <c r="T873" s="36">
        <f>IF(P873&lt;5,VLOOKUP(R873,'Commission Criteria'!$L$3:$M$11,2,1),VLOOKUP('Order SUmmary'!R873,'Commission Criteria'!$P$3:$Q$11,2,1))</f>
        <v>0.03</v>
      </c>
      <c r="U873" s="36">
        <f>VLOOKUP(R873,IF(P873&lt;5,'Commission Criteria'!$L$3:$M$11,'Commission Criteria'!$P$3:$Q$11),2,1)</f>
        <v>0.03</v>
      </c>
      <c r="V873" s="8" t="s">
        <v>40</v>
      </c>
      <c r="W873" s="36">
        <f t="shared" ca="1" si="42"/>
        <v>0.03</v>
      </c>
      <c r="X873" s="8" t="str">
        <f>_xlfn.XLOOKUP(F873,'Product List'!$B$1:$B$299,'Product List'!$A$1:$A$299)</f>
        <v>Xerox 1999</v>
      </c>
      <c r="Y873" s="8"/>
      <c r="Z873" s="8" t="str" cm="1">
        <f t="array" ref="Z873:AD873">_xlfn.XLOOKUP(D873,'Customer Details'!$A$1:$A$17,'Customer Details'!$B$1:$F$17,"No such customer",0,1)</f>
        <v>Lupin Ltd.</v>
      </c>
      <c r="AA873" s="8" t="str">
        <v>Abbey Wood</v>
      </c>
      <c r="AB873" s="8" t="str">
        <v>New York</v>
      </c>
      <c r="AC873" s="8" t="str">
        <v>NY</v>
      </c>
      <c r="AD873" s="8" t="str">
        <v>10019</v>
      </c>
    </row>
    <row r="874" spans="1:30">
      <c r="A874" s="8" t="s">
        <v>908</v>
      </c>
      <c r="B874" s="19">
        <v>42068</v>
      </c>
      <c r="C874" s="8" t="s">
        <v>66</v>
      </c>
      <c r="D874" s="8">
        <v>10014</v>
      </c>
      <c r="E874" s="8" t="str">
        <f>VLOOKUP($D874,'Customer Details'!$A$1:$F$17,4,FALSE)</f>
        <v>Honolulu</v>
      </c>
      <c r="F874" s="8" t="s">
        <v>909</v>
      </c>
      <c r="G874" s="8">
        <v>2</v>
      </c>
      <c r="H874" s="2" t="str">
        <f>VLOOKUP($D874,'Customer Details'!$A$1:$F$17,MATCH('Order SUmmary'!H$2,'Customer Details'!$A$1:$F$1,0),0)</f>
        <v>Hindusthan National Glass &amp; Industries Ltd.</v>
      </c>
      <c r="I874" s="2" t="str">
        <f>VLOOKUP($D874,'Customer Details'!$A$1:$F$17,4,0)</f>
        <v>Honolulu</v>
      </c>
      <c r="J874" s="2" t="str">
        <f>VLOOKUP($D874,'Customer Details'!$A$1:$F$17,6,0)</f>
        <v>96825</v>
      </c>
      <c r="K874" s="8" t="str">
        <f>VLOOKUP(VLOOKUP(D874,'Customer Details'!$A$1:$F$17,5,0),'Region INfo'!$A$1:$C$52,3,0)</f>
        <v xml:space="preserve">Pacific   </v>
      </c>
      <c r="L874" s="8" t="str">
        <f>INDEX(Product_List,MATCH($F874,'Product List'!$B$1:$B$299,0),MATCH('Order SUmmary'!L$2,'Product List'!$A$1:$E$1,0))</f>
        <v>Newell 343</v>
      </c>
      <c r="M874" s="8">
        <f>INDEX(Product_List,MATCH($F874,'Product List'!$B$1:$B$299,0),MATCH('Order SUmmary'!M$2,'Product List'!$A$1:$E$1,0))</f>
        <v>2744</v>
      </c>
      <c r="N874" s="8">
        <f>INDEX(Product_List,MATCH($F874,'Product List'!$B$1:$B$299,0),MATCH('Order SUmmary'!N$2,'Product List'!$A$1:$E$1,0))</f>
        <v>1428</v>
      </c>
      <c r="O874" s="8" t="str">
        <f>INDEX(Product_List,MATCH($F874,'Product List'!$B$1:$B$299,0),MATCH('Order SUmmary'!O$2,'Product List'!$A$1:$E$1,0))</f>
        <v>Art</v>
      </c>
      <c r="P874" s="12">
        <f>HLOOKUP(C874,'Commission Criteria'!$A$2:$I$4,3,FALSE)</f>
        <v>5</v>
      </c>
      <c r="Q874" s="8">
        <f t="shared" si="40"/>
        <v>2856</v>
      </c>
      <c r="R874" s="8">
        <f t="shared" si="41"/>
        <v>5488</v>
      </c>
      <c r="S874" s="36">
        <f>VLOOKUP(R874,'Commission Criteria'!$L$3:$M$11,2,TRUE)</f>
        <v>0.03</v>
      </c>
      <c r="T874" s="36">
        <f>IF(P874&lt;5,VLOOKUP(R874,'Commission Criteria'!$L$3:$M$11,2,1),VLOOKUP('Order SUmmary'!R874,'Commission Criteria'!$P$3:$Q$11,2,1))</f>
        <v>0.02</v>
      </c>
      <c r="U874" s="36">
        <f>VLOOKUP(R874,IF(P874&lt;5,'Commission Criteria'!$L$3:$M$11,'Commission Criteria'!$P$3:$Q$11),2,1)</f>
        <v>0.02</v>
      </c>
      <c r="V874" s="8" t="s">
        <v>40</v>
      </c>
      <c r="W874" s="36">
        <f t="shared" ca="1" si="42"/>
        <v>0.04</v>
      </c>
      <c r="X874" s="8" t="str">
        <f>_xlfn.XLOOKUP(F874,'Product List'!$B$1:$B$299,'Product List'!$A$1:$A$299)</f>
        <v>Newell 343</v>
      </c>
      <c r="Y874" s="8"/>
      <c r="Z874" s="8" t="str" cm="1">
        <f t="array" ref="Z874:AD874">_xlfn.XLOOKUP(D874,'Customer Details'!$A$1:$A$17,'Customer Details'!$B$1:$F$17,"No such customer",0,1)</f>
        <v>Hindusthan National Glass &amp; Industries Ltd.</v>
      </c>
      <c r="AA874" s="8" t="str">
        <v>11 Cathy St.</v>
      </c>
      <c r="AB874" s="8" t="str">
        <v>Honolulu</v>
      </c>
      <c r="AC874" s="8" t="str">
        <v>HI</v>
      </c>
      <c r="AD874" s="8" t="str">
        <v>96825</v>
      </c>
    </row>
    <row r="875" spans="1:30">
      <c r="A875" s="8" t="s">
        <v>910</v>
      </c>
      <c r="B875" s="19">
        <v>42068</v>
      </c>
      <c r="C875" s="8" t="s">
        <v>54</v>
      </c>
      <c r="D875" s="8">
        <v>10009</v>
      </c>
      <c r="E875" s="8" t="str">
        <f>VLOOKUP($D875,'Customer Details'!$A$1:$F$17,4,FALSE)</f>
        <v>Salt Lake City</v>
      </c>
      <c r="F875" s="8" t="s">
        <v>911</v>
      </c>
      <c r="G875" s="8">
        <v>3</v>
      </c>
      <c r="H875" s="2" t="str">
        <f>VLOOKUP($D875,'Customer Details'!$A$1:$F$17,MATCH('Order SUmmary'!H$2,'Customer Details'!$A$1:$F$1,0),0)</f>
        <v>Godfrey Philips India Ltd.</v>
      </c>
      <c r="I875" s="2" t="str">
        <f>VLOOKUP($D875,'Customer Details'!$A$1:$F$17,4,0)</f>
        <v>Salt Lake City</v>
      </c>
      <c r="J875" s="2" t="str">
        <f>VLOOKUP($D875,'Customer Details'!$A$1:$F$17,6,0)</f>
        <v>84118</v>
      </c>
      <c r="K875" s="8" t="str">
        <f>VLOOKUP(VLOOKUP(D875,'Customer Details'!$A$1:$F$17,5,0),'Region INfo'!$A$1:$C$52,3,0)</f>
        <v xml:space="preserve">Pacific   </v>
      </c>
      <c r="L875" s="8" t="str">
        <f>INDEX(Product_List,MATCH($F875,'Product List'!$B$1:$B$299,0),MATCH('Order SUmmary'!L$2,'Product List'!$A$1:$E$1,0))</f>
        <v>Newell 337</v>
      </c>
      <c r="M875" s="8">
        <f>INDEX(Product_List,MATCH($F875,'Product List'!$B$1:$B$299,0),MATCH('Order SUmmary'!M$2,'Product List'!$A$1:$E$1,0))</f>
        <v>3378</v>
      </c>
      <c r="N875" s="8">
        <f>INDEX(Product_List,MATCH($F875,'Product List'!$B$1:$B$299,0),MATCH('Order SUmmary'!N$2,'Product List'!$A$1:$E$1,0))</f>
        <v>1807</v>
      </c>
      <c r="O875" s="8" t="str">
        <f>INDEX(Product_List,MATCH($F875,'Product List'!$B$1:$B$299,0),MATCH('Order SUmmary'!O$2,'Product List'!$A$1:$E$1,0))</f>
        <v>Art</v>
      </c>
      <c r="P875" s="12">
        <f>HLOOKUP(C875,'Commission Criteria'!$A$2:$I$4,3,FALSE)</f>
        <v>3</v>
      </c>
      <c r="Q875" s="8">
        <f t="shared" si="40"/>
        <v>5421</v>
      </c>
      <c r="R875" s="8">
        <f t="shared" si="41"/>
        <v>10134</v>
      </c>
      <c r="S875" s="36">
        <f>VLOOKUP(R875,'Commission Criteria'!$L$3:$M$11,2,TRUE)</f>
        <v>0.03</v>
      </c>
      <c r="T875" s="36">
        <f>IF(P875&lt;5,VLOOKUP(R875,'Commission Criteria'!$L$3:$M$11,2,1),VLOOKUP('Order SUmmary'!R875,'Commission Criteria'!$P$3:$Q$11,2,1))</f>
        <v>0.03</v>
      </c>
      <c r="U875" s="36">
        <f>VLOOKUP(R875,IF(P875&lt;5,'Commission Criteria'!$L$3:$M$11,'Commission Criteria'!$P$3:$Q$11),2,1)</f>
        <v>0.03</v>
      </c>
      <c r="V875" s="8" t="s">
        <v>40</v>
      </c>
      <c r="W875" s="36">
        <f t="shared" ca="1" si="42"/>
        <v>0.02</v>
      </c>
      <c r="X875" s="8" t="str">
        <f>_xlfn.XLOOKUP(F875,'Product List'!$B$1:$B$299,'Product List'!$A$1:$A$299)</f>
        <v>Newell 337</v>
      </c>
      <c r="Y875" s="8"/>
      <c r="Z875" s="8" t="str" cm="1">
        <f t="array" ref="Z875:AD875">_xlfn.XLOOKUP(D875,'Customer Details'!$A$1:$A$17,'Customer Details'!$B$1:$F$17,"No such customer",0,1)</f>
        <v>Godfrey Philips India Ltd.</v>
      </c>
      <c r="AA875" s="8" t="str">
        <v>20501 Ania Ave #2</v>
      </c>
      <c r="AB875" s="8" t="str">
        <v>Salt Lake City</v>
      </c>
      <c r="AC875" s="8" t="str">
        <v>UT</v>
      </c>
      <c r="AD875" s="8" t="str">
        <v>84118</v>
      </c>
    </row>
    <row r="876" spans="1:30">
      <c r="A876" s="8" t="s">
        <v>912</v>
      </c>
      <c r="B876" s="19">
        <v>42069</v>
      </c>
      <c r="C876" s="8" t="s">
        <v>54</v>
      </c>
      <c r="D876" s="8">
        <v>10008</v>
      </c>
      <c r="E876" s="8" t="str">
        <f>VLOOKUP($D876,'Customer Details'!$A$1:$F$17,4,FALSE)</f>
        <v>Chestnut Ridge</v>
      </c>
      <c r="F876" s="8" t="s">
        <v>166</v>
      </c>
      <c r="G876" s="8">
        <v>1</v>
      </c>
      <c r="H876" s="2" t="str">
        <f>VLOOKUP($D876,'Customer Details'!$A$1:$F$17,MATCH('Order SUmmary'!H$2,'Customer Details'!$A$1:$F$1,0),0)</f>
        <v>Reliance Industries Limited</v>
      </c>
      <c r="I876" s="2" t="str">
        <f>VLOOKUP($D876,'Customer Details'!$A$1:$F$17,4,0)</f>
        <v>Chestnut Ridge</v>
      </c>
      <c r="J876" s="2" t="str">
        <f>VLOOKUP($D876,'Customer Details'!$A$1:$F$17,6,0)</f>
        <v>10977</v>
      </c>
      <c r="K876" s="8" t="str">
        <f>VLOOKUP(VLOOKUP(D876,'Customer Details'!$A$1:$F$17,5,0),'Region INfo'!$A$1:$C$52,3,0)</f>
        <v xml:space="preserve">Northern </v>
      </c>
      <c r="L876" s="8" t="str">
        <f>INDEX(Product_List,MATCH($F876,'Product List'!$B$1:$B$299,0),MATCH('Order SUmmary'!L$2,'Product List'!$A$1:$E$1,0))</f>
        <v>Xerox 1891</v>
      </c>
      <c r="M876" s="8">
        <f>INDEX(Product_List,MATCH($F876,'Product List'!$B$1:$B$299,0),MATCH('Order SUmmary'!M$2,'Product List'!$A$1:$E$1,0))</f>
        <v>4357</v>
      </c>
      <c r="N876" s="8">
        <f>INDEX(Product_List,MATCH($F876,'Product List'!$B$1:$B$299,0),MATCH('Order SUmmary'!N$2,'Product List'!$A$1:$E$1,0))</f>
        <v>1806</v>
      </c>
      <c r="O876" s="8" t="str">
        <f>INDEX(Product_List,MATCH($F876,'Product List'!$B$1:$B$299,0),MATCH('Order SUmmary'!O$2,'Product List'!$A$1:$E$1,0))</f>
        <v>Paper</v>
      </c>
      <c r="P876" s="12">
        <f>HLOOKUP(C876,'Commission Criteria'!$A$2:$I$4,3,FALSE)</f>
        <v>3</v>
      </c>
      <c r="Q876" s="8">
        <f t="shared" si="40"/>
        <v>1806</v>
      </c>
      <c r="R876" s="8">
        <f t="shared" si="41"/>
        <v>4357</v>
      </c>
      <c r="S876" s="36">
        <f>VLOOKUP(R876,'Commission Criteria'!$L$3:$M$11,2,TRUE)</f>
        <v>0.01</v>
      </c>
      <c r="T876" s="36">
        <f>IF(P876&lt;5,VLOOKUP(R876,'Commission Criteria'!$L$3:$M$11,2,1),VLOOKUP('Order SUmmary'!R876,'Commission Criteria'!$P$3:$Q$11,2,1))</f>
        <v>0.01</v>
      </c>
      <c r="U876" s="36">
        <f>VLOOKUP(R876,IF(P876&lt;5,'Commission Criteria'!$L$3:$M$11,'Commission Criteria'!$P$3:$Q$11),2,1)</f>
        <v>0.01</v>
      </c>
      <c r="V876" s="8" t="s">
        <v>29</v>
      </c>
      <c r="W876" s="36">
        <f t="shared" ca="1" si="42"/>
        <v>0.01</v>
      </c>
      <c r="X876" s="8" t="str">
        <f>_xlfn.XLOOKUP(F876,'Product List'!$B$1:$B$299,'Product List'!$A$1:$A$299)</f>
        <v>Xerox 1891</v>
      </c>
      <c r="Y876" s="8"/>
      <c r="Z876" s="8" t="str" cm="1">
        <f t="array" ref="Z876:AD876">_xlfn.XLOOKUP(D876,'Customer Details'!$A$1:$A$17,'Customer Details'!$B$1:$F$17,"No such customer",0,1)</f>
        <v>Reliance Industries Limited</v>
      </c>
      <c r="AA876" s="8" t="str">
        <v>12020 Shamrock Rd., Suite 333</v>
      </c>
      <c r="AB876" s="8" t="str">
        <v>Chestnut Ridge</v>
      </c>
      <c r="AC876" s="8" t="str">
        <v>NY</v>
      </c>
      <c r="AD876" s="8" t="str">
        <v>10977</v>
      </c>
    </row>
    <row r="877" spans="1:30">
      <c r="A877" s="8" t="s">
        <v>912</v>
      </c>
      <c r="B877" s="19">
        <v>42069</v>
      </c>
      <c r="C877" s="8" t="s">
        <v>36</v>
      </c>
      <c r="D877" s="8">
        <v>10008</v>
      </c>
      <c r="E877" s="8" t="str">
        <f>VLOOKUP($D877,'Customer Details'!$A$1:$F$17,4,FALSE)</f>
        <v>Chestnut Ridge</v>
      </c>
      <c r="F877" s="8" t="s">
        <v>333</v>
      </c>
      <c r="G877" s="8">
        <v>2</v>
      </c>
      <c r="H877" s="2" t="str">
        <f>VLOOKUP($D877,'Customer Details'!$A$1:$F$17,MATCH('Order SUmmary'!H$2,'Customer Details'!$A$1:$F$1,0),0)</f>
        <v>Reliance Industries Limited</v>
      </c>
      <c r="I877" s="2" t="str">
        <f>VLOOKUP($D877,'Customer Details'!$A$1:$F$17,4,0)</f>
        <v>Chestnut Ridge</v>
      </c>
      <c r="J877" s="2" t="str">
        <f>VLOOKUP($D877,'Customer Details'!$A$1:$F$17,6,0)</f>
        <v>10977</v>
      </c>
      <c r="K877" s="8" t="str">
        <f>VLOOKUP(VLOOKUP(D877,'Customer Details'!$A$1:$F$17,5,0),'Region INfo'!$A$1:$C$52,3,0)</f>
        <v xml:space="preserve">Northern </v>
      </c>
      <c r="L877" s="8" t="str">
        <f>INDEX(Product_List,MATCH($F877,'Product List'!$B$1:$B$299,0),MATCH('Order SUmmary'!L$2,'Product List'!$A$1:$E$1,0))</f>
        <v>Xerox 1881</v>
      </c>
      <c r="M877" s="8">
        <f>INDEX(Product_List,MATCH($F877,'Product List'!$B$1:$B$299,0),MATCH('Order SUmmary'!M$2,'Product List'!$A$1:$E$1,0))</f>
        <v>3330</v>
      </c>
      <c r="N877" s="8">
        <f>INDEX(Product_List,MATCH($F877,'Product List'!$B$1:$B$299,0),MATCH('Order SUmmary'!N$2,'Product List'!$A$1:$E$1,0))</f>
        <v>1819</v>
      </c>
      <c r="O877" s="8" t="str">
        <f>INDEX(Product_List,MATCH($F877,'Product List'!$B$1:$B$299,0),MATCH('Order SUmmary'!O$2,'Product List'!$A$1:$E$1,0))</f>
        <v>Paper</v>
      </c>
      <c r="P877" s="12">
        <f>HLOOKUP(C877,'Commission Criteria'!$A$2:$I$4,3,FALSE)</f>
        <v>6</v>
      </c>
      <c r="Q877" s="8">
        <f t="shared" si="40"/>
        <v>3638</v>
      </c>
      <c r="R877" s="8">
        <f t="shared" si="41"/>
        <v>6660</v>
      </c>
      <c r="S877" s="36">
        <f>VLOOKUP(R877,'Commission Criteria'!$L$3:$M$11,2,TRUE)</f>
        <v>0.03</v>
      </c>
      <c r="T877" s="36">
        <f>IF(P877&lt;5,VLOOKUP(R877,'Commission Criteria'!$L$3:$M$11,2,1),VLOOKUP('Order SUmmary'!R877,'Commission Criteria'!$P$3:$Q$11,2,1))</f>
        <v>0.02</v>
      </c>
      <c r="U877" s="36">
        <f>VLOOKUP(R877,IF(P877&lt;5,'Commission Criteria'!$L$3:$M$11,'Commission Criteria'!$P$3:$Q$11),2,1)</f>
        <v>0.02</v>
      </c>
      <c r="V877" s="8" t="s">
        <v>43</v>
      </c>
      <c r="W877" s="36">
        <f t="shared" ca="1" si="42"/>
        <v>0.05</v>
      </c>
      <c r="X877" s="8" t="str">
        <f>_xlfn.XLOOKUP(F877,'Product List'!$B$1:$B$299,'Product List'!$A$1:$A$299)</f>
        <v>Xerox 1881</v>
      </c>
      <c r="Y877" s="8"/>
      <c r="Z877" s="8" t="str" cm="1">
        <f t="array" ref="Z877:AD877">_xlfn.XLOOKUP(D877,'Customer Details'!$A$1:$A$17,'Customer Details'!$B$1:$F$17,"No such customer",0,1)</f>
        <v>Reliance Industries Limited</v>
      </c>
      <c r="AA877" s="8" t="str">
        <v>12020 Shamrock Rd., Suite 333</v>
      </c>
      <c r="AB877" s="8" t="str">
        <v>Chestnut Ridge</v>
      </c>
      <c r="AC877" s="8" t="str">
        <v>NY</v>
      </c>
      <c r="AD877" s="8" t="str">
        <v>10977</v>
      </c>
    </row>
    <row r="878" spans="1:30">
      <c r="A878" s="8" t="s">
        <v>913</v>
      </c>
      <c r="B878" s="19">
        <v>42071</v>
      </c>
      <c r="C878" s="8" t="s">
        <v>51</v>
      </c>
      <c r="D878" s="8">
        <v>10013</v>
      </c>
      <c r="E878" s="8" t="str">
        <f>VLOOKUP($D878,'Customer Details'!$A$1:$F$17,4,FALSE)</f>
        <v>Naugatuck</v>
      </c>
      <c r="F878" s="8" t="s">
        <v>172</v>
      </c>
      <c r="G878" s="8">
        <v>2</v>
      </c>
      <c r="H878" s="2" t="str">
        <f>VLOOKUP($D878,'Customer Details'!$A$1:$F$17,MATCH('Order SUmmary'!H$2,'Customer Details'!$A$1:$F$1,0),0)</f>
        <v>GMR Infrastructure Ltd.</v>
      </c>
      <c r="I878" s="2" t="str">
        <f>VLOOKUP($D878,'Customer Details'!$A$1:$F$17,4,0)</f>
        <v>Naugatuck</v>
      </c>
      <c r="J878" s="2" t="str">
        <f>VLOOKUP($D878,'Customer Details'!$A$1:$F$17,6,0)</f>
        <v>06770</v>
      </c>
      <c r="K878" s="8" t="str">
        <f>VLOOKUP(VLOOKUP(D878,'Customer Details'!$A$1:$F$17,5,0),'Region INfo'!$A$1:$C$52,3,0)</f>
        <v xml:space="preserve">Northern </v>
      </c>
      <c r="L878" s="8" t="str">
        <f>INDEX(Product_List,MATCH($F878,'Product List'!$B$1:$B$299,0),MATCH('Order SUmmary'!L$2,'Product List'!$A$1:$E$1,0))</f>
        <v>Xerox 223</v>
      </c>
      <c r="M878" s="8">
        <f>INDEX(Product_List,MATCH($F878,'Product List'!$B$1:$B$299,0),MATCH('Order SUmmary'!M$2,'Product List'!$A$1:$E$1,0))</f>
        <v>4733</v>
      </c>
      <c r="N878" s="8">
        <f>INDEX(Product_List,MATCH($F878,'Product List'!$B$1:$B$299,0),MATCH('Order SUmmary'!N$2,'Product List'!$A$1:$E$1,0))</f>
        <v>1415</v>
      </c>
      <c r="O878" s="8" t="str">
        <f>INDEX(Product_List,MATCH($F878,'Product List'!$B$1:$B$299,0),MATCH('Order SUmmary'!O$2,'Product List'!$A$1:$E$1,0))</f>
        <v>Paper</v>
      </c>
      <c r="P878" s="12">
        <f>HLOOKUP(C878,'Commission Criteria'!$A$2:$I$4,3,FALSE)</f>
        <v>10</v>
      </c>
      <c r="Q878" s="8">
        <f t="shared" si="40"/>
        <v>2830</v>
      </c>
      <c r="R878" s="8">
        <f t="shared" si="41"/>
        <v>9466</v>
      </c>
      <c r="S878" s="36">
        <f>VLOOKUP(R878,'Commission Criteria'!$L$3:$M$11,2,TRUE)</f>
        <v>0.03</v>
      </c>
      <c r="T878" s="36">
        <f>IF(P878&lt;5,VLOOKUP(R878,'Commission Criteria'!$L$3:$M$11,2,1),VLOOKUP('Order SUmmary'!R878,'Commission Criteria'!$P$3:$Q$11,2,1))</f>
        <v>0.02</v>
      </c>
      <c r="U878" s="36">
        <f>VLOOKUP(R878,IF(P878&lt;5,'Commission Criteria'!$L$3:$M$11,'Commission Criteria'!$P$3:$Q$11),2,1)</f>
        <v>0.02</v>
      </c>
      <c r="V878" s="8" t="s">
        <v>43</v>
      </c>
      <c r="W878" s="36">
        <f t="shared" ca="1" si="42"/>
        <v>0.01</v>
      </c>
      <c r="X878" s="8" t="str">
        <f>_xlfn.XLOOKUP(F878,'Product List'!$B$1:$B$299,'Product List'!$A$1:$A$299)</f>
        <v>Xerox 223</v>
      </c>
      <c r="Y878" s="8"/>
      <c r="Z878" s="8" t="str" cm="1">
        <f t="array" ref="Z878:AD878">_xlfn.XLOOKUP(D878,'Customer Details'!$A$1:$A$17,'Customer Details'!$B$1:$F$17,"No such customer",0,1)</f>
        <v>GMR Infrastructure Ltd.</v>
      </c>
      <c r="AA878" s="8" t="str">
        <v>P.O. Box 4421</v>
      </c>
      <c r="AB878" s="8" t="str">
        <v>Naugatuck</v>
      </c>
      <c r="AC878" s="8" t="str">
        <v>CT</v>
      </c>
      <c r="AD878" s="8" t="str">
        <v>06770</v>
      </c>
    </row>
    <row r="879" spans="1:30">
      <c r="A879" s="8" t="s">
        <v>914</v>
      </c>
      <c r="B879" s="19">
        <v>42072</v>
      </c>
      <c r="C879" s="8" t="s">
        <v>66</v>
      </c>
      <c r="D879" s="8">
        <v>10007</v>
      </c>
      <c r="E879" s="8" t="str">
        <f>VLOOKUP($D879,'Customer Details'!$A$1:$F$17,4,FALSE)</f>
        <v>Richmond</v>
      </c>
      <c r="F879" s="8" t="s">
        <v>145</v>
      </c>
      <c r="G879" s="8">
        <v>1</v>
      </c>
      <c r="H879" s="2" t="str">
        <f>VLOOKUP($D879,'Customer Details'!$A$1:$F$17,MATCH('Order SUmmary'!H$2,'Customer Details'!$A$1:$F$1,0),0)</f>
        <v>GHCL Ltd.</v>
      </c>
      <c r="I879" s="2" t="str">
        <f>VLOOKUP($D879,'Customer Details'!$A$1:$F$17,4,0)</f>
        <v>Richmond</v>
      </c>
      <c r="J879" s="2" t="str">
        <f>VLOOKUP($D879,'Customer Details'!$A$1:$F$17,6,0)</f>
        <v>94805</v>
      </c>
      <c r="K879" s="8" t="str">
        <f>VLOOKUP(VLOOKUP(D879,'Customer Details'!$A$1:$F$17,5,0),'Region INfo'!$A$1:$C$52,3,0)</f>
        <v xml:space="preserve">Pacific   </v>
      </c>
      <c r="L879" s="8" t="str">
        <f>INDEX(Product_List,MATCH($F879,'Product List'!$B$1:$B$299,0),MATCH('Order SUmmary'!L$2,'Product List'!$A$1:$E$1,0))</f>
        <v>Xerox 1913</v>
      </c>
      <c r="M879" s="8">
        <f>INDEX(Product_List,MATCH($F879,'Product List'!$B$1:$B$299,0),MATCH('Order SUmmary'!M$2,'Product List'!$A$1:$E$1,0))</f>
        <v>2547</v>
      </c>
      <c r="N879" s="8">
        <f>INDEX(Product_List,MATCH($F879,'Product List'!$B$1:$B$299,0),MATCH('Order SUmmary'!N$2,'Product List'!$A$1:$E$1,0))</f>
        <v>1419</v>
      </c>
      <c r="O879" s="8" t="str">
        <f>INDEX(Product_List,MATCH($F879,'Product List'!$B$1:$B$299,0),MATCH('Order SUmmary'!O$2,'Product List'!$A$1:$E$1,0))</f>
        <v>Paper</v>
      </c>
      <c r="P879" s="12">
        <f>HLOOKUP(C879,'Commission Criteria'!$A$2:$I$4,3,FALSE)</f>
        <v>5</v>
      </c>
      <c r="Q879" s="8">
        <f t="shared" si="40"/>
        <v>1419</v>
      </c>
      <c r="R879" s="8">
        <f t="shared" si="41"/>
        <v>2547</v>
      </c>
      <c r="S879" s="36">
        <f>VLOOKUP(R879,'Commission Criteria'!$L$3:$M$11,2,TRUE)</f>
        <v>0.01</v>
      </c>
      <c r="T879" s="36">
        <f>IF(P879&lt;5,VLOOKUP(R879,'Commission Criteria'!$L$3:$M$11,2,1),VLOOKUP('Order SUmmary'!R879,'Commission Criteria'!$P$3:$Q$11,2,1))</f>
        <v>0.02</v>
      </c>
      <c r="U879" s="36">
        <f>VLOOKUP(R879,IF(P879&lt;5,'Commission Criteria'!$L$3:$M$11,'Commission Criteria'!$P$3:$Q$11),2,1)</f>
        <v>0.02</v>
      </c>
      <c r="V879" s="8" t="s">
        <v>29</v>
      </c>
      <c r="W879" s="36">
        <f t="shared" ca="1" si="42"/>
        <v>0.05</v>
      </c>
      <c r="X879" s="8" t="str">
        <f>_xlfn.XLOOKUP(F879,'Product List'!$B$1:$B$299,'Product List'!$A$1:$A$299)</f>
        <v>Xerox 1913</v>
      </c>
      <c r="Y879" s="8"/>
      <c r="Z879" s="8" t="str" cm="1">
        <f t="array" ref="Z879:AD879">_xlfn.XLOOKUP(D879,'Customer Details'!$A$1:$A$17,'Customer Details'!$B$1:$F$17,"No such customer",0,1)</f>
        <v>GHCL Ltd.</v>
      </c>
      <c r="AA879" s="8" t="str">
        <v>58 Clarence St</v>
      </c>
      <c r="AB879" s="8" t="str">
        <v>Richmond</v>
      </c>
      <c r="AC879" s="8" t="str">
        <v>CA</v>
      </c>
      <c r="AD879" s="8" t="str">
        <v>94805</v>
      </c>
    </row>
    <row r="880" spans="1:30">
      <c r="A880" s="8" t="s">
        <v>915</v>
      </c>
      <c r="B880" s="19">
        <v>42072</v>
      </c>
      <c r="C880" s="8" t="s">
        <v>51</v>
      </c>
      <c r="D880" s="8">
        <v>10012</v>
      </c>
      <c r="E880" s="8" t="str">
        <f>VLOOKUP($D880,'Customer Details'!$A$1:$F$17,4,FALSE)</f>
        <v>Santa Barbara</v>
      </c>
      <c r="F880" s="8" t="s">
        <v>263</v>
      </c>
      <c r="G880" s="8">
        <v>3</v>
      </c>
      <c r="H880" s="2" t="str">
        <f>VLOOKUP($D880,'Customer Details'!$A$1:$F$17,MATCH('Order SUmmary'!H$2,'Customer Details'!$A$1:$F$1,0),0)</f>
        <v>Dynamatic Technologies Ltd.</v>
      </c>
      <c r="I880" s="2" t="str">
        <f>VLOOKUP($D880,'Customer Details'!$A$1:$F$17,4,0)</f>
        <v>Santa Barbara</v>
      </c>
      <c r="J880" s="2" t="str">
        <f>VLOOKUP($D880,'Customer Details'!$A$1:$F$17,6,0)</f>
        <v>93110</v>
      </c>
      <c r="K880" s="8" t="str">
        <f>VLOOKUP(VLOOKUP(D880,'Customer Details'!$A$1:$F$17,5,0),'Region INfo'!$A$1:$C$52,3,0)</f>
        <v xml:space="preserve">Pacific   </v>
      </c>
      <c r="L880" s="8" t="str">
        <f>INDEX(Product_List,MATCH($F880,'Product List'!$B$1:$B$299,0),MATCH('Order SUmmary'!L$2,'Product List'!$A$1:$E$1,0))</f>
        <v>Xerox 1976</v>
      </c>
      <c r="M880" s="8">
        <f>INDEX(Product_List,MATCH($F880,'Product List'!$B$1:$B$299,0),MATCH('Order SUmmary'!M$2,'Product List'!$A$1:$E$1,0))</f>
        <v>3479</v>
      </c>
      <c r="N880" s="8">
        <f>INDEX(Product_List,MATCH($F880,'Product List'!$B$1:$B$299,0),MATCH('Order SUmmary'!N$2,'Product List'!$A$1:$E$1,0))</f>
        <v>2056</v>
      </c>
      <c r="O880" s="8" t="str">
        <f>INDEX(Product_List,MATCH($F880,'Product List'!$B$1:$B$299,0),MATCH('Order SUmmary'!O$2,'Product List'!$A$1:$E$1,0))</f>
        <v>Paper</v>
      </c>
      <c r="P880" s="12">
        <f>HLOOKUP(C880,'Commission Criteria'!$A$2:$I$4,3,FALSE)</f>
        <v>10</v>
      </c>
      <c r="Q880" s="8">
        <f t="shared" si="40"/>
        <v>6168</v>
      </c>
      <c r="R880" s="8">
        <f t="shared" si="41"/>
        <v>10437</v>
      </c>
      <c r="S880" s="36">
        <f>VLOOKUP(R880,'Commission Criteria'!$L$3:$M$11,2,TRUE)</f>
        <v>0.03</v>
      </c>
      <c r="T880" s="36">
        <f>IF(P880&lt;5,VLOOKUP(R880,'Commission Criteria'!$L$3:$M$11,2,1),VLOOKUP('Order SUmmary'!R880,'Commission Criteria'!$P$3:$Q$11,2,1))</f>
        <v>0.02</v>
      </c>
      <c r="U880" s="36">
        <f>VLOOKUP(R880,IF(P880&lt;5,'Commission Criteria'!$L$3:$M$11,'Commission Criteria'!$P$3:$Q$11),2,1)</f>
        <v>0.02</v>
      </c>
      <c r="V880" s="8" t="s">
        <v>32</v>
      </c>
      <c r="W880" s="36">
        <f t="shared" ca="1" si="42"/>
        <v>0.05</v>
      </c>
      <c r="X880" s="8" t="str">
        <f>_xlfn.XLOOKUP(F880,'Product List'!$B$1:$B$299,'Product List'!$A$1:$A$299)</f>
        <v>Xerox 1976</v>
      </c>
      <c r="Y880" s="8"/>
      <c r="Z880" s="8" t="str" cm="1">
        <f t="array" ref="Z880:AD880">_xlfn.XLOOKUP(D880,'Customer Details'!$A$1:$A$17,'Customer Details'!$B$1:$F$17,"No such customer",0,1)</f>
        <v>Dynamatic Technologies Ltd.</v>
      </c>
      <c r="AA880" s="8" t="str">
        <v>402 Pinkster Lane</v>
      </c>
      <c r="AB880" s="8" t="str">
        <v>Santa Barbara</v>
      </c>
      <c r="AC880" s="8" t="str">
        <v>CA</v>
      </c>
      <c r="AD880" s="8" t="str">
        <v>93110</v>
      </c>
    </row>
    <row r="881" spans="1:30">
      <c r="A881" s="8" t="s">
        <v>916</v>
      </c>
      <c r="B881" s="19">
        <v>42073</v>
      </c>
      <c r="C881" s="8" t="s">
        <v>36</v>
      </c>
      <c r="D881" s="8">
        <v>10007</v>
      </c>
      <c r="E881" s="8" t="str">
        <f>VLOOKUP($D881,'Customer Details'!$A$1:$F$17,4,FALSE)</f>
        <v>Richmond</v>
      </c>
      <c r="F881" s="8" t="s">
        <v>269</v>
      </c>
      <c r="G881" s="8">
        <v>1</v>
      </c>
      <c r="H881" s="2" t="str">
        <f>VLOOKUP($D881,'Customer Details'!$A$1:$F$17,MATCH('Order SUmmary'!H$2,'Customer Details'!$A$1:$F$1,0),0)</f>
        <v>GHCL Ltd.</v>
      </c>
      <c r="I881" s="2" t="str">
        <f>VLOOKUP($D881,'Customer Details'!$A$1:$F$17,4,0)</f>
        <v>Richmond</v>
      </c>
      <c r="J881" s="2" t="str">
        <f>VLOOKUP($D881,'Customer Details'!$A$1:$F$17,6,0)</f>
        <v>94805</v>
      </c>
      <c r="K881" s="8" t="str">
        <f>VLOOKUP(VLOOKUP(D881,'Customer Details'!$A$1:$F$17,5,0),'Region INfo'!$A$1:$C$52,3,0)</f>
        <v xml:space="preserve">Pacific   </v>
      </c>
      <c r="L881" s="8" t="str">
        <f>INDEX(Product_List,MATCH($F881,'Product List'!$B$1:$B$299,0),MATCH('Order SUmmary'!L$2,'Product List'!$A$1:$E$1,0))</f>
        <v>Xerox 1975</v>
      </c>
      <c r="M881" s="8">
        <f>INDEX(Product_List,MATCH($F881,'Product List'!$B$1:$B$299,0),MATCH('Order SUmmary'!M$2,'Product List'!$A$1:$E$1,0))</f>
        <v>4484</v>
      </c>
      <c r="N881" s="8">
        <f>INDEX(Product_List,MATCH($F881,'Product List'!$B$1:$B$299,0),MATCH('Order SUmmary'!N$2,'Product List'!$A$1:$E$1,0))</f>
        <v>2146</v>
      </c>
      <c r="O881" s="8" t="str">
        <f>INDEX(Product_List,MATCH($F881,'Product List'!$B$1:$B$299,0),MATCH('Order SUmmary'!O$2,'Product List'!$A$1:$E$1,0))</f>
        <v>Paper</v>
      </c>
      <c r="P881" s="12">
        <f>HLOOKUP(C881,'Commission Criteria'!$A$2:$I$4,3,FALSE)</f>
        <v>6</v>
      </c>
      <c r="Q881" s="8">
        <f t="shared" si="40"/>
        <v>2146</v>
      </c>
      <c r="R881" s="8">
        <f t="shared" si="41"/>
        <v>4484</v>
      </c>
      <c r="S881" s="36">
        <f>VLOOKUP(R881,'Commission Criteria'!$L$3:$M$11,2,TRUE)</f>
        <v>0.01</v>
      </c>
      <c r="T881" s="36">
        <f>IF(P881&lt;5,VLOOKUP(R881,'Commission Criteria'!$L$3:$M$11,2,1),VLOOKUP('Order SUmmary'!R881,'Commission Criteria'!$P$3:$Q$11,2,1))</f>
        <v>0.02</v>
      </c>
      <c r="U881" s="36">
        <f>VLOOKUP(R881,IF(P881&lt;5,'Commission Criteria'!$L$3:$M$11,'Commission Criteria'!$P$3:$Q$11),2,1)</f>
        <v>0.02</v>
      </c>
      <c r="V881" s="8" t="s">
        <v>43</v>
      </c>
      <c r="W881" s="36">
        <f t="shared" ca="1" si="42"/>
        <v>0.04</v>
      </c>
      <c r="X881" s="8" t="str">
        <f>_xlfn.XLOOKUP(F881,'Product List'!$B$1:$B$299,'Product List'!$A$1:$A$299)</f>
        <v>Xerox 1975</v>
      </c>
      <c r="Y881" s="8"/>
      <c r="Z881" s="8" t="str" cm="1">
        <f t="array" ref="Z881:AD881">_xlfn.XLOOKUP(D881,'Customer Details'!$A$1:$A$17,'Customer Details'!$B$1:$F$17,"No such customer",0,1)</f>
        <v>GHCL Ltd.</v>
      </c>
      <c r="AA881" s="8" t="str">
        <v>58 Clarence St</v>
      </c>
      <c r="AB881" s="8" t="str">
        <v>Richmond</v>
      </c>
      <c r="AC881" s="8" t="str">
        <v>CA</v>
      </c>
      <c r="AD881" s="8" t="str">
        <v>94805</v>
      </c>
    </row>
    <row r="882" spans="1:30">
      <c r="A882" s="8" t="s">
        <v>916</v>
      </c>
      <c r="B882" s="19">
        <v>42073</v>
      </c>
      <c r="C882" s="8" t="s">
        <v>27</v>
      </c>
      <c r="D882" s="8">
        <v>10004</v>
      </c>
      <c r="E882" s="8" t="str">
        <f>VLOOKUP($D882,'Customer Details'!$A$1:$F$17,4,FALSE)</f>
        <v>New York</v>
      </c>
      <c r="F882" s="8" t="s">
        <v>122</v>
      </c>
      <c r="G882" s="8">
        <v>1</v>
      </c>
      <c r="H882" s="2" t="str">
        <f>VLOOKUP($D882,'Customer Details'!$A$1:$F$17,MATCH('Order SUmmary'!H$2,'Customer Details'!$A$1:$F$1,0),0)</f>
        <v>Lupin Ltd.</v>
      </c>
      <c r="I882" s="2" t="str">
        <f>VLOOKUP($D882,'Customer Details'!$A$1:$F$17,4,0)</f>
        <v>New York</v>
      </c>
      <c r="J882" s="2" t="str">
        <f>VLOOKUP($D882,'Customer Details'!$A$1:$F$17,6,0)</f>
        <v>10019</v>
      </c>
      <c r="K882" s="8" t="str">
        <f>VLOOKUP(VLOOKUP(D882,'Customer Details'!$A$1:$F$17,5,0),'Region INfo'!$A$1:$C$52,3,0)</f>
        <v xml:space="preserve">Northern </v>
      </c>
      <c r="L882" s="8" t="str">
        <f>INDEX(Product_List,MATCH($F882,'Product List'!$B$1:$B$299,0),MATCH('Order SUmmary'!L$2,'Product List'!$A$1:$E$1,0))</f>
        <v>Avery 510</v>
      </c>
      <c r="M882" s="8">
        <f>INDEX(Product_List,MATCH($F882,'Product List'!$B$1:$B$299,0),MATCH('Order SUmmary'!M$2,'Product List'!$A$1:$E$1,0))</f>
        <v>4788</v>
      </c>
      <c r="N882" s="8">
        <f>INDEX(Product_List,MATCH($F882,'Product List'!$B$1:$B$299,0),MATCH('Order SUmmary'!N$2,'Product List'!$A$1:$E$1,0))</f>
        <v>2063</v>
      </c>
      <c r="O882" s="8" t="str">
        <f>INDEX(Product_List,MATCH($F882,'Product List'!$B$1:$B$299,0),MATCH('Order SUmmary'!O$2,'Product List'!$A$1:$E$1,0))</f>
        <v>Labels</v>
      </c>
      <c r="P882" s="12">
        <f>HLOOKUP(C882,'Commission Criteria'!$A$2:$I$4,3,FALSE)</f>
        <v>4</v>
      </c>
      <c r="Q882" s="8">
        <f t="shared" si="40"/>
        <v>2063</v>
      </c>
      <c r="R882" s="8">
        <f t="shared" si="41"/>
        <v>4788</v>
      </c>
      <c r="S882" s="36">
        <f>VLOOKUP(R882,'Commission Criteria'!$L$3:$M$11,2,TRUE)</f>
        <v>0.01</v>
      </c>
      <c r="T882" s="36">
        <f>IF(P882&lt;5,VLOOKUP(R882,'Commission Criteria'!$L$3:$M$11,2,1),VLOOKUP('Order SUmmary'!R882,'Commission Criteria'!$P$3:$Q$11,2,1))</f>
        <v>0.01</v>
      </c>
      <c r="U882" s="36">
        <f>VLOOKUP(R882,IF(P882&lt;5,'Commission Criteria'!$L$3:$M$11,'Commission Criteria'!$P$3:$Q$11),2,1)</f>
        <v>0.01</v>
      </c>
      <c r="V882" s="8" t="s">
        <v>50</v>
      </c>
      <c r="W882" s="36">
        <f t="shared" ca="1" si="42"/>
        <v>0.04</v>
      </c>
      <c r="X882" s="8" t="str">
        <f>_xlfn.XLOOKUP(F882,'Product List'!$B$1:$B$299,'Product List'!$A$1:$A$299)</f>
        <v>Avery 510</v>
      </c>
      <c r="Y882" s="8"/>
      <c r="Z882" s="8" t="str" cm="1">
        <f t="array" ref="Z882:AD882">_xlfn.XLOOKUP(D882,'Customer Details'!$A$1:$A$17,'Customer Details'!$B$1:$F$17,"No such customer",0,1)</f>
        <v>Lupin Ltd.</v>
      </c>
      <c r="AA882" s="8" t="str">
        <v>Abbey Wood</v>
      </c>
      <c r="AB882" s="8" t="str">
        <v>New York</v>
      </c>
      <c r="AC882" s="8" t="str">
        <v>NY</v>
      </c>
      <c r="AD882" s="8" t="str">
        <v>10019</v>
      </c>
    </row>
    <row r="883" spans="1:30">
      <c r="A883" s="8" t="s">
        <v>917</v>
      </c>
      <c r="B883" s="19">
        <v>42073</v>
      </c>
      <c r="C883" s="8" t="s">
        <v>66</v>
      </c>
      <c r="D883" s="8">
        <v>10010</v>
      </c>
      <c r="E883" s="8" t="str">
        <f>VLOOKUP($D883,'Customer Details'!$A$1:$F$17,4,FALSE)</f>
        <v>Tracy</v>
      </c>
      <c r="F883" s="8" t="s">
        <v>286</v>
      </c>
      <c r="G883" s="8">
        <v>12</v>
      </c>
      <c r="H883" s="2" t="str">
        <f>VLOOKUP($D883,'Customer Details'!$A$1:$F$17,MATCH('Order SUmmary'!H$2,'Customer Details'!$A$1:$F$1,0),0)</f>
        <v>Suzlon Energy Ltd.</v>
      </c>
      <c r="I883" s="2" t="str">
        <f>VLOOKUP($D883,'Customer Details'!$A$1:$F$17,4,0)</f>
        <v>Tracy</v>
      </c>
      <c r="J883" s="2" t="str">
        <f>VLOOKUP($D883,'Customer Details'!$A$1:$F$17,6,0)</f>
        <v>95376</v>
      </c>
      <c r="K883" s="8" t="str">
        <f>VLOOKUP(VLOOKUP(D883,'Customer Details'!$A$1:$F$17,5,0),'Region INfo'!$A$1:$C$52,3,0)</f>
        <v xml:space="preserve">Pacific   </v>
      </c>
      <c r="L883" s="8" t="str">
        <f>INDEX(Product_List,MATCH($F883,'Product List'!$B$1:$B$299,0),MATCH('Order SUmmary'!L$2,'Product List'!$A$1:$E$1,0))</f>
        <v>Avery 479</v>
      </c>
      <c r="M883" s="8">
        <f>INDEX(Product_List,MATCH($F883,'Product List'!$B$1:$B$299,0),MATCH('Order SUmmary'!M$2,'Product List'!$A$1:$E$1,0))</f>
        <v>4382</v>
      </c>
      <c r="N883" s="8">
        <f>INDEX(Product_List,MATCH($F883,'Product List'!$B$1:$B$299,0),MATCH('Order SUmmary'!N$2,'Product List'!$A$1:$E$1,0))</f>
        <v>1298</v>
      </c>
      <c r="O883" s="8" t="str">
        <f>INDEX(Product_List,MATCH($F883,'Product List'!$B$1:$B$299,0),MATCH('Order SUmmary'!O$2,'Product List'!$A$1:$E$1,0))</f>
        <v>Labels</v>
      </c>
      <c r="P883" s="12">
        <f>HLOOKUP(C883,'Commission Criteria'!$A$2:$I$4,3,FALSE)</f>
        <v>5</v>
      </c>
      <c r="Q883" s="8">
        <f t="shared" si="40"/>
        <v>15576</v>
      </c>
      <c r="R883" s="8">
        <f t="shared" si="41"/>
        <v>52584</v>
      </c>
      <c r="S883" s="36">
        <f>VLOOKUP(R883,'Commission Criteria'!$L$3:$M$11,2,TRUE)</f>
        <v>0.05</v>
      </c>
      <c r="T883" s="36">
        <f>IF(P883&lt;5,VLOOKUP(R883,'Commission Criteria'!$L$3:$M$11,2,1),VLOOKUP('Order SUmmary'!R883,'Commission Criteria'!$P$3:$Q$11,2,1))</f>
        <v>0.06</v>
      </c>
      <c r="U883" s="36">
        <f>VLOOKUP(R883,IF(P883&lt;5,'Commission Criteria'!$L$3:$M$11,'Commission Criteria'!$P$3:$Q$11),2,1)</f>
        <v>0.06</v>
      </c>
      <c r="V883" s="8" t="s">
        <v>29</v>
      </c>
      <c r="W883" s="36">
        <f t="shared" ca="1" si="42"/>
        <v>0.02</v>
      </c>
      <c r="X883" s="8" t="str">
        <f>_xlfn.XLOOKUP(F883,'Product List'!$B$1:$B$299,'Product List'!$A$1:$A$299)</f>
        <v>Avery 479</v>
      </c>
      <c r="Y883" s="8"/>
      <c r="Z883" s="8" t="str" cm="1">
        <f t="array" ref="Z883:AD883">_xlfn.XLOOKUP(D883,'Customer Details'!$A$1:$A$17,'Customer Details'!$B$1:$F$17,"No such customer",0,1)</f>
        <v>Suzlon Energy Ltd.</v>
      </c>
      <c r="AA883" s="8" t="str">
        <v>501 Marsh Trail Circle</v>
      </c>
      <c r="AB883" s="8" t="str">
        <v>Tracy</v>
      </c>
      <c r="AC883" s="8" t="str">
        <v>CA</v>
      </c>
      <c r="AD883" s="8" t="str">
        <v>95376</v>
      </c>
    </row>
    <row r="884" spans="1:30">
      <c r="A884" s="8" t="s">
        <v>918</v>
      </c>
      <c r="B884" s="19">
        <v>42074</v>
      </c>
      <c r="C884" s="8" t="s">
        <v>51</v>
      </c>
      <c r="D884" s="8">
        <v>10003</v>
      </c>
      <c r="E884" s="8" t="str">
        <f>VLOOKUP($D884,'Customer Details'!$A$1:$F$17,4,FALSE)</f>
        <v>Miami</v>
      </c>
      <c r="F884" s="8" t="s">
        <v>213</v>
      </c>
      <c r="G884" s="8">
        <v>1</v>
      </c>
      <c r="H884" s="2" t="str">
        <f>VLOOKUP($D884,'Customer Details'!$A$1:$F$17,MATCH('Order SUmmary'!H$2,'Customer Details'!$A$1:$F$1,0),0)</f>
        <v>Honeywell Automation</v>
      </c>
      <c r="I884" s="2" t="str">
        <f>VLOOKUP($D884,'Customer Details'!$A$1:$F$17,4,0)</f>
        <v>Miami</v>
      </c>
      <c r="J884" s="2" t="str">
        <f>VLOOKUP($D884,'Customer Details'!$A$1:$F$17,6,0)</f>
        <v>33732</v>
      </c>
      <c r="K884" s="8" t="str">
        <f>VLOOKUP(VLOOKUP(D884,'Customer Details'!$A$1:$F$17,5,0),'Region INfo'!$A$1:$C$52,3,0)</f>
        <v>Southern</v>
      </c>
      <c r="L884" s="8" t="str">
        <f>INDEX(Product_List,MATCH($F884,'Product List'!$B$1:$B$299,0),MATCH('Order SUmmary'!L$2,'Product List'!$A$1:$E$1,0))</f>
        <v>Cisco SPA301</v>
      </c>
      <c r="M884" s="8">
        <f>INDEX(Product_List,MATCH($F884,'Product List'!$B$1:$B$299,0),MATCH('Order SUmmary'!M$2,'Product List'!$A$1:$E$1,0))</f>
        <v>2921</v>
      </c>
      <c r="N884" s="8">
        <f>INDEX(Product_List,MATCH($F884,'Product List'!$B$1:$B$299,0),MATCH('Order SUmmary'!N$2,'Product List'!$A$1:$E$1,0))</f>
        <v>1786</v>
      </c>
      <c r="O884" s="8" t="str">
        <f>INDEX(Product_List,MATCH($F884,'Product List'!$B$1:$B$299,0),MATCH('Order SUmmary'!O$2,'Product List'!$A$1:$E$1,0))</f>
        <v>Phones</v>
      </c>
      <c r="P884" s="12">
        <f>HLOOKUP(C884,'Commission Criteria'!$A$2:$I$4,3,FALSE)</f>
        <v>10</v>
      </c>
      <c r="Q884" s="8">
        <f t="shared" si="40"/>
        <v>1786</v>
      </c>
      <c r="R884" s="8">
        <f t="shared" si="41"/>
        <v>2921</v>
      </c>
      <c r="S884" s="36">
        <f>VLOOKUP(R884,'Commission Criteria'!$L$3:$M$11,2,TRUE)</f>
        <v>0.01</v>
      </c>
      <c r="T884" s="36">
        <f>IF(P884&lt;5,VLOOKUP(R884,'Commission Criteria'!$L$3:$M$11,2,1),VLOOKUP('Order SUmmary'!R884,'Commission Criteria'!$P$3:$Q$11,2,1))</f>
        <v>0.02</v>
      </c>
      <c r="U884" s="36">
        <f>VLOOKUP(R884,IF(P884&lt;5,'Commission Criteria'!$L$3:$M$11,'Commission Criteria'!$P$3:$Q$11),2,1)</f>
        <v>0.02</v>
      </c>
      <c r="V884" s="8" t="s">
        <v>40</v>
      </c>
      <c r="W884" s="36">
        <f t="shared" ca="1" si="42"/>
        <v>0.01</v>
      </c>
      <c r="X884" s="8" t="str">
        <f>_xlfn.XLOOKUP(F884,'Product List'!$B$1:$B$299,'Product List'!$A$1:$A$299)</f>
        <v>Cisco SPA301</v>
      </c>
      <c r="Y884" s="8"/>
      <c r="Z884" s="8" t="str" cm="1">
        <f t="array" ref="Z884:AD884">_xlfn.XLOOKUP(D884,'Customer Details'!$A$1:$A$17,'Customer Details'!$B$1:$F$17,"No such customer",0,1)</f>
        <v>Honeywell Automation</v>
      </c>
      <c r="AA884" s="8" t="str">
        <v>1272 Harbor Road</v>
      </c>
      <c r="AB884" s="8" t="str">
        <v>Miami</v>
      </c>
      <c r="AC884" s="8" t="str">
        <v>FL</v>
      </c>
      <c r="AD884" s="8" t="str">
        <v>33732</v>
      </c>
    </row>
    <row r="885" spans="1:30">
      <c r="A885" s="8" t="s">
        <v>918</v>
      </c>
      <c r="B885" s="19">
        <v>42074</v>
      </c>
      <c r="C885" s="8" t="s">
        <v>36</v>
      </c>
      <c r="D885" s="8">
        <v>10010</v>
      </c>
      <c r="E885" s="8" t="str">
        <f>VLOOKUP($D885,'Customer Details'!$A$1:$F$17,4,FALSE)</f>
        <v>Tracy</v>
      </c>
      <c r="F885" s="8" t="s">
        <v>428</v>
      </c>
      <c r="G885" s="8">
        <v>1</v>
      </c>
      <c r="H885" s="2" t="str">
        <f>VLOOKUP($D885,'Customer Details'!$A$1:$F$17,MATCH('Order SUmmary'!H$2,'Customer Details'!$A$1:$F$1,0),0)</f>
        <v>Suzlon Energy Ltd.</v>
      </c>
      <c r="I885" s="2" t="str">
        <f>VLOOKUP($D885,'Customer Details'!$A$1:$F$17,4,0)</f>
        <v>Tracy</v>
      </c>
      <c r="J885" s="2" t="str">
        <f>VLOOKUP($D885,'Customer Details'!$A$1:$F$17,6,0)</f>
        <v>95376</v>
      </c>
      <c r="K885" s="8" t="str">
        <f>VLOOKUP(VLOOKUP(D885,'Customer Details'!$A$1:$F$17,5,0),'Region INfo'!$A$1:$C$52,3,0)</f>
        <v xml:space="preserve">Pacific   </v>
      </c>
      <c r="L885" s="8" t="str">
        <f>INDEX(Product_List,MATCH($F885,'Product List'!$B$1:$B$299,0),MATCH('Order SUmmary'!L$2,'Product List'!$A$1:$E$1,0))</f>
        <v>Avery 516</v>
      </c>
      <c r="M885" s="8">
        <f>INDEX(Product_List,MATCH($F885,'Product List'!$B$1:$B$299,0),MATCH('Order SUmmary'!M$2,'Product List'!$A$1:$E$1,0))</f>
        <v>3253</v>
      </c>
      <c r="N885" s="8">
        <f>INDEX(Product_List,MATCH($F885,'Product List'!$B$1:$B$299,0),MATCH('Order SUmmary'!N$2,'Product List'!$A$1:$E$1,0))</f>
        <v>2137</v>
      </c>
      <c r="O885" s="8" t="str">
        <f>INDEX(Product_List,MATCH($F885,'Product List'!$B$1:$B$299,0),MATCH('Order SUmmary'!O$2,'Product List'!$A$1:$E$1,0))</f>
        <v>Labels</v>
      </c>
      <c r="P885" s="12">
        <f>HLOOKUP(C885,'Commission Criteria'!$A$2:$I$4,3,FALSE)</f>
        <v>6</v>
      </c>
      <c r="Q885" s="8">
        <f t="shared" si="40"/>
        <v>2137</v>
      </c>
      <c r="R885" s="8">
        <f t="shared" si="41"/>
        <v>3253</v>
      </c>
      <c r="S885" s="36">
        <f>VLOOKUP(R885,'Commission Criteria'!$L$3:$M$11,2,TRUE)</f>
        <v>0.01</v>
      </c>
      <c r="T885" s="36">
        <f>IF(P885&lt;5,VLOOKUP(R885,'Commission Criteria'!$L$3:$M$11,2,1),VLOOKUP('Order SUmmary'!R885,'Commission Criteria'!$P$3:$Q$11,2,1))</f>
        <v>0.02</v>
      </c>
      <c r="U885" s="36">
        <f>VLOOKUP(R885,IF(P885&lt;5,'Commission Criteria'!$L$3:$M$11,'Commission Criteria'!$P$3:$Q$11),2,1)</f>
        <v>0.02</v>
      </c>
      <c r="V885" s="8" t="s">
        <v>50</v>
      </c>
      <c r="W885" s="36">
        <f t="shared" ca="1" si="42"/>
        <v>0.02</v>
      </c>
      <c r="X885" s="8" t="str">
        <f>_xlfn.XLOOKUP(F885,'Product List'!$B$1:$B$299,'Product List'!$A$1:$A$299)</f>
        <v>Avery 516</v>
      </c>
      <c r="Y885" s="8"/>
      <c r="Z885" s="8" t="str" cm="1">
        <f t="array" ref="Z885:AD885">_xlfn.XLOOKUP(D885,'Customer Details'!$A$1:$A$17,'Customer Details'!$B$1:$F$17,"No such customer",0,1)</f>
        <v>Suzlon Energy Ltd.</v>
      </c>
      <c r="AA885" s="8" t="str">
        <v>501 Marsh Trail Circle</v>
      </c>
      <c r="AB885" s="8" t="str">
        <v>Tracy</v>
      </c>
      <c r="AC885" s="8" t="str">
        <v>CA</v>
      </c>
      <c r="AD885" s="8" t="str">
        <v>95376</v>
      </c>
    </row>
    <row r="886" spans="1:30">
      <c r="A886" s="8" t="s">
        <v>919</v>
      </c>
      <c r="B886" s="19">
        <v>42074</v>
      </c>
      <c r="C886" s="8" t="s">
        <v>51</v>
      </c>
      <c r="D886" s="8">
        <v>10010</v>
      </c>
      <c r="E886" s="8" t="str">
        <f>VLOOKUP($D886,'Customer Details'!$A$1:$F$17,4,FALSE)</f>
        <v>Tracy</v>
      </c>
      <c r="F886" s="8" t="s">
        <v>236</v>
      </c>
      <c r="G886" s="8">
        <v>1</v>
      </c>
      <c r="H886" s="2" t="str">
        <f>VLOOKUP($D886,'Customer Details'!$A$1:$F$17,MATCH('Order SUmmary'!H$2,'Customer Details'!$A$1:$F$1,0),0)</f>
        <v>Suzlon Energy Ltd.</v>
      </c>
      <c r="I886" s="2" t="str">
        <f>VLOOKUP($D886,'Customer Details'!$A$1:$F$17,4,0)</f>
        <v>Tracy</v>
      </c>
      <c r="J886" s="2" t="str">
        <f>VLOOKUP($D886,'Customer Details'!$A$1:$F$17,6,0)</f>
        <v>95376</v>
      </c>
      <c r="K886" s="8" t="str">
        <f>VLOOKUP(VLOOKUP(D886,'Customer Details'!$A$1:$F$17,5,0),'Region INfo'!$A$1:$C$52,3,0)</f>
        <v xml:space="preserve">Pacific   </v>
      </c>
      <c r="L886" s="8" t="str">
        <f>INDEX(Product_List,MATCH($F886,'Product List'!$B$1:$B$299,0),MATCH('Order SUmmary'!L$2,'Product List'!$A$1:$E$1,0))</f>
        <v>Xerox 1971</v>
      </c>
      <c r="M886" s="8">
        <f>INDEX(Product_List,MATCH($F886,'Product List'!$B$1:$B$299,0),MATCH('Order SUmmary'!M$2,'Product List'!$A$1:$E$1,0))</f>
        <v>3305</v>
      </c>
      <c r="N886" s="8">
        <f>INDEX(Product_List,MATCH($F886,'Product List'!$B$1:$B$299,0),MATCH('Order SUmmary'!N$2,'Product List'!$A$1:$E$1,0))</f>
        <v>1418</v>
      </c>
      <c r="O886" s="8" t="str">
        <f>INDEX(Product_List,MATCH($F886,'Product List'!$B$1:$B$299,0),MATCH('Order SUmmary'!O$2,'Product List'!$A$1:$E$1,0))</f>
        <v>Paper</v>
      </c>
      <c r="P886" s="12">
        <f>HLOOKUP(C886,'Commission Criteria'!$A$2:$I$4,3,FALSE)</f>
        <v>10</v>
      </c>
      <c r="Q886" s="8">
        <f t="shared" si="40"/>
        <v>1418</v>
      </c>
      <c r="R886" s="8">
        <f t="shared" si="41"/>
        <v>3305</v>
      </c>
      <c r="S886" s="36">
        <f>VLOOKUP(R886,'Commission Criteria'!$L$3:$M$11,2,TRUE)</f>
        <v>0.01</v>
      </c>
      <c r="T886" s="36">
        <f>IF(P886&lt;5,VLOOKUP(R886,'Commission Criteria'!$L$3:$M$11,2,1),VLOOKUP('Order SUmmary'!R886,'Commission Criteria'!$P$3:$Q$11,2,1))</f>
        <v>0.02</v>
      </c>
      <c r="U886" s="36">
        <f>VLOOKUP(R886,IF(P886&lt;5,'Commission Criteria'!$L$3:$M$11,'Commission Criteria'!$P$3:$Q$11),2,1)</f>
        <v>0.02</v>
      </c>
      <c r="V886" s="8" t="s">
        <v>43</v>
      </c>
      <c r="W886" s="36">
        <f t="shared" ca="1" si="42"/>
        <v>0.05</v>
      </c>
      <c r="X886" s="8" t="str">
        <f>_xlfn.XLOOKUP(F886,'Product List'!$B$1:$B$299,'Product List'!$A$1:$A$299)</f>
        <v>Xerox 1971</v>
      </c>
      <c r="Y886" s="8"/>
      <c r="Z886" s="8" t="str" cm="1">
        <f t="array" ref="Z886:AD886">_xlfn.XLOOKUP(D886,'Customer Details'!$A$1:$A$17,'Customer Details'!$B$1:$F$17,"No such customer",0,1)</f>
        <v>Suzlon Energy Ltd.</v>
      </c>
      <c r="AA886" s="8" t="str">
        <v>501 Marsh Trail Circle</v>
      </c>
      <c r="AB886" s="8" t="str">
        <v>Tracy</v>
      </c>
      <c r="AC886" s="8" t="str">
        <v>CA</v>
      </c>
      <c r="AD886" s="8" t="str">
        <v>95376</v>
      </c>
    </row>
    <row r="887" spans="1:30">
      <c r="A887" s="8" t="s">
        <v>920</v>
      </c>
      <c r="B887" s="19">
        <v>42074</v>
      </c>
      <c r="C887" s="8" t="s">
        <v>54</v>
      </c>
      <c r="D887" s="8">
        <v>10015</v>
      </c>
      <c r="E887" s="8" t="str">
        <f>VLOOKUP($D887,'Customer Details'!$A$1:$F$17,4,FALSE)</f>
        <v>South Windsor</v>
      </c>
      <c r="F887" s="8" t="s">
        <v>429</v>
      </c>
      <c r="G887" s="8">
        <v>1</v>
      </c>
      <c r="H887" s="2" t="str">
        <f>VLOOKUP($D887,'Customer Details'!$A$1:$F$17,MATCH('Order SUmmary'!H$2,'Customer Details'!$A$1:$F$1,0),0)</f>
        <v>Punj Lloyd Ltd.</v>
      </c>
      <c r="I887" s="2" t="str">
        <f>VLOOKUP($D887,'Customer Details'!$A$1:$F$17,4,0)</f>
        <v>South Windsor</v>
      </c>
      <c r="J887" s="2" t="str">
        <f>VLOOKUP($D887,'Customer Details'!$A$1:$F$17,6,0)</f>
        <v>06074</v>
      </c>
      <c r="K887" s="8" t="str">
        <f>VLOOKUP(VLOOKUP(D887,'Customer Details'!$A$1:$F$17,5,0),'Region INfo'!$A$1:$C$52,3,0)</f>
        <v xml:space="preserve">Northern </v>
      </c>
      <c r="L887" s="8" t="str">
        <f>INDEX(Product_List,MATCH($F887,'Product List'!$B$1:$B$299,0),MATCH('Order SUmmary'!L$2,'Product List'!$A$1:$E$1,0))</f>
        <v>Xerox 214</v>
      </c>
      <c r="M887" s="8">
        <f>INDEX(Product_List,MATCH($F887,'Product List'!$B$1:$B$299,0),MATCH('Order SUmmary'!M$2,'Product List'!$A$1:$E$1,0))</f>
        <v>3504</v>
      </c>
      <c r="N887" s="8">
        <f>INDEX(Product_List,MATCH($F887,'Product List'!$B$1:$B$299,0),MATCH('Order SUmmary'!N$2,'Product List'!$A$1:$E$1,0))</f>
        <v>2309</v>
      </c>
      <c r="O887" s="8" t="str">
        <f>INDEX(Product_List,MATCH($F887,'Product List'!$B$1:$B$299,0),MATCH('Order SUmmary'!O$2,'Product List'!$A$1:$E$1,0))</f>
        <v>Paper</v>
      </c>
      <c r="P887" s="12">
        <f>HLOOKUP(C887,'Commission Criteria'!$A$2:$I$4,3,FALSE)</f>
        <v>3</v>
      </c>
      <c r="Q887" s="8">
        <f t="shared" si="40"/>
        <v>2309</v>
      </c>
      <c r="R887" s="8">
        <f t="shared" si="41"/>
        <v>3504</v>
      </c>
      <c r="S887" s="36">
        <f>VLOOKUP(R887,'Commission Criteria'!$L$3:$M$11,2,TRUE)</f>
        <v>0.01</v>
      </c>
      <c r="T887" s="36">
        <f>IF(P887&lt;5,VLOOKUP(R887,'Commission Criteria'!$L$3:$M$11,2,1),VLOOKUP('Order SUmmary'!R887,'Commission Criteria'!$P$3:$Q$11,2,1))</f>
        <v>0.01</v>
      </c>
      <c r="U887" s="36">
        <f>VLOOKUP(R887,IF(P887&lt;5,'Commission Criteria'!$L$3:$M$11,'Commission Criteria'!$P$3:$Q$11),2,1)</f>
        <v>0.01</v>
      </c>
      <c r="V887" s="8" t="s">
        <v>43</v>
      </c>
      <c r="W887" s="36">
        <f t="shared" ca="1" si="42"/>
        <v>0.03</v>
      </c>
      <c r="X887" s="8" t="str">
        <f>_xlfn.XLOOKUP(F887,'Product List'!$B$1:$B$299,'Product List'!$A$1:$A$299)</f>
        <v>Xerox 214</v>
      </c>
      <c r="Y887" s="8"/>
      <c r="Z887" s="8" t="str" cm="1">
        <f t="array" ref="Z887:AD887">_xlfn.XLOOKUP(D887,'Customer Details'!$A$1:$A$17,'Customer Details'!$B$1:$F$17,"No such customer",0,1)</f>
        <v>Punj Lloyd Ltd.</v>
      </c>
      <c r="AA887" s="8" t="str">
        <v>Box 3263</v>
      </c>
      <c r="AB887" s="8" t="str">
        <v>South Windsor</v>
      </c>
      <c r="AC887" s="8" t="str">
        <v>CT</v>
      </c>
      <c r="AD887" s="8" t="str">
        <v>06074</v>
      </c>
    </row>
    <row r="888" spans="1:30">
      <c r="A888" s="8" t="s">
        <v>920</v>
      </c>
      <c r="B888" s="19">
        <v>42074</v>
      </c>
      <c r="C888" s="8" t="s">
        <v>54</v>
      </c>
      <c r="D888" s="8">
        <v>10014</v>
      </c>
      <c r="E888" s="8" t="str">
        <f>VLOOKUP($D888,'Customer Details'!$A$1:$F$17,4,FALSE)</f>
        <v>Honolulu</v>
      </c>
      <c r="F888" s="8" t="s">
        <v>545</v>
      </c>
      <c r="G888" s="8">
        <v>1</v>
      </c>
      <c r="H888" s="2" t="str">
        <f>VLOOKUP($D888,'Customer Details'!$A$1:$F$17,MATCH('Order SUmmary'!H$2,'Customer Details'!$A$1:$F$1,0),0)</f>
        <v>Hindusthan National Glass &amp; Industries Ltd.</v>
      </c>
      <c r="I888" s="2" t="str">
        <f>VLOOKUP($D888,'Customer Details'!$A$1:$F$17,4,0)</f>
        <v>Honolulu</v>
      </c>
      <c r="J888" s="2" t="str">
        <f>VLOOKUP($D888,'Customer Details'!$A$1:$F$17,6,0)</f>
        <v>96825</v>
      </c>
      <c r="K888" s="8" t="str">
        <f>VLOOKUP(VLOOKUP(D888,'Customer Details'!$A$1:$F$17,5,0),'Region INfo'!$A$1:$C$52,3,0)</f>
        <v xml:space="preserve">Pacific   </v>
      </c>
      <c r="L888" s="8" t="str">
        <f>INDEX(Product_List,MATCH($F888,'Product List'!$B$1:$B$299,0),MATCH('Order SUmmary'!L$2,'Product List'!$A$1:$E$1,0))</f>
        <v>Xerox 227</v>
      </c>
      <c r="M888" s="8">
        <f>INDEX(Product_List,MATCH($F888,'Product List'!$B$1:$B$299,0),MATCH('Order SUmmary'!M$2,'Product List'!$A$1:$E$1,0))</f>
        <v>3827</v>
      </c>
      <c r="N888" s="8">
        <f>INDEX(Product_List,MATCH($F888,'Product List'!$B$1:$B$299,0),MATCH('Order SUmmary'!N$2,'Product List'!$A$1:$E$1,0))</f>
        <v>2424</v>
      </c>
      <c r="O888" s="8" t="str">
        <f>INDEX(Product_List,MATCH($F888,'Product List'!$B$1:$B$299,0),MATCH('Order SUmmary'!O$2,'Product List'!$A$1:$E$1,0))</f>
        <v>Paper</v>
      </c>
      <c r="P888" s="12">
        <f>HLOOKUP(C888,'Commission Criteria'!$A$2:$I$4,3,FALSE)</f>
        <v>3</v>
      </c>
      <c r="Q888" s="8">
        <f t="shared" si="40"/>
        <v>2424</v>
      </c>
      <c r="R888" s="8">
        <f t="shared" si="41"/>
        <v>3827</v>
      </c>
      <c r="S888" s="36">
        <f>VLOOKUP(R888,'Commission Criteria'!$L$3:$M$11,2,TRUE)</f>
        <v>0.01</v>
      </c>
      <c r="T888" s="36">
        <f>IF(P888&lt;5,VLOOKUP(R888,'Commission Criteria'!$L$3:$M$11,2,1),VLOOKUP('Order SUmmary'!R888,'Commission Criteria'!$P$3:$Q$11,2,1))</f>
        <v>0.01</v>
      </c>
      <c r="U888" s="36">
        <f>VLOOKUP(R888,IF(P888&lt;5,'Commission Criteria'!$L$3:$M$11,'Commission Criteria'!$P$3:$Q$11),2,1)</f>
        <v>0.01</v>
      </c>
      <c r="V888" s="8" t="s">
        <v>40</v>
      </c>
      <c r="W888" s="36">
        <f t="shared" ca="1" si="42"/>
        <v>0.03</v>
      </c>
      <c r="X888" s="8" t="str">
        <f>_xlfn.XLOOKUP(F888,'Product List'!$B$1:$B$299,'Product List'!$A$1:$A$299)</f>
        <v>Xerox 227</v>
      </c>
      <c r="Y888" s="8"/>
      <c r="Z888" s="8" t="str" cm="1">
        <f t="array" ref="Z888:AD888">_xlfn.XLOOKUP(D888,'Customer Details'!$A$1:$A$17,'Customer Details'!$B$1:$F$17,"No such customer",0,1)</f>
        <v>Hindusthan National Glass &amp; Industries Ltd.</v>
      </c>
      <c r="AA888" s="8" t="str">
        <v>11 Cathy St.</v>
      </c>
      <c r="AB888" s="8" t="str">
        <v>Honolulu</v>
      </c>
      <c r="AC888" s="8" t="str">
        <v>HI</v>
      </c>
      <c r="AD888" s="8" t="str">
        <v>96825</v>
      </c>
    </row>
    <row r="889" spans="1:30">
      <c r="A889" s="8" t="s">
        <v>920</v>
      </c>
      <c r="B889" s="19">
        <v>42074</v>
      </c>
      <c r="C889" s="8" t="s">
        <v>33</v>
      </c>
      <c r="D889" s="8">
        <v>10001</v>
      </c>
      <c r="E889" s="8" t="str">
        <f>VLOOKUP($D889,'Customer Details'!$A$1:$F$17,4,FALSE)</f>
        <v>New York</v>
      </c>
      <c r="F889" s="8" t="s">
        <v>166</v>
      </c>
      <c r="G889" s="8">
        <v>1</v>
      </c>
      <c r="H889" s="2" t="str">
        <f>VLOOKUP($D889,'Customer Details'!$A$1:$F$17,MATCH('Order SUmmary'!H$2,'Customer Details'!$A$1:$F$1,0),0)</f>
        <v>Chambal Fertilisers and Chemicals Ltd.</v>
      </c>
      <c r="I889" s="2" t="str">
        <f>VLOOKUP($D889,'Customer Details'!$A$1:$F$17,4,0)</f>
        <v>New York</v>
      </c>
      <c r="J889" s="2" t="str">
        <f>VLOOKUP($D889,'Customer Details'!$A$1:$F$17,6,0)</f>
        <v>10025</v>
      </c>
      <c r="K889" s="8" t="str">
        <f>VLOOKUP(VLOOKUP(D889,'Customer Details'!$A$1:$F$17,5,0),'Region INfo'!$A$1:$C$52,3,0)</f>
        <v xml:space="preserve">Northern </v>
      </c>
      <c r="L889" s="8" t="str">
        <f>INDEX(Product_List,MATCH($F889,'Product List'!$B$1:$B$299,0),MATCH('Order SUmmary'!L$2,'Product List'!$A$1:$E$1,0))</f>
        <v>Xerox 1891</v>
      </c>
      <c r="M889" s="8">
        <f>INDEX(Product_List,MATCH($F889,'Product List'!$B$1:$B$299,0),MATCH('Order SUmmary'!M$2,'Product List'!$A$1:$E$1,0))</f>
        <v>4357</v>
      </c>
      <c r="N889" s="8">
        <f>INDEX(Product_List,MATCH($F889,'Product List'!$B$1:$B$299,0),MATCH('Order SUmmary'!N$2,'Product List'!$A$1:$E$1,0))</f>
        <v>1806</v>
      </c>
      <c r="O889" s="8" t="str">
        <f>INDEX(Product_List,MATCH($F889,'Product List'!$B$1:$B$299,0),MATCH('Order SUmmary'!O$2,'Product List'!$A$1:$E$1,0))</f>
        <v>Paper</v>
      </c>
      <c r="P889" s="12">
        <f>HLOOKUP(C889,'Commission Criteria'!$A$2:$I$4,3,FALSE)</f>
        <v>1</v>
      </c>
      <c r="Q889" s="8">
        <f t="shared" si="40"/>
        <v>1806</v>
      </c>
      <c r="R889" s="8">
        <f t="shared" si="41"/>
        <v>4357</v>
      </c>
      <c r="S889" s="36">
        <f>VLOOKUP(R889,'Commission Criteria'!$L$3:$M$11,2,TRUE)</f>
        <v>0.01</v>
      </c>
      <c r="T889" s="36">
        <f>IF(P889&lt;5,VLOOKUP(R889,'Commission Criteria'!$L$3:$M$11,2,1),VLOOKUP('Order SUmmary'!R889,'Commission Criteria'!$P$3:$Q$11,2,1))</f>
        <v>0.01</v>
      </c>
      <c r="U889" s="36">
        <f>VLOOKUP(R889,IF(P889&lt;5,'Commission Criteria'!$L$3:$M$11,'Commission Criteria'!$P$3:$Q$11),2,1)</f>
        <v>0.01</v>
      </c>
      <c r="V889" s="8" t="s">
        <v>40</v>
      </c>
      <c r="W889" s="36">
        <f t="shared" ca="1" si="42"/>
        <v>0.05</v>
      </c>
      <c r="X889" s="8" t="str">
        <f>_xlfn.XLOOKUP(F889,'Product List'!$B$1:$B$299,'Product List'!$A$1:$A$299)</f>
        <v>Xerox 1891</v>
      </c>
      <c r="Y889" s="8"/>
      <c r="Z889" s="8" t="str" cm="1">
        <f t="array" ref="Z889:AD889">_xlfn.XLOOKUP(D889,'Customer Details'!$A$1:$A$17,'Customer Details'!$B$1:$F$17,"No such customer",0,1)</f>
        <v>Chambal Fertilisers and Chemicals Ltd.</v>
      </c>
      <c r="AA889" s="8" t="str">
        <v>4951 Indiana Ave.</v>
      </c>
      <c r="AB889" s="8" t="str">
        <v>New York</v>
      </c>
      <c r="AC889" s="8" t="str">
        <v>NY</v>
      </c>
      <c r="AD889" s="8" t="str">
        <v>10025</v>
      </c>
    </row>
    <row r="890" spans="1:30">
      <c r="A890" s="8" t="s">
        <v>918</v>
      </c>
      <c r="B890" s="19">
        <v>42074</v>
      </c>
      <c r="C890" s="8" t="s">
        <v>44</v>
      </c>
      <c r="D890" s="8">
        <v>10002</v>
      </c>
      <c r="E890" s="8" t="str">
        <f>VLOOKUP($D890,'Customer Details'!$A$1:$F$17,4,FALSE)</f>
        <v>Omaha</v>
      </c>
      <c r="F890" s="8" t="s">
        <v>110</v>
      </c>
      <c r="G890" s="8">
        <v>1</v>
      </c>
      <c r="H890" s="2" t="str">
        <f>VLOOKUP($D890,'Customer Details'!$A$1:$F$17,MATCH('Order SUmmary'!H$2,'Customer Details'!$A$1:$F$1,0),0)</f>
        <v>Elder Pharmaceuticals</v>
      </c>
      <c r="I890" s="2" t="str">
        <f>VLOOKUP($D890,'Customer Details'!$A$1:$F$17,4,0)</f>
        <v>Omaha</v>
      </c>
      <c r="J890" s="2" t="str">
        <f>VLOOKUP($D890,'Customer Details'!$A$1:$F$17,6,0)</f>
        <v>68127</v>
      </c>
      <c r="K890" s="8" t="str">
        <f>VLOOKUP(VLOOKUP(D890,'Customer Details'!$A$1:$F$17,5,0),'Region INfo'!$A$1:$C$52,3,0)</f>
        <v>Western</v>
      </c>
      <c r="L890" s="8" t="str">
        <f>INDEX(Product_List,MATCH($F890,'Product List'!$B$1:$B$299,0),MATCH('Order SUmmary'!L$2,'Product List'!$A$1:$E$1,0))</f>
        <v>Newell 332</v>
      </c>
      <c r="M890" s="8">
        <f>INDEX(Product_List,MATCH($F890,'Product List'!$B$1:$B$299,0),MATCH('Order SUmmary'!M$2,'Product List'!$A$1:$E$1,0))</f>
        <v>4623</v>
      </c>
      <c r="N890" s="8">
        <f>INDEX(Product_List,MATCH($F890,'Product List'!$B$1:$B$299,0),MATCH('Order SUmmary'!N$2,'Product List'!$A$1:$E$1,0))</f>
        <v>1878</v>
      </c>
      <c r="O890" s="8" t="str">
        <f>INDEX(Product_List,MATCH($F890,'Product List'!$B$1:$B$299,0),MATCH('Order SUmmary'!O$2,'Product List'!$A$1:$E$1,0))</f>
        <v>Art</v>
      </c>
      <c r="P890" s="12">
        <f>HLOOKUP(C890,'Commission Criteria'!$A$2:$I$4,3,FALSE)</f>
        <v>4</v>
      </c>
      <c r="Q890" s="8">
        <f t="shared" si="40"/>
        <v>1878</v>
      </c>
      <c r="R890" s="8">
        <f t="shared" si="41"/>
        <v>4623</v>
      </c>
      <c r="S890" s="36">
        <f>VLOOKUP(R890,'Commission Criteria'!$L$3:$M$11,2,TRUE)</f>
        <v>0.01</v>
      </c>
      <c r="T890" s="36">
        <f>IF(P890&lt;5,VLOOKUP(R890,'Commission Criteria'!$L$3:$M$11,2,1),VLOOKUP('Order SUmmary'!R890,'Commission Criteria'!$P$3:$Q$11,2,1))</f>
        <v>0.01</v>
      </c>
      <c r="U890" s="36">
        <f>VLOOKUP(R890,IF(P890&lt;5,'Commission Criteria'!$L$3:$M$11,'Commission Criteria'!$P$3:$Q$11),2,1)</f>
        <v>0.01</v>
      </c>
      <c r="V890" s="8" t="s">
        <v>50</v>
      </c>
      <c r="W890" s="36">
        <f t="shared" ca="1" si="42"/>
        <v>0.04</v>
      </c>
      <c r="X890" s="8" t="str">
        <f>_xlfn.XLOOKUP(F890,'Product List'!$B$1:$B$299,'Product List'!$A$1:$A$299)</f>
        <v>Newell 332</v>
      </c>
      <c r="Y890" s="8"/>
      <c r="Z890" s="8" t="str" cm="1">
        <f t="array" ref="Z890:AD890">_xlfn.XLOOKUP(D890,'Customer Details'!$A$1:$A$17,'Customer Details'!$B$1:$F$17,"No such customer",0,1)</f>
        <v>Elder Pharmaceuticals</v>
      </c>
      <c r="AA890" s="8" t="str">
        <v>57 Neriba Cres</v>
      </c>
      <c r="AB890" s="8" t="str">
        <v>Omaha</v>
      </c>
      <c r="AC890" s="8" t="str">
        <v>NE</v>
      </c>
      <c r="AD890" s="8" t="str">
        <v>68127</v>
      </c>
    </row>
    <row r="891" spans="1:30">
      <c r="A891" s="8" t="s">
        <v>919</v>
      </c>
      <c r="B891" s="19">
        <v>42074</v>
      </c>
      <c r="C891" s="8" t="s">
        <v>51</v>
      </c>
      <c r="D891" s="8">
        <v>10011</v>
      </c>
      <c r="E891" s="8" t="str">
        <f>VLOOKUP($D891,'Customer Details'!$A$1:$F$17,4,FALSE)</f>
        <v>Olympia</v>
      </c>
      <c r="F891" s="8" t="s">
        <v>218</v>
      </c>
      <c r="G891" s="8">
        <v>2</v>
      </c>
      <c r="H891" s="2" t="str">
        <f>VLOOKUP($D891,'Customer Details'!$A$1:$F$17,MATCH('Order SUmmary'!H$2,'Customer Details'!$A$1:$F$1,0),0)</f>
        <v>Sonata Software</v>
      </c>
      <c r="I891" s="2" t="str">
        <f>VLOOKUP($D891,'Customer Details'!$A$1:$F$17,4,0)</f>
        <v>Olympia</v>
      </c>
      <c r="J891" s="2" t="str">
        <f>VLOOKUP($D891,'Customer Details'!$A$1:$F$17,6,0)</f>
        <v>98502</v>
      </c>
      <c r="K891" s="8" t="str">
        <f>VLOOKUP(VLOOKUP(D891,'Customer Details'!$A$1:$F$17,5,0),'Region INfo'!$A$1:$C$52,3,0)</f>
        <v xml:space="preserve">Pacific   </v>
      </c>
      <c r="L891" s="8" t="str">
        <f>INDEX(Product_List,MATCH($F891,'Product List'!$B$1:$B$299,0),MATCH('Order SUmmary'!L$2,'Product List'!$A$1:$E$1,0))</f>
        <v>Avery 509</v>
      </c>
      <c r="M891" s="8">
        <f>INDEX(Product_List,MATCH($F891,'Product List'!$B$1:$B$299,0),MATCH('Order SUmmary'!M$2,'Product List'!$A$1:$E$1,0))</f>
        <v>3377</v>
      </c>
      <c r="N891" s="8">
        <f>INDEX(Product_List,MATCH($F891,'Product List'!$B$1:$B$299,0),MATCH('Order SUmmary'!N$2,'Product List'!$A$1:$E$1,0))</f>
        <v>2112</v>
      </c>
      <c r="O891" s="8" t="str">
        <f>INDEX(Product_List,MATCH($F891,'Product List'!$B$1:$B$299,0),MATCH('Order SUmmary'!O$2,'Product List'!$A$1:$E$1,0))</f>
        <v>Labels</v>
      </c>
      <c r="P891" s="12">
        <f>HLOOKUP(C891,'Commission Criteria'!$A$2:$I$4,3,FALSE)</f>
        <v>10</v>
      </c>
      <c r="Q891" s="8">
        <f t="shared" si="40"/>
        <v>4224</v>
      </c>
      <c r="R891" s="8">
        <f t="shared" si="41"/>
        <v>6754</v>
      </c>
      <c r="S891" s="36">
        <f>VLOOKUP(R891,'Commission Criteria'!$L$3:$M$11,2,TRUE)</f>
        <v>0.03</v>
      </c>
      <c r="T891" s="36">
        <f>IF(P891&lt;5,VLOOKUP(R891,'Commission Criteria'!$L$3:$M$11,2,1),VLOOKUP('Order SUmmary'!R891,'Commission Criteria'!$P$3:$Q$11,2,1))</f>
        <v>0.02</v>
      </c>
      <c r="U891" s="36">
        <f>VLOOKUP(R891,IF(P891&lt;5,'Commission Criteria'!$L$3:$M$11,'Commission Criteria'!$P$3:$Q$11),2,1)</f>
        <v>0.02</v>
      </c>
      <c r="V891" s="8" t="s">
        <v>43</v>
      </c>
      <c r="W891" s="36">
        <f t="shared" ca="1" si="42"/>
        <v>0.04</v>
      </c>
      <c r="X891" s="8" t="str">
        <f>_xlfn.XLOOKUP(F891,'Product List'!$B$1:$B$299,'Product List'!$A$1:$A$299)</f>
        <v>Avery 509</v>
      </c>
      <c r="Y891" s="8"/>
      <c r="Z891" s="8" t="str" cm="1">
        <f t="array" ref="Z891:AD891">_xlfn.XLOOKUP(D891,'Customer Details'!$A$1:$A$17,'Customer Details'!$B$1:$F$17,"No such customer",0,1)</f>
        <v>Sonata Software</v>
      </c>
      <c r="AA891" s="8" t="str">
        <v>1331 Kimberly Dr.</v>
      </c>
      <c r="AB891" s="8" t="str">
        <v>Olympia</v>
      </c>
      <c r="AC891" s="8" t="str">
        <v>WA</v>
      </c>
      <c r="AD891" s="8" t="str">
        <v>98502</v>
      </c>
    </row>
    <row r="892" spans="1:30">
      <c r="A892" s="8" t="s">
        <v>921</v>
      </c>
      <c r="B892" s="19">
        <v>42080</v>
      </c>
      <c r="C892" s="8" t="s">
        <v>46</v>
      </c>
      <c r="D892" s="8">
        <v>10013</v>
      </c>
      <c r="E892" s="8" t="str">
        <f>VLOOKUP($D892,'Customer Details'!$A$1:$F$17,4,FALSE)</f>
        <v>Naugatuck</v>
      </c>
      <c r="F892" s="8" t="s">
        <v>481</v>
      </c>
      <c r="G892" s="8">
        <v>1</v>
      </c>
      <c r="H892" s="2" t="str">
        <f>VLOOKUP($D892,'Customer Details'!$A$1:$F$17,MATCH('Order SUmmary'!H$2,'Customer Details'!$A$1:$F$1,0),0)</f>
        <v>GMR Infrastructure Ltd.</v>
      </c>
      <c r="I892" s="2" t="str">
        <f>VLOOKUP($D892,'Customer Details'!$A$1:$F$17,4,0)</f>
        <v>Naugatuck</v>
      </c>
      <c r="J892" s="2" t="str">
        <f>VLOOKUP($D892,'Customer Details'!$A$1:$F$17,6,0)</f>
        <v>06770</v>
      </c>
      <c r="K892" s="8" t="str">
        <f>VLOOKUP(VLOOKUP(D892,'Customer Details'!$A$1:$F$17,5,0),'Region INfo'!$A$1:$C$52,3,0)</f>
        <v xml:space="preserve">Northern </v>
      </c>
      <c r="L892" s="8" t="str">
        <f>INDEX(Product_List,MATCH($F892,'Product List'!$B$1:$B$299,0),MATCH('Order SUmmary'!L$2,'Product List'!$A$1:$E$1,0))</f>
        <v>Xerox 219</v>
      </c>
      <c r="M892" s="8">
        <f>INDEX(Product_List,MATCH($F892,'Product List'!$B$1:$B$299,0),MATCH('Order SUmmary'!M$2,'Product List'!$A$1:$E$1,0))</f>
        <v>3735</v>
      </c>
      <c r="N892" s="8">
        <f>INDEX(Product_List,MATCH($F892,'Product List'!$B$1:$B$299,0),MATCH('Order SUmmary'!N$2,'Product List'!$A$1:$E$1,0))</f>
        <v>2377</v>
      </c>
      <c r="O892" s="8" t="str">
        <f>INDEX(Product_List,MATCH($F892,'Product List'!$B$1:$B$299,0),MATCH('Order SUmmary'!O$2,'Product List'!$A$1:$E$1,0))</f>
        <v>Paper</v>
      </c>
      <c r="P892" s="12">
        <f>HLOOKUP(C892,'Commission Criteria'!$A$2:$I$4,3,FALSE)</f>
        <v>8</v>
      </c>
      <c r="Q892" s="8">
        <f t="shared" si="40"/>
        <v>2377</v>
      </c>
      <c r="R892" s="8">
        <f t="shared" si="41"/>
        <v>3735</v>
      </c>
      <c r="S892" s="36">
        <f>VLOOKUP(R892,'Commission Criteria'!$L$3:$M$11,2,TRUE)</f>
        <v>0.01</v>
      </c>
      <c r="T892" s="36">
        <f>IF(P892&lt;5,VLOOKUP(R892,'Commission Criteria'!$L$3:$M$11,2,1),VLOOKUP('Order SUmmary'!R892,'Commission Criteria'!$P$3:$Q$11,2,1))</f>
        <v>0.02</v>
      </c>
      <c r="U892" s="36">
        <f>VLOOKUP(R892,IF(P892&lt;5,'Commission Criteria'!$L$3:$M$11,'Commission Criteria'!$P$3:$Q$11),2,1)</f>
        <v>0.02</v>
      </c>
      <c r="V892" s="8" t="s">
        <v>32</v>
      </c>
      <c r="W892" s="36">
        <f t="shared" ca="1" si="42"/>
        <v>0.01</v>
      </c>
      <c r="X892" s="8" t="str">
        <f>_xlfn.XLOOKUP(F892,'Product List'!$B$1:$B$299,'Product List'!$A$1:$A$299)</f>
        <v>Xerox 219</v>
      </c>
      <c r="Y892" s="8"/>
      <c r="Z892" s="8" t="str" cm="1">
        <f t="array" ref="Z892:AD892">_xlfn.XLOOKUP(D892,'Customer Details'!$A$1:$A$17,'Customer Details'!$B$1:$F$17,"No such customer",0,1)</f>
        <v>GMR Infrastructure Ltd.</v>
      </c>
      <c r="AA892" s="8" t="str">
        <v>P.O. Box 4421</v>
      </c>
      <c r="AB892" s="8" t="str">
        <v>Naugatuck</v>
      </c>
      <c r="AC892" s="8" t="str">
        <v>CT</v>
      </c>
      <c r="AD892" s="8" t="str">
        <v>06770</v>
      </c>
    </row>
    <row r="893" spans="1:30">
      <c r="A893" s="8" t="s">
        <v>921</v>
      </c>
      <c r="B893" s="19">
        <v>42080</v>
      </c>
      <c r="C893" s="8" t="s">
        <v>54</v>
      </c>
      <c r="D893" s="8">
        <v>10008</v>
      </c>
      <c r="E893" s="8" t="str">
        <f>VLOOKUP($D893,'Customer Details'!$A$1:$F$17,4,FALSE)</f>
        <v>Chestnut Ridge</v>
      </c>
      <c r="F893" s="8" t="s">
        <v>252</v>
      </c>
      <c r="G893" s="8">
        <v>1</v>
      </c>
      <c r="H893" s="2" t="str">
        <f>VLOOKUP($D893,'Customer Details'!$A$1:$F$17,MATCH('Order SUmmary'!H$2,'Customer Details'!$A$1:$F$1,0),0)</f>
        <v>Reliance Industries Limited</v>
      </c>
      <c r="I893" s="2" t="str">
        <f>VLOOKUP($D893,'Customer Details'!$A$1:$F$17,4,0)</f>
        <v>Chestnut Ridge</v>
      </c>
      <c r="J893" s="2" t="str">
        <f>VLOOKUP($D893,'Customer Details'!$A$1:$F$17,6,0)</f>
        <v>10977</v>
      </c>
      <c r="K893" s="8" t="str">
        <f>VLOOKUP(VLOOKUP(D893,'Customer Details'!$A$1:$F$17,5,0),'Region INfo'!$A$1:$C$52,3,0)</f>
        <v xml:space="preserve">Northern </v>
      </c>
      <c r="L893" s="8" t="str">
        <f>INDEX(Product_List,MATCH($F893,'Product List'!$B$1:$B$299,0),MATCH('Order SUmmary'!L$2,'Product List'!$A$1:$E$1,0))</f>
        <v>Avery 481</v>
      </c>
      <c r="M893" s="8">
        <f>INDEX(Product_List,MATCH($F893,'Product List'!$B$1:$B$299,0),MATCH('Order SUmmary'!M$2,'Product List'!$A$1:$E$1,0))</f>
        <v>4531</v>
      </c>
      <c r="N893" s="8">
        <f>INDEX(Product_List,MATCH($F893,'Product List'!$B$1:$B$299,0),MATCH('Order SUmmary'!N$2,'Product List'!$A$1:$E$1,0))</f>
        <v>1512</v>
      </c>
      <c r="O893" s="8" t="str">
        <f>INDEX(Product_List,MATCH($F893,'Product List'!$B$1:$B$299,0),MATCH('Order SUmmary'!O$2,'Product List'!$A$1:$E$1,0))</f>
        <v>Labels</v>
      </c>
      <c r="P893" s="12">
        <f>HLOOKUP(C893,'Commission Criteria'!$A$2:$I$4,3,FALSE)</f>
        <v>3</v>
      </c>
      <c r="Q893" s="8">
        <f t="shared" si="40"/>
        <v>1512</v>
      </c>
      <c r="R893" s="8">
        <f t="shared" si="41"/>
        <v>4531</v>
      </c>
      <c r="S893" s="36">
        <f>VLOOKUP(R893,'Commission Criteria'!$L$3:$M$11,2,TRUE)</f>
        <v>0.01</v>
      </c>
      <c r="T893" s="36">
        <f>IF(P893&lt;5,VLOOKUP(R893,'Commission Criteria'!$L$3:$M$11,2,1),VLOOKUP('Order SUmmary'!R893,'Commission Criteria'!$P$3:$Q$11,2,1))</f>
        <v>0.01</v>
      </c>
      <c r="U893" s="36">
        <f>VLOOKUP(R893,IF(P893&lt;5,'Commission Criteria'!$L$3:$M$11,'Commission Criteria'!$P$3:$Q$11),2,1)</f>
        <v>0.01</v>
      </c>
      <c r="V893" s="8" t="s">
        <v>40</v>
      </c>
      <c r="W893" s="36">
        <f t="shared" ca="1" si="42"/>
        <v>0.03</v>
      </c>
      <c r="X893" s="8" t="str">
        <f>_xlfn.XLOOKUP(F893,'Product List'!$B$1:$B$299,'Product List'!$A$1:$A$299)</f>
        <v>Avery 481</v>
      </c>
      <c r="Y893" s="8"/>
      <c r="Z893" s="8" t="str" cm="1">
        <f t="array" ref="Z893:AD893">_xlfn.XLOOKUP(D893,'Customer Details'!$A$1:$A$17,'Customer Details'!$B$1:$F$17,"No such customer",0,1)</f>
        <v>Reliance Industries Limited</v>
      </c>
      <c r="AA893" s="8" t="str">
        <v>12020 Shamrock Rd., Suite 333</v>
      </c>
      <c r="AB893" s="8" t="str">
        <v>Chestnut Ridge</v>
      </c>
      <c r="AC893" s="8" t="str">
        <v>NY</v>
      </c>
      <c r="AD893" s="8" t="str">
        <v>10977</v>
      </c>
    </row>
    <row r="894" spans="1:30">
      <c r="A894" s="8" t="s">
        <v>922</v>
      </c>
      <c r="B894" s="19">
        <v>42080</v>
      </c>
      <c r="C894" s="8" t="s">
        <v>33</v>
      </c>
      <c r="D894" s="8">
        <v>10003</v>
      </c>
      <c r="E894" s="8" t="str">
        <f>VLOOKUP($D894,'Customer Details'!$A$1:$F$17,4,FALSE)</f>
        <v>Miami</v>
      </c>
      <c r="F894" s="8" t="s">
        <v>368</v>
      </c>
      <c r="G894" s="8">
        <v>2</v>
      </c>
      <c r="H894" s="2" t="str">
        <f>VLOOKUP($D894,'Customer Details'!$A$1:$F$17,MATCH('Order SUmmary'!H$2,'Customer Details'!$A$1:$F$1,0),0)</f>
        <v>Honeywell Automation</v>
      </c>
      <c r="I894" s="2" t="str">
        <f>VLOOKUP($D894,'Customer Details'!$A$1:$F$17,4,0)</f>
        <v>Miami</v>
      </c>
      <c r="J894" s="2" t="str">
        <f>VLOOKUP($D894,'Customer Details'!$A$1:$F$17,6,0)</f>
        <v>33732</v>
      </c>
      <c r="K894" s="8" t="str">
        <f>VLOOKUP(VLOOKUP(D894,'Customer Details'!$A$1:$F$17,5,0),'Region INfo'!$A$1:$C$52,3,0)</f>
        <v>Southern</v>
      </c>
      <c r="L894" s="8" t="str">
        <f>INDEX(Product_List,MATCH($F894,'Product List'!$B$1:$B$299,0),MATCH('Order SUmmary'!L$2,'Product List'!$A$1:$E$1,0))</f>
        <v>Xerox 1978</v>
      </c>
      <c r="M894" s="8">
        <f>INDEX(Product_List,MATCH($F894,'Product List'!$B$1:$B$299,0),MATCH('Order SUmmary'!M$2,'Product List'!$A$1:$E$1,0))</f>
        <v>4757</v>
      </c>
      <c r="N894" s="8">
        <f>INDEX(Product_List,MATCH($F894,'Product List'!$B$1:$B$299,0),MATCH('Order SUmmary'!N$2,'Product List'!$A$1:$E$1,0))</f>
        <v>1534</v>
      </c>
      <c r="O894" s="8" t="str">
        <f>INDEX(Product_List,MATCH($F894,'Product List'!$B$1:$B$299,0),MATCH('Order SUmmary'!O$2,'Product List'!$A$1:$E$1,0))</f>
        <v>Paper</v>
      </c>
      <c r="P894" s="12">
        <f>HLOOKUP(C894,'Commission Criteria'!$A$2:$I$4,3,FALSE)</f>
        <v>1</v>
      </c>
      <c r="Q894" s="8">
        <f t="shared" si="40"/>
        <v>3068</v>
      </c>
      <c r="R894" s="8">
        <f t="shared" si="41"/>
        <v>9514</v>
      </c>
      <c r="S894" s="36">
        <f>VLOOKUP(R894,'Commission Criteria'!$L$3:$M$11,2,TRUE)</f>
        <v>0.03</v>
      </c>
      <c r="T894" s="36">
        <f>IF(P894&lt;5,VLOOKUP(R894,'Commission Criteria'!$L$3:$M$11,2,1),VLOOKUP('Order SUmmary'!R894,'Commission Criteria'!$P$3:$Q$11,2,1))</f>
        <v>0.03</v>
      </c>
      <c r="U894" s="36">
        <f>VLOOKUP(R894,IF(P894&lt;5,'Commission Criteria'!$L$3:$M$11,'Commission Criteria'!$P$3:$Q$11),2,1)</f>
        <v>0.03</v>
      </c>
      <c r="V894" s="8" t="s">
        <v>32</v>
      </c>
      <c r="W894" s="36">
        <f t="shared" ca="1" si="42"/>
        <v>0.03</v>
      </c>
      <c r="X894" s="8" t="str">
        <f>_xlfn.XLOOKUP(F894,'Product List'!$B$1:$B$299,'Product List'!$A$1:$A$299)</f>
        <v>Xerox 1978</v>
      </c>
      <c r="Y894" s="8"/>
      <c r="Z894" s="8" t="str" cm="1">
        <f t="array" ref="Z894:AD894">_xlfn.XLOOKUP(D894,'Customer Details'!$A$1:$A$17,'Customer Details'!$B$1:$F$17,"No such customer",0,1)</f>
        <v>Honeywell Automation</v>
      </c>
      <c r="AA894" s="8" t="str">
        <v>1272 Harbor Road</v>
      </c>
      <c r="AB894" s="8" t="str">
        <v>Miami</v>
      </c>
      <c r="AC894" s="8" t="str">
        <v>FL</v>
      </c>
      <c r="AD894" s="8" t="str">
        <v>33732</v>
      </c>
    </row>
    <row r="895" spans="1:30">
      <c r="A895" s="8" t="s">
        <v>921</v>
      </c>
      <c r="B895" s="19">
        <v>42080</v>
      </c>
      <c r="C895" s="8" t="s">
        <v>27</v>
      </c>
      <c r="D895" s="8">
        <v>10013</v>
      </c>
      <c r="E895" s="8" t="str">
        <f>VLOOKUP($D895,'Customer Details'!$A$1:$F$17,4,FALSE)</f>
        <v>Naugatuck</v>
      </c>
      <c r="F895" s="8" t="s">
        <v>695</v>
      </c>
      <c r="G895" s="8">
        <v>3</v>
      </c>
      <c r="H895" s="2" t="str">
        <f>VLOOKUP($D895,'Customer Details'!$A$1:$F$17,MATCH('Order SUmmary'!H$2,'Customer Details'!$A$1:$F$1,0),0)</f>
        <v>GMR Infrastructure Ltd.</v>
      </c>
      <c r="I895" s="2" t="str">
        <f>VLOOKUP($D895,'Customer Details'!$A$1:$F$17,4,0)</f>
        <v>Naugatuck</v>
      </c>
      <c r="J895" s="2" t="str">
        <f>VLOOKUP($D895,'Customer Details'!$A$1:$F$17,6,0)</f>
        <v>06770</v>
      </c>
      <c r="K895" s="8" t="str">
        <f>VLOOKUP(VLOOKUP(D895,'Customer Details'!$A$1:$F$17,5,0),'Region INfo'!$A$1:$C$52,3,0)</f>
        <v xml:space="preserve">Northern </v>
      </c>
      <c r="L895" s="8" t="str">
        <f>INDEX(Product_List,MATCH($F895,'Product List'!$B$1:$B$299,0),MATCH('Order SUmmary'!L$2,'Product List'!$A$1:$E$1,0))</f>
        <v>Newell 318</v>
      </c>
      <c r="M895" s="8">
        <f>INDEX(Product_List,MATCH($F895,'Product List'!$B$1:$B$299,0),MATCH('Order SUmmary'!M$2,'Product List'!$A$1:$E$1,0))</f>
        <v>4099</v>
      </c>
      <c r="N895" s="8">
        <f>INDEX(Product_List,MATCH($F895,'Product List'!$B$1:$B$299,0),MATCH('Order SUmmary'!N$2,'Product List'!$A$1:$E$1,0))</f>
        <v>1530</v>
      </c>
      <c r="O895" s="8" t="str">
        <f>INDEX(Product_List,MATCH($F895,'Product List'!$B$1:$B$299,0),MATCH('Order SUmmary'!O$2,'Product List'!$A$1:$E$1,0))</f>
        <v>Art</v>
      </c>
      <c r="P895" s="12">
        <f>HLOOKUP(C895,'Commission Criteria'!$A$2:$I$4,3,FALSE)</f>
        <v>4</v>
      </c>
      <c r="Q895" s="8">
        <f t="shared" si="40"/>
        <v>4590</v>
      </c>
      <c r="R895" s="8">
        <f t="shared" si="41"/>
        <v>12297</v>
      </c>
      <c r="S895" s="36">
        <f>VLOOKUP(R895,'Commission Criteria'!$L$3:$M$11,2,TRUE)</f>
        <v>0.03</v>
      </c>
      <c r="T895" s="36">
        <f>IF(P895&lt;5,VLOOKUP(R895,'Commission Criteria'!$L$3:$M$11,2,1),VLOOKUP('Order SUmmary'!R895,'Commission Criteria'!$P$3:$Q$11,2,1))</f>
        <v>0.03</v>
      </c>
      <c r="U895" s="36">
        <f>VLOOKUP(R895,IF(P895&lt;5,'Commission Criteria'!$L$3:$M$11,'Commission Criteria'!$P$3:$Q$11),2,1)</f>
        <v>0.03</v>
      </c>
      <c r="V895" s="8" t="s">
        <v>40</v>
      </c>
      <c r="W895" s="36">
        <f t="shared" ca="1" si="42"/>
        <v>0.01</v>
      </c>
      <c r="X895" s="8" t="str">
        <f>_xlfn.XLOOKUP(F895,'Product List'!$B$1:$B$299,'Product List'!$A$1:$A$299)</f>
        <v>Newell 318</v>
      </c>
      <c r="Y895" s="8"/>
      <c r="Z895" s="8" t="str" cm="1">
        <f t="array" ref="Z895:AD895">_xlfn.XLOOKUP(D895,'Customer Details'!$A$1:$A$17,'Customer Details'!$B$1:$F$17,"No such customer",0,1)</f>
        <v>GMR Infrastructure Ltd.</v>
      </c>
      <c r="AA895" s="8" t="str">
        <v>P.O. Box 4421</v>
      </c>
      <c r="AB895" s="8" t="str">
        <v>Naugatuck</v>
      </c>
      <c r="AC895" s="8" t="str">
        <v>CT</v>
      </c>
      <c r="AD895" s="8" t="str">
        <v>06770</v>
      </c>
    </row>
    <row r="896" spans="1:30">
      <c r="A896" s="8" t="s">
        <v>923</v>
      </c>
      <c r="B896" s="19">
        <v>42080</v>
      </c>
      <c r="C896" s="8" t="s">
        <v>66</v>
      </c>
      <c r="D896" s="8">
        <v>10010</v>
      </c>
      <c r="E896" s="8" t="str">
        <f>VLOOKUP($D896,'Customer Details'!$A$1:$F$17,4,FALSE)</f>
        <v>Tracy</v>
      </c>
      <c r="F896" s="8" t="s">
        <v>924</v>
      </c>
      <c r="G896" s="8">
        <v>5</v>
      </c>
      <c r="H896" s="2" t="str">
        <f>VLOOKUP($D896,'Customer Details'!$A$1:$F$17,MATCH('Order SUmmary'!H$2,'Customer Details'!$A$1:$F$1,0),0)</f>
        <v>Suzlon Energy Ltd.</v>
      </c>
      <c r="I896" s="2" t="str">
        <f>VLOOKUP($D896,'Customer Details'!$A$1:$F$17,4,0)</f>
        <v>Tracy</v>
      </c>
      <c r="J896" s="2" t="str">
        <f>VLOOKUP($D896,'Customer Details'!$A$1:$F$17,6,0)</f>
        <v>95376</v>
      </c>
      <c r="K896" s="8" t="str">
        <f>VLOOKUP(VLOOKUP(D896,'Customer Details'!$A$1:$F$17,5,0),'Region INfo'!$A$1:$C$52,3,0)</f>
        <v xml:space="preserve">Pacific   </v>
      </c>
      <c r="L896" s="8" t="str">
        <f>INDEX(Product_List,MATCH($F896,'Product List'!$B$1:$B$299,0),MATCH('Order SUmmary'!L$2,'Product List'!$A$1:$E$1,0))</f>
        <v>Xerox 1960</v>
      </c>
      <c r="M896" s="8">
        <f>INDEX(Product_List,MATCH($F896,'Product List'!$B$1:$B$299,0),MATCH('Order SUmmary'!M$2,'Product List'!$A$1:$E$1,0))</f>
        <v>4456</v>
      </c>
      <c r="N896" s="8">
        <f>INDEX(Product_List,MATCH($F896,'Product List'!$B$1:$B$299,0),MATCH('Order SUmmary'!N$2,'Product List'!$A$1:$E$1,0))</f>
        <v>1628</v>
      </c>
      <c r="O896" s="8" t="str">
        <f>INDEX(Product_List,MATCH($F896,'Product List'!$B$1:$B$299,0),MATCH('Order SUmmary'!O$2,'Product List'!$A$1:$E$1,0))</f>
        <v>Paper</v>
      </c>
      <c r="P896" s="12">
        <f>HLOOKUP(C896,'Commission Criteria'!$A$2:$I$4,3,FALSE)</f>
        <v>5</v>
      </c>
      <c r="Q896" s="8">
        <f t="shared" si="40"/>
        <v>8140</v>
      </c>
      <c r="R896" s="8">
        <f t="shared" si="41"/>
        <v>22280</v>
      </c>
      <c r="S896" s="36">
        <f>VLOOKUP(R896,'Commission Criteria'!$L$3:$M$11,2,TRUE)</f>
        <v>0.03</v>
      </c>
      <c r="T896" s="36">
        <f>IF(P896&lt;5,VLOOKUP(R896,'Commission Criteria'!$L$3:$M$11,2,1),VLOOKUP('Order SUmmary'!R896,'Commission Criteria'!$P$3:$Q$11,2,1))</f>
        <v>0.02</v>
      </c>
      <c r="U896" s="36">
        <f>VLOOKUP(R896,IF(P896&lt;5,'Commission Criteria'!$L$3:$M$11,'Commission Criteria'!$P$3:$Q$11),2,1)</f>
        <v>0.02</v>
      </c>
      <c r="V896" s="8" t="s">
        <v>32</v>
      </c>
      <c r="W896" s="36">
        <f t="shared" ca="1" si="42"/>
        <v>0</v>
      </c>
      <c r="X896" s="8" t="str">
        <f>_xlfn.XLOOKUP(F896,'Product List'!$B$1:$B$299,'Product List'!$A$1:$A$299)</f>
        <v>Xerox 1960</v>
      </c>
      <c r="Y896" s="8"/>
      <c r="Z896" s="8" t="str" cm="1">
        <f t="array" ref="Z896:AD896">_xlfn.XLOOKUP(D896,'Customer Details'!$A$1:$A$17,'Customer Details'!$B$1:$F$17,"No such customer",0,1)</f>
        <v>Suzlon Energy Ltd.</v>
      </c>
      <c r="AA896" s="8" t="str">
        <v>501 Marsh Trail Circle</v>
      </c>
      <c r="AB896" s="8" t="str">
        <v>Tracy</v>
      </c>
      <c r="AC896" s="8" t="str">
        <v>CA</v>
      </c>
      <c r="AD896" s="8" t="str">
        <v>95376</v>
      </c>
    </row>
    <row r="897" spans="1:30">
      <c r="A897" s="8" t="s">
        <v>923</v>
      </c>
      <c r="B897" s="19">
        <v>42080</v>
      </c>
      <c r="C897" s="8" t="s">
        <v>33</v>
      </c>
      <c r="D897" s="8">
        <v>10007</v>
      </c>
      <c r="E897" s="8" t="str">
        <f>VLOOKUP($D897,'Customer Details'!$A$1:$F$17,4,FALSE)</f>
        <v>Richmond</v>
      </c>
      <c r="F897" s="8" t="s">
        <v>505</v>
      </c>
      <c r="G897" s="8">
        <v>12</v>
      </c>
      <c r="H897" s="2" t="str">
        <f>VLOOKUP($D897,'Customer Details'!$A$1:$F$17,MATCH('Order SUmmary'!H$2,'Customer Details'!$A$1:$F$1,0),0)</f>
        <v>GHCL Ltd.</v>
      </c>
      <c r="I897" s="2" t="str">
        <f>VLOOKUP($D897,'Customer Details'!$A$1:$F$17,4,0)</f>
        <v>Richmond</v>
      </c>
      <c r="J897" s="2" t="str">
        <f>VLOOKUP($D897,'Customer Details'!$A$1:$F$17,6,0)</f>
        <v>94805</v>
      </c>
      <c r="K897" s="8" t="str">
        <f>VLOOKUP(VLOOKUP(D897,'Customer Details'!$A$1:$F$17,5,0),'Region INfo'!$A$1:$C$52,3,0)</f>
        <v xml:space="preserve">Pacific   </v>
      </c>
      <c r="L897" s="8" t="str">
        <f>INDEX(Product_List,MATCH($F897,'Product List'!$B$1:$B$299,0),MATCH('Order SUmmary'!L$2,'Product List'!$A$1:$E$1,0))</f>
        <v>Xerox 1934</v>
      </c>
      <c r="M897" s="8">
        <f>INDEX(Product_List,MATCH($F897,'Product List'!$B$1:$B$299,0),MATCH('Order SUmmary'!M$2,'Product List'!$A$1:$E$1,0))</f>
        <v>4307</v>
      </c>
      <c r="N897" s="8">
        <f>INDEX(Product_List,MATCH($F897,'Product List'!$B$1:$B$299,0),MATCH('Order SUmmary'!N$2,'Product List'!$A$1:$E$1,0))</f>
        <v>1503</v>
      </c>
      <c r="O897" s="8" t="str">
        <f>INDEX(Product_List,MATCH($F897,'Product List'!$B$1:$B$299,0),MATCH('Order SUmmary'!O$2,'Product List'!$A$1:$E$1,0))</f>
        <v>Paper</v>
      </c>
      <c r="P897" s="12">
        <f>HLOOKUP(C897,'Commission Criteria'!$A$2:$I$4,3,FALSE)</f>
        <v>1</v>
      </c>
      <c r="Q897" s="8">
        <f t="shared" si="40"/>
        <v>18036</v>
      </c>
      <c r="R897" s="8">
        <f t="shared" si="41"/>
        <v>51684</v>
      </c>
      <c r="S897" s="36">
        <f>VLOOKUP(R897,'Commission Criteria'!$L$3:$M$11,2,TRUE)</f>
        <v>0.05</v>
      </c>
      <c r="T897" s="36">
        <f>IF(P897&lt;5,VLOOKUP(R897,'Commission Criteria'!$L$3:$M$11,2,1),VLOOKUP('Order SUmmary'!R897,'Commission Criteria'!$P$3:$Q$11,2,1))</f>
        <v>0.05</v>
      </c>
      <c r="U897" s="36">
        <f>VLOOKUP(R897,IF(P897&lt;5,'Commission Criteria'!$L$3:$M$11,'Commission Criteria'!$P$3:$Q$11),2,1)</f>
        <v>0.05</v>
      </c>
      <c r="V897" s="8" t="s">
        <v>50</v>
      </c>
      <c r="W897" s="36">
        <f t="shared" ca="1" si="42"/>
        <v>0.04</v>
      </c>
      <c r="X897" s="8" t="str">
        <f>_xlfn.XLOOKUP(F897,'Product List'!$B$1:$B$299,'Product List'!$A$1:$A$299)</f>
        <v>Xerox 1934</v>
      </c>
      <c r="Y897" s="8"/>
      <c r="Z897" s="8" t="str" cm="1">
        <f t="array" ref="Z897:AD897">_xlfn.XLOOKUP(D897,'Customer Details'!$A$1:$A$17,'Customer Details'!$B$1:$F$17,"No such customer",0,1)</f>
        <v>GHCL Ltd.</v>
      </c>
      <c r="AA897" s="8" t="str">
        <v>58 Clarence St</v>
      </c>
      <c r="AB897" s="8" t="str">
        <v>Richmond</v>
      </c>
      <c r="AC897" s="8" t="str">
        <v>CA</v>
      </c>
      <c r="AD897" s="8" t="str">
        <v>94805</v>
      </c>
    </row>
    <row r="898" spans="1:30">
      <c r="A898" s="8" t="s">
        <v>925</v>
      </c>
      <c r="B898" s="19">
        <v>42081</v>
      </c>
      <c r="C898" s="8" t="s">
        <v>54</v>
      </c>
      <c r="D898" s="8">
        <v>10008</v>
      </c>
      <c r="E898" s="8" t="str">
        <f>VLOOKUP($D898,'Customer Details'!$A$1:$F$17,4,FALSE)</f>
        <v>Chestnut Ridge</v>
      </c>
      <c r="F898" s="8" t="s">
        <v>926</v>
      </c>
      <c r="G898" s="8">
        <v>1</v>
      </c>
      <c r="H898" s="2" t="str">
        <f>VLOOKUP($D898,'Customer Details'!$A$1:$F$17,MATCH('Order SUmmary'!H$2,'Customer Details'!$A$1:$F$1,0),0)</f>
        <v>Reliance Industries Limited</v>
      </c>
      <c r="I898" s="2" t="str">
        <f>VLOOKUP($D898,'Customer Details'!$A$1:$F$17,4,0)</f>
        <v>Chestnut Ridge</v>
      </c>
      <c r="J898" s="2" t="str">
        <f>VLOOKUP($D898,'Customer Details'!$A$1:$F$17,6,0)</f>
        <v>10977</v>
      </c>
      <c r="K898" s="8" t="str">
        <f>VLOOKUP(VLOOKUP(D898,'Customer Details'!$A$1:$F$17,5,0),'Region INfo'!$A$1:$C$52,3,0)</f>
        <v xml:space="preserve">Northern </v>
      </c>
      <c r="L898" s="8" t="str">
        <f>INDEX(Product_List,MATCH($F898,'Product List'!$B$1:$B$299,0),MATCH('Order SUmmary'!L$2,'Product List'!$A$1:$E$1,0))</f>
        <v>Newell 33</v>
      </c>
      <c r="M898" s="8">
        <f>INDEX(Product_List,MATCH($F898,'Product List'!$B$1:$B$299,0),MATCH('Order SUmmary'!M$2,'Product List'!$A$1:$E$1,0))</f>
        <v>3580</v>
      </c>
      <c r="N898" s="8">
        <f>INDEX(Product_List,MATCH($F898,'Product List'!$B$1:$B$299,0),MATCH('Order SUmmary'!N$2,'Product List'!$A$1:$E$1,0))</f>
        <v>2012</v>
      </c>
      <c r="O898" s="8" t="str">
        <f>INDEX(Product_List,MATCH($F898,'Product List'!$B$1:$B$299,0),MATCH('Order SUmmary'!O$2,'Product List'!$A$1:$E$1,0))</f>
        <v>Art</v>
      </c>
      <c r="P898" s="12">
        <f>HLOOKUP(C898,'Commission Criteria'!$A$2:$I$4,3,FALSE)</f>
        <v>3</v>
      </c>
      <c r="Q898" s="8">
        <f t="shared" si="40"/>
        <v>2012</v>
      </c>
      <c r="R898" s="8">
        <f t="shared" si="41"/>
        <v>3580</v>
      </c>
      <c r="S898" s="36">
        <f>VLOOKUP(R898,'Commission Criteria'!$L$3:$M$11,2,TRUE)</f>
        <v>0.01</v>
      </c>
      <c r="T898" s="36">
        <f>IF(P898&lt;5,VLOOKUP(R898,'Commission Criteria'!$L$3:$M$11,2,1),VLOOKUP('Order SUmmary'!R898,'Commission Criteria'!$P$3:$Q$11,2,1))</f>
        <v>0.01</v>
      </c>
      <c r="U898" s="36">
        <f>VLOOKUP(R898,IF(P898&lt;5,'Commission Criteria'!$L$3:$M$11,'Commission Criteria'!$P$3:$Q$11),2,1)</f>
        <v>0.01</v>
      </c>
      <c r="V898" s="8" t="s">
        <v>50</v>
      </c>
      <c r="W898" s="36">
        <f t="shared" ca="1" si="42"/>
        <v>0.05</v>
      </c>
      <c r="X898" s="8" t="str">
        <f>_xlfn.XLOOKUP(F898,'Product List'!$B$1:$B$299,'Product List'!$A$1:$A$299)</f>
        <v>Newell 33</v>
      </c>
      <c r="Y898" s="8"/>
      <c r="Z898" s="8" t="str" cm="1">
        <f t="array" ref="Z898:AD898">_xlfn.XLOOKUP(D898,'Customer Details'!$A$1:$A$17,'Customer Details'!$B$1:$F$17,"No such customer",0,1)</f>
        <v>Reliance Industries Limited</v>
      </c>
      <c r="AA898" s="8" t="str">
        <v>12020 Shamrock Rd., Suite 333</v>
      </c>
      <c r="AB898" s="8" t="str">
        <v>Chestnut Ridge</v>
      </c>
      <c r="AC898" s="8" t="str">
        <v>NY</v>
      </c>
      <c r="AD898" s="8" t="str">
        <v>10977</v>
      </c>
    </row>
    <row r="899" spans="1:30">
      <c r="A899" s="8" t="s">
        <v>925</v>
      </c>
      <c r="B899" s="19">
        <v>42081</v>
      </c>
      <c r="C899" s="8" t="s">
        <v>51</v>
      </c>
      <c r="D899" s="8">
        <v>10002</v>
      </c>
      <c r="E899" s="8" t="str">
        <f>VLOOKUP($D899,'Customer Details'!$A$1:$F$17,4,FALSE)</f>
        <v>Omaha</v>
      </c>
      <c r="F899" s="8" t="s">
        <v>472</v>
      </c>
      <c r="G899" s="8">
        <v>1</v>
      </c>
      <c r="H899" s="2" t="str">
        <f>VLOOKUP($D899,'Customer Details'!$A$1:$F$17,MATCH('Order SUmmary'!H$2,'Customer Details'!$A$1:$F$1,0),0)</f>
        <v>Elder Pharmaceuticals</v>
      </c>
      <c r="I899" s="2" t="str">
        <f>VLOOKUP($D899,'Customer Details'!$A$1:$F$17,4,0)</f>
        <v>Omaha</v>
      </c>
      <c r="J899" s="2" t="str">
        <f>VLOOKUP($D899,'Customer Details'!$A$1:$F$17,6,0)</f>
        <v>68127</v>
      </c>
      <c r="K899" s="8" t="str">
        <f>VLOOKUP(VLOOKUP(D899,'Customer Details'!$A$1:$F$17,5,0),'Region INfo'!$A$1:$C$52,3,0)</f>
        <v>Western</v>
      </c>
      <c r="L899" s="8" t="str">
        <f>INDEX(Product_List,MATCH($F899,'Product List'!$B$1:$B$299,0),MATCH('Order SUmmary'!L$2,'Product List'!$A$1:$E$1,0))</f>
        <v>Avery 488</v>
      </c>
      <c r="M899" s="8">
        <f>INDEX(Product_List,MATCH($F899,'Product List'!$B$1:$B$299,0),MATCH('Order SUmmary'!M$2,'Product List'!$A$1:$E$1,0))</f>
        <v>3663</v>
      </c>
      <c r="N899" s="8">
        <f>INDEX(Product_List,MATCH($F899,'Product List'!$B$1:$B$299,0),MATCH('Order SUmmary'!N$2,'Product List'!$A$1:$E$1,0))</f>
        <v>1550</v>
      </c>
      <c r="O899" s="8" t="str">
        <f>INDEX(Product_List,MATCH($F899,'Product List'!$B$1:$B$299,0),MATCH('Order SUmmary'!O$2,'Product List'!$A$1:$E$1,0))</f>
        <v>Labels</v>
      </c>
      <c r="P899" s="12">
        <f>HLOOKUP(C899,'Commission Criteria'!$A$2:$I$4,3,FALSE)</f>
        <v>10</v>
      </c>
      <c r="Q899" s="8">
        <f t="shared" si="40"/>
        <v>1550</v>
      </c>
      <c r="R899" s="8">
        <f t="shared" si="41"/>
        <v>3663</v>
      </c>
      <c r="S899" s="36">
        <f>VLOOKUP(R899,'Commission Criteria'!$L$3:$M$11,2,TRUE)</f>
        <v>0.01</v>
      </c>
      <c r="T899" s="36">
        <f>IF(P899&lt;5,VLOOKUP(R899,'Commission Criteria'!$L$3:$M$11,2,1),VLOOKUP('Order SUmmary'!R899,'Commission Criteria'!$P$3:$Q$11,2,1))</f>
        <v>0.02</v>
      </c>
      <c r="U899" s="36">
        <f>VLOOKUP(R899,IF(P899&lt;5,'Commission Criteria'!$L$3:$M$11,'Commission Criteria'!$P$3:$Q$11),2,1)</f>
        <v>0.02</v>
      </c>
      <c r="V899" s="8" t="s">
        <v>40</v>
      </c>
      <c r="W899" s="36">
        <f t="shared" ca="1" si="42"/>
        <v>0.04</v>
      </c>
      <c r="X899" s="8" t="str">
        <f>_xlfn.XLOOKUP(F899,'Product List'!$B$1:$B$299,'Product List'!$A$1:$A$299)</f>
        <v>Avery 488</v>
      </c>
      <c r="Y899" s="8"/>
      <c r="Z899" s="8" t="str" cm="1">
        <f t="array" ref="Z899:AD899">_xlfn.XLOOKUP(D899,'Customer Details'!$A$1:$A$17,'Customer Details'!$B$1:$F$17,"No such customer",0,1)</f>
        <v>Elder Pharmaceuticals</v>
      </c>
      <c r="AA899" s="8" t="str">
        <v>57 Neriba Cres</v>
      </c>
      <c r="AB899" s="8" t="str">
        <v>Omaha</v>
      </c>
      <c r="AC899" s="8" t="str">
        <v>NE</v>
      </c>
      <c r="AD899" s="8" t="str">
        <v>68127</v>
      </c>
    </row>
    <row r="900" spans="1:30">
      <c r="A900" s="8" t="s">
        <v>927</v>
      </c>
      <c r="B900" s="19">
        <v>42083</v>
      </c>
      <c r="C900" s="8" t="s">
        <v>44</v>
      </c>
      <c r="D900" s="8">
        <v>10006</v>
      </c>
      <c r="E900" s="8" t="str">
        <f>VLOOKUP($D900,'Customer Details'!$A$1:$F$17,4,FALSE)</f>
        <v>Midland</v>
      </c>
      <c r="F900" s="8" t="s">
        <v>341</v>
      </c>
      <c r="G900" s="8">
        <v>2</v>
      </c>
      <c r="H900" s="2" t="str">
        <f>VLOOKUP($D900,'Customer Details'!$A$1:$F$17,MATCH('Order SUmmary'!H$2,'Customer Details'!$A$1:$F$1,0),0)</f>
        <v>Supreme Ind</v>
      </c>
      <c r="I900" s="2" t="str">
        <f>VLOOKUP($D900,'Customer Details'!$A$1:$F$17,4,0)</f>
        <v>Midland</v>
      </c>
      <c r="J900" s="2" t="str">
        <f>VLOOKUP($D900,'Customer Details'!$A$1:$F$17,6,0)</f>
        <v>79706</v>
      </c>
      <c r="K900" s="8" t="str">
        <f>VLOOKUP(VLOOKUP(D900,'Customer Details'!$A$1:$F$17,5,0),'Region INfo'!$A$1:$C$52,3,0)</f>
        <v>Western</v>
      </c>
      <c r="L900" s="8" t="str">
        <f>INDEX(Product_List,MATCH($F900,'Product List'!$B$1:$B$299,0),MATCH('Order SUmmary'!L$2,'Product List'!$A$1:$E$1,0))</f>
        <v>Newell 342</v>
      </c>
      <c r="M900" s="8">
        <f>INDEX(Product_List,MATCH($F900,'Product List'!$B$1:$B$299,0),MATCH('Order SUmmary'!M$2,'Product List'!$A$1:$E$1,0))</f>
        <v>4310</v>
      </c>
      <c r="N900" s="8">
        <f>INDEX(Product_List,MATCH($F900,'Product List'!$B$1:$B$299,0),MATCH('Order SUmmary'!N$2,'Product List'!$A$1:$E$1,0))</f>
        <v>2350</v>
      </c>
      <c r="O900" s="8" t="str">
        <f>INDEX(Product_List,MATCH($F900,'Product List'!$B$1:$B$299,0),MATCH('Order SUmmary'!O$2,'Product List'!$A$1:$E$1,0))</f>
        <v>Art</v>
      </c>
      <c r="P900" s="12">
        <f>HLOOKUP(C900,'Commission Criteria'!$A$2:$I$4,3,FALSE)</f>
        <v>4</v>
      </c>
      <c r="Q900" s="8">
        <f t="shared" ref="Q900:Q963" si="43">N900*G900</f>
        <v>4700</v>
      </c>
      <c r="R900" s="8">
        <f t="shared" ref="R900:R963" si="44">M900*G900</f>
        <v>8620</v>
      </c>
      <c r="S900" s="36">
        <f>VLOOKUP(R900,'Commission Criteria'!$L$3:$M$11,2,TRUE)</f>
        <v>0.03</v>
      </c>
      <c r="T900" s="36">
        <f>IF(P900&lt;5,VLOOKUP(R900,'Commission Criteria'!$L$3:$M$11,2,1),VLOOKUP('Order SUmmary'!R900,'Commission Criteria'!$P$3:$Q$11,2,1))</f>
        <v>0.03</v>
      </c>
      <c r="U900" s="36">
        <f>VLOOKUP(R900,IF(P900&lt;5,'Commission Criteria'!$L$3:$M$11,'Commission Criteria'!$P$3:$Q$11),2,1)</f>
        <v>0.03</v>
      </c>
      <c r="V900" s="8" t="s">
        <v>50</v>
      </c>
      <c r="W900" s="36">
        <f t="shared" ref="W900:W963" ca="1" si="45">VLOOKUP(F900,INDIRECT(V900&amp;"!$A$1:$B$296"),2,0)</f>
        <v>0.01</v>
      </c>
      <c r="X900" s="8" t="str">
        <f>_xlfn.XLOOKUP(F900,'Product List'!$B$1:$B$299,'Product List'!$A$1:$A$299)</f>
        <v>Newell 342</v>
      </c>
      <c r="Y900" s="8"/>
      <c r="Z900" s="8" t="str" cm="1">
        <f t="array" ref="Z900:AD900">_xlfn.XLOOKUP(D900,'Customer Details'!$A$1:$A$17,'Customer Details'!$B$1:$F$17,"No such customer",0,1)</f>
        <v>Supreme Ind</v>
      </c>
      <c r="AA900" s="8" t="str">
        <v>P.O. Box 1367</v>
      </c>
      <c r="AB900" s="8" t="str">
        <v>Midland</v>
      </c>
      <c r="AC900" s="8" t="str">
        <v>TX</v>
      </c>
      <c r="AD900" s="8" t="str">
        <v>79706</v>
      </c>
    </row>
    <row r="901" spans="1:30">
      <c r="A901" s="8" t="s">
        <v>928</v>
      </c>
      <c r="B901" s="19">
        <v>42084</v>
      </c>
      <c r="C901" s="8" t="s">
        <v>44</v>
      </c>
      <c r="D901" s="8">
        <v>10004</v>
      </c>
      <c r="E901" s="8" t="str">
        <f>VLOOKUP($D901,'Customer Details'!$A$1:$F$17,4,FALSE)</f>
        <v>New York</v>
      </c>
      <c r="F901" s="8" t="s">
        <v>259</v>
      </c>
      <c r="G901" s="8">
        <v>3</v>
      </c>
      <c r="H901" s="2" t="str">
        <f>VLOOKUP($D901,'Customer Details'!$A$1:$F$17,MATCH('Order SUmmary'!H$2,'Customer Details'!$A$1:$F$1,0),0)</f>
        <v>Lupin Ltd.</v>
      </c>
      <c r="I901" s="2" t="str">
        <f>VLOOKUP($D901,'Customer Details'!$A$1:$F$17,4,0)</f>
        <v>New York</v>
      </c>
      <c r="J901" s="2" t="str">
        <f>VLOOKUP($D901,'Customer Details'!$A$1:$F$17,6,0)</f>
        <v>10019</v>
      </c>
      <c r="K901" s="8" t="str">
        <f>VLOOKUP(VLOOKUP(D901,'Customer Details'!$A$1:$F$17,5,0),'Region INfo'!$A$1:$C$52,3,0)</f>
        <v xml:space="preserve">Northern </v>
      </c>
      <c r="L901" s="8" t="str">
        <f>INDEX(Product_List,MATCH($F901,'Product List'!$B$1:$B$299,0),MATCH('Order SUmmary'!L$2,'Product List'!$A$1:$E$1,0))</f>
        <v>Newell 328</v>
      </c>
      <c r="M901" s="8">
        <f>INDEX(Product_List,MATCH($F901,'Product List'!$B$1:$B$299,0),MATCH('Order SUmmary'!M$2,'Product List'!$A$1:$E$1,0))</f>
        <v>4232</v>
      </c>
      <c r="N901" s="8">
        <f>INDEX(Product_List,MATCH($F901,'Product List'!$B$1:$B$299,0),MATCH('Order SUmmary'!N$2,'Product List'!$A$1:$E$1,0))</f>
        <v>1275</v>
      </c>
      <c r="O901" s="8" t="str">
        <f>INDEX(Product_List,MATCH($F901,'Product List'!$B$1:$B$299,0),MATCH('Order SUmmary'!O$2,'Product List'!$A$1:$E$1,0))</f>
        <v>Art</v>
      </c>
      <c r="P901" s="12">
        <f>HLOOKUP(C901,'Commission Criteria'!$A$2:$I$4,3,FALSE)</f>
        <v>4</v>
      </c>
      <c r="Q901" s="8">
        <f t="shared" si="43"/>
        <v>3825</v>
      </c>
      <c r="R901" s="8">
        <f t="shared" si="44"/>
        <v>12696</v>
      </c>
      <c r="S901" s="36">
        <f>VLOOKUP(R901,'Commission Criteria'!$L$3:$M$11,2,TRUE)</f>
        <v>0.03</v>
      </c>
      <c r="T901" s="36">
        <f>IF(P901&lt;5,VLOOKUP(R901,'Commission Criteria'!$L$3:$M$11,2,1),VLOOKUP('Order SUmmary'!R901,'Commission Criteria'!$P$3:$Q$11,2,1))</f>
        <v>0.03</v>
      </c>
      <c r="U901" s="36">
        <f>VLOOKUP(R901,IF(P901&lt;5,'Commission Criteria'!$L$3:$M$11,'Commission Criteria'!$P$3:$Q$11),2,1)</f>
        <v>0.03</v>
      </c>
      <c r="V901" s="8" t="s">
        <v>50</v>
      </c>
      <c r="W901" s="36">
        <f t="shared" ca="1" si="45"/>
        <v>0.02</v>
      </c>
      <c r="X901" s="8" t="str">
        <f>_xlfn.XLOOKUP(F901,'Product List'!$B$1:$B$299,'Product List'!$A$1:$A$299)</f>
        <v>Newell 328</v>
      </c>
      <c r="Y901" s="8"/>
      <c r="Z901" s="8" t="str" cm="1">
        <f t="array" ref="Z901:AD901">_xlfn.XLOOKUP(D901,'Customer Details'!$A$1:$A$17,'Customer Details'!$B$1:$F$17,"No such customer",0,1)</f>
        <v>Lupin Ltd.</v>
      </c>
      <c r="AA901" s="8" t="str">
        <v>Abbey Wood</v>
      </c>
      <c r="AB901" s="8" t="str">
        <v>New York</v>
      </c>
      <c r="AC901" s="8" t="str">
        <v>NY</v>
      </c>
      <c r="AD901" s="8" t="str">
        <v>10019</v>
      </c>
    </row>
    <row r="902" spans="1:30">
      <c r="A902" s="8" t="s">
        <v>929</v>
      </c>
      <c r="B902" s="19">
        <v>42086</v>
      </c>
      <c r="C902" s="8" t="s">
        <v>36</v>
      </c>
      <c r="D902" s="8">
        <v>10014</v>
      </c>
      <c r="E902" s="8" t="str">
        <f>VLOOKUP($D902,'Customer Details'!$A$1:$F$17,4,FALSE)</f>
        <v>Honolulu</v>
      </c>
      <c r="F902" s="8" t="s">
        <v>930</v>
      </c>
      <c r="G902" s="8">
        <v>1</v>
      </c>
      <c r="H902" s="2" t="str">
        <f>VLOOKUP($D902,'Customer Details'!$A$1:$F$17,MATCH('Order SUmmary'!H$2,'Customer Details'!$A$1:$F$1,0),0)</f>
        <v>Hindusthan National Glass &amp; Industries Ltd.</v>
      </c>
      <c r="I902" s="2" t="str">
        <f>VLOOKUP($D902,'Customer Details'!$A$1:$F$17,4,0)</f>
        <v>Honolulu</v>
      </c>
      <c r="J902" s="2" t="str">
        <f>VLOOKUP($D902,'Customer Details'!$A$1:$F$17,6,0)</f>
        <v>96825</v>
      </c>
      <c r="K902" s="8" t="str">
        <f>VLOOKUP(VLOOKUP(D902,'Customer Details'!$A$1:$F$17,5,0),'Region INfo'!$A$1:$C$52,3,0)</f>
        <v xml:space="preserve">Pacific   </v>
      </c>
      <c r="L902" s="8" t="str">
        <f>INDEX(Product_List,MATCH($F902,'Product List'!$B$1:$B$299,0),MATCH('Order SUmmary'!L$2,'Product List'!$A$1:$E$1,0))</f>
        <v>Xerox 1906</v>
      </c>
      <c r="M902" s="8">
        <f>INDEX(Product_List,MATCH($F902,'Product List'!$B$1:$B$299,0),MATCH('Order SUmmary'!M$2,'Product List'!$A$1:$E$1,0))</f>
        <v>3422</v>
      </c>
      <c r="N902" s="8">
        <f>INDEX(Product_List,MATCH($F902,'Product List'!$B$1:$B$299,0),MATCH('Order SUmmary'!N$2,'Product List'!$A$1:$E$1,0))</f>
        <v>1696</v>
      </c>
      <c r="O902" s="8" t="str">
        <f>INDEX(Product_List,MATCH($F902,'Product List'!$B$1:$B$299,0),MATCH('Order SUmmary'!O$2,'Product List'!$A$1:$E$1,0))</f>
        <v>Paper</v>
      </c>
      <c r="P902" s="12">
        <f>HLOOKUP(C902,'Commission Criteria'!$A$2:$I$4,3,FALSE)</f>
        <v>6</v>
      </c>
      <c r="Q902" s="8">
        <f t="shared" si="43"/>
        <v>1696</v>
      </c>
      <c r="R902" s="8">
        <f t="shared" si="44"/>
        <v>3422</v>
      </c>
      <c r="S902" s="36">
        <f>VLOOKUP(R902,'Commission Criteria'!$L$3:$M$11,2,TRUE)</f>
        <v>0.01</v>
      </c>
      <c r="T902" s="36">
        <f>IF(P902&lt;5,VLOOKUP(R902,'Commission Criteria'!$L$3:$M$11,2,1),VLOOKUP('Order SUmmary'!R902,'Commission Criteria'!$P$3:$Q$11,2,1))</f>
        <v>0.02</v>
      </c>
      <c r="U902" s="36">
        <f>VLOOKUP(R902,IF(P902&lt;5,'Commission Criteria'!$L$3:$M$11,'Commission Criteria'!$P$3:$Q$11),2,1)</f>
        <v>0.02</v>
      </c>
      <c r="V902" s="8" t="s">
        <v>29</v>
      </c>
      <c r="W902" s="36">
        <f t="shared" ca="1" si="45"/>
        <v>0.05</v>
      </c>
      <c r="X902" s="8" t="str">
        <f>_xlfn.XLOOKUP(F902,'Product List'!$B$1:$B$299,'Product List'!$A$1:$A$299)</f>
        <v>Xerox 1906</v>
      </c>
      <c r="Y902" s="8"/>
      <c r="Z902" s="8" t="str" cm="1">
        <f t="array" ref="Z902:AD902">_xlfn.XLOOKUP(D902,'Customer Details'!$A$1:$A$17,'Customer Details'!$B$1:$F$17,"No such customer",0,1)</f>
        <v>Hindusthan National Glass &amp; Industries Ltd.</v>
      </c>
      <c r="AA902" s="8" t="str">
        <v>11 Cathy St.</v>
      </c>
      <c r="AB902" s="8" t="str">
        <v>Honolulu</v>
      </c>
      <c r="AC902" s="8" t="str">
        <v>HI</v>
      </c>
      <c r="AD902" s="8" t="str">
        <v>96825</v>
      </c>
    </row>
    <row r="903" spans="1:30">
      <c r="A903" s="8" t="s">
        <v>929</v>
      </c>
      <c r="B903" s="19">
        <v>42086</v>
      </c>
      <c r="C903" s="8" t="s">
        <v>27</v>
      </c>
      <c r="D903" s="8">
        <v>10010</v>
      </c>
      <c r="E903" s="8" t="str">
        <f>VLOOKUP($D903,'Customer Details'!$A$1:$F$17,4,FALSE)</f>
        <v>Tracy</v>
      </c>
      <c r="F903" s="8" t="s">
        <v>414</v>
      </c>
      <c r="G903" s="8">
        <v>2</v>
      </c>
      <c r="H903" s="2" t="str">
        <f>VLOOKUP($D903,'Customer Details'!$A$1:$F$17,MATCH('Order SUmmary'!H$2,'Customer Details'!$A$1:$F$1,0),0)</f>
        <v>Suzlon Energy Ltd.</v>
      </c>
      <c r="I903" s="2" t="str">
        <f>VLOOKUP($D903,'Customer Details'!$A$1:$F$17,4,0)</f>
        <v>Tracy</v>
      </c>
      <c r="J903" s="2" t="str">
        <f>VLOOKUP($D903,'Customer Details'!$A$1:$F$17,6,0)</f>
        <v>95376</v>
      </c>
      <c r="K903" s="8" t="str">
        <f>VLOOKUP(VLOOKUP(D903,'Customer Details'!$A$1:$F$17,5,0),'Region INfo'!$A$1:$C$52,3,0)</f>
        <v xml:space="preserve">Pacific   </v>
      </c>
      <c r="L903" s="8" t="str">
        <f>INDEX(Product_List,MATCH($F903,'Product List'!$B$1:$B$299,0),MATCH('Order SUmmary'!L$2,'Product List'!$A$1:$E$1,0))</f>
        <v>Xerox 1985</v>
      </c>
      <c r="M903" s="8">
        <f>INDEX(Product_List,MATCH($F903,'Product List'!$B$1:$B$299,0),MATCH('Order SUmmary'!M$2,'Product List'!$A$1:$E$1,0))</f>
        <v>3139</v>
      </c>
      <c r="N903" s="8">
        <f>INDEX(Product_List,MATCH($F903,'Product List'!$B$1:$B$299,0),MATCH('Order SUmmary'!N$2,'Product List'!$A$1:$E$1,0))</f>
        <v>2147</v>
      </c>
      <c r="O903" s="8" t="str">
        <f>INDEX(Product_List,MATCH($F903,'Product List'!$B$1:$B$299,0),MATCH('Order SUmmary'!O$2,'Product List'!$A$1:$E$1,0))</f>
        <v>Paper</v>
      </c>
      <c r="P903" s="12">
        <f>HLOOKUP(C903,'Commission Criteria'!$A$2:$I$4,3,FALSE)</f>
        <v>4</v>
      </c>
      <c r="Q903" s="8">
        <f t="shared" si="43"/>
        <v>4294</v>
      </c>
      <c r="R903" s="8">
        <f t="shared" si="44"/>
        <v>6278</v>
      </c>
      <c r="S903" s="36">
        <f>VLOOKUP(R903,'Commission Criteria'!$L$3:$M$11,2,TRUE)</f>
        <v>0.03</v>
      </c>
      <c r="T903" s="36">
        <f>IF(P903&lt;5,VLOOKUP(R903,'Commission Criteria'!$L$3:$M$11,2,1),VLOOKUP('Order SUmmary'!R903,'Commission Criteria'!$P$3:$Q$11,2,1))</f>
        <v>0.03</v>
      </c>
      <c r="U903" s="36">
        <f>VLOOKUP(R903,IF(P903&lt;5,'Commission Criteria'!$L$3:$M$11,'Commission Criteria'!$P$3:$Q$11),2,1)</f>
        <v>0.03</v>
      </c>
      <c r="V903" s="8" t="s">
        <v>43</v>
      </c>
      <c r="W903" s="36">
        <f t="shared" ca="1" si="45"/>
        <v>0.05</v>
      </c>
      <c r="X903" s="8" t="str">
        <f>_xlfn.XLOOKUP(F903,'Product List'!$B$1:$B$299,'Product List'!$A$1:$A$299)</f>
        <v>Xerox 1985</v>
      </c>
      <c r="Y903" s="8"/>
      <c r="Z903" s="8" t="str" cm="1">
        <f t="array" ref="Z903:AD903">_xlfn.XLOOKUP(D903,'Customer Details'!$A$1:$A$17,'Customer Details'!$B$1:$F$17,"No such customer",0,1)</f>
        <v>Suzlon Energy Ltd.</v>
      </c>
      <c r="AA903" s="8" t="str">
        <v>501 Marsh Trail Circle</v>
      </c>
      <c r="AB903" s="8" t="str">
        <v>Tracy</v>
      </c>
      <c r="AC903" s="8" t="str">
        <v>CA</v>
      </c>
      <c r="AD903" s="8" t="str">
        <v>95376</v>
      </c>
    </row>
    <row r="904" spans="1:30">
      <c r="A904" s="8" t="s">
        <v>931</v>
      </c>
      <c r="B904" s="19">
        <v>42088</v>
      </c>
      <c r="C904" s="8" t="s">
        <v>66</v>
      </c>
      <c r="D904" s="8">
        <v>10011</v>
      </c>
      <c r="E904" s="8" t="str">
        <f>VLOOKUP($D904,'Customer Details'!$A$1:$F$17,4,FALSE)</f>
        <v>Olympia</v>
      </c>
      <c r="F904" s="8" t="s">
        <v>178</v>
      </c>
      <c r="G904" s="8">
        <v>1</v>
      </c>
      <c r="H904" s="2" t="str">
        <f>VLOOKUP($D904,'Customer Details'!$A$1:$F$17,MATCH('Order SUmmary'!H$2,'Customer Details'!$A$1:$F$1,0),0)</f>
        <v>Sonata Software</v>
      </c>
      <c r="I904" s="2" t="str">
        <f>VLOOKUP($D904,'Customer Details'!$A$1:$F$17,4,0)</f>
        <v>Olympia</v>
      </c>
      <c r="J904" s="2" t="str">
        <f>VLOOKUP($D904,'Customer Details'!$A$1:$F$17,6,0)</f>
        <v>98502</v>
      </c>
      <c r="K904" s="8" t="str">
        <f>VLOOKUP(VLOOKUP(D904,'Customer Details'!$A$1:$F$17,5,0),'Region INfo'!$A$1:$C$52,3,0)</f>
        <v xml:space="preserve">Pacific   </v>
      </c>
      <c r="L904" s="8" t="str">
        <f>INDEX(Product_List,MATCH($F904,'Product List'!$B$1:$B$299,0),MATCH('Order SUmmary'!L$2,'Product List'!$A$1:$E$1,0))</f>
        <v>Xerox 1912</v>
      </c>
      <c r="M904" s="8">
        <f>INDEX(Product_List,MATCH($F904,'Product List'!$B$1:$B$299,0),MATCH('Order SUmmary'!M$2,'Product List'!$A$1:$E$1,0))</f>
        <v>2803</v>
      </c>
      <c r="N904" s="8">
        <f>INDEX(Product_List,MATCH($F904,'Product List'!$B$1:$B$299,0),MATCH('Order SUmmary'!N$2,'Product List'!$A$1:$E$1,0))</f>
        <v>1344</v>
      </c>
      <c r="O904" s="8" t="str">
        <f>INDEX(Product_List,MATCH($F904,'Product List'!$B$1:$B$299,0),MATCH('Order SUmmary'!O$2,'Product List'!$A$1:$E$1,0))</f>
        <v>Paper</v>
      </c>
      <c r="P904" s="12">
        <f>HLOOKUP(C904,'Commission Criteria'!$A$2:$I$4,3,FALSE)</f>
        <v>5</v>
      </c>
      <c r="Q904" s="8">
        <f t="shared" si="43"/>
        <v>1344</v>
      </c>
      <c r="R904" s="8">
        <f t="shared" si="44"/>
        <v>2803</v>
      </c>
      <c r="S904" s="36">
        <f>VLOOKUP(R904,'Commission Criteria'!$L$3:$M$11,2,TRUE)</f>
        <v>0.01</v>
      </c>
      <c r="T904" s="36">
        <f>IF(P904&lt;5,VLOOKUP(R904,'Commission Criteria'!$L$3:$M$11,2,1),VLOOKUP('Order SUmmary'!R904,'Commission Criteria'!$P$3:$Q$11,2,1))</f>
        <v>0.02</v>
      </c>
      <c r="U904" s="36">
        <f>VLOOKUP(R904,IF(P904&lt;5,'Commission Criteria'!$L$3:$M$11,'Commission Criteria'!$P$3:$Q$11),2,1)</f>
        <v>0.02</v>
      </c>
      <c r="V904" s="8" t="s">
        <v>40</v>
      </c>
      <c r="W904" s="36">
        <f t="shared" ca="1" si="45"/>
        <v>0.05</v>
      </c>
      <c r="X904" s="8" t="str">
        <f>_xlfn.XLOOKUP(F904,'Product List'!$B$1:$B$299,'Product List'!$A$1:$A$299)</f>
        <v>Xerox 1912</v>
      </c>
      <c r="Y904" s="8"/>
      <c r="Z904" s="8" t="str" cm="1">
        <f t="array" ref="Z904:AD904">_xlfn.XLOOKUP(D904,'Customer Details'!$A$1:$A$17,'Customer Details'!$B$1:$F$17,"No such customer",0,1)</f>
        <v>Sonata Software</v>
      </c>
      <c r="AA904" s="8" t="str">
        <v>1331 Kimberly Dr.</v>
      </c>
      <c r="AB904" s="8" t="str">
        <v>Olympia</v>
      </c>
      <c r="AC904" s="8" t="str">
        <v>WA</v>
      </c>
      <c r="AD904" s="8" t="str">
        <v>98502</v>
      </c>
    </row>
    <row r="905" spans="1:30">
      <c r="A905" s="8" t="s">
        <v>931</v>
      </c>
      <c r="B905" s="19">
        <v>42088</v>
      </c>
      <c r="C905" s="8" t="s">
        <v>46</v>
      </c>
      <c r="D905" s="8">
        <v>10012</v>
      </c>
      <c r="E905" s="8" t="str">
        <f>VLOOKUP($D905,'Customer Details'!$A$1:$F$17,4,FALSE)</f>
        <v>Santa Barbara</v>
      </c>
      <c r="F905" s="8" t="s">
        <v>151</v>
      </c>
      <c r="G905" s="8">
        <v>1</v>
      </c>
      <c r="H905" s="2" t="str">
        <f>VLOOKUP($D905,'Customer Details'!$A$1:$F$17,MATCH('Order SUmmary'!H$2,'Customer Details'!$A$1:$F$1,0),0)</f>
        <v>Dynamatic Technologies Ltd.</v>
      </c>
      <c r="I905" s="2" t="str">
        <f>VLOOKUP($D905,'Customer Details'!$A$1:$F$17,4,0)</f>
        <v>Santa Barbara</v>
      </c>
      <c r="J905" s="2" t="str">
        <f>VLOOKUP($D905,'Customer Details'!$A$1:$F$17,6,0)</f>
        <v>93110</v>
      </c>
      <c r="K905" s="8" t="str">
        <f>VLOOKUP(VLOOKUP(D905,'Customer Details'!$A$1:$F$17,5,0),'Region INfo'!$A$1:$C$52,3,0)</f>
        <v xml:space="preserve">Pacific   </v>
      </c>
      <c r="L905" s="8" t="str">
        <f>INDEX(Product_List,MATCH($F905,'Product List'!$B$1:$B$299,0),MATCH('Order SUmmary'!L$2,'Product List'!$A$1:$E$1,0))</f>
        <v>Newell 346</v>
      </c>
      <c r="M905" s="8">
        <f>INDEX(Product_List,MATCH($F905,'Product List'!$B$1:$B$299,0),MATCH('Order SUmmary'!M$2,'Product List'!$A$1:$E$1,0))</f>
        <v>3039</v>
      </c>
      <c r="N905" s="8">
        <f>INDEX(Product_List,MATCH($F905,'Product List'!$B$1:$B$299,0),MATCH('Order SUmmary'!N$2,'Product List'!$A$1:$E$1,0))</f>
        <v>2426</v>
      </c>
      <c r="O905" s="8" t="str">
        <f>INDEX(Product_List,MATCH($F905,'Product List'!$B$1:$B$299,0),MATCH('Order SUmmary'!O$2,'Product List'!$A$1:$E$1,0))</f>
        <v>Art</v>
      </c>
      <c r="P905" s="12">
        <f>HLOOKUP(C905,'Commission Criteria'!$A$2:$I$4,3,FALSE)</f>
        <v>8</v>
      </c>
      <c r="Q905" s="8">
        <f t="shared" si="43"/>
        <v>2426</v>
      </c>
      <c r="R905" s="8">
        <f t="shared" si="44"/>
        <v>3039</v>
      </c>
      <c r="S905" s="36">
        <f>VLOOKUP(R905,'Commission Criteria'!$L$3:$M$11,2,TRUE)</f>
        <v>0.01</v>
      </c>
      <c r="T905" s="36">
        <f>IF(P905&lt;5,VLOOKUP(R905,'Commission Criteria'!$L$3:$M$11,2,1),VLOOKUP('Order SUmmary'!R905,'Commission Criteria'!$P$3:$Q$11,2,1))</f>
        <v>0.02</v>
      </c>
      <c r="U905" s="36">
        <f>VLOOKUP(R905,IF(P905&lt;5,'Commission Criteria'!$L$3:$M$11,'Commission Criteria'!$P$3:$Q$11),2,1)</f>
        <v>0.02</v>
      </c>
      <c r="V905" s="8" t="s">
        <v>32</v>
      </c>
      <c r="W905" s="36">
        <f t="shared" ca="1" si="45"/>
        <v>0.03</v>
      </c>
      <c r="X905" s="8" t="str">
        <f>_xlfn.XLOOKUP(F905,'Product List'!$B$1:$B$299,'Product List'!$A$1:$A$299)</f>
        <v>Newell 346</v>
      </c>
      <c r="Y905" s="8"/>
      <c r="Z905" s="8" t="str" cm="1">
        <f t="array" ref="Z905:AD905">_xlfn.XLOOKUP(D905,'Customer Details'!$A$1:$A$17,'Customer Details'!$B$1:$F$17,"No such customer",0,1)</f>
        <v>Dynamatic Technologies Ltd.</v>
      </c>
      <c r="AA905" s="8" t="str">
        <v>402 Pinkster Lane</v>
      </c>
      <c r="AB905" s="8" t="str">
        <v>Santa Barbara</v>
      </c>
      <c r="AC905" s="8" t="str">
        <v>CA</v>
      </c>
      <c r="AD905" s="8" t="str">
        <v>93110</v>
      </c>
    </row>
    <row r="906" spans="1:30">
      <c r="A906" s="8" t="s">
        <v>931</v>
      </c>
      <c r="B906" s="19">
        <v>42088</v>
      </c>
      <c r="C906" s="8" t="s">
        <v>36</v>
      </c>
      <c r="D906" s="8">
        <v>10003</v>
      </c>
      <c r="E906" s="8" t="str">
        <f>VLOOKUP($D906,'Customer Details'!$A$1:$F$17,4,FALSE)</f>
        <v>Miami</v>
      </c>
      <c r="F906" s="8" t="s">
        <v>932</v>
      </c>
      <c r="G906" s="8">
        <v>2</v>
      </c>
      <c r="H906" s="2" t="str">
        <f>VLOOKUP($D906,'Customer Details'!$A$1:$F$17,MATCH('Order SUmmary'!H$2,'Customer Details'!$A$1:$F$1,0),0)</f>
        <v>Honeywell Automation</v>
      </c>
      <c r="I906" s="2" t="str">
        <f>VLOOKUP($D906,'Customer Details'!$A$1:$F$17,4,0)</f>
        <v>Miami</v>
      </c>
      <c r="J906" s="2" t="str">
        <f>VLOOKUP($D906,'Customer Details'!$A$1:$F$17,6,0)</f>
        <v>33732</v>
      </c>
      <c r="K906" s="8" t="str">
        <f>VLOOKUP(VLOOKUP(D906,'Customer Details'!$A$1:$F$17,5,0),'Region INfo'!$A$1:$C$52,3,0)</f>
        <v>Southern</v>
      </c>
      <c r="L906" s="8" t="str">
        <f>INDEX(Product_List,MATCH($F906,'Product List'!$B$1:$B$299,0),MATCH('Order SUmmary'!L$2,'Product List'!$A$1:$E$1,0))</f>
        <v>Xerox 1965</v>
      </c>
      <c r="M906" s="8">
        <f>INDEX(Product_List,MATCH($F906,'Product List'!$B$1:$B$299,0),MATCH('Order SUmmary'!M$2,'Product List'!$A$1:$E$1,0))</f>
        <v>4173</v>
      </c>
      <c r="N906" s="8">
        <f>INDEX(Product_List,MATCH($F906,'Product List'!$B$1:$B$299,0),MATCH('Order SUmmary'!N$2,'Product List'!$A$1:$E$1,0))</f>
        <v>2497</v>
      </c>
      <c r="O906" s="8" t="str">
        <f>INDEX(Product_List,MATCH($F906,'Product List'!$B$1:$B$299,0),MATCH('Order SUmmary'!O$2,'Product List'!$A$1:$E$1,0))</f>
        <v>Paper</v>
      </c>
      <c r="P906" s="12">
        <f>HLOOKUP(C906,'Commission Criteria'!$A$2:$I$4,3,FALSE)</f>
        <v>6</v>
      </c>
      <c r="Q906" s="8">
        <f t="shared" si="43"/>
        <v>4994</v>
      </c>
      <c r="R906" s="8">
        <f t="shared" si="44"/>
        <v>8346</v>
      </c>
      <c r="S906" s="36">
        <f>VLOOKUP(R906,'Commission Criteria'!$L$3:$M$11,2,TRUE)</f>
        <v>0.03</v>
      </c>
      <c r="T906" s="36">
        <f>IF(P906&lt;5,VLOOKUP(R906,'Commission Criteria'!$L$3:$M$11,2,1),VLOOKUP('Order SUmmary'!R906,'Commission Criteria'!$P$3:$Q$11,2,1))</f>
        <v>0.02</v>
      </c>
      <c r="U906" s="36">
        <f>VLOOKUP(R906,IF(P906&lt;5,'Commission Criteria'!$L$3:$M$11,'Commission Criteria'!$P$3:$Q$11),2,1)</f>
        <v>0.02</v>
      </c>
      <c r="V906" s="8" t="s">
        <v>40</v>
      </c>
      <c r="W906" s="36">
        <f t="shared" ca="1" si="45"/>
        <v>0.05</v>
      </c>
      <c r="X906" s="8" t="str">
        <f>_xlfn.XLOOKUP(F906,'Product List'!$B$1:$B$299,'Product List'!$A$1:$A$299)</f>
        <v>Xerox 1965</v>
      </c>
      <c r="Y906" s="8"/>
      <c r="Z906" s="8" t="str" cm="1">
        <f t="array" ref="Z906:AD906">_xlfn.XLOOKUP(D906,'Customer Details'!$A$1:$A$17,'Customer Details'!$B$1:$F$17,"No such customer",0,1)</f>
        <v>Honeywell Automation</v>
      </c>
      <c r="AA906" s="8" t="str">
        <v>1272 Harbor Road</v>
      </c>
      <c r="AB906" s="8" t="str">
        <v>Miami</v>
      </c>
      <c r="AC906" s="8" t="str">
        <v>FL</v>
      </c>
      <c r="AD906" s="8" t="str">
        <v>33732</v>
      </c>
    </row>
    <row r="907" spans="1:30">
      <c r="A907" s="8" t="s">
        <v>933</v>
      </c>
      <c r="B907" s="19">
        <v>42091</v>
      </c>
      <c r="C907" s="8" t="s">
        <v>46</v>
      </c>
      <c r="D907" s="8">
        <v>10004</v>
      </c>
      <c r="E907" s="8" t="str">
        <f>VLOOKUP($D907,'Customer Details'!$A$1:$F$17,4,FALSE)</f>
        <v>New York</v>
      </c>
      <c r="F907" s="8" t="s">
        <v>257</v>
      </c>
      <c r="G907" s="8">
        <v>12</v>
      </c>
      <c r="H907" s="2" t="str">
        <f>VLOOKUP($D907,'Customer Details'!$A$1:$F$17,MATCH('Order SUmmary'!H$2,'Customer Details'!$A$1:$F$1,0),0)</f>
        <v>Lupin Ltd.</v>
      </c>
      <c r="I907" s="2" t="str">
        <f>VLOOKUP($D907,'Customer Details'!$A$1:$F$17,4,0)</f>
        <v>New York</v>
      </c>
      <c r="J907" s="2" t="str">
        <f>VLOOKUP($D907,'Customer Details'!$A$1:$F$17,6,0)</f>
        <v>10019</v>
      </c>
      <c r="K907" s="8" t="str">
        <f>VLOOKUP(VLOOKUP(D907,'Customer Details'!$A$1:$F$17,5,0),'Region INfo'!$A$1:$C$52,3,0)</f>
        <v xml:space="preserve">Northern </v>
      </c>
      <c r="L907" s="8" t="str">
        <f>INDEX(Product_List,MATCH($F907,'Product List'!$B$1:$B$299,0),MATCH('Order SUmmary'!L$2,'Product List'!$A$1:$E$1,0))</f>
        <v>Xerox 1977</v>
      </c>
      <c r="M907" s="8">
        <f>INDEX(Product_List,MATCH($F907,'Product List'!$B$1:$B$299,0),MATCH('Order SUmmary'!M$2,'Product List'!$A$1:$E$1,0))</f>
        <v>3649</v>
      </c>
      <c r="N907" s="8">
        <f>INDEX(Product_List,MATCH($F907,'Product List'!$B$1:$B$299,0),MATCH('Order SUmmary'!N$2,'Product List'!$A$1:$E$1,0))</f>
        <v>2295</v>
      </c>
      <c r="O907" s="8" t="str">
        <f>INDEX(Product_List,MATCH($F907,'Product List'!$B$1:$B$299,0),MATCH('Order SUmmary'!O$2,'Product List'!$A$1:$E$1,0))</f>
        <v>Paper</v>
      </c>
      <c r="P907" s="12">
        <f>HLOOKUP(C907,'Commission Criteria'!$A$2:$I$4,3,FALSE)</f>
        <v>8</v>
      </c>
      <c r="Q907" s="8">
        <f t="shared" si="43"/>
        <v>27540</v>
      </c>
      <c r="R907" s="8">
        <f t="shared" si="44"/>
        <v>43788</v>
      </c>
      <c r="S907" s="36">
        <f>VLOOKUP(R907,'Commission Criteria'!$L$3:$M$11,2,TRUE)</f>
        <v>0.05</v>
      </c>
      <c r="T907" s="36">
        <f>IF(P907&lt;5,VLOOKUP(R907,'Commission Criteria'!$L$3:$M$11,2,1),VLOOKUP('Order SUmmary'!R907,'Commission Criteria'!$P$3:$Q$11,2,1))</f>
        <v>0.04</v>
      </c>
      <c r="U907" s="36">
        <f>VLOOKUP(R907,IF(P907&lt;5,'Commission Criteria'!$L$3:$M$11,'Commission Criteria'!$P$3:$Q$11),2,1)</f>
        <v>0.04</v>
      </c>
      <c r="V907" s="8" t="s">
        <v>50</v>
      </c>
      <c r="W907" s="36">
        <f t="shared" ca="1" si="45"/>
        <v>0</v>
      </c>
      <c r="X907" s="8" t="str">
        <f>_xlfn.XLOOKUP(F907,'Product List'!$B$1:$B$299,'Product List'!$A$1:$A$299)</f>
        <v>Xerox 1977</v>
      </c>
      <c r="Y907" s="8"/>
      <c r="Z907" s="8" t="str" cm="1">
        <f t="array" ref="Z907:AD907">_xlfn.XLOOKUP(D907,'Customer Details'!$A$1:$A$17,'Customer Details'!$B$1:$F$17,"No such customer",0,1)</f>
        <v>Lupin Ltd.</v>
      </c>
      <c r="AA907" s="8" t="str">
        <v>Abbey Wood</v>
      </c>
      <c r="AB907" s="8" t="str">
        <v>New York</v>
      </c>
      <c r="AC907" s="8" t="str">
        <v>NY</v>
      </c>
      <c r="AD907" s="8" t="str">
        <v>10019</v>
      </c>
    </row>
    <row r="908" spans="1:30">
      <c r="A908" s="8" t="s">
        <v>934</v>
      </c>
      <c r="B908" s="19">
        <v>42091</v>
      </c>
      <c r="C908" s="8" t="s">
        <v>66</v>
      </c>
      <c r="D908" s="8">
        <v>10005</v>
      </c>
      <c r="E908" s="8" t="str">
        <f>VLOOKUP($D908,'Customer Details'!$A$1:$F$17,4,FALSE)</f>
        <v>Goleta</v>
      </c>
      <c r="F908" s="8" t="s">
        <v>445</v>
      </c>
      <c r="G908" s="8">
        <v>12</v>
      </c>
      <c r="H908" s="2" t="str">
        <f>VLOOKUP($D908,'Customer Details'!$A$1:$F$17,MATCH('Order SUmmary'!H$2,'Customer Details'!$A$1:$F$1,0),0)</f>
        <v>Fortis Healthcare Ltd.</v>
      </c>
      <c r="I908" s="2" t="str">
        <f>VLOOKUP($D908,'Customer Details'!$A$1:$F$17,4,0)</f>
        <v>Goleta</v>
      </c>
      <c r="J908" s="2" t="str">
        <f>VLOOKUP($D908,'Customer Details'!$A$1:$F$17,6,0)</f>
        <v>93117</v>
      </c>
      <c r="K908" s="8" t="str">
        <f>VLOOKUP(VLOOKUP(D908,'Customer Details'!$A$1:$F$17,5,0),'Region INfo'!$A$1:$C$52,3,0)</f>
        <v xml:space="preserve">Pacific   </v>
      </c>
      <c r="L908" s="8" t="str">
        <f>INDEX(Product_List,MATCH($F908,'Product List'!$B$1:$B$299,0),MATCH('Order SUmmary'!L$2,'Product List'!$A$1:$E$1,0))</f>
        <v>Xerox 1882</v>
      </c>
      <c r="M908" s="8">
        <f>INDEX(Product_List,MATCH($F908,'Product List'!$B$1:$B$299,0),MATCH('Order SUmmary'!M$2,'Product List'!$A$1:$E$1,0))</f>
        <v>4206</v>
      </c>
      <c r="N908" s="8">
        <f>INDEX(Product_List,MATCH($F908,'Product List'!$B$1:$B$299,0),MATCH('Order SUmmary'!N$2,'Product List'!$A$1:$E$1,0))</f>
        <v>1201</v>
      </c>
      <c r="O908" s="8" t="str">
        <f>INDEX(Product_List,MATCH($F908,'Product List'!$B$1:$B$299,0),MATCH('Order SUmmary'!O$2,'Product List'!$A$1:$E$1,0))</f>
        <v>Paper</v>
      </c>
      <c r="P908" s="12">
        <f>HLOOKUP(C908,'Commission Criteria'!$A$2:$I$4,3,FALSE)</f>
        <v>5</v>
      </c>
      <c r="Q908" s="8">
        <f t="shared" si="43"/>
        <v>14412</v>
      </c>
      <c r="R908" s="8">
        <f t="shared" si="44"/>
        <v>50472</v>
      </c>
      <c r="S908" s="36">
        <f>VLOOKUP(R908,'Commission Criteria'!$L$3:$M$11,2,TRUE)</f>
        <v>0.05</v>
      </c>
      <c r="T908" s="36">
        <f>IF(P908&lt;5,VLOOKUP(R908,'Commission Criteria'!$L$3:$M$11,2,1),VLOOKUP('Order SUmmary'!R908,'Commission Criteria'!$P$3:$Q$11,2,1))</f>
        <v>0.06</v>
      </c>
      <c r="U908" s="36">
        <f>VLOOKUP(R908,IF(P908&lt;5,'Commission Criteria'!$L$3:$M$11,'Commission Criteria'!$P$3:$Q$11),2,1)</f>
        <v>0.06</v>
      </c>
      <c r="V908" s="8" t="s">
        <v>35</v>
      </c>
      <c r="W908" s="36">
        <f t="shared" ca="1" si="45"/>
        <v>0.01</v>
      </c>
      <c r="X908" s="8" t="str">
        <f>_xlfn.XLOOKUP(F908,'Product List'!$B$1:$B$299,'Product List'!$A$1:$A$299)</f>
        <v>Xerox 1882</v>
      </c>
      <c r="Y908" s="8"/>
      <c r="Z908" s="8" t="str" cm="1">
        <f t="array" ref="Z908:AD908">_xlfn.XLOOKUP(D908,'Customer Details'!$A$1:$A$17,'Customer Details'!$B$1:$F$17,"No such customer",0,1)</f>
        <v>Fortis Healthcare Ltd.</v>
      </c>
      <c r="AA908" s="8" t="str">
        <v>14 Elsworthy Terrace</v>
      </c>
      <c r="AB908" s="8" t="str">
        <v>Goleta</v>
      </c>
      <c r="AC908" s="8" t="str">
        <v>CA</v>
      </c>
      <c r="AD908" s="8" t="str">
        <v>93117</v>
      </c>
    </row>
    <row r="909" spans="1:30">
      <c r="A909" s="8" t="s">
        <v>933</v>
      </c>
      <c r="B909" s="19">
        <v>42094</v>
      </c>
      <c r="C909" s="8" t="s">
        <v>33</v>
      </c>
      <c r="D909" s="8">
        <v>10012</v>
      </c>
      <c r="E909" s="8" t="str">
        <f>VLOOKUP($D909,'Customer Details'!$A$1:$F$17,4,FALSE)</f>
        <v>Santa Barbara</v>
      </c>
      <c r="F909" s="8" t="s">
        <v>795</v>
      </c>
      <c r="G909" s="8">
        <v>1</v>
      </c>
      <c r="H909" s="2" t="str">
        <f>VLOOKUP($D909,'Customer Details'!$A$1:$F$17,MATCH('Order SUmmary'!H$2,'Customer Details'!$A$1:$F$1,0),0)</f>
        <v>Dynamatic Technologies Ltd.</v>
      </c>
      <c r="I909" s="2" t="str">
        <f>VLOOKUP($D909,'Customer Details'!$A$1:$F$17,4,0)</f>
        <v>Santa Barbara</v>
      </c>
      <c r="J909" s="2" t="str">
        <f>VLOOKUP($D909,'Customer Details'!$A$1:$F$17,6,0)</f>
        <v>93110</v>
      </c>
      <c r="K909" s="8" t="str">
        <f>VLOOKUP(VLOOKUP(D909,'Customer Details'!$A$1:$F$17,5,0),'Region INfo'!$A$1:$C$52,3,0)</f>
        <v xml:space="preserve">Pacific   </v>
      </c>
      <c r="L909" s="8" t="str">
        <f>INDEX(Product_List,MATCH($F909,'Product List'!$B$1:$B$299,0),MATCH('Order SUmmary'!L$2,'Product List'!$A$1:$E$1,0))</f>
        <v>Newell 336</v>
      </c>
      <c r="M909" s="8">
        <f>INDEX(Product_List,MATCH($F909,'Product List'!$B$1:$B$299,0),MATCH('Order SUmmary'!M$2,'Product List'!$A$1:$E$1,0))</f>
        <v>2772</v>
      </c>
      <c r="N909" s="8">
        <f>INDEX(Product_List,MATCH($F909,'Product List'!$B$1:$B$299,0),MATCH('Order SUmmary'!N$2,'Product List'!$A$1:$E$1,0))</f>
        <v>1527</v>
      </c>
      <c r="O909" s="8" t="str">
        <f>INDEX(Product_List,MATCH($F909,'Product List'!$B$1:$B$299,0),MATCH('Order SUmmary'!O$2,'Product List'!$A$1:$E$1,0))</f>
        <v>Art</v>
      </c>
      <c r="P909" s="12">
        <f>HLOOKUP(C909,'Commission Criteria'!$A$2:$I$4,3,FALSE)</f>
        <v>1</v>
      </c>
      <c r="Q909" s="8">
        <f t="shared" si="43"/>
        <v>1527</v>
      </c>
      <c r="R909" s="8">
        <f t="shared" si="44"/>
        <v>2772</v>
      </c>
      <c r="S909" s="36">
        <f>VLOOKUP(R909,'Commission Criteria'!$L$3:$M$11,2,TRUE)</f>
        <v>0.01</v>
      </c>
      <c r="T909" s="36">
        <f>IF(P909&lt;5,VLOOKUP(R909,'Commission Criteria'!$L$3:$M$11,2,1),VLOOKUP('Order SUmmary'!R909,'Commission Criteria'!$P$3:$Q$11,2,1))</f>
        <v>0.01</v>
      </c>
      <c r="U909" s="36">
        <f>VLOOKUP(R909,IF(P909&lt;5,'Commission Criteria'!$L$3:$M$11,'Commission Criteria'!$P$3:$Q$11),2,1)</f>
        <v>0.01</v>
      </c>
      <c r="V909" s="8" t="s">
        <v>50</v>
      </c>
      <c r="W909" s="36">
        <f t="shared" ca="1" si="45"/>
        <v>0.04</v>
      </c>
      <c r="X909" s="8" t="str">
        <f>_xlfn.XLOOKUP(F909,'Product List'!$B$1:$B$299,'Product List'!$A$1:$A$299)</f>
        <v>Newell 336</v>
      </c>
      <c r="Y909" s="8"/>
      <c r="Z909" s="8" t="str" cm="1">
        <f t="array" ref="Z909:AD909">_xlfn.XLOOKUP(D909,'Customer Details'!$A$1:$A$17,'Customer Details'!$B$1:$F$17,"No such customer",0,1)</f>
        <v>Dynamatic Technologies Ltd.</v>
      </c>
      <c r="AA909" s="8" t="str">
        <v>402 Pinkster Lane</v>
      </c>
      <c r="AB909" s="8" t="str">
        <v>Santa Barbara</v>
      </c>
      <c r="AC909" s="8" t="str">
        <v>CA</v>
      </c>
      <c r="AD909" s="8" t="str">
        <v>93110</v>
      </c>
    </row>
    <row r="910" spans="1:30">
      <c r="A910" s="8" t="s">
        <v>935</v>
      </c>
      <c r="B910" s="19">
        <v>42097</v>
      </c>
      <c r="C910" s="8" t="s">
        <v>36</v>
      </c>
      <c r="D910" s="8">
        <v>10003</v>
      </c>
      <c r="E910" s="8" t="str">
        <f>VLOOKUP($D910,'Customer Details'!$A$1:$F$17,4,FALSE)</f>
        <v>Miami</v>
      </c>
      <c r="F910" s="8" t="s">
        <v>82</v>
      </c>
      <c r="G910" s="8">
        <v>1</v>
      </c>
      <c r="H910" s="2" t="str">
        <f>VLOOKUP($D910,'Customer Details'!$A$1:$F$17,MATCH('Order SUmmary'!H$2,'Customer Details'!$A$1:$F$1,0),0)</f>
        <v>Honeywell Automation</v>
      </c>
      <c r="I910" s="2" t="str">
        <f>VLOOKUP($D910,'Customer Details'!$A$1:$F$17,4,0)</f>
        <v>Miami</v>
      </c>
      <c r="J910" s="2" t="str">
        <f>VLOOKUP($D910,'Customer Details'!$A$1:$F$17,6,0)</f>
        <v>33732</v>
      </c>
      <c r="K910" s="8" t="str">
        <f>VLOOKUP(VLOOKUP(D910,'Customer Details'!$A$1:$F$17,5,0),'Region INfo'!$A$1:$C$52,3,0)</f>
        <v>Southern</v>
      </c>
      <c r="L910" s="8" t="str">
        <f>INDEX(Product_List,MATCH($F910,'Product List'!$B$1:$B$299,0),MATCH('Order SUmmary'!L$2,'Product List'!$A$1:$E$1,0))</f>
        <v>Xerox 1926</v>
      </c>
      <c r="M910" s="8">
        <f>INDEX(Product_List,MATCH($F910,'Product List'!$B$1:$B$299,0),MATCH('Order SUmmary'!M$2,'Product List'!$A$1:$E$1,0))</f>
        <v>3725</v>
      </c>
      <c r="N910" s="8">
        <f>INDEX(Product_List,MATCH($F910,'Product List'!$B$1:$B$299,0),MATCH('Order SUmmary'!N$2,'Product List'!$A$1:$E$1,0))</f>
        <v>1250</v>
      </c>
      <c r="O910" s="8" t="str">
        <f>INDEX(Product_List,MATCH($F910,'Product List'!$B$1:$B$299,0),MATCH('Order SUmmary'!O$2,'Product List'!$A$1:$E$1,0))</f>
        <v>Paper</v>
      </c>
      <c r="P910" s="12">
        <f>HLOOKUP(C910,'Commission Criteria'!$A$2:$I$4,3,FALSE)</f>
        <v>6</v>
      </c>
      <c r="Q910" s="8">
        <f t="shared" si="43"/>
        <v>1250</v>
      </c>
      <c r="R910" s="8">
        <f t="shared" si="44"/>
        <v>3725</v>
      </c>
      <c r="S910" s="36">
        <f>VLOOKUP(R910,'Commission Criteria'!$L$3:$M$11,2,TRUE)</f>
        <v>0.01</v>
      </c>
      <c r="T910" s="36">
        <f>IF(P910&lt;5,VLOOKUP(R910,'Commission Criteria'!$L$3:$M$11,2,1),VLOOKUP('Order SUmmary'!R910,'Commission Criteria'!$P$3:$Q$11,2,1))</f>
        <v>0.02</v>
      </c>
      <c r="U910" s="36">
        <f>VLOOKUP(R910,IF(P910&lt;5,'Commission Criteria'!$L$3:$M$11,'Commission Criteria'!$P$3:$Q$11),2,1)</f>
        <v>0.02</v>
      </c>
      <c r="V910" s="8" t="s">
        <v>35</v>
      </c>
      <c r="W910" s="36">
        <f t="shared" ca="1" si="45"/>
        <v>0.02</v>
      </c>
      <c r="X910" s="8" t="str">
        <f>_xlfn.XLOOKUP(F910,'Product List'!$B$1:$B$299,'Product List'!$A$1:$A$299)</f>
        <v>Xerox 1926</v>
      </c>
      <c r="Y910" s="8"/>
      <c r="Z910" s="8" t="str" cm="1">
        <f t="array" ref="Z910:AD910">_xlfn.XLOOKUP(D910,'Customer Details'!$A$1:$A$17,'Customer Details'!$B$1:$F$17,"No such customer",0,1)</f>
        <v>Honeywell Automation</v>
      </c>
      <c r="AA910" s="8" t="str">
        <v>1272 Harbor Road</v>
      </c>
      <c r="AB910" s="8" t="str">
        <v>Miami</v>
      </c>
      <c r="AC910" s="8" t="str">
        <v>FL</v>
      </c>
      <c r="AD910" s="8" t="str">
        <v>33732</v>
      </c>
    </row>
    <row r="911" spans="1:30">
      <c r="A911" s="8" t="s">
        <v>936</v>
      </c>
      <c r="B911" s="19">
        <v>42097</v>
      </c>
      <c r="C911" s="8" t="s">
        <v>33</v>
      </c>
      <c r="D911" s="8">
        <v>10001</v>
      </c>
      <c r="E911" s="8" t="str">
        <f>VLOOKUP($D911,'Customer Details'!$A$1:$F$17,4,FALSE)</f>
        <v>New York</v>
      </c>
      <c r="F911" s="8" t="s">
        <v>205</v>
      </c>
      <c r="G911" s="8">
        <v>2</v>
      </c>
      <c r="H911" s="2" t="str">
        <f>VLOOKUP($D911,'Customer Details'!$A$1:$F$17,MATCH('Order SUmmary'!H$2,'Customer Details'!$A$1:$F$1,0),0)</f>
        <v>Chambal Fertilisers and Chemicals Ltd.</v>
      </c>
      <c r="I911" s="2" t="str">
        <f>VLOOKUP($D911,'Customer Details'!$A$1:$F$17,4,0)</f>
        <v>New York</v>
      </c>
      <c r="J911" s="2" t="str">
        <f>VLOOKUP($D911,'Customer Details'!$A$1:$F$17,6,0)</f>
        <v>10025</v>
      </c>
      <c r="K911" s="8" t="str">
        <f>VLOOKUP(VLOOKUP(D911,'Customer Details'!$A$1:$F$17,5,0),'Region INfo'!$A$1:$C$52,3,0)</f>
        <v xml:space="preserve">Northern </v>
      </c>
      <c r="L911" s="8" t="str">
        <f>INDEX(Product_List,MATCH($F911,'Product List'!$B$1:$B$299,0),MATCH('Order SUmmary'!L$2,'Product List'!$A$1:$E$1,0))</f>
        <v>AT&amp;T TR1909W</v>
      </c>
      <c r="M911" s="8">
        <f>INDEX(Product_List,MATCH($F911,'Product List'!$B$1:$B$299,0),MATCH('Order SUmmary'!M$2,'Product List'!$A$1:$E$1,0))</f>
        <v>4378</v>
      </c>
      <c r="N911" s="8">
        <f>INDEX(Product_List,MATCH($F911,'Product List'!$B$1:$B$299,0),MATCH('Order SUmmary'!N$2,'Product List'!$A$1:$E$1,0))</f>
        <v>1998</v>
      </c>
      <c r="O911" s="8" t="str">
        <f>INDEX(Product_List,MATCH($F911,'Product List'!$B$1:$B$299,0),MATCH('Order SUmmary'!O$2,'Product List'!$A$1:$E$1,0))</f>
        <v>Phones</v>
      </c>
      <c r="P911" s="12">
        <f>HLOOKUP(C911,'Commission Criteria'!$A$2:$I$4,3,FALSE)</f>
        <v>1</v>
      </c>
      <c r="Q911" s="8">
        <f t="shared" si="43"/>
        <v>3996</v>
      </c>
      <c r="R911" s="8">
        <f t="shared" si="44"/>
        <v>8756</v>
      </c>
      <c r="S911" s="36">
        <f>VLOOKUP(R911,'Commission Criteria'!$L$3:$M$11,2,TRUE)</f>
        <v>0.03</v>
      </c>
      <c r="T911" s="36">
        <f>IF(P911&lt;5,VLOOKUP(R911,'Commission Criteria'!$L$3:$M$11,2,1),VLOOKUP('Order SUmmary'!R911,'Commission Criteria'!$P$3:$Q$11,2,1))</f>
        <v>0.03</v>
      </c>
      <c r="U911" s="36">
        <f>VLOOKUP(R911,IF(P911&lt;5,'Commission Criteria'!$L$3:$M$11,'Commission Criteria'!$P$3:$Q$11),2,1)</f>
        <v>0.03</v>
      </c>
      <c r="V911" s="8" t="s">
        <v>40</v>
      </c>
      <c r="W911" s="36">
        <f t="shared" ca="1" si="45"/>
        <v>0.03</v>
      </c>
      <c r="X911" s="8" t="str">
        <f>_xlfn.XLOOKUP(F911,'Product List'!$B$1:$B$299,'Product List'!$A$1:$A$299)</f>
        <v>AT&amp;T TR1909W</v>
      </c>
      <c r="Y911" s="8"/>
      <c r="Z911" s="8" t="str" cm="1">
        <f t="array" ref="Z911:AD911">_xlfn.XLOOKUP(D911,'Customer Details'!$A$1:$A$17,'Customer Details'!$B$1:$F$17,"No such customer",0,1)</f>
        <v>Chambal Fertilisers and Chemicals Ltd.</v>
      </c>
      <c r="AA911" s="8" t="str">
        <v>4951 Indiana Ave.</v>
      </c>
      <c r="AB911" s="8" t="str">
        <v>New York</v>
      </c>
      <c r="AC911" s="8" t="str">
        <v>NY</v>
      </c>
      <c r="AD911" s="8" t="str">
        <v>10025</v>
      </c>
    </row>
    <row r="912" spans="1:30">
      <c r="A912" s="8" t="s">
        <v>937</v>
      </c>
      <c r="B912" s="19">
        <v>42098</v>
      </c>
      <c r="C912" s="8" t="s">
        <v>44</v>
      </c>
      <c r="D912" s="8">
        <v>10008</v>
      </c>
      <c r="E912" s="8" t="str">
        <f>VLOOKUP($D912,'Customer Details'!$A$1:$F$17,4,FALSE)</f>
        <v>Chestnut Ridge</v>
      </c>
      <c r="F912" s="8" t="s">
        <v>300</v>
      </c>
      <c r="G912" s="8">
        <v>3</v>
      </c>
      <c r="H912" s="2" t="str">
        <f>VLOOKUP($D912,'Customer Details'!$A$1:$F$17,MATCH('Order SUmmary'!H$2,'Customer Details'!$A$1:$F$1,0),0)</f>
        <v>Reliance Industries Limited</v>
      </c>
      <c r="I912" s="2" t="str">
        <f>VLOOKUP($D912,'Customer Details'!$A$1:$F$17,4,0)</f>
        <v>Chestnut Ridge</v>
      </c>
      <c r="J912" s="2" t="str">
        <f>VLOOKUP($D912,'Customer Details'!$A$1:$F$17,6,0)</f>
        <v>10977</v>
      </c>
      <c r="K912" s="8" t="str">
        <f>VLOOKUP(VLOOKUP(D912,'Customer Details'!$A$1:$F$17,5,0),'Region INfo'!$A$1:$C$52,3,0)</f>
        <v xml:space="preserve">Northern </v>
      </c>
      <c r="L912" s="8" t="str">
        <f>INDEX(Product_List,MATCH($F912,'Product List'!$B$1:$B$299,0),MATCH('Order SUmmary'!L$2,'Product List'!$A$1:$E$1,0))</f>
        <v>Xerox 1892</v>
      </c>
      <c r="M912" s="8">
        <f>INDEX(Product_List,MATCH($F912,'Product List'!$B$1:$B$299,0),MATCH('Order SUmmary'!M$2,'Product List'!$A$1:$E$1,0))</f>
        <v>4069</v>
      </c>
      <c r="N912" s="8">
        <f>INDEX(Product_List,MATCH($F912,'Product List'!$B$1:$B$299,0),MATCH('Order SUmmary'!N$2,'Product List'!$A$1:$E$1,0))</f>
        <v>1545</v>
      </c>
      <c r="O912" s="8" t="str">
        <f>INDEX(Product_List,MATCH($F912,'Product List'!$B$1:$B$299,0),MATCH('Order SUmmary'!O$2,'Product List'!$A$1:$E$1,0))</f>
        <v>Paper</v>
      </c>
      <c r="P912" s="12">
        <f>HLOOKUP(C912,'Commission Criteria'!$A$2:$I$4,3,FALSE)</f>
        <v>4</v>
      </c>
      <c r="Q912" s="8">
        <f t="shared" si="43"/>
        <v>4635</v>
      </c>
      <c r="R912" s="8">
        <f t="shared" si="44"/>
        <v>12207</v>
      </c>
      <c r="S912" s="36">
        <f>VLOOKUP(R912,'Commission Criteria'!$L$3:$M$11,2,TRUE)</f>
        <v>0.03</v>
      </c>
      <c r="T912" s="36">
        <f>IF(P912&lt;5,VLOOKUP(R912,'Commission Criteria'!$L$3:$M$11,2,1),VLOOKUP('Order SUmmary'!R912,'Commission Criteria'!$P$3:$Q$11,2,1))</f>
        <v>0.03</v>
      </c>
      <c r="U912" s="36">
        <f>VLOOKUP(R912,IF(P912&lt;5,'Commission Criteria'!$L$3:$M$11,'Commission Criteria'!$P$3:$Q$11),2,1)</f>
        <v>0.03</v>
      </c>
      <c r="V912" s="8" t="s">
        <v>35</v>
      </c>
      <c r="W912" s="36">
        <f t="shared" ca="1" si="45"/>
        <v>0.04</v>
      </c>
      <c r="X912" s="8" t="str">
        <f>_xlfn.XLOOKUP(F912,'Product List'!$B$1:$B$299,'Product List'!$A$1:$A$299)</f>
        <v>Xerox 1892</v>
      </c>
      <c r="Y912" s="8"/>
      <c r="Z912" s="8" t="str" cm="1">
        <f t="array" ref="Z912:AD912">_xlfn.XLOOKUP(D912,'Customer Details'!$A$1:$A$17,'Customer Details'!$B$1:$F$17,"No such customer",0,1)</f>
        <v>Reliance Industries Limited</v>
      </c>
      <c r="AA912" s="8" t="str">
        <v>12020 Shamrock Rd., Suite 333</v>
      </c>
      <c r="AB912" s="8" t="str">
        <v>Chestnut Ridge</v>
      </c>
      <c r="AC912" s="8" t="str">
        <v>NY</v>
      </c>
      <c r="AD912" s="8" t="str">
        <v>10977</v>
      </c>
    </row>
    <row r="913" spans="1:30">
      <c r="A913" s="8" t="s">
        <v>938</v>
      </c>
      <c r="B913" s="19">
        <v>42099</v>
      </c>
      <c r="C913" s="8" t="s">
        <v>27</v>
      </c>
      <c r="D913" s="8">
        <v>10012</v>
      </c>
      <c r="E913" s="8" t="str">
        <f>VLOOKUP($D913,'Customer Details'!$A$1:$F$17,4,FALSE)</f>
        <v>Santa Barbara</v>
      </c>
      <c r="F913" s="8" t="s">
        <v>143</v>
      </c>
      <c r="G913" s="8">
        <v>2</v>
      </c>
      <c r="H913" s="2" t="str">
        <f>VLOOKUP($D913,'Customer Details'!$A$1:$F$17,MATCH('Order SUmmary'!H$2,'Customer Details'!$A$1:$F$1,0),0)</f>
        <v>Dynamatic Technologies Ltd.</v>
      </c>
      <c r="I913" s="2" t="str">
        <f>VLOOKUP($D913,'Customer Details'!$A$1:$F$17,4,0)</f>
        <v>Santa Barbara</v>
      </c>
      <c r="J913" s="2" t="str">
        <f>VLOOKUP($D913,'Customer Details'!$A$1:$F$17,6,0)</f>
        <v>93110</v>
      </c>
      <c r="K913" s="8" t="str">
        <f>VLOOKUP(VLOOKUP(D913,'Customer Details'!$A$1:$F$17,5,0),'Region INfo'!$A$1:$C$52,3,0)</f>
        <v xml:space="preserve">Pacific   </v>
      </c>
      <c r="L913" s="8" t="str">
        <f>INDEX(Product_List,MATCH($F913,'Product List'!$B$1:$B$299,0),MATCH('Order SUmmary'!L$2,'Product List'!$A$1:$E$1,0))</f>
        <v>Xerox 1932</v>
      </c>
      <c r="M913" s="8">
        <f>INDEX(Product_List,MATCH($F913,'Product List'!$B$1:$B$299,0),MATCH('Order SUmmary'!M$2,'Product List'!$A$1:$E$1,0))</f>
        <v>4309</v>
      </c>
      <c r="N913" s="8">
        <f>INDEX(Product_List,MATCH($F913,'Product List'!$B$1:$B$299,0),MATCH('Order SUmmary'!N$2,'Product List'!$A$1:$E$1,0))</f>
        <v>1779</v>
      </c>
      <c r="O913" s="8" t="str">
        <f>INDEX(Product_List,MATCH($F913,'Product List'!$B$1:$B$299,0),MATCH('Order SUmmary'!O$2,'Product List'!$A$1:$E$1,0))</f>
        <v>Paper</v>
      </c>
      <c r="P913" s="12">
        <f>HLOOKUP(C913,'Commission Criteria'!$A$2:$I$4,3,FALSE)</f>
        <v>4</v>
      </c>
      <c r="Q913" s="8">
        <f t="shared" si="43"/>
        <v>3558</v>
      </c>
      <c r="R913" s="8">
        <f t="shared" si="44"/>
        <v>8618</v>
      </c>
      <c r="S913" s="36">
        <f>VLOOKUP(R913,'Commission Criteria'!$L$3:$M$11,2,TRUE)</f>
        <v>0.03</v>
      </c>
      <c r="T913" s="36">
        <f>IF(P913&lt;5,VLOOKUP(R913,'Commission Criteria'!$L$3:$M$11,2,1),VLOOKUP('Order SUmmary'!R913,'Commission Criteria'!$P$3:$Q$11,2,1))</f>
        <v>0.03</v>
      </c>
      <c r="U913" s="36">
        <f>VLOOKUP(R913,IF(P913&lt;5,'Commission Criteria'!$L$3:$M$11,'Commission Criteria'!$P$3:$Q$11),2,1)</f>
        <v>0.03</v>
      </c>
      <c r="V913" s="8" t="s">
        <v>29</v>
      </c>
      <c r="W913" s="36">
        <f t="shared" ca="1" si="45"/>
        <v>0.03</v>
      </c>
      <c r="X913" s="8" t="str">
        <f>_xlfn.XLOOKUP(F913,'Product List'!$B$1:$B$299,'Product List'!$A$1:$A$299)</f>
        <v>Xerox 1932</v>
      </c>
      <c r="Y913" s="8"/>
      <c r="Z913" s="8" t="str" cm="1">
        <f t="array" ref="Z913:AD913">_xlfn.XLOOKUP(D913,'Customer Details'!$A$1:$A$17,'Customer Details'!$B$1:$F$17,"No such customer",0,1)</f>
        <v>Dynamatic Technologies Ltd.</v>
      </c>
      <c r="AA913" s="8" t="str">
        <v>402 Pinkster Lane</v>
      </c>
      <c r="AB913" s="8" t="str">
        <v>Santa Barbara</v>
      </c>
      <c r="AC913" s="8" t="str">
        <v>CA</v>
      </c>
      <c r="AD913" s="8" t="str">
        <v>93110</v>
      </c>
    </row>
    <row r="914" spans="1:30">
      <c r="A914" s="8" t="s">
        <v>939</v>
      </c>
      <c r="B914" s="19">
        <v>42100</v>
      </c>
      <c r="C914" s="8" t="s">
        <v>66</v>
      </c>
      <c r="D914" s="8">
        <v>10002</v>
      </c>
      <c r="E914" s="8" t="str">
        <f>VLOOKUP($D914,'Customer Details'!$A$1:$F$17,4,FALSE)</f>
        <v>Omaha</v>
      </c>
      <c r="F914" s="8" t="s">
        <v>190</v>
      </c>
      <c r="G914" s="8">
        <v>1</v>
      </c>
      <c r="H914" s="2" t="str">
        <f>VLOOKUP($D914,'Customer Details'!$A$1:$F$17,MATCH('Order SUmmary'!H$2,'Customer Details'!$A$1:$F$1,0),0)</f>
        <v>Elder Pharmaceuticals</v>
      </c>
      <c r="I914" s="2" t="str">
        <f>VLOOKUP($D914,'Customer Details'!$A$1:$F$17,4,0)</f>
        <v>Omaha</v>
      </c>
      <c r="J914" s="2" t="str">
        <f>VLOOKUP($D914,'Customer Details'!$A$1:$F$17,6,0)</f>
        <v>68127</v>
      </c>
      <c r="K914" s="8" t="str">
        <f>VLOOKUP(VLOOKUP(D914,'Customer Details'!$A$1:$F$17,5,0),'Region INfo'!$A$1:$C$52,3,0)</f>
        <v>Western</v>
      </c>
      <c r="L914" s="8" t="str">
        <f>INDEX(Product_List,MATCH($F914,'Product List'!$B$1:$B$299,0),MATCH('Order SUmmary'!L$2,'Product List'!$A$1:$E$1,0))</f>
        <v>Xerox 1887</v>
      </c>
      <c r="M914" s="8">
        <f>INDEX(Product_List,MATCH($F914,'Product List'!$B$1:$B$299,0),MATCH('Order SUmmary'!M$2,'Product List'!$A$1:$E$1,0))</f>
        <v>2887</v>
      </c>
      <c r="N914" s="8">
        <f>INDEX(Product_List,MATCH($F914,'Product List'!$B$1:$B$299,0),MATCH('Order SUmmary'!N$2,'Product List'!$A$1:$E$1,0))</f>
        <v>1491</v>
      </c>
      <c r="O914" s="8" t="str">
        <f>INDEX(Product_List,MATCH($F914,'Product List'!$B$1:$B$299,0),MATCH('Order SUmmary'!O$2,'Product List'!$A$1:$E$1,0))</f>
        <v>Paper</v>
      </c>
      <c r="P914" s="12">
        <f>HLOOKUP(C914,'Commission Criteria'!$A$2:$I$4,3,FALSE)</f>
        <v>5</v>
      </c>
      <c r="Q914" s="8">
        <f t="shared" si="43"/>
        <v>1491</v>
      </c>
      <c r="R914" s="8">
        <f t="shared" si="44"/>
        <v>2887</v>
      </c>
      <c r="S914" s="36">
        <f>VLOOKUP(R914,'Commission Criteria'!$L$3:$M$11,2,TRUE)</f>
        <v>0.01</v>
      </c>
      <c r="T914" s="36">
        <f>IF(P914&lt;5,VLOOKUP(R914,'Commission Criteria'!$L$3:$M$11,2,1),VLOOKUP('Order SUmmary'!R914,'Commission Criteria'!$P$3:$Q$11,2,1))</f>
        <v>0.02</v>
      </c>
      <c r="U914" s="36">
        <f>VLOOKUP(R914,IF(P914&lt;5,'Commission Criteria'!$L$3:$M$11,'Commission Criteria'!$P$3:$Q$11),2,1)</f>
        <v>0.02</v>
      </c>
      <c r="V914" s="8" t="s">
        <v>35</v>
      </c>
      <c r="W914" s="36">
        <f t="shared" ca="1" si="45"/>
        <v>0.02</v>
      </c>
      <c r="X914" s="8" t="str">
        <f>_xlfn.XLOOKUP(F914,'Product List'!$B$1:$B$299,'Product List'!$A$1:$A$299)</f>
        <v>Xerox 1887</v>
      </c>
      <c r="Y914" s="8"/>
      <c r="Z914" s="8" t="str" cm="1">
        <f t="array" ref="Z914:AD914">_xlfn.XLOOKUP(D914,'Customer Details'!$A$1:$A$17,'Customer Details'!$B$1:$F$17,"No such customer",0,1)</f>
        <v>Elder Pharmaceuticals</v>
      </c>
      <c r="AA914" s="8" t="str">
        <v>57 Neriba Cres</v>
      </c>
      <c r="AB914" s="8" t="str">
        <v>Omaha</v>
      </c>
      <c r="AC914" s="8" t="str">
        <v>NE</v>
      </c>
      <c r="AD914" s="8" t="str">
        <v>68127</v>
      </c>
    </row>
    <row r="915" spans="1:30">
      <c r="A915" s="8" t="s">
        <v>940</v>
      </c>
      <c r="B915" s="19">
        <v>42101</v>
      </c>
      <c r="C915" s="8" t="s">
        <v>33</v>
      </c>
      <c r="D915" s="8">
        <v>10004</v>
      </c>
      <c r="E915" s="8" t="str">
        <f>VLOOKUP($D915,'Customer Details'!$A$1:$F$17,4,FALSE)</f>
        <v>New York</v>
      </c>
      <c r="F915" s="8" t="s">
        <v>449</v>
      </c>
      <c r="G915" s="8">
        <v>1</v>
      </c>
      <c r="H915" s="2" t="str">
        <f>VLOOKUP($D915,'Customer Details'!$A$1:$F$17,MATCH('Order SUmmary'!H$2,'Customer Details'!$A$1:$F$1,0),0)</f>
        <v>Lupin Ltd.</v>
      </c>
      <c r="I915" s="2" t="str">
        <f>VLOOKUP($D915,'Customer Details'!$A$1:$F$17,4,0)</f>
        <v>New York</v>
      </c>
      <c r="J915" s="2" t="str">
        <f>VLOOKUP($D915,'Customer Details'!$A$1:$F$17,6,0)</f>
        <v>10019</v>
      </c>
      <c r="K915" s="8" t="str">
        <f>VLOOKUP(VLOOKUP(D915,'Customer Details'!$A$1:$F$17,5,0),'Region INfo'!$A$1:$C$52,3,0)</f>
        <v xml:space="preserve">Northern </v>
      </c>
      <c r="L915" s="8" t="str">
        <f>INDEX(Product_List,MATCH($F915,'Product List'!$B$1:$B$299,0),MATCH('Order SUmmary'!L$2,'Product List'!$A$1:$E$1,0))</f>
        <v>AT&amp;T CL82213</v>
      </c>
      <c r="M915" s="8">
        <f>INDEX(Product_List,MATCH($F915,'Product List'!$B$1:$B$299,0),MATCH('Order SUmmary'!M$2,'Product List'!$A$1:$E$1,0))</f>
        <v>3759</v>
      </c>
      <c r="N915" s="8">
        <f>INDEX(Product_List,MATCH($F915,'Product List'!$B$1:$B$299,0),MATCH('Order SUmmary'!N$2,'Product List'!$A$1:$E$1,0))</f>
        <v>2258</v>
      </c>
      <c r="O915" s="8" t="str">
        <f>INDEX(Product_List,MATCH($F915,'Product List'!$B$1:$B$299,0),MATCH('Order SUmmary'!O$2,'Product List'!$A$1:$E$1,0))</f>
        <v>Phones</v>
      </c>
      <c r="P915" s="12">
        <f>HLOOKUP(C915,'Commission Criteria'!$A$2:$I$4,3,FALSE)</f>
        <v>1</v>
      </c>
      <c r="Q915" s="8">
        <f t="shared" si="43"/>
        <v>2258</v>
      </c>
      <c r="R915" s="8">
        <f t="shared" si="44"/>
        <v>3759</v>
      </c>
      <c r="S915" s="36">
        <f>VLOOKUP(R915,'Commission Criteria'!$L$3:$M$11,2,TRUE)</f>
        <v>0.01</v>
      </c>
      <c r="T915" s="36">
        <f>IF(P915&lt;5,VLOOKUP(R915,'Commission Criteria'!$L$3:$M$11,2,1),VLOOKUP('Order SUmmary'!R915,'Commission Criteria'!$P$3:$Q$11,2,1))</f>
        <v>0.01</v>
      </c>
      <c r="U915" s="36">
        <f>VLOOKUP(R915,IF(P915&lt;5,'Commission Criteria'!$L$3:$M$11,'Commission Criteria'!$P$3:$Q$11),2,1)</f>
        <v>0.01</v>
      </c>
      <c r="V915" s="8" t="s">
        <v>40</v>
      </c>
      <c r="W915" s="36">
        <f t="shared" ca="1" si="45"/>
        <v>0.01</v>
      </c>
      <c r="X915" s="8" t="str">
        <f>_xlfn.XLOOKUP(F915,'Product List'!$B$1:$B$299,'Product List'!$A$1:$A$299)</f>
        <v>AT&amp;T CL82213</v>
      </c>
      <c r="Y915" s="8"/>
      <c r="Z915" s="8" t="str" cm="1">
        <f t="array" ref="Z915:AD915">_xlfn.XLOOKUP(D915,'Customer Details'!$A$1:$A$17,'Customer Details'!$B$1:$F$17,"No such customer",0,1)</f>
        <v>Lupin Ltd.</v>
      </c>
      <c r="AA915" s="8" t="str">
        <v>Abbey Wood</v>
      </c>
      <c r="AB915" s="8" t="str">
        <v>New York</v>
      </c>
      <c r="AC915" s="8" t="str">
        <v>NY</v>
      </c>
      <c r="AD915" s="8" t="str">
        <v>10019</v>
      </c>
    </row>
    <row r="916" spans="1:30">
      <c r="A916" s="8" t="s">
        <v>941</v>
      </c>
      <c r="B916" s="19">
        <v>42101</v>
      </c>
      <c r="C916" s="8" t="s">
        <v>44</v>
      </c>
      <c r="D916" s="8">
        <v>10015</v>
      </c>
      <c r="E916" s="8" t="str">
        <f>VLOOKUP($D916,'Customer Details'!$A$1:$F$17,4,FALSE)</f>
        <v>South Windsor</v>
      </c>
      <c r="F916" s="8" t="s">
        <v>524</v>
      </c>
      <c r="G916" s="8">
        <v>1</v>
      </c>
      <c r="H916" s="2" t="str">
        <f>VLOOKUP($D916,'Customer Details'!$A$1:$F$17,MATCH('Order SUmmary'!H$2,'Customer Details'!$A$1:$F$1,0),0)</f>
        <v>Punj Lloyd Ltd.</v>
      </c>
      <c r="I916" s="2" t="str">
        <f>VLOOKUP($D916,'Customer Details'!$A$1:$F$17,4,0)</f>
        <v>South Windsor</v>
      </c>
      <c r="J916" s="2" t="str">
        <f>VLOOKUP($D916,'Customer Details'!$A$1:$F$17,6,0)</f>
        <v>06074</v>
      </c>
      <c r="K916" s="8" t="str">
        <f>VLOOKUP(VLOOKUP(D916,'Customer Details'!$A$1:$F$17,5,0),'Region INfo'!$A$1:$C$52,3,0)</f>
        <v xml:space="preserve">Northern </v>
      </c>
      <c r="L916" s="8" t="str">
        <f>INDEX(Product_List,MATCH($F916,'Product List'!$B$1:$B$299,0),MATCH('Order SUmmary'!L$2,'Product List'!$A$1:$E$1,0))</f>
        <v>Avery 495</v>
      </c>
      <c r="M916" s="8">
        <f>INDEX(Product_List,MATCH($F916,'Product List'!$B$1:$B$299,0),MATCH('Order SUmmary'!M$2,'Product List'!$A$1:$E$1,0))</f>
        <v>4542</v>
      </c>
      <c r="N916" s="8">
        <f>INDEX(Product_List,MATCH($F916,'Product List'!$B$1:$B$299,0),MATCH('Order SUmmary'!N$2,'Product List'!$A$1:$E$1,0))</f>
        <v>1226</v>
      </c>
      <c r="O916" s="8" t="str">
        <f>INDEX(Product_List,MATCH($F916,'Product List'!$B$1:$B$299,0),MATCH('Order SUmmary'!O$2,'Product List'!$A$1:$E$1,0))</f>
        <v>Labels</v>
      </c>
      <c r="P916" s="12">
        <f>HLOOKUP(C916,'Commission Criteria'!$A$2:$I$4,3,FALSE)</f>
        <v>4</v>
      </c>
      <c r="Q916" s="8">
        <f t="shared" si="43"/>
        <v>1226</v>
      </c>
      <c r="R916" s="8">
        <f t="shared" si="44"/>
        <v>4542</v>
      </c>
      <c r="S916" s="36">
        <f>VLOOKUP(R916,'Commission Criteria'!$L$3:$M$11,2,TRUE)</f>
        <v>0.01</v>
      </c>
      <c r="T916" s="36">
        <f>IF(P916&lt;5,VLOOKUP(R916,'Commission Criteria'!$L$3:$M$11,2,1),VLOOKUP('Order SUmmary'!R916,'Commission Criteria'!$P$3:$Q$11,2,1))</f>
        <v>0.01</v>
      </c>
      <c r="U916" s="36">
        <f>VLOOKUP(R916,IF(P916&lt;5,'Commission Criteria'!$L$3:$M$11,'Commission Criteria'!$P$3:$Q$11),2,1)</f>
        <v>0.01</v>
      </c>
      <c r="V916" s="8" t="s">
        <v>32</v>
      </c>
      <c r="W916" s="36">
        <f t="shared" ca="1" si="45"/>
        <v>0</v>
      </c>
      <c r="X916" s="8" t="str">
        <f>_xlfn.XLOOKUP(F916,'Product List'!$B$1:$B$299,'Product List'!$A$1:$A$299)</f>
        <v>Avery 495</v>
      </c>
      <c r="Y916" s="8"/>
      <c r="Z916" s="8" t="str" cm="1">
        <f t="array" ref="Z916:AD916">_xlfn.XLOOKUP(D916,'Customer Details'!$A$1:$A$17,'Customer Details'!$B$1:$F$17,"No such customer",0,1)</f>
        <v>Punj Lloyd Ltd.</v>
      </c>
      <c r="AA916" s="8" t="str">
        <v>Box 3263</v>
      </c>
      <c r="AB916" s="8" t="str">
        <v>South Windsor</v>
      </c>
      <c r="AC916" s="8" t="str">
        <v>CT</v>
      </c>
      <c r="AD916" s="8" t="str">
        <v>06074</v>
      </c>
    </row>
    <row r="917" spans="1:30">
      <c r="A917" s="8" t="s">
        <v>940</v>
      </c>
      <c r="B917" s="19">
        <v>42101</v>
      </c>
      <c r="C917" s="8" t="s">
        <v>27</v>
      </c>
      <c r="D917" s="8">
        <v>10012</v>
      </c>
      <c r="E917" s="8" t="str">
        <f>VLOOKUP($D917,'Customer Details'!$A$1:$F$17,4,FALSE)</f>
        <v>Santa Barbara</v>
      </c>
      <c r="F917" s="8" t="s">
        <v>90</v>
      </c>
      <c r="G917" s="8">
        <v>2</v>
      </c>
      <c r="H917" s="2" t="str">
        <f>VLOOKUP($D917,'Customer Details'!$A$1:$F$17,MATCH('Order SUmmary'!H$2,'Customer Details'!$A$1:$F$1,0),0)</f>
        <v>Dynamatic Technologies Ltd.</v>
      </c>
      <c r="I917" s="2" t="str">
        <f>VLOOKUP($D917,'Customer Details'!$A$1:$F$17,4,0)</f>
        <v>Santa Barbara</v>
      </c>
      <c r="J917" s="2" t="str">
        <f>VLOOKUP($D917,'Customer Details'!$A$1:$F$17,6,0)</f>
        <v>93110</v>
      </c>
      <c r="K917" s="8" t="str">
        <f>VLOOKUP(VLOOKUP(D917,'Customer Details'!$A$1:$F$17,5,0),'Region INfo'!$A$1:$C$52,3,0)</f>
        <v xml:space="preserve">Pacific   </v>
      </c>
      <c r="L917" s="8" t="str">
        <f>INDEX(Product_List,MATCH($F917,'Product List'!$B$1:$B$299,0),MATCH('Order SUmmary'!L$2,'Product List'!$A$1:$E$1,0))</f>
        <v>Xerox 1974</v>
      </c>
      <c r="M917" s="8">
        <f>INDEX(Product_List,MATCH($F917,'Product List'!$B$1:$B$299,0),MATCH('Order SUmmary'!M$2,'Product List'!$A$1:$E$1,0))</f>
        <v>2734</v>
      </c>
      <c r="N917" s="8">
        <f>INDEX(Product_List,MATCH($F917,'Product List'!$B$1:$B$299,0),MATCH('Order SUmmary'!N$2,'Product List'!$A$1:$E$1,0))</f>
        <v>1596</v>
      </c>
      <c r="O917" s="8" t="str">
        <f>INDEX(Product_List,MATCH($F917,'Product List'!$B$1:$B$299,0),MATCH('Order SUmmary'!O$2,'Product List'!$A$1:$E$1,0))</f>
        <v>Paper</v>
      </c>
      <c r="P917" s="12">
        <f>HLOOKUP(C917,'Commission Criteria'!$A$2:$I$4,3,FALSE)</f>
        <v>4</v>
      </c>
      <c r="Q917" s="8">
        <f t="shared" si="43"/>
        <v>3192</v>
      </c>
      <c r="R917" s="8">
        <f t="shared" si="44"/>
        <v>5468</v>
      </c>
      <c r="S917" s="36">
        <f>VLOOKUP(R917,'Commission Criteria'!$L$3:$M$11,2,TRUE)</f>
        <v>0.03</v>
      </c>
      <c r="T917" s="36">
        <f>IF(P917&lt;5,VLOOKUP(R917,'Commission Criteria'!$L$3:$M$11,2,1),VLOOKUP('Order SUmmary'!R917,'Commission Criteria'!$P$3:$Q$11,2,1))</f>
        <v>0.03</v>
      </c>
      <c r="U917" s="36">
        <f>VLOOKUP(R917,IF(P917&lt;5,'Commission Criteria'!$L$3:$M$11,'Commission Criteria'!$P$3:$Q$11),2,1)</f>
        <v>0.03</v>
      </c>
      <c r="V917" s="8" t="s">
        <v>40</v>
      </c>
      <c r="W917" s="36">
        <f t="shared" ca="1" si="45"/>
        <v>0</v>
      </c>
      <c r="X917" s="8" t="str">
        <f>_xlfn.XLOOKUP(F917,'Product List'!$B$1:$B$299,'Product List'!$A$1:$A$299)</f>
        <v>Xerox 1974</v>
      </c>
      <c r="Y917" s="8"/>
      <c r="Z917" s="8" t="str" cm="1">
        <f t="array" ref="Z917:AD917">_xlfn.XLOOKUP(D917,'Customer Details'!$A$1:$A$17,'Customer Details'!$B$1:$F$17,"No such customer",0,1)</f>
        <v>Dynamatic Technologies Ltd.</v>
      </c>
      <c r="AA917" s="8" t="str">
        <v>402 Pinkster Lane</v>
      </c>
      <c r="AB917" s="8" t="str">
        <v>Santa Barbara</v>
      </c>
      <c r="AC917" s="8" t="str">
        <v>CA</v>
      </c>
      <c r="AD917" s="8" t="str">
        <v>93110</v>
      </c>
    </row>
    <row r="918" spans="1:30">
      <c r="A918" s="8" t="s">
        <v>942</v>
      </c>
      <c r="B918" s="19">
        <v>42101</v>
      </c>
      <c r="C918" s="8" t="s">
        <v>44</v>
      </c>
      <c r="D918" s="8">
        <v>10003</v>
      </c>
      <c r="E918" s="8" t="str">
        <f>VLOOKUP($D918,'Customer Details'!$A$1:$F$17,4,FALSE)</f>
        <v>Miami</v>
      </c>
      <c r="F918" s="8" t="s">
        <v>90</v>
      </c>
      <c r="G918" s="8">
        <v>3</v>
      </c>
      <c r="H918" s="2" t="str">
        <f>VLOOKUP($D918,'Customer Details'!$A$1:$F$17,MATCH('Order SUmmary'!H$2,'Customer Details'!$A$1:$F$1,0),0)</f>
        <v>Honeywell Automation</v>
      </c>
      <c r="I918" s="2" t="str">
        <f>VLOOKUP($D918,'Customer Details'!$A$1:$F$17,4,0)</f>
        <v>Miami</v>
      </c>
      <c r="J918" s="2" t="str">
        <f>VLOOKUP($D918,'Customer Details'!$A$1:$F$17,6,0)</f>
        <v>33732</v>
      </c>
      <c r="K918" s="8" t="str">
        <f>VLOOKUP(VLOOKUP(D918,'Customer Details'!$A$1:$F$17,5,0),'Region INfo'!$A$1:$C$52,3,0)</f>
        <v>Southern</v>
      </c>
      <c r="L918" s="8" t="str">
        <f>INDEX(Product_List,MATCH($F918,'Product List'!$B$1:$B$299,0),MATCH('Order SUmmary'!L$2,'Product List'!$A$1:$E$1,0))</f>
        <v>Xerox 1974</v>
      </c>
      <c r="M918" s="8">
        <f>INDEX(Product_List,MATCH($F918,'Product List'!$B$1:$B$299,0),MATCH('Order SUmmary'!M$2,'Product List'!$A$1:$E$1,0))</f>
        <v>2734</v>
      </c>
      <c r="N918" s="8">
        <f>INDEX(Product_List,MATCH($F918,'Product List'!$B$1:$B$299,0),MATCH('Order SUmmary'!N$2,'Product List'!$A$1:$E$1,0))</f>
        <v>1596</v>
      </c>
      <c r="O918" s="8" t="str">
        <f>INDEX(Product_List,MATCH($F918,'Product List'!$B$1:$B$299,0),MATCH('Order SUmmary'!O$2,'Product List'!$A$1:$E$1,0))</f>
        <v>Paper</v>
      </c>
      <c r="P918" s="12">
        <f>HLOOKUP(C918,'Commission Criteria'!$A$2:$I$4,3,FALSE)</f>
        <v>4</v>
      </c>
      <c r="Q918" s="8">
        <f t="shared" si="43"/>
        <v>4788</v>
      </c>
      <c r="R918" s="8">
        <f t="shared" si="44"/>
        <v>8202</v>
      </c>
      <c r="S918" s="36">
        <f>VLOOKUP(R918,'Commission Criteria'!$L$3:$M$11,2,TRUE)</f>
        <v>0.03</v>
      </c>
      <c r="T918" s="36">
        <f>IF(P918&lt;5,VLOOKUP(R918,'Commission Criteria'!$L$3:$M$11,2,1),VLOOKUP('Order SUmmary'!R918,'Commission Criteria'!$P$3:$Q$11,2,1))</f>
        <v>0.03</v>
      </c>
      <c r="U918" s="36">
        <f>VLOOKUP(R918,IF(P918&lt;5,'Commission Criteria'!$L$3:$M$11,'Commission Criteria'!$P$3:$Q$11),2,1)</f>
        <v>0.03</v>
      </c>
      <c r="V918" s="8" t="s">
        <v>50</v>
      </c>
      <c r="W918" s="36">
        <f t="shared" ca="1" si="45"/>
        <v>0.01</v>
      </c>
      <c r="X918" s="8" t="str">
        <f>_xlfn.XLOOKUP(F918,'Product List'!$B$1:$B$299,'Product List'!$A$1:$A$299)</f>
        <v>Xerox 1974</v>
      </c>
      <c r="Y918" s="8"/>
      <c r="Z918" s="8" t="str" cm="1">
        <f t="array" ref="Z918:AD918">_xlfn.XLOOKUP(D918,'Customer Details'!$A$1:$A$17,'Customer Details'!$B$1:$F$17,"No such customer",0,1)</f>
        <v>Honeywell Automation</v>
      </c>
      <c r="AA918" s="8" t="str">
        <v>1272 Harbor Road</v>
      </c>
      <c r="AB918" s="8" t="str">
        <v>Miami</v>
      </c>
      <c r="AC918" s="8" t="str">
        <v>FL</v>
      </c>
      <c r="AD918" s="8" t="str">
        <v>33732</v>
      </c>
    </row>
    <row r="919" spans="1:30">
      <c r="A919" s="8" t="s">
        <v>943</v>
      </c>
      <c r="B919" s="19">
        <v>42102</v>
      </c>
      <c r="C919" s="8" t="s">
        <v>46</v>
      </c>
      <c r="D919" s="8">
        <v>10005</v>
      </c>
      <c r="E919" s="8" t="str">
        <f>VLOOKUP($D919,'Customer Details'!$A$1:$F$17,4,FALSE)</f>
        <v>Goleta</v>
      </c>
      <c r="F919" s="8" t="s">
        <v>158</v>
      </c>
      <c r="G919" s="8">
        <v>1</v>
      </c>
      <c r="H919" s="2" t="str">
        <f>VLOOKUP($D919,'Customer Details'!$A$1:$F$17,MATCH('Order SUmmary'!H$2,'Customer Details'!$A$1:$F$1,0),0)</f>
        <v>Fortis Healthcare Ltd.</v>
      </c>
      <c r="I919" s="2" t="str">
        <f>VLOOKUP($D919,'Customer Details'!$A$1:$F$17,4,0)</f>
        <v>Goleta</v>
      </c>
      <c r="J919" s="2" t="str">
        <f>VLOOKUP($D919,'Customer Details'!$A$1:$F$17,6,0)</f>
        <v>93117</v>
      </c>
      <c r="K919" s="8" t="str">
        <f>VLOOKUP(VLOOKUP(D919,'Customer Details'!$A$1:$F$17,5,0),'Region INfo'!$A$1:$C$52,3,0)</f>
        <v xml:space="preserve">Pacific   </v>
      </c>
      <c r="L919" s="8" t="str">
        <f>INDEX(Product_List,MATCH($F919,'Product List'!$B$1:$B$299,0),MATCH('Order SUmmary'!L$2,'Product List'!$A$1:$E$1,0))</f>
        <v>Vtech CS6719</v>
      </c>
      <c r="M919" s="8">
        <f>INDEX(Product_List,MATCH($F919,'Product List'!$B$1:$B$299,0),MATCH('Order SUmmary'!M$2,'Product List'!$A$1:$E$1,0))</f>
        <v>3553</v>
      </c>
      <c r="N919" s="8">
        <f>INDEX(Product_List,MATCH($F919,'Product List'!$B$1:$B$299,0),MATCH('Order SUmmary'!N$2,'Product List'!$A$1:$E$1,0))</f>
        <v>2174</v>
      </c>
      <c r="O919" s="8" t="str">
        <f>INDEX(Product_List,MATCH($F919,'Product List'!$B$1:$B$299,0),MATCH('Order SUmmary'!O$2,'Product List'!$A$1:$E$1,0))</f>
        <v>Phones</v>
      </c>
      <c r="P919" s="12">
        <f>HLOOKUP(C919,'Commission Criteria'!$A$2:$I$4,3,FALSE)</f>
        <v>8</v>
      </c>
      <c r="Q919" s="8">
        <f t="shared" si="43"/>
        <v>2174</v>
      </c>
      <c r="R919" s="8">
        <f t="shared" si="44"/>
        <v>3553</v>
      </c>
      <c r="S919" s="36">
        <f>VLOOKUP(R919,'Commission Criteria'!$L$3:$M$11,2,TRUE)</f>
        <v>0.01</v>
      </c>
      <c r="T919" s="36">
        <f>IF(P919&lt;5,VLOOKUP(R919,'Commission Criteria'!$L$3:$M$11,2,1),VLOOKUP('Order SUmmary'!R919,'Commission Criteria'!$P$3:$Q$11,2,1))</f>
        <v>0.02</v>
      </c>
      <c r="U919" s="36">
        <f>VLOOKUP(R919,IF(P919&lt;5,'Commission Criteria'!$L$3:$M$11,'Commission Criteria'!$P$3:$Q$11),2,1)</f>
        <v>0.02</v>
      </c>
      <c r="V919" s="8" t="s">
        <v>29</v>
      </c>
      <c r="W919" s="36">
        <f t="shared" ca="1" si="45"/>
        <v>0.03</v>
      </c>
      <c r="X919" s="8" t="str">
        <f>_xlfn.XLOOKUP(F919,'Product List'!$B$1:$B$299,'Product List'!$A$1:$A$299)</f>
        <v>Vtech CS6719</v>
      </c>
      <c r="Y919" s="8"/>
      <c r="Z919" s="8" t="str" cm="1">
        <f t="array" ref="Z919:AD919">_xlfn.XLOOKUP(D919,'Customer Details'!$A$1:$A$17,'Customer Details'!$B$1:$F$17,"No such customer",0,1)</f>
        <v>Fortis Healthcare Ltd.</v>
      </c>
      <c r="AA919" s="8" t="str">
        <v>14 Elsworthy Terrace</v>
      </c>
      <c r="AB919" s="8" t="str">
        <v>Goleta</v>
      </c>
      <c r="AC919" s="8" t="str">
        <v>CA</v>
      </c>
      <c r="AD919" s="8" t="str">
        <v>93117</v>
      </c>
    </row>
    <row r="920" spans="1:30">
      <c r="A920" s="8" t="s">
        <v>944</v>
      </c>
      <c r="B920" s="19">
        <v>42105</v>
      </c>
      <c r="C920" s="8" t="s">
        <v>27</v>
      </c>
      <c r="D920" s="8">
        <v>10003</v>
      </c>
      <c r="E920" s="8" t="str">
        <f>VLOOKUP($D920,'Customer Details'!$A$1:$F$17,4,FALSE)</f>
        <v>Miami</v>
      </c>
      <c r="F920" s="8" t="s">
        <v>67</v>
      </c>
      <c r="G920" s="8">
        <v>2</v>
      </c>
      <c r="H920" s="2" t="str">
        <f>VLOOKUP($D920,'Customer Details'!$A$1:$F$17,MATCH('Order SUmmary'!H$2,'Customer Details'!$A$1:$F$1,0),0)</f>
        <v>Honeywell Automation</v>
      </c>
      <c r="I920" s="2" t="str">
        <f>VLOOKUP($D920,'Customer Details'!$A$1:$F$17,4,0)</f>
        <v>Miami</v>
      </c>
      <c r="J920" s="2" t="str">
        <f>VLOOKUP($D920,'Customer Details'!$A$1:$F$17,6,0)</f>
        <v>33732</v>
      </c>
      <c r="K920" s="8" t="str">
        <f>VLOOKUP(VLOOKUP(D920,'Customer Details'!$A$1:$F$17,5,0),'Region INfo'!$A$1:$C$52,3,0)</f>
        <v>Southern</v>
      </c>
      <c r="L920" s="8" t="str">
        <f>INDEX(Product_List,MATCH($F920,'Product List'!$B$1:$B$299,0),MATCH('Order SUmmary'!L$2,'Product List'!$A$1:$E$1,0))</f>
        <v>Xerox 1927</v>
      </c>
      <c r="M920" s="8">
        <f>INDEX(Product_List,MATCH($F920,'Product List'!$B$1:$B$299,0),MATCH('Order SUmmary'!M$2,'Product List'!$A$1:$E$1,0))</f>
        <v>4392</v>
      </c>
      <c r="N920" s="8">
        <f>INDEX(Product_List,MATCH($F920,'Product List'!$B$1:$B$299,0),MATCH('Order SUmmary'!N$2,'Product List'!$A$1:$E$1,0))</f>
        <v>1542</v>
      </c>
      <c r="O920" s="8" t="str">
        <f>INDEX(Product_List,MATCH($F920,'Product List'!$B$1:$B$299,0),MATCH('Order SUmmary'!O$2,'Product List'!$A$1:$E$1,0))</f>
        <v>Paper</v>
      </c>
      <c r="P920" s="12">
        <f>HLOOKUP(C920,'Commission Criteria'!$A$2:$I$4,3,FALSE)</f>
        <v>4</v>
      </c>
      <c r="Q920" s="8">
        <f t="shared" si="43"/>
        <v>3084</v>
      </c>
      <c r="R920" s="8">
        <f t="shared" si="44"/>
        <v>8784</v>
      </c>
      <c r="S920" s="36">
        <f>VLOOKUP(R920,'Commission Criteria'!$L$3:$M$11,2,TRUE)</f>
        <v>0.03</v>
      </c>
      <c r="T920" s="36">
        <f>IF(P920&lt;5,VLOOKUP(R920,'Commission Criteria'!$L$3:$M$11,2,1),VLOOKUP('Order SUmmary'!R920,'Commission Criteria'!$P$3:$Q$11,2,1))</f>
        <v>0.03</v>
      </c>
      <c r="U920" s="36">
        <f>VLOOKUP(R920,IF(P920&lt;5,'Commission Criteria'!$L$3:$M$11,'Commission Criteria'!$P$3:$Q$11),2,1)</f>
        <v>0.03</v>
      </c>
      <c r="V920" s="8" t="s">
        <v>35</v>
      </c>
      <c r="W920" s="36">
        <f t="shared" ca="1" si="45"/>
        <v>0</v>
      </c>
      <c r="X920" s="8" t="str">
        <f>_xlfn.XLOOKUP(F920,'Product List'!$B$1:$B$299,'Product List'!$A$1:$A$299)</f>
        <v>Xerox 1927</v>
      </c>
      <c r="Y920" s="8"/>
      <c r="Z920" s="8" t="str" cm="1">
        <f t="array" ref="Z920:AD920">_xlfn.XLOOKUP(D920,'Customer Details'!$A$1:$A$17,'Customer Details'!$B$1:$F$17,"No such customer",0,1)</f>
        <v>Honeywell Automation</v>
      </c>
      <c r="AA920" s="8" t="str">
        <v>1272 Harbor Road</v>
      </c>
      <c r="AB920" s="8" t="str">
        <v>Miami</v>
      </c>
      <c r="AC920" s="8" t="str">
        <v>FL</v>
      </c>
      <c r="AD920" s="8" t="str">
        <v>33732</v>
      </c>
    </row>
    <row r="921" spans="1:30">
      <c r="A921" s="8" t="s">
        <v>945</v>
      </c>
      <c r="B921" s="19">
        <v>42108</v>
      </c>
      <c r="C921" s="8" t="s">
        <v>51</v>
      </c>
      <c r="D921" s="8">
        <v>10009</v>
      </c>
      <c r="E921" s="8" t="str">
        <f>VLOOKUP($D921,'Customer Details'!$A$1:$F$17,4,FALSE)</f>
        <v>Salt Lake City</v>
      </c>
      <c r="F921" s="8" t="s">
        <v>147</v>
      </c>
      <c r="G921" s="8">
        <v>1</v>
      </c>
      <c r="H921" s="2" t="str">
        <f>VLOOKUP($D921,'Customer Details'!$A$1:$F$17,MATCH('Order SUmmary'!H$2,'Customer Details'!$A$1:$F$1,0),0)</f>
        <v>Godfrey Philips India Ltd.</v>
      </c>
      <c r="I921" s="2" t="str">
        <f>VLOOKUP($D921,'Customer Details'!$A$1:$F$17,4,0)</f>
        <v>Salt Lake City</v>
      </c>
      <c r="J921" s="2" t="str">
        <f>VLOOKUP($D921,'Customer Details'!$A$1:$F$17,6,0)</f>
        <v>84118</v>
      </c>
      <c r="K921" s="8" t="str">
        <f>VLOOKUP(VLOOKUP(D921,'Customer Details'!$A$1:$F$17,5,0),'Region INfo'!$A$1:$C$52,3,0)</f>
        <v xml:space="preserve">Pacific   </v>
      </c>
      <c r="L921" s="8" t="str">
        <f>INDEX(Product_List,MATCH($F921,'Product List'!$B$1:$B$299,0),MATCH('Order SUmmary'!L$2,'Product List'!$A$1:$E$1,0))</f>
        <v>Xerox 1936</v>
      </c>
      <c r="M921" s="8">
        <f>INDEX(Product_List,MATCH($F921,'Product List'!$B$1:$B$299,0),MATCH('Order SUmmary'!M$2,'Product List'!$A$1:$E$1,0))</f>
        <v>2539</v>
      </c>
      <c r="N921" s="8">
        <f>INDEX(Product_List,MATCH($F921,'Product List'!$B$1:$B$299,0),MATCH('Order SUmmary'!N$2,'Product List'!$A$1:$E$1,0))</f>
        <v>1656</v>
      </c>
      <c r="O921" s="8" t="str">
        <f>INDEX(Product_List,MATCH($F921,'Product List'!$B$1:$B$299,0),MATCH('Order SUmmary'!O$2,'Product List'!$A$1:$E$1,0))</f>
        <v>Paper</v>
      </c>
      <c r="P921" s="12">
        <f>HLOOKUP(C921,'Commission Criteria'!$A$2:$I$4,3,FALSE)</f>
        <v>10</v>
      </c>
      <c r="Q921" s="8">
        <f t="shared" si="43"/>
        <v>1656</v>
      </c>
      <c r="R921" s="8">
        <f t="shared" si="44"/>
        <v>2539</v>
      </c>
      <c r="S921" s="36">
        <f>VLOOKUP(R921,'Commission Criteria'!$L$3:$M$11,2,TRUE)</f>
        <v>0.01</v>
      </c>
      <c r="T921" s="36">
        <f>IF(P921&lt;5,VLOOKUP(R921,'Commission Criteria'!$L$3:$M$11,2,1),VLOOKUP('Order SUmmary'!R921,'Commission Criteria'!$P$3:$Q$11,2,1))</f>
        <v>0.02</v>
      </c>
      <c r="U921" s="36">
        <f>VLOOKUP(R921,IF(P921&lt;5,'Commission Criteria'!$L$3:$M$11,'Commission Criteria'!$P$3:$Q$11),2,1)</f>
        <v>0.02</v>
      </c>
      <c r="V921" s="8" t="s">
        <v>50</v>
      </c>
      <c r="W921" s="36">
        <f t="shared" ca="1" si="45"/>
        <v>0</v>
      </c>
      <c r="X921" s="8" t="str">
        <f>_xlfn.XLOOKUP(F921,'Product List'!$B$1:$B$299,'Product List'!$A$1:$A$299)</f>
        <v>Xerox 1936</v>
      </c>
      <c r="Y921" s="8"/>
      <c r="Z921" s="8" t="str" cm="1">
        <f t="array" ref="Z921:AD921">_xlfn.XLOOKUP(D921,'Customer Details'!$A$1:$A$17,'Customer Details'!$B$1:$F$17,"No such customer",0,1)</f>
        <v>Godfrey Philips India Ltd.</v>
      </c>
      <c r="AA921" s="8" t="str">
        <v>20501 Ania Ave #2</v>
      </c>
      <c r="AB921" s="8" t="str">
        <v>Salt Lake City</v>
      </c>
      <c r="AC921" s="8" t="str">
        <v>UT</v>
      </c>
      <c r="AD921" s="8" t="str">
        <v>84118</v>
      </c>
    </row>
    <row r="922" spans="1:30">
      <c r="A922" s="8" t="s">
        <v>946</v>
      </c>
      <c r="B922" s="19">
        <v>42108</v>
      </c>
      <c r="C922" s="8" t="s">
        <v>33</v>
      </c>
      <c r="D922" s="8">
        <v>10004</v>
      </c>
      <c r="E922" s="8" t="str">
        <f>VLOOKUP($D922,'Customer Details'!$A$1:$F$17,4,FALSE)</f>
        <v>New York</v>
      </c>
      <c r="F922" s="8" t="s">
        <v>395</v>
      </c>
      <c r="G922" s="8">
        <v>3</v>
      </c>
      <c r="H922" s="2" t="str">
        <f>VLOOKUP($D922,'Customer Details'!$A$1:$F$17,MATCH('Order SUmmary'!H$2,'Customer Details'!$A$1:$F$1,0),0)</f>
        <v>Lupin Ltd.</v>
      </c>
      <c r="I922" s="2" t="str">
        <f>VLOOKUP($D922,'Customer Details'!$A$1:$F$17,4,0)</f>
        <v>New York</v>
      </c>
      <c r="J922" s="2" t="str">
        <f>VLOOKUP($D922,'Customer Details'!$A$1:$F$17,6,0)</f>
        <v>10019</v>
      </c>
      <c r="K922" s="8" t="str">
        <f>VLOOKUP(VLOOKUP(D922,'Customer Details'!$A$1:$F$17,5,0),'Region INfo'!$A$1:$C$52,3,0)</f>
        <v xml:space="preserve">Northern </v>
      </c>
      <c r="L922" s="8" t="str">
        <f>INDEX(Product_List,MATCH($F922,'Product List'!$B$1:$B$299,0),MATCH('Order SUmmary'!L$2,'Product List'!$A$1:$E$1,0))</f>
        <v>Xerox 1883</v>
      </c>
      <c r="M922" s="8">
        <f>INDEX(Product_List,MATCH($F922,'Product List'!$B$1:$B$299,0),MATCH('Order SUmmary'!M$2,'Product List'!$A$1:$E$1,0))</f>
        <v>3112</v>
      </c>
      <c r="N922" s="8">
        <f>INDEX(Product_List,MATCH($F922,'Product List'!$B$1:$B$299,0),MATCH('Order SUmmary'!N$2,'Product List'!$A$1:$E$1,0))</f>
        <v>1766</v>
      </c>
      <c r="O922" s="8" t="str">
        <f>INDEX(Product_List,MATCH($F922,'Product List'!$B$1:$B$299,0),MATCH('Order SUmmary'!O$2,'Product List'!$A$1:$E$1,0))</f>
        <v>Paper</v>
      </c>
      <c r="P922" s="12">
        <f>HLOOKUP(C922,'Commission Criteria'!$A$2:$I$4,3,FALSE)</f>
        <v>1</v>
      </c>
      <c r="Q922" s="8">
        <f t="shared" si="43"/>
        <v>5298</v>
      </c>
      <c r="R922" s="8">
        <f t="shared" si="44"/>
        <v>9336</v>
      </c>
      <c r="S922" s="36">
        <f>VLOOKUP(R922,'Commission Criteria'!$L$3:$M$11,2,TRUE)</f>
        <v>0.03</v>
      </c>
      <c r="T922" s="36">
        <f>IF(P922&lt;5,VLOOKUP(R922,'Commission Criteria'!$L$3:$M$11,2,1),VLOOKUP('Order SUmmary'!R922,'Commission Criteria'!$P$3:$Q$11,2,1))</f>
        <v>0.03</v>
      </c>
      <c r="U922" s="36">
        <f>VLOOKUP(R922,IF(P922&lt;5,'Commission Criteria'!$L$3:$M$11,'Commission Criteria'!$P$3:$Q$11),2,1)</f>
        <v>0.03</v>
      </c>
      <c r="V922" s="8" t="s">
        <v>40</v>
      </c>
      <c r="W922" s="36">
        <f t="shared" ca="1" si="45"/>
        <v>0</v>
      </c>
      <c r="X922" s="8" t="str">
        <f>_xlfn.XLOOKUP(F922,'Product List'!$B$1:$B$299,'Product List'!$A$1:$A$299)</f>
        <v>Xerox 1883</v>
      </c>
      <c r="Y922" s="8"/>
      <c r="Z922" s="8" t="str" cm="1">
        <f t="array" ref="Z922:AD922">_xlfn.XLOOKUP(D922,'Customer Details'!$A$1:$A$17,'Customer Details'!$B$1:$F$17,"No such customer",0,1)</f>
        <v>Lupin Ltd.</v>
      </c>
      <c r="AA922" s="8" t="str">
        <v>Abbey Wood</v>
      </c>
      <c r="AB922" s="8" t="str">
        <v>New York</v>
      </c>
      <c r="AC922" s="8" t="str">
        <v>NY</v>
      </c>
      <c r="AD922" s="8" t="str">
        <v>10019</v>
      </c>
    </row>
    <row r="923" spans="1:30">
      <c r="A923" s="8" t="s">
        <v>947</v>
      </c>
      <c r="B923" s="19">
        <v>42112</v>
      </c>
      <c r="C923" s="8" t="s">
        <v>33</v>
      </c>
      <c r="D923" s="8">
        <v>10014</v>
      </c>
      <c r="E923" s="8" t="str">
        <f>VLOOKUP($D923,'Customer Details'!$A$1:$F$17,4,FALSE)</f>
        <v>Honolulu</v>
      </c>
      <c r="F923" s="8" t="s">
        <v>205</v>
      </c>
      <c r="G923" s="8">
        <v>1</v>
      </c>
      <c r="H923" s="2" t="str">
        <f>VLOOKUP($D923,'Customer Details'!$A$1:$F$17,MATCH('Order SUmmary'!H$2,'Customer Details'!$A$1:$F$1,0),0)</f>
        <v>Hindusthan National Glass &amp; Industries Ltd.</v>
      </c>
      <c r="I923" s="2" t="str">
        <f>VLOOKUP($D923,'Customer Details'!$A$1:$F$17,4,0)</f>
        <v>Honolulu</v>
      </c>
      <c r="J923" s="2" t="str">
        <f>VLOOKUP($D923,'Customer Details'!$A$1:$F$17,6,0)</f>
        <v>96825</v>
      </c>
      <c r="K923" s="8" t="str">
        <f>VLOOKUP(VLOOKUP(D923,'Customer Details'!$A$1:$F$17,5,0),'Region INfo'!$A$1:$C$52,3,0)</f>
        <v xml:space="preserve">Pacific   </v>
      </c>
      <c r="L923" s="8" t="str">
        <f>INDEX(Product_List,MATCH($F923,'Product List'!$B$1:$B$299,0),MATCH('Order SUmmary'!L$2,'Product List'!$A$1:$E$1,0))</f>
        <v>AT&amp;T TR1909W</v>
      </c>
      <c r="M923" s="8">
        <f>INDEX(Product_List,MATCH($F923,'Product List'!$B$1:$B$299,0),MATCH('Order SUmmary'!M$2,'Product List'!$A$1:$E$1,0))</f>
        <v>4378</v>
      </c>
      <c r="N923" s="8">
        <f>INDEX(Product_List,MATCH($F923,'Product List'!$B$1:$B$299,0),MATCH('Order SUmmary'!N$2,'Product List'!$A$1:$E$1,0))</f>
        <v>1998</v>
      </c>
      <c r="O923" s="8" t="str">
        <f>INDEX(Product_List,MATCH($F923,'Product List'!$B$1:$B$299,0),MATCH('Order SUmmary'!O$2,'Product List'!$A$1:$E$1,0))</f>
        <v>Phones</v>
      </c>
      <c r="P923" s="12">
        <f>HLOOKUP(C923,'Commission Criteria'!$A$2:$I$4,3,FALSE)</f>
        <v>1</v>
      </c>
      <c r="Q923" s="8">
        <f t="shared" si="43"/>
        <v>1998</v>
      </c>
      <c r="R923" s="8">
        <f t="shared" si="44"/>
        <v>4378</v>
      </c>
      <c r="S923" s="36">
        <f>VLOOKUP(R923,'Commission Criteria'!$L$3:$M$11,2,TRUE)</f>
        <v>0.01</v>
      </c>
      <c r="T923" s="36">
        <f>IF(P923&lt;5,VLOOKUP(R923,'Commission Criteria'!$L$3:$M$11,2,1),VLOOKUP('Order SUmmary'!R923,'Commission Criteria'!$P$3:$Q$11,2,1))</f>
        <v>0.01</v>
      </c>
      <c r="U923" s="36">
        <f>VLOOKUP(R923,IF(P923&lt;5,'Commission Criteria'!$L$3:$M$11,'Commission Criteria'!$P$3:$Q$11),2,1)</f>
        <v>0.01</v>
      </c>
      <c r="V923" s="8" t="s">
        <v>29</v>
      </c>
      <c r="W923" s="36">
        <f t="shared" ca="1" si="45"/>
        <v>0</v>
      </c>
      <c r="X923" s="8" t="str">
        <f>_xlfn.XLOOKUP(F923,'Product List'!$B$1:$B$299,'Product List'!$A$1:$A$299)</f>
        <v>AT&amp;T TR1909W</v>
      </c>
      <c r="Y923" s="8"/>
      <c r="Z923" s="8" t="str" cm="1">
        <f t="array" ref="Z923:AD923">_xlfn.XLOOKUP(D923,'Customer Details'!$A$1:$A$17,'Customer Details'!$B$1:$F$17,"No such customer",0,1)</f>
        <v>Hindusthan National Glass &amp; Industries Ltd.</v>
      </c>
      <c r="AA923" s="8" t="str">
        <v>11 Cathy St.</v>
      </c>
      <c r="AB923" s="8" t="str">
        <v>Honolulu</v>
      </c>
      <c r="AC923" s="8" t="str">
        <v>HI</v>
      </c>
      <c r="AD923" s="8" t="str">
        <v>96825</v>
      </c>
    </row>
    <row r="924" spans="1:30">
      <c r="A924" s="8" t="s">
        <v>947</v>
      </c>
      <c r="B924" s="19">
        <v>42112</v>
      </c>
      <c r="C924" s="8" t="s">
        <v>33</v>
      </c>
      <c r="D924" s="8">
        <v>10002</v>
      </c>
      <c r="E924" s="8" t="str">
        <f>VLOOKUP($D924,'Customer Details'!$A$1:$F$17,4,FALSE)</f>
        <v>Omaha</v>
      </c>
      <c r="F924" s="8" t="s">
        <v>190</v>
      </c>
      <c r="G924" s="8">
        <v>2</v>
      </c>
      <c r="H924" s="2" t="str">
        <f>VLOOKUP($D924,'Customer Details'!$A$1:$F$17,MATCH('Order SUmmary'!H$2,'Customer Details'!$A$1:$F$1,0),0)</f>
        <v>Elder Pharmaceuticals</v>
      </c>
      <c r="I924" s="2" t="str">
        <f>VLOOKUP($D924,'Customer Details'!$A$1:$F$17,4,0)</f>
        <v>Omaha</v>
      </c>
      <c r="J924" s="2" t="str">
        <f>VLOOKUP($D924,'Customer Details'!$A$1:$F$17,6,0)</f>
        <v>68127</v>
      </c>
      <c r="K924" s="8" t="str">
        <f>VLOOKUP(VLOOKUP(D924,'Customer Details'!$A$1:$F$17,5,0),'Region INfo'!$A$1:$C$52,3,0)</f>
        <v>Western</v>
      </c>
      <c r="L924" s="8" t="str">
        <f>INDEX(Product_List,MATCH($F924,'Product List'!$B$1:$B$299,0),MATCH('Order SUmmary'!L$2,'Product List'!$A$1:$E$1,0))</f>
        <v>Xerox 1887</v>
      </c>
      <c r="M924" s="8">
        <f>INDEX(Product_List,MATCH($F924,'Product List'!$B$1:$B$299,0),MATCH('Order SUmmary'!M$2,'Product List'!$A$1:$E$1,0))</f>
        <v>2887</v>
      </c>
      <c r="N924" s="8">
        <f>INDEX(Product_List,MATCH($F924,'Product List'!$B$1:$B$299,0),MATCH('Order SUmmary'!N$2,'Product List'!$A$1:$E$1,0))</f>
        <v>1491</v>
      </c>
      <c r="O924" s="8" t="str">
        <f>INDEX(Product_List,MATCH($F924,'Product List'!$B$1:$B$299,0),MATCH('Order SUmmary'!O$2,'Product List'!$A$1:$E$1,0))</f>
        <v>Paper</v>
      </c>
      <c r="P924" s="12">
        <f>HLOOKUP(C924,'Commission Criteria'!$A$2:$I$4,3,FALSE)</f>
        <v>1</v>
      </c>
      <c r="Q924" s="8">
        <f t="shared" si="43"/>
        <v>2982</v>
      </c>
      <c r="R924" s="8">
        <f t="shared" si="44"/>
        <v>5774</v>
      </c>
      <c r="S924" s="36">
        <f>VLOOKUP(R924,'Commission Criteria'!$L$3:$M$11,2,TRUE)</f>
        <v>0.03</v>
      </c>
      <c r="T924" s="36">
        <f>IF(P924&lt;5,VLOOKUP(R924,'Commission Criteria'!$L$3:$M$11,2,1),VLOOKUP('Order SUmmary'!R924,'Commission Criteria'!$P$3:$Q$11,2,1))</f>
        <v>0.03</v>
      </c>
      <c r="U924" s="36">
        <f>VLOOKUP(R924,IF(P924&lt;5,'Commission Criteria'!$L$3:$M$11,'Commission Criteria'!$P$3:$Q$11),2,1)</f>
        <v>0.03</v>
      </c>
      <c r="V924" s="8" t="s">
        <v>32</v>
      </c>
      <c r="W924" s="36">
        <f t="shared" ca="1" si="45"/>
        <v>0</v>
      </c>
      <c r="X924" s="8" t="str">
        <f>_xlfn.XLOOKUP(F924,'Product List'!$B$1:$B$299,'Product List'!$A$1:$A$299)</f>
        <v>Xerox 1887</v>
      </c>
      <c r="Y924" s="8"/>
      <c r="Z924" s="8" t="str" cm="1">
        <f t="array" ref="Z924:AD924">_xlfn.XLOOKUP(D924,'Customer Details'!$A$1:$A$17,'Customer Details'!$B$1:$F$17,"No such customer",0,1)</f>
        <v>Elder Pharmaceuticals</v>
      </c>
      <c r="AA924" s="8" t="str">
        <v>57 Neriba Cres</v>
      </c>
      <c r="AB924" s="8" t="str">
        <v>Omaha</v>
      </c>
      <c r="AC924" s="8" t="str">
        <v>NE</v>
      </c>
      <c r="AD924" s="8" t="str">
        <v>68127</v>
      </c>
    </row>
    <row r="925" spans="1:30">
      <c r="A925" s="8" t="s">
        <v>948</v>
      </c>
      <c r="B925" s="19">
        <v>42113</v>
      </c>
      <c r="C925" s="8" t="s">
        <v>27</v>
      </c>
      <c r="D925" s="8">
        <v>10005</v>
      </c>
      <c r="E925" s="8" t="str">
        <f>VLOOKUP($D925,'Customer Details'!$A$1:$F$17,4,FALSE)</f>
        <v>Goleta</v>
      </c>
      <c r="F925" s="8" t="s">
        <v>592</v>
      </c>
      <c r="G925" s="8">
        <v>1</v>
      </c>
      <c r="H925" s="2" t="str">
        <f>VLOOKUP($D925,'Customer Details'!$A$1:$F$17,MATCH('Order SUmmary'!H$2,'Customer Details'!$A$1:$F$1,0),0)</f>
        <v>Fortis Healthcare Ltd.</v>
      </c>
      <c r="I925" s="2" t="str">
        <f>VLOOKUP($D925,'Customer Details'!$A$1:$F$17,4,0)</f>
        <v>Goleta</v>
      </c>
      <c r="J925" s="2" t="str">
        <f>VLOOKUP($D925,'Customer Details'!$A$1:$F$17,6,0)</f>
        <v>93117</v>
      </c>
      <c r="K925" s="8" t="str">
        <f>VLOOKUP(VLOOKUP(D925,'Customer Details'!$A$1:$F$17,5,0),'Region INfo'!$A$1:$C$52,3,0)</f>
        <v xml:space="preserve">Pacific   </v>
      </c>
      <c r="L925" s="8" t="str">
        <f>INDEX(Product_List,MATCH($F925,'Product List'!$B$1:$B$299,0),MATCH('Order SUmmary'!L$2,'Product List'!$A$1:$E$1,0))</f>
        <v>Avery 5</v>
      </c>
      <c r="M925" s="8">
        <f>INDEX(Product_List,MATCH($F925,'Product List'!$B$1:$B$299,0),MATCH('Order SUmmary'!M$2,'Product List'!$A$1:$E$1,0))</f>
        <v>3388</v>
      </c>
      <c r="N925" s="8">
        <f>INDEX(Product_List,MATCH($F925,'Product List'!$B$1:$B$299,0),MATCH('Order SUmmary'!N$2,'Product List'!$A$1:$E$1,0))</f>
        <v>1454</v>
      </c>
      <c r="O925" s="8" t="str">
        <f>INDEX(Product_List,MATCH($F925,'Product List'!$B$1:$B$299,0),MATCH('Order SUmmary'!O$2,'Product List'!$A$1:$E$1,0))</f>
        <v>Labels</v>
      </c>
      <c r="P925" s="12">
        <f>HLOOKUP(C925,'Commission Criteria'!$A$2:$I$4,3,FALSE)</f>
        <v>4</v>
      </c>
      <c r="Q925" s="8">
        <f t="shared" si="43"/>
        <v>1454</v>
      </c>
      <c r="R925" s="8">
        <f t="shared" si="44"/>
        <v>3388</v>
      </c>
      <c r="S925" s="36">
        <f>VLOOKUP(R925,'Commission Criteria'!$L$3:$M$11,2,TRUE)</f>
        <v>0.01</v>
      </c>
      <c r="T925" s="36">
        <f>IF(P925&lt;5,VLOOKUP(R925,'Commission Criteria'!$L$3:$M$11,2,1),VLOOKUP('Order SUmmary'!R925,'Commission Criteria'!$P$3:$Q$11,2,1))</f>
        <v>0.01</v>
      </c>
      <c r="U925" s="36">
        <f>VLOOKUP(R925,IF(P925&lt;5,'Commission Criteria'!$L$3:$M$11,'Commission Criteria'!$P$3:$Q$11),2,1)</f>
        <v>0.01</v>
      </c>
      <c r="V925" s="8" t="s">
        <v>32</v>
      </c>
      <c r="W925" s="36">
        <f t="shared" ca="1" si="45"/>
        <v>0.02</v>
      </c>
      <c r="X925" s="8" t="str">
        <f>_xlfn.XLOOKUP(F925,'Product List'!$B$1:$B$299,'Product List'!$A$1:$A$299)</f>
        <v>Avery 5</v>
      </c>
      <c r="Y925" s="8"/>
      <c r="Z925" s="8" t="str" cm="1">
        <f t="array" ref="Z925:AD925">_xlfn.XLOOKUP(D925,'Customer Details'!$A$1:$A$17,'Customer Details'!$B$1:$F$17,"No such customer",0,1)</f>
        <v>Fortis Healthcare Ltd.</v>
      </c>
      <c r="AA925" s="8" t="str">
        <v>14 Elsworthy Terrace</v>
      </c>
      <c r="AB925" s="8" t="str">
        <v>Goleta</v>
      </c>
      <c r="AC925" s="8" t="str">
        <v>CA</v>
      </c>
      <c r="AD925" s="8" t="str">
        <v>93117</v>
      </c>
    </row>
    <row r="926" spans="1:30">
      <c r="A926" s="8" t="s">
        <v>949</v>
      </c>
      <c r="B926" s="19">
        <v>42113</v>
      </c>
      <c r="C926" s="8" t="s">
        <v>33</v>
      </c>
      <c r="D926" s="8">
        <v>10010</v>
      </c>
      <c r="E926" s="8" t="str">
        <f>VLOOKUP($D926,'Customer Details'!$A$1:$F$17,4,FALSE)</f>
        <v>Tracy</v>
      </c>
      <c r="F926" s="8" t="s">
        <v>501</v>
      </c>
      <c r="G926" s="8">
        <v>1</v>
      </c>
      <c r="H926" s="2" t="str">
        <f>VLOOKUP($D926,'Customer Details'!$A$1:$F$17,MATCH('Order SUmmary'!H$2,'Customer Details'!$A$1:$F$1,0),0)</f>
        <v>Suzlon Energy Ltd.</v>
      </c>
      <c r="I926" s="2" t="str">
        <f>VLOOKUP($D926,'Customer Details'!$A$1:$F$17,4,0)</f>
        <v>Tracy</v>
      </c>
      <c r="J926" s="2" t="str">
        <f>VLOOKUP($D926,'Customer Details'!$A$1:$F$17,6,0)</f>
        <v>95376</v>
      </c>
      <c r="K926" s="8" t="str">
        <f>VLOOKUP(VLOOKUP(D926,'Customer Details'!$A$1:$F$17,5,0),'Region INfo'!$A$1:$C$52,3,0)</f>
        <v xml:space="preserve">Pacific   </v>
      </c>
      <c r="L926" s="8" t="str">
        <f>INDEX(Product_List,MATCH($F926,'Product List'!$B$1:$B$299,0),MATCH('Order SUmmary'!L$2,'Product List'!$A$1:$E$1,0))</f>
        <v>Avery 500</v>
      </c>
      <c r="M926" s="8">
        <f>INDEX(Product_List,MATCH($F926,'Product List'!$B$1:$B$299,0),MATCH('Order SUmmary'!M$2,'Product List'!$A$1:$E$1,0))</f>
        <v>4234</v>
      </c>
      <c r="N926" s="8">
        <f>INDEX(Product_List,MATCH($F926,'Product List'!$B$1:$B$299,0),MATCH('Order SUmmary'!N$2,'Product List'!$A$1:$E$1,0))</f>
        <v>1212</v>
      </c>
      <c r="O926" s="8" t="str">
        <f>INDEX(Product_List,MATCH($F926,'Product List'!$B$1:$B$299,0),MATCH('Order SUmmary'!O$2,'Product List'!$A$1:$E$1,0))</f>
        <v>Labels</v>
      </c>
      <c r="P926" s="12">
        <f>HLOOKUP(C926,'Commission Criteria'!$A$2:$I$4,3,FALSE)</f>
        <v>1</v>
      </c>
      <c r="Q926" s="8">
        <f t="shared" si="43"/>
        <v>1212</v>
      </c>
      <c r="R926" s="8">
        <f t="shared" si="44"/>
        <v>4234</v>
      </c>
      <c r="S926" s="36">
        <f>VLOOKUP(R926,'Commission Criteria'!$L$3:$M$11,2,TRUE)</f>
        <v>0.01</v>
      </c>
      <c r="T926" s="36">
        <f>IF(P926&lt;5,VLOOKUP(R926,'Commission Criteria'!$L$3:$M$11,2,1),VLOOKUP('Order SUmmary'!R926,'Commission Criteria'!$P$3:$Q$11,2,1))</f>
        <v>0.01</v>
      </c>
      <c r="U926" s="36">
        <f>VLOOKUP(R926,IF(P926&lt;5,'Commission Criteria'!$L$3:$M$11,'Commission Criteria'!$P$3:$Q$11),2,1)</f>
        <v>0.01</v>
      </c>
      <c r="V926" s="8" t="s">
        <v>43</v>
      </c>
      <c r="W926" s="36">
        <f t="shared" ca="1" si="45"/>
        <v>0.05</v>
      </c>
      <c r="X926" s="8" t="str">
        <f>_xlfn.XLOOKUP(F926,'Product List'!$B$1:$B$299,'Product List'!$A$1:$A$299)</f>
        <v>Avery 500</v>
      </c>
      <c r="Y926" s="8"/>
      <c r="Z926" s="8" t="str" cm="1">
        <f t="array" ref="Z926:AD926">_xlfn.XLOOKUP(D926,'Customer Details'!$A$1:$A$17,'Customer Details'!$B$1:$F$17,"No such customer",0,1)</f>
        <v>Suzlon Energy Ltd.</v>
      </c>
      <c r="AA926" s="8" t="str">
        <v>501 Marsh Trail Circle</v>
      </c>
      <c r="AB926" s="8" t="str">
        <v>Tracy</v>
      </c>
      <c r="AC926" s="8" t="str">
        <v>CA</v>
      </c>
      <c r="AD926" s="8" t="str">
        <v>95376</v>
      </c>
    </row>
    <row r="927" spans="1:30">
      <c r="A927" s="8" t="s">
        <v>950</v>
      </c>
      <c r="B927" s="19">
        <v>42113</v>
      </c>
      <c r="C927" s="8" t="s">
        <v>54</v>
      </c>
      <c r="D927" s="8">
        <v>10013</v>
      </c>
      <c r="E927" s="8" t="str">
        <f>VLOOKUP($D927,'Customer Details'!$A$1:$F$17,4,FALSE)</f>
        <v>Naugatuck</v>
      </c>
      <c r="F927" s="8" t="s">
        <v>62</v>
      </c>
      <c r="G927" s="8">
        <v>1</v>
      </c>
      <c r="H927" s="2" t="str">
        <f>VLOOKUP($D927,'Customer Details'!$A$1:$F$17,MATCH('Order SUmmary'!H$2,'Customer Details'!$A$1:$F$1,0),0)</f>
        <v>GMR Infrastructure Ltd.</v>
      </c>
      <c r="I927" s="2" t="str">
        <f>VLOOKUP($D927,'Customer Details'!$A$1:$F$17,4,0)</f>
        <v>Naugatuck</v>
      </c>
      <c r="J927" s="2" t="str">
        <f>VLOOKUP($D927,'Customer Details'!$A$1:$F$17,6,0)</f>
        <v>06770</v>
      </c>
      <c r="K927" s="8" t="str">
        <f>VLOOKUP(VLOOKUP(D927,'Customer Details'!$A$1:$F$17,5,0),'Region INfo'!$A$1:$C$52,3,0)</f>
        <v xml:space="preserve">Northern </v>
      </c>
      <c r="L927" s="8" t="str">
        <f>INDEX(Product_List,MATCH($F927,'Product List'!$B$1:$B$299,0),MATCH('Order SUmmary'!L$2,'Product List'!$A$1:$E$1,0))</f>
        <v>Newell 308</v>
      </c>
      <c r="M927" s="8">
        <f>INDEX(Product_List,MATCH($F927,'Product List'!$B$1:$B$299,0),MATCH('Order SUmmary'!M$2,'Product List'!$A$1:$E$1,0))</f>
        <v>4515</v>
      </c>
      <c r="N927" s="8">
        <f>INDEX(Product_List,MATCH($F927,'Product List'!$B$1:$B$299,0),MATCH('Order SUmmary'!N$2,'Product List'!$A$1:$E$1,0))</f>
        <v>1550</v>
      </c>
      <c r="O927" s="8" t="str">
        <f>INDEX(Product_List,MATCH($F927,'Product List'!$B$1:$B$299,0),MATCH('Order SUmmary'!O$2,'Product List'!$A$1:$E$1,0))</f>
        <v>Art</v>
      </c>
      <c r="P927" s="12">
        <f>HLOOKUP(C927,'Commission Criteria'!$A$2:$I$4,3,FALSE)</f>
        <v>3</v>
      </c>
      <c r="Q927" s="8">
        <f t="shared" si="43"/>
        <v>1550</v>
      </c>
      <c r="R927" s="8">
        <f t="shared" si="44"/>
        <v>4515</v>
      </c>
      <c r="S927" s="36">
        <f>VLOOKUP(R927,'Commission Criteria'!$L$3:$M$11,2,TRUE)</f>
        <v>0.01</v>
      </c>
      <c r="T927" s="36">
        <f>IF(P927&lt;5,VLOOKUP(R927,'Commission Criteria'!$L$3:$M$11,2,1),VLOOKUP('Order SUmmary'!R927,'Commission Criteria'!$P$3:$Q$11,2,1))</f>
        <v>0.01</v>
      </c>
      <c r="U927" s="36">
        <f>VLOOKUP(R927,IF(P927&lt;5,'Commission Criteria'!$L$3:$M$11,'Commission Criteria'!$P$3:$Q$11),2,1)</f>
        <v>0.01</v>
      </c>
      <c r="V927" s="8" t="s">
        <v>40</v>
      </c>
      <c r="W927" s="36">
        <f t="shared" ca="1" si="45"/>
        <v>0</v>
      </c>
      <c r="X927" s="8" t="str">
        <f>_xlfn.XLOOKUP(F927,'Product List'!$B$1:$B$299,'Product List'!$A$1:$A$299)</f>
        <v>Newell 308</v>
      </c>
      <c r="Y927" s="8"/>
      <c r="Z927" s="8" t="str" cm="1">
        <f t="array" ref="Z927:AD927">_xlfn.XLOOKUP(D927,'Customer Details'!$A$1:$A$17,'Customer Details'!$B$1:$F$17,"No such customer",0,1)</f>
        <v>GMR Infrastructure Ltd.</v>
      </c>
      <c r="AA927" s="8" t="str">
        <v>P.O. Box 4421</v>
      </c>
      <c r="AB927" s="8" t="str">
        <v>Naugatuck</v>
      </c>
      <c r="AC927" s="8" t="str">
        <v>CT</v>
      </c>
      <c r="AD927" s="8" t="str">
        <v>06770</v>
      </c>
    </row>
    <row r="928" spans="1:30">
      <c r="A928" s="8" t="s">
        <v>951</v>
      </c>
      <c r="B928" s="19">
        <v>42117</v>
      </c>
      <c r="C928" s="8" t="s">
        <v>54</v>
      </c>
      <c r="D928" s="8">
        <v>10013</v>
      </c>
      <c r="E928" s="8" t="str">
        <f>VLOOKUP($D928,'Customer Details'!$A$1:$F$17,4,FALSE)</f>
        <v>Naugatuck</v>
      </c>
      <c r="F928" s="8" t="s">
        <v>298</v>
      </c>
      <c r="G928" s="8">
        <v>1</v>
      </c>
      <c r="H928" s="2" t="str">
        <f>VLOOKUP($D928,'Customer Details'!$A$1:$F$17,MATCH('Order SUmmary'!H$2,'Customer Details'!$A$1:$F$1,0),0)</f>
        <v>GMR Infrastructure Ltd.</v>
      </c>
      <c r="I928" s="2" t="str">
        <f>VLOOKUP($D928,'Customer Details'!$A$1:$F$17,4,0)</f>
        <v>Naugatuck</v>
      </c>
      <c r="J928" s="2" t="str">
        <f>VLOOKUP($D928,'Customer Details'!$A$1:$F$17,6,0)</f>
        <v>06770</v>
      </c>
      <c r="K928" s="8" t="str">
        <f>VLOOKUP(VLOOKUP(D928,'Customer Details'!$A$1:$F$17,5,0),'Region INfo'!$A$1:$C$52,3,0)</f>
        <v xml:space="preserve">Northern </v>
      </c>
      <c r="L928" s="8" t="str">
        <f>INDEX(Product_List,MATCH($F928,'Product List'!$B$1:$B$299,0),MATCH('Order SUmmary'!L$2,'Product List'!$A$1:$E$1,0))</f>
        <v>Xerox 216</v>
      </c>
      <c r="M928" s="8">
        <f>INDEX(Product_List,MATCH($F928,'Product List'!$B$1:$B$299,0),MATCH('Order SUmmary'!M$2,'Product List'!$A$1:$E$1,0))</f>
        <v>4719</v>
      </c>
      <c r="N928" s="8">
        <f>INDEX(Product_List,MATCH($F928,'Product List'!$B$1:$B$299,0),MATCH('Order SUmmary'!N$2,'Product List'!$A$1:$E$1,0))</f>
        <v>2043</v>
      </c>
      <c r="O928" s="8" t="str">
        <f>INDEX(Product_List,MATCH($F928,'Product List'!$B$1:$B$299,0),MATCH('Order SUmmary'!O$2,'Product List'!$A$1:$E$1,0))</f>
        <v>Paper</v>
      </c>
      <c r="P928" s="12">
        <f>HLOOKUP(C928,'Commission Criteria'!$A$2:$I$4,3,FALSE)</f>
        <v>3</v>
      </c>
      <c r="Q928" s="8">
        <f t="shared" si="43"/>
        <v>2043</v>
      </c>
      <c r="R928" s="8">
        <f t="shared" si="44"/>
        <v>4719</v>
      </c>
      <c r="S928" s="36">
        <f>VLOOKUP(R928,'Commission Criteria'!$L$3:$M$11,2,TRUE)</f>
        <v>0.01</v>
      </c>
      <c r="T928" s="36">
        <f>IF(P928&lt;5,VLOOKUP(R928,'Commission Criteria'!$L$3:$M$11,2,1),VLOOKUP('Order SUmmary'!R928,'Commission Criteria'!$P$3:$Q$11,2,1))</f>
        <v>0.01</v>
      </c>
      <c r="U928" s="36">
        <f>VLOOKUP(R928,IF(P928&lt;5,'Commission Criteria'!$L$3:$M$11,'Commission Criteria'!$P$3:$Q$11),2,1)</f>
        <v>0.01</v>
      </c>
      <c r="V928" s="8" t="s">
        <v>29</v>
      </c>
      <c r="W928" s="36">
        <f t="shared" ca="1" si="45"/>
        <v>0.05</v>
      </c>
      <c r="X928" s="8" t="str">
        <f>_xlfn.XLOOKUP(F928,'Product List'!$B$1:$B$299,'Product List'!$A$1:$A$299)</f>
        <v>Xerox 216</v>
      </c>
      <c r="Y928" s="8"/>
      <c r="Z928" s="8" t="str" cm="1">
        <f t="array" ref="Z928:AD928">_xlfn.XLOOKUP(D928,'Customer Details'!$A$1:$A$17,'Customer Details'!$B$1:$F$17,"No such customer",0,1)</f>
        <v>GMR Infrastructure Ltd.</v>
      </c>
      <c r="AA928" s="8" t="str">
        <v>P.O. Box 4421</v>
      </c>
      <c r="AB928" s="8" t="str">
        <v>Naugatuck</v>
      </c>
      <c r="AC928" s="8" t="str">
        <v>CT</v>
      </c>
      <c r="AD928" s="8" t="str">
        <v>06770</v>
      </c>
    </row>
    <row r="929" spans="1:30">
      <c r="A929" s="8" t="s">
        <v>951</v>
      </c>
      <c r="B929" s="19">
        <v>42117</v>
      </c>
      <c r="C929" s="8" t="s">
        <v>66</v>
      </c>
      <c r="D929" s="8">
        <v>10013</v>
      </c>
      <c r="E929" s="8" t="str">
        <f>VLOOKUP($D929,'Customer Details'!$A$1:$F$17,4,FALSE)</f>
        <v>Naugatuck</v>
      </c>
      <c r="F929" s="8" t="s">
        <v>532</v>
      </c>
      <c r="G929" s="8">
        <v>2</v>
      </c>
      <c r="H929" s="2" t="str">
        <f>VLOOKUP($D929,'Customer Details'!$A$1:$F$17,MATCH('Order SUmmary'!H$2,'Customer Details'!$A$1:$F$1,0),0)</f>
        <v>GMR Infrastructure Ltd.</v>
      </c>
      <c r="I929" s="2" t="str">
        <f>VLOOKUP($D929,'Customer Details'!$A$1:$F$17,4,0)</f>
        <v>Naugatuck</v>
      </c>
      <c r="J929" s="2" t="str">
        <f>VLOOKUP($D929,'Customer Details'!$A$1:$F$17,6,0)</f>
        <v>06770</v>
      </c>
      <c r="K929" s="8" t="str">
        <f>VLOOKUP(VLOOKUP(D929,'Customer Details'!$A$1:$F$17,5,0),'Region INfo'!$A$1:$C$52,3,0)</f>
        <v xml:space="preserve">Northern </v>
      </c>
      <c r="L929" s="8" t="str">
        <f>INDEX(Product_List,MATCH($F929,'Product List'!$B$1:$B$299,0),MATCH('Order SUmmary'!L$2,'Product List'!$A$1:$E$1,0))</f>
        <v>Clarity 53712</v>
      </c>
      <c r="M929" s="8">
        <f>INDEX(Product_List,MATCH($F929,'Product List'!$B$1:$B$299,0),MATCH('Order SUmmary'!M$2,'Product List'!$A$1:$E$1,0))</f>
        <v>2586</v>
      </c>
      <c r="N929" s="8">
        <f>INDEX(Product_List,MATCH($F929,'Product List'!$B$1:$B$299,0),MATCH('Order SUmmary'!N$2,'Product List'!$A$1:$E$1,0))</f>
        <v>2432</v>
      </c>
      <c r="O929" s="8" t="str">
        <f>INDEX(Product_List,MATCH($F929,'Product List'!$B$1:$B$299,0),MATCH('Order SUmmary'!O$2,'Product List'!$A$1:$E$1,0))</f>
        <v>Phones</v>
      </c>
      <c r="P929" s="12">
        <f>HLOOKUP(C929,'Commission Criteria'!$A$2:$I$4,3,FALSE)</f>
        <v>5</v>
      </c>
      <c r="Q929" s="8">
        <f t="shared" si="43"/>
        <v>4864</v>
      </c>
      <c r="R929" s="8">
        <f t="shared" si="44"/>
        <v>5172</v>
      </c>
      <c r="S929" s="36">
        <f>VLOOKUP(R929,'Commission Criteria'!$L$3:$M$11,2,TRUE)</f>
        <v>0.03</v>
      </c>
      <c r="T929" s="36">
        <f>IF(P929&lt;5,VLOOKUP(R929,'Commission Criteria'!$L$3:$M$11,2,1),VLOOKUP('Order SUmmary'!R929,'Commission Criteria'!$P$3:$Q$11,2,1))</f>
        <v>0.02</v>
      </c>
      <c r="U929" s="36">
        <f>VLOOKUP(R929,IF(P929&lt;5,'Commission Criteria'!$L$3:$M$11,'Commission Criteria'!$P$3:$Q$11),2,1)</f>
        <v>0.02</v>
      </c>
      <c r="V929" s="8" t="s">
        <v>43</v>
      </c>
      <c r="W929" s="36">
        <f t="shared" ca="1" si="45"/>
        <v>0</v>
      </c>
      <c r="X929" s="8" t="str">
        <f>_xlfn.XLOOKUP(F929,'Product List'!$B$1:$B$299,'Product List'!$A$1:$A$299)</f>
        <v>Clarity 53712</v>
      </c>
      <c r="Y929" s="8"/>
      <c r="Z929" s="8" t="str" cm="1">
        <f t="array" ref="Z929:AD929">_xlfn.XLOOKUP(D929,'Customer Details'!$A$1:$A$17,'Customer Details'!$B$1:$F$17,"No such customer",0,1)</f>
        <v>GMR Infrastructure Ltd.</v>
      </c>
      <c r="AA929" s="8" t="str">
        <v>P.O. Box 4421</v>
      </c>
      <c r="AB929" s="8" t="str">
        <v>Naugatuck</v>
      </c>
      <c r="AC929" s="8" t="str">
        <v>CT</v>
      </c>
      <c r="AD929" s="8" t="str">
        <v>06770</v>
      </c>
    </row>
    <row r="930" spans="1:30">
      <c r="A930" s="8" t="s">
        <v>952</v>
      </c>
      <c r="B930" s="19">
        <v>42118</v>
      </c>
      <c r="C930" s="8" t="s">
        <v>27</v>
      </c>
      <c r="D930" s="8">
        <v>10015</v>
      </c>
      <c r="E930" s="8" t="str">
        <f>VLOOKUP($D930,'Customer Details'!$A$1:$F$17,4,FALSE)</f>
        <v>South Windsor</v>
      </c>
      <c r="F930" s="8" t="s">
        <v>105</v>
      </c>
      <c r="G930" s="8">
        <v>1</v>
      </c>
      <c r="H930" s="2" t="str">
        <f>VLOOKUP($D930,'Customer Details'!$A$1:$F$17,MATCH('Order SUmmary'!H$2,'Customer Details'!$A$1:$F$1,0),0)</f>
        <v>Punj Lloyd Ltd.</v>
      </c>
      <c r="I930" s="2" t="str">
        <f>VLOOKUP($D930,'Customer Details'!$A$1:$F$17,4,0)</f>
        <v>South Windsor</v>
      </c>
      <c r="J930" s="2" t="str">
        <f>VLOOKUP($D930,'Customer Details'!$A$1:$F$17,6,0)</f>
        <v>06074</v>
      </c>
      <c r="K930" s="8" t="str">
        <f>VLOOKUP(VLOOKUP(D930,'Customer Details'!$A$1:$F$17,5,0),'Region INfo'!$A$1:$C$52,3,0)</f>
        <v xml:space="preserve">Northern </v>
      </c>
      <c r="L930" s="8" t="str">
        <f>INDEX(Product_List,MATCH($F930,'Product List'!$B$1:$B$299,0),MATCH('Order SUmmary'!L$2,'Product List'!$A$1:$E$1,0))</f>
        <v>Xerox 201</v>
      </c>
      <c r="M930" s="8">
        <f>INDEX(Product_List,MATCH($F930,'Product List'!$B$1:$B$299,0),MATCH('Order SUmmary'!M$2,'Product List'!$A$1:$E$1,0))</f>
        <v>2509</v>
      </c>
      <c r="N930" s="8">
        <f>INDEX(Product_List,MATCH($F930,'Product List'!$B$1:$B$299,0),MATCH('Order SUmmary'!N$2,'Product List'!$A$1:$E$1,0))</f>
        <v>1452</v>
      </c>
      <c r="O930" s="8" t="str">
        <f>INDEX(Product_List,MATCH($F930,'Product List'!$B$1:$B$299,0),MATCH('Order SUmmary'!O$2,'Product List'!$A$1:$E$1,0))</f>
        <v>Paper</v>
      </c>
      <c r="P930" s="12">
        <f>HLOOKUP(C930,'Commission Criteria'!$A$2:$I$4,3,FALSE)</f>
        <v>4</v>
      </c>
      <c r="Q930" s="8">
        <f t="shared" si="43"/>
        <v>1452</v>
      </c>
      <c r="R930" s="8">
        <f t="shared" si="44"/>
        <v>2509</v>
      </c>
      <c r="S930" s="36">
        <f>VLOOKUP(R930,'Commission Criteria'!$L$3:$M$11,2,TRUE)</f>
        <v>0.01</v>
      </c>
      <c r="T930" s="36">
        <f>IF(P930&lt;5,VLOOKUP(R930,'Commission Criteria'!$L$3:$M$11,2,1),VLOOKUP('Order SUmmary'!R930,'Commission Criteria'!$P$3:$Q$11,2,1))</f>
        <v>0.01</v>
      </c>
      <c r="U930" s="36">
        <f>VLOOKUP(R930,IF(P930&lt;5,'Commission Criteria'!$L$3:$M$11,'Commission Criteria'!$P$3:$Q$11),2,1)</f>
        <v>0.01</v>
      </c>
      <c r="V930" s="8" t="s">
        <v>40</v>
      </c>
      <c r="W930" s="36">
        <f t="shared" ca="1" si="45"/>
        <v>0.04</v>
      </c>
      <c r="X930" s="8" t="str">
        <f>_xlfn.XLOOKUP(F930,'Product List'!$B$1:$B$299,'Product List'!$A$1:$A$299)</f>
        <v>Xerox 201</v>
      </c>
      <c r="Y930" s="8"/>
      <c r="Z930" s="8" t="str" cm="1">
        <f t="array" ref="Z930:AD930">_xlfn.XLOOKUP(D930,'Customer Details'!$A$1:$A$17,'Customer Details'!$B$1:$F$17,"No such customer",0,1)</f>
        <v>Punj Lloyd Ltd.</v>
      </c>
      <c r="AA930" s="8" t="str">
        <v>Box 3263</v>
      </c>
      <c r="AB930" s="8" t="str">
        <v>South Windsor</v>
      </c>
      <c r="AC930" s="8" t="str">
        <v>CT</v>
      </c>
      <c r="AD930" s="8" t="str">
        <v>06074</v>
      </c>
    </row>
    <row r="931" spans="1:30">
      <c r="A931" s="8" t="s">
        <v>953</v>
      </c>
      <c r="B931" s="19">
        <v>42118</v>
      </c>
      <c r="C931" s="8" t="s">
        <v>54</v>
      </c>
      <c r="D931" s="8">
        <v>10015</v>
      </c>
      <c r="E931" s="8" t="str">
        <f>VLOOKUP($D931,'Customer Details'!$A$1:$F$17,4,FALSE)</f>
        <v>South Windsor</v>
      </c>
      <c r="F931" s="8" t="s">
        <v>403</v>
      </c>
      <c r="G931" s="8">
        <v>1</v>
      </c>
      <c r="H931" s="2" t="str">
        <f>VLOOKUP($D931,'Customer Details'!$A$1:$F$17,MATCH('Order SUmmary'!H$2,'Customer Details'!$A$1:$F$1,0),0)</f>
        <v>Punj Lloyd Ltd.</v>
      </c>
      <c r="I931" s="2" t="str">
        <f>VLOOKUP($D931,'Customer Details'!$A$1:$F$17,4,0)</f>
        <v>South Windsor</v>
      </c>
      <c r="J931" s="2" t="str">
        <f>VLOOKUP($D931,'Customer Details'!$A$1:$F$17,6,0)</f>
        <v>06074</v>
      </c>
      <c r="K931" s="8" t="str">
        <f>VLOOKUP(VLOOKUP(D931,'Customer Details'!$A$1:$F$17,5,0),'Region INfo'!$A$1:$C$52,3,0)</f>
        <v xml:space="preserve">Northern </v>
      </c>
      <c r="L931" s="8" t="str">
        <f>INDEX(Product_List,MATCH($F931,'Product List'!$B$1:$B$299,0),MATCH('Order SUmmary'!L$2,'Product List'!$A$1:$E$1,0))</f>
        <v>Xerox 188</v>
      </c>
      <c r="M931" s="8">
        <f>INDEX(Product_List,MATCH($F931,'Product List'!$B$1:$B$299,0),MATCH('Order SUmmary'!M$2,'Product List'!$A$1:$E$1,0))</f>
        <v>2775</v>
      </c>
      <c r="N931" s="8">
        <f>INDEX(Product_List,MATCH($F931,'Product List'!$B$1:$B$299,0),MATCH('Order SUmmary'!N$2,'Product List'!$A$1:$E$1,0))</f>
        <v>1847</v>
      </c>
      <c r="O931" s="8" t="str">
        <f>INDEX(Product_List,MATCH($F931,'Product List'!$B$1:$B$299,0),MATCH('Order SUmmary'!O$2,'Product List'!$A$1:$E$1,0))</f>
        <v>Paper</v>
      </c>
      <c r="P931" s="12">
        <f>HLOOKUP(C931,'Commission Criteria'!$A$2:$I$4,3,FALSE)</f>
        <v>3</v>
      </c>
      <c r="Q931" s="8">
        <f t="shared" si="43"/>
        <v>1847</v>
      </c>
      <c r="R931" s="8">
        <f t="shared" si="44"/>
        <v>2775</v>
      </c>
      <c r="S931" s="36">
        <f>VLOOKUP(R931,'Commission Criteria'!$L$3:$M$11,2,TRUE)</f>
        <v>0.01</v>
      </c>
      <c r="T931" s="36">
        <f>IF(P931&lt;5,VLOOKUP(R931,'Commission Criteria'!$L$3:$M$11,2,1),VLOOKUP('Order SUmmary'!R931,'Commission Criteria'!$P$3:$Q$11,2,1))</f>
        <v>0.01</v>
      </c>
      <c r="U931" s="36">
        <f>VLOOKUP(R931,IF(P931&lt;5,'Commission Criteria'!$L$3:$M$11,'Commission Criteria'!$P$3:$Q$11),2,1)</f>
        <v>0.01</v>
      </c>
      <c r="V931" s="8" t="s">
        <v>29</v>
      </c>
      <c r="W931" s="36">
        <f t="shared" ca="1" si="45"/>
        <v>0.01</v>
      </c>
      <c r="X931" s="8" t="str">
        <f>_xlfn.XLOOKUP(F931,'Product List'!$B$1:$B$299,'Product List'!$A$1:$A$299)</f>
        <v>Xerox 188</v>
      </c>
      <c r="Y931" s="8"/>
      <c r="Z931" s="8" t="str" cm="1">
        <f t="array" ref="Z931:AD931">_xlfn.XLOOKUP(D931,'Customer Details'!$A$1:$A$17,'Customer Details'!$B$1:$F$17,"No such customer",0,1)</f>
        <v>Punj Lloyd Ltd.</v>
      </c>
      <c r="AA931" s="8" t="str">
        <v>Box 3263</v>
      </c>
      <c r="AB931" s="8" t="str">
        <v>South Windsor</v>
      </c>
      <c r="AC931" s="8" t="str">
        <v>CT</v>
      </c>
      <c r="AD931" s="8" t="str">
        <v>06074</v>
      </c>
    </row>
    <row r="932" spans="1:30">
      <c r="A932" s="8" t="s">
        <v>952</v>
      </c>
      <c r="B932" s="19">
        <v>42118</v>
      </c>
      <c r="C932" s="8" t="s">
        <v>36</v>
      </c>
      <c r="D932" s="8">
        <v>10012</v>
      </c>
      <c r="E932" s="8" t="str">
        <f>VLOOKUP($D932,'Customer Details'!$A$1:$F$17,4,FALSE)</f>
        <v>Santa Barbara</v>
      </c>
      <c r="F932" s="8" t="s">
        <v>470</v>
      </c>
      <c r="G932" s="8">
        <v>1</v>
      </c>
      <c r="H932" s="2" t="str">
        <f>VLOOKUP($D932,'Customer Details'!$A$1:$F$17,MATCH('Order SUmmary'!H$2,'Customer Details'!$A$1:$F$1,0),0)</f>
        <v>Dynamatic Technologies Ltd.</v>
      </c>
      <c r="I932" s="2" t="str">
        <f>VLOOKUP($D932,'Customer Details'!$A$1:$F$17,4,0)</f>
        <v>Santa Barbara</v>
      </c>
      <c r="J932" s="2" t="str">
        <f>VLOOKUP($D932,'Customer Details'!$A$1:$F$17,6,0)</f>
        <v>93110</v>
      </c>
      <c r="K932" s="8" t="str">
        <f>VLOOKUP(VLOOKUP(D932,'Customer Details'!$A$1:$F$17,5,0),'Region INfo'!$A$1:$C$52,3,0)</f>
        <v xml:space="preserve">Pacific   </v>
      </c>
      <c r="L932" s="8" t="str">
        <f>INDEX(Product_List,MATCH($F932,'Product List'!$B$1:$B$299,0),MATCH('Order SUmmary'!L$2,'Product List'!$A$1:$E$1,0))</f>
        <v>Xerox 1884</v>
      </c>
      <c r="M932" s="8">
        <f>INDEX(Product_List,MATCH($F932,'Product List'!$B$1:$B$299,0),MATCH('Order SUmmary'!M$2,'Product List'!$A$1:$E$1,0))</f>
        <v>3025</v>
      </c>
      <c r="N932" s="8">
        <f>INDEX(Product_List,MATCH($F932,'Product List'!$B$1:$B$299,0),MATCH('Order SUmmary'!N$2,'Product List'!$A$1:$E$1,0))</f>
        <v>1863</v>
      </c>
      <c r="O932" s="8" t="str">
        <f>INDEX(Product_List,MATCH($F932,'Product List'!$B$1:$B$299,0),MATCH('Order SUmmary'!O$2,'Product List'!$A$1:$E$1,0))</f>
        <v>Paper</v>
      </c>
      <c r="P932" s="12">
        <f>HLOOKUP(C932,'Commission Criteria'!$A$2:$I$4,3,FALSE)</f>
        <v>6</v>
      </c>
      <c r="Q932" s="8">
        <f t="shared" si="43"/>
        <v>1863</v>
      </c>
      <c r="R932" s="8">
        <f t="shared" si="44"/>
        <v>3025</v>
      </c>
      <c r="S932" s="36">
        <f>VLOOKUP(R932,'Commission Criteria'!$L$3:$M$11,2,TRUE)</f>
        <v>0.01</v>
      </c>
      <c r="T932" s="36">
        <f>IF(P932&lt;5,VLOOKUP(R932,'Commission Criteria'!$L$3:$M$11,2,1),VLOOKUP('Order SUmmary'!R932,'Commission Criteria'!$P$3:$Q$11,2,1))</f>
        <v>0.02</v>
      </c>
      <c r="U932" s="36">
        <f>VLOOKUP(R932,IF(P932&lt;5,'Commission Criteria'!$L$3:$M$11,'Commission Criteria'!$P$3:$Q$11),2,1)</f>
        <v>0.02</v>
      </c>
      <c r="V932" s="8" t="s">
        <v>32</v>
      </c>
      <c r="W932" s="36">
        <f t="shared" ca="1" si="45"/>
        <v>0.05</v>
      </c>
      <c r="X932" s="8" t="str">
        <f>_xlfn.XLOOKUP(F932,'Product List'!$B$1:$B$299,'Product List'!$A$1:$A$299)</f>
        <v>Xerox 1884</v>
      </c>
      <c r="Y932" s="8"/>
      <c r="Z932" s="8" t="str" cm="1">
        <f t="array" ref="Z932:AD932">_xlfn.XLOOKUP(D932,'Customer Details'!$A$1:$A$17,'Customer Details'!$B$1:$F$17,"No such customer",0,1)</f>
        <v>Dynamatic Technologies Ltd.</v>
      </c>
      <c r="AA932" s="8" t="str">
        <v>402 Pinkster Lane</v>
      </c>
      <c r="AB932" s="8" t="str">
        <v>Santa Barbara</v>
      </c>
      <c r="AC932" s="8" t="str">
        <v>CA</v>
      </c>
      <c r="AD932" s="8" t="str">
        <v>93110</v>
      </c>
    </row>
    <row r="933" spans="1:30">
      <c r="A933" s="8" t="s">
        <v>954</v>
      </c>
      <c r="B933" s="19">
        <v>42118</v>
      </c>
      <c r="C933" s="8" t="s">
        <v>54</v>
      </c>
      <c r="D933" s="8">
        <v>10002</v>
      </c>
      <c r="E933" s="8" t="str">
        <f>VLOOKUP($D933,'Customer Details'!$A$1:$F$17,4,FALSE)</f>
        <v>Omaha</v>
      </c>
      <c r="F933" s="8" t="s">
        <v>729</v>
      </c>
      <c r="G933" s="8">
        <v>1</v>
      </c>
      <c r="H933" s="2" t="str">
        <f>VLOOKUP($D933,'Customer Details'!$A$1:$F$17,MATCH('Order SUmmary'!H$2,'Customer Details'!$A$1:$F$1,0),0)</f>
        <v>Elder Pharmaceuticals</v>
      </c>
      <c r="I933" s="2" t="str">
        <f>VLOOKUP($D933,'Customer Details'!$A$1:$F$17,4,0)</f>
        <v>Omaha</v>
      </c>
      <c r="J933" s="2" t="str">
        <f>VLOOKUP($D933,'Customer Details'!$A$1:$F$17,6,0)</f>
        <v>68127</v>
      </c>
      <c r="K933" s="8" t="str">
        <f>VLOOKUP(VLOOKUP(D933,'Customer Details'!$A$1:$F$17,5,0),'Region INfo'!$A$1:$C$52,3,0)</f>
        <v>Western</v>
      </c>
      <c r="L933" s="8" t="str">
        <f>INDEX(Product_List,MATCH($F933,'Product List'!$B$1:$B$299,0),MATCH('Order SUmmary'!L$2,'Product List'!$A$1:$E$1,0))</f>
        <v>Newell 324</v>
      </c>
      <c r="M933" s="8">
        <f>INDEX(Product_List,MATCH($F933,'Product List'!$B$1:$B$299,0),MATCH('Order SUmmary'!M$2,'Product List'!$A$1:$E$1,0))</f>
        <v>3859</v>
      </c>
      <c r="N933" s="8">
        <f>INDEX(Product_List,MATCH($F933,'Product List'!$B$1:$B$299,0),MATCH('Order SUmmary'!N$2,'Product List'!$A$1:$E$1,0))</f>
        <v>1465</v>
      </c>
      <c r="O933" s="8" t="str">
        <f>INDEX(Product_List,MATCH($F933,'Product List'!$B$1:$B$299,0),MATCH('Order SUmmary'!O$2,'Product List'!$A$1:$E$1,0))</f>
        <v>Art</v>
      </c>
      <c r="P933" s="12">
        <f>HLOOKUP(C933,'Commission Criteria'!$A$2:$I$4,3,FALSE)</f>
        <v>3</v>
      </c>
      <c r="Q933" s="8">
        <f t="shared" si="43"/>
        <v>1465</v>
      </c>
      <c r="R933" s="8">
        <f t="shared" si="44"/>
        <v>3859</v>
      </c>
      <c r="S933" s="36">
        <f>VLOOKUP(R933,'Commission Criteria'!$L$3:$M$11,2,TRUE)</f>
        <v>0.01</v>
      </c>
      <c r="T933" s="36">
        <f>IF(P933&lt;5,VLOOKUP(R933,'Commission Criteria'!$L$3:$M$11,2,1),VLOOKUP('Order SUmmary'!R933,'Commission Criteria'!$P$3:$Q$11,2,1))</f>
        <v>0.01</v>
      </c>
      <c r="U933" s="36">
        <f>VLOOKUP(R933,IF(P933&lt;5,'Commission Criteria'!$L$3:$M$11,'Commission Criteria'!$P$3:$Q$11),2,1)</f>
        <v>0.01</v>
      </c>
      <c r="V933" s="8" t="s">
        <v>43</v>
      </c>
      <c r="W933" s="36">
        <f t="shared" ca="1" si="45"/>
        <v>0.04</v>
      </c>
      <c r="X933" s="8" t="str">
        <f>_xlfn.XLOOKUP(F933,'Product List'!$B$1:$B$299,'Product List'!$A$1:$A$299)</f>
        <v>Newell 324</v>
      </c>
      <c r="Y933" s="8"/>
      <c r="Z933" s="8" t="str" cm="1">
        <f t="array" ref="Z933:AD933">_xlfn.XLOOKUP(D933,'Customer Details'!$A$1:$A$17,'Customer Details'!$B$1:$F$17,"No such customer",0,1)</f>
        <v>Elder Pharmaceuticals</v>
      </c>
      <c r="AA933" s="8" t="str">
        <v>57 Neriba Cres</v>
      </c>
      <c r="AB933" s="8" t="str">
        <v>Omaha</v>
      </c>
      <c r="AC933" s="8" t="str">
        <v>NE</v>
      </c>
      <c r="AD933" s="8" t="str">
        <v>68127</v>
      </c>
    </row>
    <row r="934" spans="1:30">
      <c r="A934" s="8" t="s">
        <v>954</v>
      </c>
      <c r="B934" s="19">
        <v>42118</v>
      </c>
      <c r="C934" s="8" t="s">
        <v>66</v>
      </c>
      <c r="D934" s="8">
        <v>10011</v>
      </c>
      <c r="E934" s="8" t="str">
        <f>VLOOKUP($D934,'Customer Details'!$A$1:$F$17,4,FALSE)</f>
        <v>Olympia</v>
      </c>
      <c r="F934" s="8" t="s">
        <v>439</v>
      </c>
      <c r="G934" s="8">
        <v>2</v>
      </c>
      <c r="H934" s="2" t="str">
        <f>VLOOKUP($D934,'Customer Details'!$A$1:$F$17,MATCH('Order SUmmary'!H$2,'Customer Details'!$A$1:$F$1,0),0)</f>
        <v>Sonata Software</v>
      </c>
      <c r="I934" s="2" t="str">
        <f>VLOOKUP($D934,'Customer Details'!$A$1:$F$17,4,0)</f>
        <v>Olympia</v>
      </c>
      <c r="J934" s="2" t="str">
        <f>VLOOKUP($D934,'Customer Details'!$A$1:$F$17,6,0)</f>
        <v>98502</v>
      </c>
      <c r="K934" s="8" t="str">
        <f>VLOOKUP(VLOOKUP(D934,'Customer Details'!$A$1:$F$17,5,0),'Region INfo'!$A$1:$C$52,3,0)</f>
        <v xml:space="preserve">Pacific   </v>
      </c>
      <c r="L934" s="8" t="str">
        <f>INDEX(Product_List,MATCH($F934,'Product List'!$B$1:$B$299,0),MATCH('Order SUmmary'!L$2,'Product List'!$A$1:$E$1,0))</f>
        <v>Xerox 1919</v>
      </c>
      <c r="M934" s="8">
        <f>INDEX(Product_List,MATCH($F934,'Product List'!$B$1:$B$299,0),MATCH('Order SUmmary'!M$2,'Product List'!$A$1:$E$1,0))</f>
        <v>2535</v>
      </c>
      <c r="N934" s="8">
        <f>INDEX(Product_List,MATCH($F934,'Product List'!$B$1:$B$299,0),MATCH('Order SUmmary'!N$2,'Product List'!$A$1:$E$1,0))</f>
        <v>1841</v>
      </c>
      <c r="O934" s="8" t="str">
        <f>INDEX(Product_List,MATCH($F934,'Product List'!$B$1:$B$299,0),MATCH('Order SUmmary'!O$2,'Product List'!$A$1:$E$1,0))</f>
        <v>Paper</v>
      </c>
      <c r="P934" s="12">
        <f>HLOOKUP(C934,'Commission Criteria'!$A$2:$I$4,3,FALSE)</f>
        <v>5</v>
      </c>
      <c r="Q934" s="8">
        <f t="shared" si="43"/>
        <v>3682</v>
      </c>
      <c r="R934" s="8">
        <f t="shared" si="44"/>
        <v>5070</v>
      </c>
      <c r="S934" s="36">
        <f>VLOOKUP(R934,'Commission Criteria'!$L$3:$M$11,2,TRUE)</f>
        <v>0.03</v>
      </c>
      <c r="T934" s="36">
        <f>IF(P934&lt;5,VLOOKUP(R934,'Commission Criteria'!$L$3:$M$11,2,1),VLOOKUP('Order SUmmary'!R934,'Commission Criteria'!$P$3:$Q$11,2,1))</f>
        <v>0.02</v>
      </c>
      <c r="U934" s="36">
        <f>VLOOKUP(R934,IF(P934&lt;5,'Commission Criteria'!$L$3:$M$11,'Commission Criteria'!$P$3:$Q$11),2,1)</f>
        <v>0.02</v>
      </c>
      <c r="V934" s="8" t="s">
        <v>50</v>
      </c>
      <c r="W934" s="36">
        <f t="shared" ca="1" si="45"/>
        <v>0.02</v>
      </c>
      <c r="X934" s="8" t="str">
        <f>_xlfn.XLOOKUP(F934,'Product List'!$B$1:$B$299,'Product List'!$A$1:$A$299)</f>
        <v>Xerox 1919</v>
      </c>
      <c r="Y934" s="8"/>
      <c r="Z934" s="8" t="str" cm="1">
        <f t="array" ref="Z934:AD934">_xlfn.XLOOKUP(D934,'Customer Details'!$A$1:$A$17,'Customer Details'!$B$1:$F$17,"No such customer",0,1)</f>
        <v>Sonata Software</v>
      </c>
      <c r="AA934" s="8" t="str">
        <v>1331 Kimberly Dr.</v>
      </c>
      <c r="AB934" s="8" t="str">
        <v>Olympia</v>
      </c>
      <c r="AC934" s="8" t="str">
        <v>WA</v>
      </c>
      <c r="AD934" s="8" t="str">
        <v>98502</v>
      </c>
    </row>
    <row r="935" spans="1:30">
      <c r="A935" s="8" t="s">
        <v>953</v>
      </c>
      <c r="B935" s="19">
        <v>42118</v>
      </c>
      <c r="C935" s="8" t="s">
        <v>54</v>
      </c>
      <c r="D935" s="8">
        <v>10006</v>
      </c>
      <c r="E935" s="8" t="str">
        <f>VLOOKUP($D935,'Customer Details'!$A$1:$F$17,4,FALSE)</f>
        <v>Midland</v>
      </c>
      <c r="F935" s="8" t="s">
        <v>367</v>
      </c>
      <c r="G935" s="8">
        <v>3</v>
      </c>
      <c r="H935" s="2" t="str">
        <f>VLOOKUP($D935,'Customer Details'!$A$1:$F$17,MATCH('Order SUmmary'!H$2,'Customer Details'!$A$1:$F$1,0),0)</f>
        <v>Supreme Ind</v>
      </c>
      <c r="I935" s="2" t="str">
        <f>VLOOKUP($D935,'Customer Details'!$A$1:$F$17,4,0)</f>
        <v>Midland</v>
      </c>
      <c r="J935" s="2" t="str">
        <f>VLOOKUP($D935,'Customer Details'!$A$1:$F$17,6,0)</f>
        <v>79706</v>
      </c>
      <c r="K935" s="8" t="str">
        <f>VLOOKUP(VLOOKUP(D935,'Customer Details'!$A$1:$F$17,5,0),'Region INfo'!$A$1:$C$52,3,0)</f>
        <v>Western</v>
      </c>
      <c r="L935" s="8" t="str">
        <f>INDEX(Product_List,MATCH($F935,'Product List'!$B$1:$B$299,0),MATCH('Order SUmmary'!L$2,'Product List'!$A$1:$E$1,0))</f>
        <v>Xerox 196</v>
      </c>
      <c r="M935" s="8">
        <f>INDEX(Product_List,MATCH($F935,'Product List'!$B$1:$B$299,0),MATCH('Order SUmmary'!M$2,'Product List'!$A$1:$E$1,0))</f>
        <v>3018</v>
      </c>
      <c r="N935" s="8">
        <f>INDEX(Product_List,MATCH($F935,'Product List'!$B$1:$B$299,0),MATCH('Order SUmmary'!N$2,'Product List'!$A$1:$E$1,0))</f>
        <v>1286</v>
      </c>
      <c r="O935" s="8" t="str">
        <f>INDEX(Product_List,MATCH($F935,'Product List'!$B$1:$B$299,0),MATCH('Order SUmmary'!O$2,'Product List'!$A$1:$E$1,0))</f>
        <v>Paper</v>
      </c>
      <c r="P935" s="12">
        <f>HLOOKUP(C935,'Commission Criteria'!$A$2:$I$4,3,FALSE)</f>
        <v>3</v>
      </c>
      <c r="Q935" s="8">
        <f t="shared" si="43"/>
        <v>3858</v>
      </c>
      <c r="R935" s="8">
        <f t="shared" si="44"/>
        <v>9054</v>
      </c>
      <c r="S935" s="36">
        <f>VLOOKUP(R935,'Commission Criteria'!$L$3:$M$11,2,TRUE)</f>
        <v>0.03</v>
      </c>
      <c r="T935" s="36">
        <f>IF(P935&lt;5,VLOOKUP(R935,'Commission Criteria'!$L$3:$M$11,2,1),VLOOKUP('Order SUmmary'!R935,'Commission Criteria'!$P$3:$Q$11,2,1))</f>
        <v>0.03</v>
      </c>
      <c r="U935" s="36">
        <f>VLOOKUP(R935,IF(P935&lt;5,'Commission Criteria'!$L$3:$M$11,'Commission Criteria'!$P$3:$Q$11),2,1)</f>
        <v>0.03</v>
      </c>
      <c r="V935" s="8" t="s">
        <v>35</v>
      </c>
      <c r="W935" s="36">
        <f t="shared" ca="1" si="45"/>
        <v>0.04</v>
      </c>
      <c r="X935" s="8" t="str">
        <f>_xlfn.XLOOKUP(F935,'Product List'!$B$1:$B$299,'Product List'!$A$1:$A$299)</f>
        <v>Xerox 196</v>
      </c>
      <c r="Y935" s="8"/>
      <c r="Z935" s="8" t="str" cm="1">
        <f t="array" ref="Z935:AD935">_xlfn.XLOOKUP(D935,'Customer Details'!$A$1:$A$17,'Customer Details'!$B$1:$F$17,"No such customer",0,1)</f>
        <v>Supreme Ind</v>
      </c>
      <c r="AA935" s="8" t="str">
        <v>P.O. Box 1367</v>
      </c>
      <c r="AB935" s="8" t="str">
        <v>Midland</v>
      </c>
      <c r="AC935" s="8" t="str">
        <v>TX</v>
      </c>
      <c r="AD935" s="8" t="str">
        <v>79706</v>
      </c>
    </row>
    <row r="936" spans="1:30">
      <c r="A936" s="8" t="s">
        <v>952</v>
      </c>
      <c r="B936" s="19">
        <v>42118</v>
      </c>
      <c r="C936" s="8" t="s">
        <v>27</v>
      </c>
      <c r="D936" s="8">
        <v>10010</v>
      </c>
      <c r="E936" s="8" t="str">
        <f>VLOOKUP($D936,'Customer Details'!$A$1:$F$17,4,FALSE)</f>
        <v>Tracy</v>
      </c>
      <c r="F936" s="8" t="s">
        <v>659</v>
      </c>
      <c r="G936" s="8">
        <v>3</v>
      </c>
      <c r="H936" s="2" t="str">
        <f>VLOOKUP($D936,'Customer Details'!$A$1:$F$17,MATCH('Order SUmmary'!H$2,'Customer Details'!$A$1:$F$1,0),0)</f>
        <v>Suzlon Energy Ltd.</v>
      </c>
      <c r="I936" s="2" t="str">
        <f>VLOOKUP($D936,'Customer Details'!$A$1:$F$17,4,0)</f>
        <v>Tracy</v>
      </c>
      <c r="J936" s="2" t="str">
        <f>VLOOKUP($D936,'Customer Details'!$A$1:$F$17,6,0)</f>
        <v>95376</v>
      </c>
      <c r="K936" s="8" t="str">
        <f>VLOOKUP(VLOOKUP(D936,'Customer Details'!$A$1:$F$17,5,0),'Region INfo'!$A$1:$C$52,3,0)</f>
        <v xml:space="preserve">Pacific   </v>
      </c>
      <c r="L936" s="8" t="str">
        <f>INDEX(Product_List,MATCH($F936,'Product List'!$B$1:$B$299,0),MATCH('Order SUmmary'!L$2,'Product List'!$A$1:$E$1,0))</f>
        <v>Newell 312</v>
      </c>
      <c r="M936" s="8">
        <f>INDEX(Product_List,MATCH($F936,'Product List'!$B$1:$B$299,0),MATCH('Order SUmmary'!M$2,'Product List'!$A$1:$E$1,0))</f>
        <v>4325</v>
      </c>
      <c r="N936" s="8">
        <f>INDEX(Product_List,MATCH($F936,'Product List'!$B$1:$B$299,0),MATCH('Order SUmmary'!N$2,'Product List'!$A$1:$E$1,0))</f>
        <v>1734</v>
      </c>
      <c r="O936" s="8" t="str">
        <f>INDEX(Product_List,MATCH($F936,'Product List'!$B$1:$B$299,0),MATCH('Order SUmmary'!O$2,'Product List'!$A$1:$E$1,0))</f>
        <v>Art</v>
      </c>
      <c r="P936" s="12">
        <f>HLOOKUP(C936,'Commission Criteria'!$A$2:$I$4,3,FALSE)</f>
        <v>4</v>
      </c>
      <c r="Q936" s="8">
        <f t="shared" si="43"/>
        <v>5202</v>
      </c>
      <c r="R936" s="8">
        <f t="shared" si="44"/>
        <v>12975</v>
      </c>
      <c r="S936" s="36">
        <f>VLOOKUP(R936,'Commission Criteria'!$L$3:$M$11,2,TRUE)</f>
        <v>0.03</v>
      </c>
      <c r="T936" s="36">
        <f>IF(P936&lt;5,VLOOKUP(R936,'Commission Criteria'!$L$3:$M$11,2,1),VLOOKUP('Order SUmmary'!R936,'Commission Criteria'!$P$3:$Q$11,2,1))</f>
        <v>0.03</v>
      </c>
      <c r="U936" s="36">
        <f>VLOOKUP(R936,IF(P936&lt;5,'Commission Criteria'!$L$3:$M$11,'Commission Criteria'!$P$3:$Q$11),2,1)</f>
        <v>0.03</v>
      </c>
      <c r="V936" s="8" t="s">
        <v>43</v>
      </c>
      <c r="W936" s="36">
        <f t="shared" ca="1" si="45"/>
        <v>0.04</v>
      </c>
      <c r="X936" s="8" t="str">
        <f>_xlfn.XLOOKUP(F936,'Product List'!$B$1:$B$299,'Product List'!$A$1:$A$299)</f>
        <v>Newell 312</v>
      </c>
      <c r="Y936" s="8"/>
      <c r="Z936" s="8" t="str" cm="1">
        <f t="array" ref="Z936:AD936">_xlfn.XLOOKUP(D936,'Customer Details'!$A$1:$A$17,'Customer Details'!$B$1:$F$17,"No such customer",0,1)</f>
        <v>Suzlon Energy Ltd.</v>
      </c>
      <c r="AA936" s="8" t="str">
        <v>501 Marsh Trail Circle</v>
      </c>
      <c r="AB936" s="8" t="str">
        <v>Tracy</v>
      </c>
      <c r="AC936" s="8" t="str">
        <v>CA</v>
      </c>
      <c r="AD936" s="8" t="str">
        <v>95376</v>
      </c>
    </row>
    <row r="937" spans="1:30">
      <c r="A937" s="8" t="s">
        <v>955</v>
      </c>
      <c r="B937" s="19">
        <v>42121</v>
      </c>
      <c r="C937" s="8" t="s">
        <v>46</v>
      </c>
      <c r="D937" s="8">
        <v>10015</v>
      </c>
      <c r="E937" s="8" t="str">
        <f>VLOOKUP($D937,'Customer Details'!$A$1:$F$17,4,FALSE)</f>
        <v>South Windsor</v>
      </c>
      <c r="F937" s="8" t="s">
        <v>269</v>
      </c>
      <c r="G937" s="8">
        <v>2</v>
      </c>
      <c r="H937" s="2" t="str">
        <f>VLOOKUP($D937,'Customer Details'!$A$1:$F$17,MATCH('Order SUmmary'!H$2,'Customer Details'!$A$1:$F$1,0),0)</f>
        <v>Punj Lloyd Ltd.</v>
      </c>
      <c r="I937" s="2" t="str">
        <f>VLOOKUP($D937,'Customer Details'!$A$1:$F$17,4,0)</f>
        <v>South Windsor</v>
      </c>
      <c r="J937" s="2" t="str">
        <f>VLOOKUP($D937,'Customer Details'!$A$1:$F$17,6,0)</f>
        <v>06074</v>
      </c>
      <c r="K937" s="8" t="str">
        <f>VLOOKUP(VLOOKUP(D937,'Customer Details'!$A$1:$F$17,5,0),'Region INfo'!$A$1:$C$52,3,0)</f>
        <v xml:space="preserve">Northern </v>
      </c>
      <c r="L937" s="8" t="str">
        <f>INDEX(Product_List,MATCH($F937,'Product List'!$B$1:$B$299,0),MATCH('Order SUmmary'!L$2,'Product List'!$A$1:$E$1,0))</f>
        <v>Xerox 1975</v>
      </c>
      <c r="M937" s="8">
        <f>INDEX(Product_List,MATCH($F937,'Product List'!$B$1:$B$299,0),MATCH('Order SUmmary'!M$2,'Product List'!$A$1:$E$1,0))</f>
        <v>4484</v>
      </c>
      <c r="N937" s="8">
        <f>INDEX(Product_List,MATCH($F937,'Product List'!$B$1:$B$299,0),MATCH('Order SUmmary'!N$2,'Product List'!$A$1:$E$1,0))</f>
        <v>2146</v>
      </c>
      <c r="O937" s="8" t="str">
        <f>INDEX(Product_List,MATCH($F937,'Product List'!$B$1:$B$299,0),MATCH('Order SUmmary'!O$2,'Product List'!$A$1:$E$1,0))</f>
        <v>Paper</v>
      </c>
      <c r="P937" s="12">
        <f>HLOOKUP(C937,'Commission Criteria'!$A$2:$I$4,3,FALSE)</f>
        <v>8</v>
      </c>
      <c r="Q937" s="8">
        <f t="shared" si="43"/>
        <v>4292</v>
      </c>
      <c r="R937" s="8">
        <f t="shared" si="44"/>
        <v>8968</v>
      </c>
      <c r="S937" s="36">
        <f>VLOOKUP(R937,'Commission Criteria'!$L$3:$M$11,2,TRUE)</f>
        <v>0.03</v>
      </c>
      <c r="T937" s="36">
        <f>IF(P937&lt;5,VLOOKUP(R937,'Commission Criteria'!$L$3:$M$11,2,1),VLOOKUP('Order SUmmary'!R937,'Commission Criteria'!$P$3:$Q$11,2,1))</f>
        <v>0.02</v>
      </c>
      <c r="U937" s="36">
        <f>VLOOKUP(R937,IF(P937&lt;5,'Commission Criteria'!$L$3:$M$11,'Commission Criteria'!$P$3:$Q$11),2,1)</f>
        <v>0.02</v>
      </c>
      <c r="V937" s="8" t="s">
        <v>29</v>
      </c>
      <c r="W937" s="36">
        <f t="shared" ca="1" si="45"/>
        <v>0.04</v>
      </c>
      <c r="X937" s="8" t="str">
        <f>_xlfn.XLOOKUP(F937,'Product List'!$B$1:$B$299,'Product List'!$A$1:$A$299)</f>
        <v>Xerox 1975</v>
      </c>
      <c r="Y937" s="8"/>
      <c r="Z937" s="8" t="str" cm="1">
        <f t="array" ref="Z937:AD937">_xlfn.XLOOKUP(D937,'Customer Details'!$A$1:$A$17,'Customer Details'!$B$1:$F$17,"No such customer",0,1)</f>
        <v>Punj Lloyd Ltd.</v>
      </c>
      <c r="AA937" s="8" t="str">
        <v>Box 3263</v>
      </c>
      <c r="AB937" s="8" t="str">
        <v>South Windsor</v>
      </c>
      <c r="AC937" s="8" t="str">
        <v>CT</v>
      </c>
      <c r="AD937" s="8" t="str">
        <v>06074</v>
      </c>
    </row>
    <row r="938" spans="1:30">
      <c r="A938" s="8" t="s">
        <v>956</v>
      </c>
      <c r="B938" s="19">
        <v>42123</v>
      </c>
      <c r="C938" s="8" t="s">
        <v>33</v>
      </c>
      <c r="D938" s="8">
        <v>10012</v>
      </c>
      <c r="E938" s="8" t="str">
        <f>VLOOKUP($D938,'Customer Details'!$A$1:$F$17,4,FALSE)</f>
        <v>Santa Barbara</v>
      </c>
      <c r="F938" s="8" t="s">
        <v>37</v>
      </c>
      <c r="G938" s="8">
        <v>3</v>
      </c>
      <c r="H938" s="2" t="str">
        <f>VLOOKUP($D938,'Customer Details'!$A$1:$F$17,MATCH('Order SUmmary'!H$2,'Customer Details'!$A$1:$F$1,0),0)</f>
        <v>Dynamatic Technologies Ltd.</v>
      </c>
      <c r="I938" s="2" t="str">
        <f>VLOOKUP($D938,'Customer Details'!$A$1:$F$17,4,0)</f>
        <v>Santa Barbara</v>
      </c>
      <c r="J938" s="2" t="str">
        <f>VLOOKUP($D938,'Customer Details'!$A$1:$F$17,6,0)</f>
        <v>93110</v>
      </c>
      <c r="K938" s="8" t="str">
        <f>VLOOKUP(VLOOKUP(D938,'Customer Details'!$A$1:$F$17,5,0),'Region INfo'!$A$1:$C$52,3,0)</f>
        <v xml:space="preserve">Pacific   </v>
      </c>
      <c r="L938" s="8" t="str">
        <f>INDEX(Product_List,MATCH($F938,'Product List'!$B$1:$B$299,0),MATCH('Order SUmmary'!L$2,'Product List'!$A$1:$E$1,0))</f>
        <v>Avery 508</v>
      </c>
      <c r="M938" s="8">
        <f>INDEX(Product_List,MATCH($F938,'Product List'!$B$1:$B$299,0),MATCH('Order SUmmary'!M$2,'Product List'!$A$1:$E$1,0))</f>
        <v>3788</v>
      </c>
      <c r="N938" s="8">
        <f>INDEX(Product_List,MATCH($F938,'Product List'!$B$1:$B$299,0),MATCH('Order SUmmary'!N$2,'Product List'!$A$1:$E$1,0))</f>
        <v>2170</v>
      </c>
      <c r="O938" s="8" t="str">
        <f>INDEX(Product_List,MATCH($F938,'Product List'!$B$1:$B$299,0),MATCH('Order SUmmary'!O$2,'Product List'!$A$1:$E$1,0))</f>
        <v>Labels</v>
      </c>
      <c r="P938" s="12">
        <f>HLOOKUP(C938,'Commission Criteria'!$A$2:$I$4,3,FALSE)</f>
        <v>1</v>
      </c>
      <c r="Q938" s="8">
        <f t="shared" si="43"/>
        <v>6510</v>
      </c>
      <c r="R938" s="8">
        <f t="shared" si="44"/>
        <v>11364</v>
      </c>
      <c r="S938" s="36">
        <f>VLOOKUP(R938,'Commission Criteria'!$L$3:$M$11,2,TRUE)</f>
        <v>0.03</v>
      </c>
      <c r="T938" s="36">
        <f>IF(P938&lt;5,VLOOKUP(R938,'Commission Criteria'!$L$3:$M$11,2,1),VLOOKUP('Order SUmmary'!R938,'Commission Criteria'!$P$3:$Q$11,2,1))</f>
        <v>0.03</v>
      </c>
      <c r="U938" s="36">
        <f>VLOOKUP(R938,IF(P938&lt;5,'Commission Criteria'!$L$3:$M$11,'Commission Criteria'!$P$3:$Q$11),2,1)</f>
        <v>0.03</v>
      </c>
      <c r="V938" s="8" t="s">
        <v>29</v>
      </c>
      <c r="W938" s="36">
        <f t="shared" ca="1" si="45"/>
        <v>0.03</v>
      </c>
      <c r="X938" s="8" t="str">
        <f>_xlfn.XLOOKUP(F938,'Product List'!$B$1:$B$299,'Product List'!$A$1:$A$299)</f>
        <v>Avery 508</v>
      </c>
      <c r="Y938" s="8"/>
      <c r="Z938" s="8" t="str" cm="1">
        <f t="array" ref="Z938:AD938">_xlfn.XLOOKUP(D938,'Customer Details'!$A$1:$A$17,'Customer Details'!$B$1:$F$17,"No such customer",0,1)</f>
        <v>Dynamatic Technologies Ltd.</v>
      </c>
      <c r="AA938" s="8" t="str">
        <v>402 Pinkster Lane</v>
      </c>
      <c r="AB938" s="8" t="str">
        <v>Santa Barbara</v>
      </c>
      <c r="AC938" s="8" t="str">
        <v>CA</v>
      </c>
      <c r="AD938" s="8" t="str">
        <v>93110</v>
      </c>
    </row>
    <row r="939" spans="1:30">
      <c r="A939" s="8" t="s">
        <v>957</v>
      </c>
      <c r="B939" s="19">
        <v>42124</v>
      </c>
      <c r="C939" s="8" t="s">
        <v>36</v>
      </c>
      <c r="D939" s="8">
        <v>10011</v>
      </c>
      <c r="E939" s="8" t="str">
        <f>VLOOKUP($D939,'Customer Details'!$A$1:$F$17,4,FALSE)</f>
        <v>Olympia</v>
      </c>
      <c r="F939" s="8" t="s">
        <v>743</v>
      </c>
      <c r="G939" s="8">
        <v>3</v>
      </c>
      <c r="H939" s="2" t="str">
        <f>VLOOKUP($D939,'Customer Details'!$A$1:$F$17,MATCH('Order SUmmary'!H$2,'Customer Details'!$A$1:$F$1,0),0)</f>
        <v>Sonata Software</v>
      </c>
      <c r="I939" s="2" t="str">
        <f>VLOOKUP($D939,'Customer Details'!$A$1:$F$17,4,0)</f>
        <v>Olympia</v>
      </c>
      <c r="J939" s="2" t="str">
        <f>VLOOKUP($D939,'Customer Details'!$A$1:$F$17,6,0)</f>
        <v>98502</v>
      </c>
      <c r="K939" s="8" t="str">
        <f>VLOOKUP(VLOOKUP(D939,'Customer Details'!$A$1:$F$17,5,0),'Region INfo'!$A$1:$C$52,3,0)</f>
        <v xml:space="preserve">Pacific   </v>
      </c>
      <c r="L939" s="8" t="str">
        <f>INDEX(Product_List,MATCH($F939,'Product List'!$B$1:$B$299,0),MATCH('Order SUmmary'!L$2,'Product List'!$A$1:$E$1,0))</f>
        <v>Xerox 207</v>
      </c>
      <c r="M939" s="8">
        <f>INDEX(Product_List,MATCH($F939,'Product List'!$B$1:$B$299,0),MATCH('Order SUmmary'!M$2,'Product List'!$A$1:$E$1,0))</f>
        <v>4454</v>
      </c>
      <c r="N939" s="8">
        <f>INDEX(Product_List,MATCH($F939,'Product List'!$B$1:$B$299,0),MATCH('Order SUmmary'!N$2,'Product List'!$A$1:$E$1,0))</f>
        <v>1884</v>
      </c>
      <c r="O939" s="8" t="str">
        <f>INDEX(Product_List,MATCH($F939,'Product List'!$B$1:$B$299,0),MATCH('Order SUmmary'!O$2,'Product List'!$A$1:$E$1,0))</f>
        <v>Paper</v>
      </c>
      <c r="P939" s="12">
        <f>HLOOKUP(C939,'Commission Criteria'!$A$2:$I$4,3,FALSE)</f>
        <v>6</v>
      </c>
      <c r="Q939" s="8">
        <f t="shared" si="43"/>
        <v>5652</v>
      </c>
      <c r="R939" s="8">
        <f t="shared" si="44"/>
        <v>13362</v>
      </c>
      <c r="S939" s="36">
        <f>VLOOKUP(R939,'Commission Criteria'!$L$3:$M$11,2,TRUE)</f>
        <v>0.03</v>
      </c>
      <c r="T939" s="36">
        <f>IF(P939&lt;5,VLOOKUP(R939,'Commission Criteria'!$L$3:$M$11,2,1),VLOOKUP('Order SUmmary'!R939,'Commission Criteria'!$P$3:$Q$11,2,1))</f>
        <v>0.02</v>
      </c>
      <c r="U939" s="36">
        <f>VLOOKUP(R939,IF(P939&lt;5,'Commission Criteria'!$L$3:$M$11,'Commission Criteria'!$P$3:$Q$11),2,1)</f>
        <v>0.02</v>
      </c>
      <c r="V939" s="8" t="s">
        <v>43</v>
      </c>
      <c r="W939" s="36">
        <f t="shared" ca="1" si="45"/>
        <v>0.01</v>
      </c>
      <c r="X939" s="8" t="str">
        <f>_xlfn.XLOOKUP(F939,'Product List'!$B$1:$B$299,'Product List'!$A$1:$A$299)</f>
        <v>Xerox 207</v>
      </c>
      <c r="Y939" s="8"/>
      <c r="Z939" s="8" t="str" cm="1">
        <f t="array" ref="Z939:AD939">_xlfn.XLOOKUP(D939,'Customer Details'!$A$1:$A$17,'Customer Details'!$B$1:$F$17,"No such customer",0,1)</f>
        <v>Sonata Software</v>
      </c>
      <c r="AA939" s="8" t="str">
        <v>1331 Kimberly Dr.</v>
      </c>
      <c r="AB939" s="8" t="str">
        <v>Olympia</v>
      </c>
      <c r="AC939" s="8" t="str">
        <v>WA</v>
      </c>
      <c r="AD939" s="8" t="str">
        <v>98502</v>
      </c>
    </row>
    <row r="940" spans="1:30">
      <c r="A940" s="8" t="s">
        <v>958</v>
      </c>
      <c r="B940" s="19">
        <v>42127</v>
      </c>
      <c r="C940" s="8" t="s">
        <v>27</v>
      </c>
      <c r="D940" s="8">
        <v>10001</v>
      </c>
      <c r="E940" s="8" t="str">
        <f>VLOOKUP($D940,'Customer Details'!$A$1:$F$17,4,FALSE)</f>
        <v>New York</v>
      </c>
      <c r="F940" s="8" t="s">
        <v>80</v>
      </c>
      <c r="G940" s="8">
        <v>1</v>
      </c>
      <c r="H940" s="2" t="str">
        <f>VLOOKUP($D940,'Customer Details'!$A$1:$F$17,MATCH('Order SUmmary'!H$2,'Customer Details'!$A$1:$F$1,0),0)</f>
        <v>Chambal Fertilisers and Chemicals Ltd.</v>
      </c>
      <c r="I940" s="2" t="str">
        <f>VLOOKUP($D940,'Customer Details'!$A$1:$F$17,4,0)</f>
        <v>New York</v>
      </c>
      <c r="J940" s="2" t="str">
        <f>VLOOKUP($D940,'Customer Details'!$A$1:$F$17,6,0)</f>
        <v>10025</v>
      </c>
      <c r="K940" s="8" t="str">
        <f>VLOOKUP(VLOOKUP(D940,'Customer Details'!$A$1:$F$17,5,0),'Region INfo'!$A$1:$C$52,3,0)</f>
        <v xml:space="preserve">Northern </v>
      </c>
      <c r="L940" s="8" t="str">
        <f>INDEX(Product_List,MATCH($F940,'Product List'!$B$1:$B$299,0),MATCH('Order SUmmary'!L$2,'Product List'!$A$1:$E$1,0))</f>
        <v>Xerox 192</v>
      </c>
      <c r="M940" s="8">
        <f>INDEX(Product_List,MATCH($F940,'Product List'!$B$1:$B$299,0),MATCH('Order SUmmary'!M$2,'Product List'!$A$1:$E$1,0))</f>
        <v>3324</v>
      </c>
      <c r="N940" s="8">
        <f>INDEX(Product_List,MATCH($F940,'Product List'!$B$1:$B$299,0),MATCH('Order SUmmary'!N$2,'Product List'!$A$1:$E$1,0))</f>
        <v>1846</v>
      </c>
      <c r="O940" s="8" t="str">
        <f>INDEX(Product_List,MATCH($F940,'Product List'!$B$1:$B$299,0),MATCH('Order SUmmary'!O$2,'Product List'!$A$1:$E$1,0))</f>
        <v>Paper</v>
      </c>
      <c r="P940" s="12">
        <f>HLOOKUP(C940,'Commission Criteria'!$A$2:$I$4,3,FALSE)</f>
        <v>4</v>
      </c>
      <c r="Q940" s="8">
        <f t="shared" si="43"/>
        <v>1846</v>
      </c>
      <c r="R940" s="8">
        <f t="shared" si="44"/>
        <v>3324</v>
      </c>
      <c r="S940" s="36">
        <f>VLOOKUP(R940,'Commission Criteria'!$L$3:$M$11,2,TRUE)</f>
        <v>0.01</v>
      </c>
      <c r="T940" s="36">
        <f>IF(P940&lt;5,VLOOKUP(R940,'Commission Criteria'!$L$3:$M$11,2,1),VLOOKUP('Order SUmmary'!R940,'Commission Criteria'!$P$3:$Q$11,2,1))</f>
        <v>0.01</v>
      </c>
      <c r="U940" s="36">
        <f>VLOOKUP(R940,IF(P940&lt;5,'Commission Criteria'!$L$3:$M$11,'Commission Criteria'!$P$3:$Q$11),2,1)</f>
        <v>0.01</v>
      </c>
      <c r="V940" s="8" t="s">
        <v>50</v>
      </c>
      <c r="W940" s="36">
        <f t="shared" ca="1" si="45"/>
        <v>0.01</v>
      </c>
      <c r="X940" s="8" t="str">
        <f>_xlfn.XLOOKUP(F940,'Product List'!$B$1:$B$299,'Product List'!$A$1:$A$299)</f>
        <v>Xerox 192</v>
      </c>
      <c r="Y940" s="8"/>
      <c r="Z940" s="8" t="str" cm="1">
        <f t="array" ref="Z940:AD940">_xlfn.XLOOKUP(D940,'Customer Details'!$A$1:$A$17,'Customer Details'!$B$1:$F$17,"No such customer",0,1)</f>
        <v>Chambal Fertilisers and Chemicals Ltd.</v>
      </c>
      <c r="AA940" s="8" t="str">
        <v>4951 Indiana Ave.</v>
      </c>
      <c r="AB940" s="8" t="str">
        <v>New York</v>
      </c>
      <c r="AC940" s="8" t="str">
        <v>NY</v>
      </c>
      <c r="AD940" s="8" t="str">
        <v>10025</v>
      </c>
    </row>
    <row r="941" spans="1:30">
      <c r="A941" s="8" t="s">
        <v>959</v>
      </c>
      <c r="B941" s="19">
        <v>42128</v>
      </c>
      <c r="C941" s="8" t="s">
        <v>44</v>
      </c>
      <c r="D941" s="8">
        <v>10012</v>
      </c>
      <c r="E941" s="8" t="str">
        <f>VLOOKUP($D941,'Customer Details'!$A$1:$F$17,4,FALSE)</f>
        <v>Santa Barbara</v>
      </c>
      <c r="F941" s="8" t="s">
        <v>390</v>
      </c>
      <c r="G941" s="8">
        <v>1</v>
      </c>
      <c r="H941" s="2" t="str">
        <f>VLOOKUP($D941,'Customer Details'!$A$1:$F$17,MATCH('Order SUmmary'!H$2,'Customer Details'!$A$1:$F$1,0),0)</f>
        <v>Dynamatic Technologies Ltd.</v>
      </c>
      <c r="I941" s="2" t="str">
        <f>VLOOKUP($D941,'Customer Details'!$A$1:$F$17,4,0)</f>
        <v>Santa Barbara</v>
      </c>
      <c r="J941" s="2" t="str">
        <f>VLOOKUP($D941,'Customer Details'!$A$1:$F$17,6,0)</f>
        <v>93110</v>
      </c>
      <c r="K941" s="8" t="str">
        <f>VLOOKUP(VLOOKUP(D941,'Customer Details'!$A$1:$F$17,5,0),'Region INfo'!$A$1:$C$52,3,0)</f>
        <v xml:space="preserve">Pacific   </v>
      </c>
      <c r="L941" s="8" t="str">
        <f>INDEX(Product_List,MATCH($F941,'Product List'!$B$1:$B$299,0),MATCH('Order SUmmary'!L$2,'Product List'!$A$1:$E$1,0))</f>
        <v>Avery 502</v>
      </c>
      <c r="M941" s="8">
        <f>INDEX(Product_List,MATCH($F941,'Product List'!$B$1:$B$299,0),MATCH('Order SUmmary'!M$2,'Product List'!$A$1:$E$1,0))</f>
        <v>2645</v>
      </c>
      <c r="N941" s="8">
        <f>INDEX(Product_List,MATCH($F941,'Product List'!$B$1:$B$299,0),MATCH('Order SUmmary'!N$2,'Product List'!$A$1:$E$1,0))</f>
        <v>1547</v>
      </c>
      <c r="O941" s="8" t="str">
        <f>INDEX(Product_List,MATCH($F941,'Product List'!$B$1:$B$299,0),MATCH('Order SUmmary'!O$2,'Product List'!$A$1:$E$1,0))</f>
        <v>Labels</v>
      </c>
      <c r="P941" s="12">
        <f>HLOOKUP(C941,'Commission Criteria'!$A$2:$I$4,3,FALSE)</f>
        <v>4</v>
      </c>
      <c r="Q941" s="8">
        <f t="shared" si="43"/>
        <v>1547</v>
      </c>
      <c r="R941" s="8">
        <f t="shared" si="44"/>
        <v>2645</v>
      </c>
      <c r="S941" s="36">
        <f>VLOOKUP(R941,'Commission Criteria'!$L$3:$M$11,2,TRUE)</f>
        <v>0.01</v>
      </c>
      <c r="T941" s="36">
        <f>IF(P941&lt;5,VLOOKUP(R941,'Commission Criteria'!$L$3:$M$11,2,1),VLOOKUP('Order SUmmary'!R941,'Commission Criteria'!$P$3:$Q$11,2,1))</f>
        <v>0.01</v>
      </c>
      <c r="U941" s="36">
        <f>VLOOKUP(R941,IF(P941&lt;5,'Commission Criteria'!$L$3:$M$11,'Commission Criteria'!$P$3:$Q$11),2,1)</f>
        <v>0.01</v>
      </c>
      <c r="V941" s="8" t="s">
        <v>29</v>
      </c>
      <c r="W941" s="36">
        <f t="shared" ca="1" si="45"/>
        <v>0.05</v>
      </c>
      <c r="X941" s="8" t="str">
        <f>_xlfn.XLOOKUP(F941,'Product List'!$B$1:$B$299,'Product List'!$A$1:$A$299)</f>
        <v>Avery 502</v>
      </c>
      <c r="Y941" s="8"/>
      <c r="Z941" s="8" t="str" cm="1">
        <f t="array" ref="Z941:AD941">_xlfn.XLOOKUP(D941,'Customer Details'!$A$1:$A$17,'Customer Details'!$B$1:$F$17,"No such customer",0,1)</f>
        <v>Dynamatic Technologies Ltd.</v>
      </c>
      <c r="AA941" s="8" t="str">
        <v>402 Pinkster Lane</v>
      </c>
      <c r="AB941" s="8" t="str">
        <v>Santa Barbara</v>
      </c>
      <c r="AC941" s="8" t="str">
        <v>CA</v>
      </c>
      <c r="AD941" s="8" t="str">
        <v>93110</v>
      </c>
    </row>
    <row r="942" spans="1:30">
      <c r="A942" s="8" t="s">
        <v>959</v>
      </c>
      <c r="B942" s="19">
        <v>42128</v>
      </c>
      <c r="C942" s="8" t="s">
        <v>27</v>
      </c>
      <c r="D942" s="8">
        <v>10006</v>
      </c>
      <c r="E942" s="8" t="str">
        <f>VLOOKUP($D942,'Customer Details'!$A$1:$F$17,4,FALSE)</f>
        <v>Midland</v>
      </c>
      <c r="F942" s="8" t="s">
        <v>102</v>
      </c>
      <c r="G942" s="8">
        <v>1</v>
      </c>
      <c r="H942" s="2" t="str">
        <f>VLOOKUP($D942,'Customer Details'!$A$1:$F$17,MATCH('Order SUmmary'!H$2,'Customer Details'!$A$1:$F$1,0),0)</f>
        <v>Supreme Ind</v>
      </c>
      <c r="I942" s="2" t="str">
        <f>VLOOKUP($D942,'Customer Details'!$A$1:$F$17,4,0)</f>
        <v>Midland</v>
      </c>
      <c r="J942" s="2" t="str">
        <f>VLOOKUP($D942,'Customer Details'!$A$1:$F$17,6,0)</f>
        <v>79706</v>
      </c>
      <c r="K942" s="8" t="str">
        <f>VLOOKUP(VLOOKUP(D942,'Customer Details'!$A$1:$F$17,5,0),'Region INfo'!$A$1:$C$52,3,0)</f>
        <v>Western</v>
      </c>
      <c r="L942" s="8" t="str">
        <f>INDEX(Product_List,MATCH($F942,'Product List'!$B$1:$B$299,0),MATCH('Order SUmmary'!L$2,'Product List'!$A$1:$E$1,0))</f>
        <v>Xerox 1997</v>
      </c>
      <c r="M942" s="8">
        <f>INDEX(Product_List,MATCH($F942,'Product List'!$B$1:$B$299,0),MATCH('Order SUmmary'!M$2,'Product List'!$A$1:$E$1,0))</f>
        <v>3844</v>
      </c>
      <c r="N942" s="8">
        <f>INDEX(Product_List,MATCH($F942,'Product List'!$B$1:$B$299,0),MATCH('Order SUmmary'!N$2,'Product List'!$A$1:$E$1,0))</f>
        <v>2157</v>
      </c>
      <c r="O942" s="8" t="str">
        <f>INDEX(Product_List,MATCH($F942,'Product List'!$B$1:$B$299,0),MATCH('Order SUmmary'!O$2,'Product List'!$A$1:$E$1,0))</f>
        <v>Paper</v>
      </c>
      <c r="P942" s="12">
        <f>HLOOKUP(C942,'Commission Criteria'!$A$2:$I$4,3,FALSE)</f>
        <v>4</v>
      </c>
      <c r="Q942" s="8">
        <f t="shared" si="43"/>
        <v>2157</v>
      </c>
      <c r="R942" s="8">
        <f t="shared" si="44"/>
        <v>3844</v>
      </c>
      <c r="S942" s="36">
        <f>VLOOKUP(R942,'Commission Criteria'!$L$3:$M$11,2,TRUE)</f>
        <v>0.01</v>
      </c>
      <c r="T942" s="36">
        <f>IF(P942&lt;5,VLOOKUP(R942,'Commission Criteria'!$L$3:$M$11,2,1),VLOOKUP('Order SUmmary'!R942,'Commission Criteria'!$P$3:$Q$11,2,1))</f>
        <v>0.01</v>
      </c>
      <c r="U942" s="36">
        <f>VLOOKUP(R942,IF(P942&lt;5,'Commission Criteria'!$L$3:$M$11,'Commission Criteria'!$P$3:$Q$11),2,1)</f>
        <v>0.01</v>
      </c>
      <c r="V942" s="8" t="s">
        <v>29</v>
      </c>
      <c r="W942" s="36">
        <f t="shared" ca="1" si="45"/>
        <v>0</v>
      </c>
      <c r="X942" s="8" t="str">
        <f>_xlfn.XLOOKUP(F942,'Product List'!$B$1:$B$299,'Product List'!$A$1:$A$299)</f>
        <v>Xerox 1997</v>
      </c>
      <c r="Y942" s="8"/>
      <c r="Z942" s="8" t="str" cm="1">
        <f t="array" ref="Z942:AD942">_xlfn.XLOOKUP(D942,'Customer Details'!$A$1:$A$17,'Customer Details'!$B$1:$F$17,"No such customer",0,1)</f>
        <v>Supreme Ind</v>
      </c>
      <c r="AA942" s="8" t="str">
        <v>P.O. Box 1367</v>
      </c>
      <c r="AB942" s="8" t="str">
        <v>Midland</v>
      </c>
      <c r="AC942" s="8" t="str">
        <v>TX</v>
      </c>
      <c r="AD942" s="8" t="str">
        <v>79706</v>
      </c>
    </row>
    <row r="943" spans="1:30">
      <c r="A943" s="8" t="s">
        <v>960</v>
      </c>
      <c r="B943" s="19">
        <v>42128</v>
      </c>
      <c r="C943" s="8" t="s">
        <v>33</v>
      </c>
      <c r="D943" s="8">
        <v>10006</v>
      </c>
      <c r="E943" s="8" t="str">
        <f>VLOOKUP($D943,'Customer Details'!$A$1:$F$17,4,FALSE)</f>
        <v>Midland</v>
      </c>
      <c r="F943" s="8" t="s">
        <v>368</v>
      </c>
      <c r="G943" s="8">
        <v>1</v>
      </c>
      <c r="H943" s="2" t="str">
        <f>VLOOKUP($D943,'Customer Details'!$A$1:$F$17,MATCH('Order SUmmary'!H$2,'Customer Details'!$A$1:$F$1,0),0)</f>
        <v>Supreme Ind</v>
      </c>
      <c r="I943" s="2" t="str">
        <f>VLOOKUP($D943,'Customer Details'!$A$1:$F$17,4,0)</f>
        <v>Midland</v>
      </c>
      <c r="J943" s="2" t="str">
        <f>VLOOKUP($D943,'Customer Details'!$A$1:$F$17,6,0)</f>
        <v>79706</v>
      </c>
      <c r="K943" s="8" t="str">
        <f>VLOOKUP(VLOOKUP(D943,'Customer Details'!$A$1:$F$17,5,0),'Region INfo'!$A$1:$C$52,3,0)</f>
        <v>Western</v>
      </c>
      <c r="L943" s="8" t="str">
        <f>INDEX(Product_List,MATCH($F943,'Product List'!$B$1:$B$299,0),MATCH('Order SUmmary'!L$2,'Product List'!$A$1:$E$1,0))</f>
        <v>Xerox 1978</v>
      </c>
      <c r="M943" s="8">
        <f>INDEX(Product_List,MATCH($F943,'Product List'!$B$1:$B$299,0),MATCH('Order SUmmary'!M$2,'Product List'!$A$1:$E$1,0))</f>
        <v>4757</v>
      </c>
      <c r="N943" s="8">
        <f>INDEX(Product_List,MATCH($F943,'Product List'!$B$1:$B$299,0),MATCH('Order SUmmary'!N$2,'Product List'!$A$1:$E$1,0))</f>
        <v>1534</v>
      </c>
      <c r="O943" s="8" t="str">
        <f>INDEX(Product_List,MATCH($F943,'Product List'!$B$1:$B$299,0),MATCH('Order SUmmary'!O$2,'Product List'!$A$1:$E$1,0))</f>
        <v>Paper</v>
      </c>
      <c r="P943" s="12">
        <f>HLOOKUP(C943,'Commission Criteria'!$A$2:$I$4,3,FALSE)</f>
        <v>1</v>
      </c>
      <c r="Q943" s="8">
        <f t="shared" si="43"/>
        <v>1534</v>
      </c>
      <c r="R943" s="8">
        <f t="shared" si="44"/>
        <v>4757</v>
      </c>
      <c r="S943" s="36">
        <f>VLOOKUP(R943,'Commission Criteria'!$L$3:$M$11,2,TRUE)</f>
        <v>0.01</v>
      </c>
      <c r="T943" s="36">
        <f>IF(P943&lt;5,VLOOKUP(R943,'Commission Criteria'!$L$3:$M$11,2,1),VLOOKUP('Order SUmmary'!R943,'Commission Criteria'!$P$3:$Q$11,2,1))</f>
        <v>0.01</v>
      </c>
      <c r="U943" s="36">
        <f>VLOOKUP(R943,IF(P943&lt;5,'Commission Criteria'!$L$3:$M$11,'Commission Criteria'!$P$3:$Q$11),2,1)</f>
        <v>0.01</v>
      </c>
      <c r="V943" s="8" t="s">
        <v>50</v>
      </c>
      <c r="W943" s="36">
        <f t="shared" ca="1" si="45"/>
        <v>0.03</v>
      </c>
      <c r="X943" s="8" t="str">
        <f>_xlfn.XLOOKUP(F943,'Product List'!$B$1:$B$299,'Product List'!$A$1:$A$299)</f>
        <v>Xerox 1978</v>
      </c>
      <c r="Y943" s="8"/>
      <c r="Z943" s="8" t="str" cm="1">
        <f t="array" ref="Z943:AD943">_xlfn.XLOOKUP(D943,'Customer Details'!$A$1:$A$17,'Customer Details'!$B$1:$F$17,"No such customer",0,1)</f>
        <v>Supreme Ind</v>
      </c>
      <c r="AA943" s="8" t="str">
        <v>P.O. Box 1367</v>
      </c>
      <c r="AB943" s="8" t="str">
        <v>Midland</v>
      </c>
      <c r="AC943" s="8" t="str">
        <v>TX</v>
      </c>
      <c r="AD943" s="8" t="str">
        <v>79706</v>
      </c>
    </row>
    <row r="944" spans="1:30">
      <c r="A944" s="8" t="s">
        <v>959</v>
      </c>
      <c r="B944" s="19">
        <v>42128</v>
      </c>
      <c r="C944" s="8" t="s">
        <v>27</v>
      </c>
      <c r="D944" s="8">
        <v>10003</v>
      </c>
      <c r="E944" s="8" t="str">
        <f>VLOOKUP($D944,'Customer Details'!$A$1:$F$17,4,FALSE)</f>
        <v>Miami</v>
      </c>
      <c r="F944" s="8" t="s">
        <v>507</v>
      </c>
      <c r="G944" s="8">
        <v>1</v>
      </c>
      <c r="H944" s="2" t="str">
        <f>VLOOKUP($D944,'Customer Details'!$A$1:$F$17,MATCH('Order SUmmary'!H$2,'Customer Details'!$A$1:$F$1,0),0)</f>
        <v>Honeywell Automation</v>
      </c>
      <c r="I944" s="2" t="str">
        <f>VLOOKUP($D944,'Customer Details'!$A$1:$F$17,4,0)</f>
        <v>Miami</v>
      </c>
      <c r="J944" s="2" t="str">
        <f>VLOOKUP($D944,'Customer Details'!$A$1:$F$17,6,0)</f>
        <v>33732</v>
      </c>
      <c r="K944" s="8" t="str">
        <f>VLOOKUP(VLOOKUP(D944,'Customer Details'!$A$1:$F$17,5,0),'Region INfo'!$A$1:$C$52,3,0)</f>
        <v>Southern</v>
      </c>
      <c r="L944" s="8" t="str">
        <f>INDEX(Product_List,MATCH($F944,'Product List'!$B$1:$B$299,0),MATCH('Order SUmmary'!L$2,'Product List'!$A$1:$E$1,0))</f>
        <v>Xerox 1905</v>
      </c>
      <c r="M944" s="8">
        <f>INDEX(Product_List,MATCH($F944,'Product List'!$B$1:$B$299,0),MATCH('Order SUmmary'!M$2,'Product List'!$A$1:$E$1,0))</f>
        <v>4858</v>
      </c>
      <c r="N944" s="8">
        <f>INDEX(Product_List,MATCH($F944,'Product List'!$B$1:$B$299,0),MATCH('Order SUmmary'!N$2,'Product List'!$A$1:$E$1,0))</f>
        <v>2491</v>
      </c>
      <c r="O944" s="8" t="str">
        <f>INDEX(Product_List,MATCH($F944,'Product List'!$B$1:$B$299,0),MATCH('Order SUmmary'!O$2,'Product List'!$A$1:$E$1,0))</f>
        <v>Paper</v>
      </c>
      <c r="P944" s="12">
        <f>HLOOKUP(C944,'Commission Criteria'!$A$2:$I$4,3,FALSE)</f>
        <v>4</v>
      </c>
      <c r="Q944" s="8">
        <f t="shared" si="43"/>
        <v>2491</v>
      </c>
      <c r="R944" s="8">
        <f t="shared" si="44"/>
        <v>4858</v>
      </c>
      <c r="S944" s="36">
        <f>VLOOKUP(R944,'Commission Criteria'!$L$3:$M$11,2,TRUE)</f>
        <v>0.01</v>
      </c>
      <c r="T944" s="36">
        <f>IF(P944&lt;5,VLOOKUP(R944,'Commission Criteria'!$L$3:$M$11,2,1),VLOOKUP('Order SUmmary'!R944,'Commission Criteria'!$P$3:$Q$11,2,1))</f>
        <v>0.01</v>
      </c>
      <c r="U944" s="36">
        <f>VLOOKUP(R944,IF(P944&lt;5,'Commission Criteria'!$L$3:$M$11,'Commission Criteria'!$P$3:$Q$11),2,1)</f>
        <v>0.01</v>
      </c>
      <c r="V944" s="8" t="s">
        <v>29</v>
      </c>
      <c r="W944" s="36">
        <f t="shared" ca="1" si="45"/>
        <v>0</v>
      </c>
      <c r="X944" s="8" t="str">
        <f>_xlfn.XLOOKUP(F944,'Product List'!$B$1:$B$299,'Product List'!$A$1:$A$299)</f>
        <v>Xerox 1905</v>
      </c>
      <c r="Y944" s="8"/>
      <c r="Z944" s="8" t="str" cm="1">
        <f t="array" ref="Z944:AD944">_xlfn.XLOOKUP(D944,'Customer Details'!$A$1:$A$17,'Customer Details'!$B$1:$F$17,"No such customer",0,1)</f>
        <v>Honeywell Automation</v>
      </c>
      <c r="AA944" s="8" t="str">
        <v>1272 Harbor Road</v>
      </c>
      <c r="AB944" s="8" t="str">
        <v>Miami</v>
      </c>
      <c r="AC944" s="8" t="str">
        <v>FL</v>
      </c>
      <c r="AD944" s="8" t="str">
        <v>33732</v>
      </c>
    </row>
    <row r="945" spans="1:30">
      <c r="A945" s="8" t="s">
        <v>960</v>
      </c>
      <c r="B945" s="19">
        <v>42128</v>
      </c>
      <c r="C945" s="8" t="s">
        <v>46</v>
      </c>
      <c r="D945" s="8">
        <v>10004</v>
      </c>
      <c r="E945" s="8" t="str">
        <f>VLOOKUP($D945,'Customer Details'!$A$1:$F$17,4,FALSE)</f>
        <v>New York</v>
      </c>
      <c r="F945" s="8" t="s">
        <v>91</v>
      </c>
      <c r="G945" s="8">
        <v>2</v>
      </c>
      <c r="H945" s="2" t="str">
        <f>VLOOKUP($D945,'Customer Details'!$A$1:$F$17,MATCH('Order SUmmary'!H$2,'Customer Details'!$A$1:$F$1,0),0)</f>
        <v>Lupin Ltd.</v>
      </c>
      <c r="I945" s="2" t="str">
        <f>VLOOKUP($D945,'Customer Details'!$A$1:$F$17,4,0)</f>
        <v>New York</v>
      </c>
      <c r="J945" s="2" t="str">
        <f>VLOOKUP($D945,'Customer Details'!$A$1:$F$17,6,0)</f>
        <v>10019</v>
      </c>
      <c r="K945" s="8" t="str">
        <f>VLOOKUP(VLOOKUP(D945,'Customer Details'!$A$1:$F$17,5,0),'Region INfo'!$A$1:$C$52,3,0)</f>
        <v xml:space="preserve">Northern </v>
      </c>
      <c r="L945" s="8" t="str">
        <f>INDEX(Product_List,MATCH($F945,'Product List'!$B$1:$B$299,0),MATCH('Order SUmmary'!L$2,'Product List'!$A$1:$E$1,0))</f>
        <v>Avery 475</v>
      </c>
      <c r="M945" s="8">
        <f>INDEX(Product_List,MATCH($F945,'Product List'!$B$1:$B$299,0),MATCH('Order SUmmary'!M$2,'Product List'!$A$1:$E$1,0))</f>
        <v>4711</v>
      </c>
      <c r="N945" s="8">
        <f>INDEX(Product_List,MATCH($F945,'Product List'!$B$1:$B$299,0),MATCH('Order SUmmary'!N$2,'Product List'!$A$1:$E$1,0))</f>
        <v>1267</v>
      </c>
      <c r="O945" s="8" t="str">
        <f>INDEX(Product_List,MATCH($F945,'Product List'!$B$1:$B$299,0),MATCH('Order SUmmary'!O$2,'Product List'!$A$1:$E$1,0))</f>
        <v>Labels</v>
      </c>
      <c r="P945" s="12">
        <f>HLOOKUP(C945,'Commission Criteria'!$A$2:$I$4,3,FALSE)</f>
        <v>8</v>
      </c>
      <c r="Q945" s="8">
        <f t="shared" si="43"/>
        <v>2534</v>
      </c>
      <c r="R945" s="8">
        <f t="shared" si="44"/>
        <v>9422</v>
      </c>
      <c r="S945" s="36">
        <f>VLOOKUP(R945,'Commission Criteria'!$L$3:$M$11,2,TRUE)</f>
        <v>0.03</v>
      </c>
      <c r="T945" s="36">
        <f>IF(P945&lt;5,VLOOKUP(R945,'Commission Criteria'!$L$3:$M$11,2,1),VLOOKUP('Order SUmmary'!R945,'Commission Criteria'!$P$3:$Q$11,2,1))</f>
        <v>0.02</v>
      </c>
      <c r="U945" s="36">
        <f>VLOOKUP(R945,IF(P945&lt;5,'Commission Criteria'!$L$3:$M$11,'Commission Criteria'!$P$3:$Q$11),2,1)</f>
        <v>0.02</v>
      </c>
      <c r="V945" s="8" t="s">
        <v>35</v>
      </c>
      <c r="W945" s="36">
        <f t="shared" ca="1" si="45"/>
        <v>0.05</v>
      </c>
      <c r="X945" s="8" t="str">
        <f>_xlfn.XLOOKUP(F945,'Product List'!$B$1:$B$299,'Product List'!$A$1:$A$299)</f>
        <v>Avery 475</v>
      </c>
      <c r="Y945" s="8"/>
      <c r="Z945" s="8" t="str" cm="1">
        <f t="array" ref="Z945:AD945">_xlfn.XLOOKUP(D945,'Customer Details'!$A$1:$A$17,'Customer Details'!$B$1:$F$17,"No such customer",0,1)</f>
        <v>Lupin Ltd.</v>
      </c>
      <c r="AA945" s="8" t="str">
        <v>Abbey Wood</v>
      </c>
      <c r="AB945" s="8" t="str">
        <v>New York</v>
      </c>
      <c r="AC945" s="8" t="str">
        <v>NY</v>
      </c>
      <c r="AD945" s="8" t="str">
        <v>10019</v>
      </c>
    </row>
    <row r="946" spans="1:30">
      <c r="A946" s="8" t="s">
        <v>961</v>
      </c>
      <c r="B946" s="19">
        <v>42129</v>
      </c>
      <c r="C946" s="8" t="s">
        <v>51</v>
      </c>
      <c r="D946" s="8">
        <v>10013</v>
      </c>
      <c r="E946" s="8" t="str">
        <f>VLOOKUP($D946,'Customer Details'!$A$1:$F$17,4,FALSE)</f>
        <v>Naugatuck</v>
      </c>
      <c r="F946" s="8" t="s">
        <v>218</v>
      </c>
      <c r="G946" s="8">
        <v>3</v>
      </c>
      <c r="H946" s="2" t="str">
        <f>VLOOKUP($D946,'Customer Details'!$A$1:$F$17,MATCH('Order SUmmary'!H$2,'Customer Details'!$A$1:$F$1,0),0)</f>
        <v>GMR Infrastructure Ltd.</v>
      </c>
      <c r="I946" s="2" t="str">
        <f>VLOOKUP($D946,'Customer Details'!$A$1:$F$17,4,0)</f>
        <v>Naugatuck</v>
      </c>
      <c r="J946" s="2" t="str">
        <f>VLOOKUP($D946,'Customer Details'!$A$1:$F$17,6,0)</f>
        <v>06770</v>
      </c>
      <c r="K946" s="8" t="str">
        <f>VLOOKUP(VLOOKUP(D946,'Customer Details'!$A$1:$F$17,5,0),'Region INfo'!$A$1:$C$52,3,0)</f>
        <v xml:space="preserve">Northern </v>
      </c>
      <c r="L946" s="8" t="str">
        <f>INDEX(Product_List,MATCH($F946,'Product List'!$B$1:$B$299,0),MATCH('Order SUmmary'!L$2,'Product List'!$A$1:$E$1,0))</f>
        <v>Avery 509</v>
      </c>
      <c r="M946" s="8">
        <f>INDEX(Product_List,MATCH($F946,'Product List'!$B$1:$B$299,0),MATCH('Order SUmmary'!M$2,'Product List'!$A$1:$E$1,0))</f>
        <v>3377</v>
      </c>
      <c r="N946" s="8">
        <f>INDEX(Product_List,MATCH($F946,'Product List'!$B$1:$B$299,0),MATCH('Order SUmmary'!N$2,'Product List'!$A$1:$E$1,0))</f>
        <v>2112</v>
      </c>
      <c r="O946" s="8" t="str">
        <f>INDEX(Product_List,MATCH($F946,'Product List'!$B$1:$B$299,0),MATCH('Order SUmmary'!O$2,'Product List'!$A$1:$E$1,0))</f>
        <v>Labels</v>
      </c>
      <c r="P946" s="12">
        <f>HLOOKUP(C946,'Commission Criteria'!$A$2:$I$4,3,FALSE)</f>
        <v>10</v>
      </c>
      <c r="Q946" s="8">
        <f t="shared" si="43"/>
        <v>6336</v>
      </c>
      <c r="R946" s="8">
        <f t="shared" si="44"/>
        <v>10131</v>
      </c>
      <c r="S946" s="36">
        <f>VLOOKUP(R946,'Commission Criteria'!$L$3:$M$11,2,TRUE)</f>
        <v>0.03</v>
      </c>
      <c r="T946" s="36">
        <f>IF(P946&lt;5,VLOOKUP(R946,'Commission Criteria'!$L$3:$M$11,2,1),VLOOKUP('Order SUmmary'!R946,'Commission Criteria'!$P$3:$Q$11,2,1))</f>
        <v>0.02</v>
      </c>
      <c r="U946" s="36">
        <f>VLOOKUP(R946,IF(P946&lt;5,'Commission Criteria'!$L$3:$M$11,'Commission Criteria'!$P$3:$Q$11),2,1)</f>
        <v>0.02</v>
      </c>
      <c r="V946" s="8" t="s">
        <v>29</v>
      </c>
      <c r="W946" s="36">
        <f t="shared" ca="1" si="45"/>
        <v>0.01</v>
      </c>
      <c r="X946" s="8" t="str">
        <f>_xlfn.XLOOKUP(F946,'Product List'!$B$1:$B$299,'Product List'!$A$1:$A$299)</f>
        <v>Avery 509</v>
      </c>
      <c r="Y946" s="8"/>
      <c r="Z946" s="8" t="str" cm="1">
        <f t="array" ref="Z946:AD946">_xlfn.XLOOKUP(D946,'Customer Details'!$A$1:$A$17,'Customer Details'!$B$1:$F$17,"No such customer",0,1)</f>
        <v>GMR Infrastructure Ltd.</v>
      </c>
      <c r="AA946" s="8" t="str">
        <v>P.O. Box 4421</v>
      </c>
      <c r="AB946" s="8" t="str">
        <v>Naugatuck</v>
      </c>
      <c r="AC946" s="8" t="str">
        <v>CT</v>
      </c>
      <c r="AD946" s="8" t="str">
        <v>06770</v>
      </c>
    </row>
    <row r="947" spans="1:30">
      <c r="A947" s="8" t="s">
        <v>962</v>
      </c>
      <c r="B947" s="19">
        <v>42129</v>
      </c>
      <c r="C947" s="8" t="s">
        <v>66</v>
      </c>
      <c r="D947" s="8">
        <v>10014</v>
      </c>
      <c r="E947" s="8" t="str">
        <f>VLOOKUP($D947,'Customer Details'!$A$1:$F$17,4,FALSE)</f>
        <v>Honolulu</v>
      </c>
      <c r="F947" s="8" t="s">
        <v>100</v>
      </c>
      <c r="G947" s="8">
        <v>3</v>
      </c>
      <c r="H947" s="2" t="str">
        <f>VLOOKUP($D947,'Customer Details'!$A$1:$F$17,MATCH('Order SUmmary'!H$2,'Customer Details'!$A$1:$F$1,0),0)</f>
        <v>Hindusthan National Glass &amp; Industries Ltd.</v>
      </c>
      <c r="I947" s="2" t="str">
        <f>VLOOKUP($D947,'Customer Details'!$A$1:$F$17,4,0)</f>
        <v>Honolulu</v>
      </c>
      <c r="J947" s="2" t="str">
        <f>VLOOKUP($D947,'Customer Details'!$A$1:$F$17,6,0)</f>
        <v>96825</v>
      </c>
      <c r="K947" s="8" t="str">
        <f>VLOOKUP(VLOOKUP(D947,'Customer Details'!$A$1:$F$17,5,0),'Region INfo'!$A$1:$C$52,3,0)</f>
        <v xml:space="preserve">Pacific   </v>
      </c>
      <c r="L947" s="8" t="str">
        <f>INDEX(Product_List,MATCH($F947,'Product List'!$B$1:$B$299,0),MATCH('Order SUmmary'!L$2,'Product List'!$A$1:$E$1,0))</f>
        <v>Xerox 1893</v>
      </c>
      <c r="M947" s="8">
        <f>INDEX(Product_List,MATCH($F947,'Product List'!$B$1:$B$299,0),MATCH('Order SUmmary'!M$2,'Product List'!$A$1:$E$1,0))</f>
        <v>4874</v>
      </c>
      <c r="N947" s="8">
        <f>INDEX(Product_List,MATCH($F947,'Product List'!$B$1:$B$299,0),MATCH('Order SUmmary'!N$2,'Product List'!$A$1:$E$1,0))</f>
        <v>1503</v>
      </c>
      <c r="O947" s="8" t="str">
        <f>INDEX(Product_List,MATCH($F947,'Product List'!$B$1:$B$299,0),MATCH('Order SUmmary'!O$2,'Product List'!$A$1:$E$1,0))</f>
        <v>Paper</v>
      </c>
      <c r="P947" s="12">
        <f>HLOOKUP(C947,'Commission Criteria'!$A$2:$I$4,3,FALSE)</f>
        <v>5</v>
      </c>
      <c r="Q947" s="8">
        <f t="shared" si="43"/>
        <v>4509</v>
      </c>
      <c r="R947" s="8">
        <f t="shared" si="44"/>
        <v>14622</v>
      </c>
      <c r="S947" s="36">
        <f>VLOOKUP(R947,'Commission Criteria'!$L$3:$M$11,2,TRUE)</f>
        <v>0.03</v>
      </c>
      <c r="T947" s="36">
        <f>IF(P947&lt;5,VLOOKUP(R947,'Commission Criteria'!$L$3:$M$11,2,1),VLOOKUP('Order SUmmary'!R947,'Commission Criteria'!$P$3:$Q$11,2,1))</f>
        <v>0.02</v>
      </c>
      <c r="U947" s="36">
        <f>VLOOKUP(R947,IF(P947&lt;5,'Commission Criteria'!$L$3:$M$11,'Commission Criteria'!$P$3:$Q$11),2,1)</f>
        <v>0.02</v>
      </c>
      <c r="V947" s="8" t="s">
        <v>35</v>
      </c>
      <c r="W947" s="36">
        <f t="shared" ca="1" si="45"/>
        <v>0.02</v>
      </c>
      <c r="X947" s="8" t="str">
        <f>_xlfn.XLOOKUP(F947,'Product List'!$B$1:$B$299,'Product List'!$A$1:$A$299)</f>
        <v>Xerox 1893</v>
      </c>
      <c r="Y947" s="8"/>
      <c r="Z947" s="8" t="str" cm="1">
        <f t="array" ref="Z947:AD947">_xlfn.XLOOKUP(D947,'Customer Details'!$A$1:$A$17,'Customer Details'!$B$1:$F$17,"No such customer",0,1)</f>
        <v>Hindusthan National Glass &amp; Industries Ltd.</v>
      </c>
      <c r="AA947" s="8" t="str">
        <v>11 Cathy St.</v>
      </c>
      <c r="AB947" s="8" t="str">
        <v>Honolulu</v>
      </c>
      <c r="AC947" s="8" t="str">
        <v>HI</v>
      </c>
      <c r="AD947" s="8" t="str">
        <v>96825</v>
      </c>
    </row>
    <row r="948" spans="1:30">
      <c r="A948" s="8" t="s">
        <v>963</v>
      </c>
      <c r="B948" s="19">
        <v>42131</v>
      </c>
      <c r="C948" s="8" t="s">
        <v>54</v>
      </c>
      <c r="D948" s="8">
        <v>10001</v>
      </c>
      <c r="E948" s="8" t="str">
        <f>VLOOKUP($D948,'Customer Details'!$A$1:$F$17,4,FALSE)</f>
        <v>New York</v>
      </c>
      <c r="F948" s="8" t="s">
        <v>247</v>
      </c>
      <c r="G948" s="8">
        <v>1</v>
      </c>
      <c r="H948" s="2" t="str">
        <f>VLOOKUP($D948,'Customer Details'!$A$1:$F$17,MATCH('Order SUmmary'!H$2,'Customer Details'!$A$1:$F$1,0),0)</f>
        <v>Chambal Fertilisers and Chemicals Ltd.</v>
      </c>
      <c r="I948" s="2" t="str">
        <f>VLOOKUP($D948,'Customer Details'!$A$1:$F$17,4,0)</f>
        <v>New York</v>
      </c>
      <c r="J948" s="2" t="str">
        <f>VLOOKUP($D948,'Customer Details'!$A$1:$F$17,6,0)</f>
        <v>10025</v>
      </c>
      <c r="K948" s="8" t="str">
        <f>VLOOKUP(VLOOKUP(D948,'Customer Details'!$A$1:$F$17,5,0),'Region INfo'!$A$1:$C$52,3,0)</f>
        <v xml:space="preserve">Northern </v>
      </c>
      <c r="L948" s="8" t="str">
        <f>INDEX(Product_List,MATCH($F948,'Product List'!$B$1:$B$299,0),MATCH('Order SUmmary'!L$2,'Product List'!$A$1:$E$1,0))</f>
        <v>Newell 329</v>
      </c>
      <c r="M948" s="8">
        <f>INDEX(Product_List,MATCH($F948,'Product List'!$B$1:$B$299,0),MATCH('Order SUmmary'!M$2,'Product List'!$A$1:$E$1,0))</f>
        <v>2787</v>
      </c>
      <c r="N948" s="8">
        <f>INDEX(Product_List,MATCH($F948,'Product List'!$B$1:$B$299,0),MATCH('Order SUmmary'!N$2,'Product List'!$A$1:$E$1,0))</f>
        <v>1470</v>
      </c>
      <c r="O948" s="8" t="str">
        <f>INDEX(Product_List,MATCH($F948,'Product List'!$B$1:$B$299,0),MATCH('Order SUmmary'!O$2,'Product List'!$A$1:$E$1,0))</f>
        <v>Art</v>
      </c>
      <c r="P948" s="12">
        <f>HLOOKUP(C948,'Commission Criteria'!$A$2:$I$4,3,FALSE)</f>
        <v>3</v>
      </c>
      <c r="Q948" s="8">
        <f t="shared" si="43"/>
        <v>1470</v>
      </c>
      <c r="R948" s="8">
        <f t="shared" si="44"/>
        <v>2787</v>
      </c>
      <c r="S948" s="36">
        <f>VLOOKUP(R948,'Commission Criteria'!$L$3:$M$11,2,TRUE)</f>
        <v>0.01</v>
      </c>
      <c r="T948" s="36">
        <f>IF(P948&lt;5,VLOOKUP(R948,'Commission Criteria'!$L$3:$M$11,2,1),VLOOKUP('Order SUmmary'!R948,'Commission Criteria'!$P$3:$Q$11,2,1))</f>
        <v>0.01</v>
      </c>
      <c r="U948" s="36">
        <f>VLOOKUP(R948,IF(P948&lt;5,'Commission Criteria'!$L$3:$M$11,'Commission Criteria'!$P$3:$Q$11),2,1)</f>
        <v>0.01</v>
      </c>
      <c r="V948" s="8" t="s">
        <v>35</v>
      </c>
      <c r="W948" s="36">
        <f t="shared" ca="1" si="45"/>
        <v>0.01</v>
      </c>
      <c r="X948" s="8" t="str">
        <f>_xlfn.XLOOKUP(F948,'Product List'!$B$1:$B$299,'Product List'!$A$1:$A$299)</f>
        <v>Newell 329</v>
      </c>
      <c r="Y948" s="8"/>
      <c r="Z948" s="8" t="str" cm="1">
        <f t="array" ref="Z948:AD948">_xlfn.XLOOKUP(D948,'Customer Details'!$A$1:$A$17,'Customer Details'!$B$1:$F$17,"No such customer",0,1)</f>
        <v>Chambal Fertilisers and Chemicals Ltd.</v>
      </c>
      <c r="AA948" s="8" t="str">
        <v>4951 Indiana Ave.</v>
      </c>
      <c r="AB948" s="8" t="str">
        <v>New York</v>
      </c>
      <c r="AC948" s="8" t="str">
        <v>NY</v>
      </c>
      <c r="AD948" s="8" t="str">
        <v>10025</v>
      </c>
    </row>
    <row r="949" spans="1:30">
      <c r="A949" s="8" t="s">
        <v>964</v>
      </c>
      <c r="B949" s="19">
        <v>42133</v>
      </c>
      <c r="C949" s="8" t="s">
        <v>54</v>
      </c>
      <c r="D949" s="8">
        <v>10007</v>
      </c>
      <c r="E949" s="8" t="str">
        <f>VLOOKUP($D949,'Customer Details'!$A$1:$F$17,4,FALSE)</f>
        <v>Richmond</v>
      </c>
      <c r="F949" s="8" t="s">
        <v>213</v>
      </c>
      <c r="G949" s="8">
        <v>1</v>
      </c>
      <c r="H949" s="2" t="str">
        <f>VLOOKUP($D949,'Customer Details'!$A$1:$F$17,MATCH('Order SUmmary'!H$2,'Customer Details'!$A$1:$F$1,0),0)</f>
        <v>GHCL Ltd.</v>
      </c>
      <c r="I949" s="2" t="str">
        <f>VLOOKUP($D949,'Customer Details'!$A$1:$F$17,4,0)</f>
        <v>Richmond</v>
      </c>
      <c r="J949" s="2" t="str">
        <f>VLOOKUP($D949,'Customer Details'!$A$1:$F$17,6,0)</f>
        <v>94805</v>
      </c>
      <c r="K949" s="8" t="str">
        <f>VLOOKUP(VLOOKUP(D949,'Customer Details'!$A$1:$F$17,5,0),'Region INfo'!$A$1:$C$52,3,0)</f>
        <v xml:space="preserve">Pacific   </v>
      </c>
      <c r="L949" s="8" t="str">
        <f>INDEX(Product_List,MATCH($F949,'Product List'!$B$1:$B$299,0),MATCH('Order SUmmary'!L$2,'Product List'!$A$1:$E$1,0))</f>
        <v>Cisco SPA301</v>
      </c>
      <c r="M949" s="8">
        <f>INDEX(Product_List,MATCH($F949,'Product List'!$B$1:$B$299,0),MATCH('Order SUmmary'!M$2,'Product List'!$A$1:$E$1,0))</f>
        <v>2921</v>
      </c>
      <c r="N949" s="8">
        <f>INDEX(Product_List,MATCH($F949,'Product List'!$B$1:$B$299,0),MATCH('Order SUmmary'!N$2,'Product List'!$A$1:$E$1,0))</f>
        <v>1786</v>
      </c>
      <c r="O949" s="8" t="str">
        <f>INDEX(Product_List,MATCH($F949,'Product List'!$B$1:$B$299,0),MATCH('Order SUmmary'!O$2,'Product List'!$A$1:$E$1,0))</f>
        <v>Phones</v>
      </c>
      <c r="P949" s="12">
        <f>HLOOKUP(C949,'Commission Criteria'!$A$2:$I$4,3,FALSE)</f>
        <v>3</v>
      </c>
      <c r="Q949" s="8">
        <f t="shared" si="43"/>
        <v>1786</v>
      </c>
      <c r="R949" s="8">
        <f t="shared" si="44"/>
        <v>2921</v>
      </c>
      <c r="S949" s="36">
        <f>VLOOKUP(R949,'Commission Criteria'!$L$3:$M$11,2,TRUE)</f>
        <v>0.01</v>
      </c>
      <c r="T949" s="36">
        <f>IF(P949&lt;5,VLOOKUP(R949,'Commission Criteria'!$L$3:$M$11,2,1),VLOOKUP('Order SUmmary'!R949,'Commission Criteria'!$P$3:$Q$11,2,1))</f>
        <v>0.01</v>
      </c>
      <c r="U949" s="36">
        <f>VLOOKUP(R949,IF(P949&lt;5,'Commission Criteria'!$L$3:$M$11,'Commission Criteria'!$P$3:$Q$11),2,1)</f>
        <v>0.01</v>
      </c>
      <c r="V949" s="8" t="s">
        <v>29</v>
      </c>
      <c r="W949" s="36">
        <f t="shared" ca="1" si="45"/>
        <v>0.03</v>
      </c>
      <c r="X949" s="8" t="str">
        <f>_xlfn.XLOOKUP(F949,'Product List'!$B$1:$B$299,'Product List'!$A$1:$A$299)</f>
        <v>Cisco SPA301</v>
      </c>
      <c r="Y949" s="8"/>
      <c r="Z949" s="8" t="str" cm="1">
        <f t="array" ref="Z949:AD949">_xlfn.XLOOKUP(D949,'Customer Details'!$A$1:$A$17,'Customer Details'!$B$1:$F$17,"No such customer",0,1)</f>
        <v>GHCL Ltd.</v>
      </c>
      <c r="AA949" s="8" t="str">
        <v>58 Clarence St</v>
      </c>
      <c r="AB949" s="8" t="str">
        <v>Richmond</v>
      </c>
      <c r="AC949" s="8" t="str">
        <v>CA</v>
      </c>
      <c r="AD949" s="8" t="str">
        <v>94805</v>
      </c>
    </row>
    <row r="950" spans="1:30">
      <c r="A950" s="8" t="s">
        <v>965</v>
      </c>
      <c r="B950" s="19">
        <v>42133</v>
      </c>
      <c r="C950" s="8" t="s">
        <v>27</v>
      </c>
      <c r="D950" s="8">
        <v>10007</v>
      </c>
      <c r="E950" s="8" t="str">
        <f>VLOOKUP($D950,'Customer Details'!$A$1:$F$17,4,FALSE)</f>
        <v>Richmond</v>
      </c>
      <c r="F950" s="8" t="s">
        <v>455</v>
      </c>
      <c r="G950" s="8">
        <v>1</v>
      </c>
      <c r="H950" s="2" t="str">
        <f>VLOOKUP($D950,'Customer Details'!$A$1:$F$17,MATCH('Order SUmmary'!H$2,'Customer Details'!$A$1:$F$1,0),0)</f>
        <v>GHCL Ltd.</v>
      </c>
      <c r="I950" s="2" t="str">
        <f>VLOOKUP($D950,'Customer Details'!$A$1:$F$17,4,0)</f>
        <v>Richmond</v>
      </c>
      <c r="J950" s="2" t="str">
        <f>VLOOKUP($D950,'Customer Details'!$A$1:$F$17,6,0)</f>
        <v>94805</v>
      </c>
      <c r="K950" s="8" t="str">
        <f>VLOOKUP(VLOOKUP(D950,'Customer Details'!$A$1:$F$17,5,0),'Region INfo'!$A$1:$C$52,3,0)</f>
        <v xml:space="preserve">Pacific   </v>
      </c>
      <c r="L950" s="8" t="str">
        <f>INDEX(Product_List,MATCH($F950,'Product List'!$B$1:$B$299,0),MATCH('Order SUmmary'!L$2,'Product List'!$A$1:$E$1,0))</f>
        <v>Newell 307</v>
      </c>
      <c r="M950" s="8">
        <f>INDEX(Product_List,MATCH($F950,'Product List'!$B$1:$B$299,0),MATCH('Order SUmmary'!M$2,'Product List'!$A$1:$E$1,0))</f>
        <v>4230</v>
      </c>
      <c r="N950" s="8">
        <f>INDEX(Product_List,MATCH($F950,'Product List'!$B$1:$B$299,0),MATCH('Order SUmmary'!N$2,'Product List'!$A$1:$E$1,0))</f>
        <v>1812</v>
      </c>
      <c r="O950" s="8" t="str">
        <f>INDEX(Product_List,MATCH($F950,'Product List'!$B$1:$B$299,0),MATCH('Order SUmmary'!O$2,'Product List'!$A$1:$E$1,0))</f>
        <v>Art</v>
      </c>
      <c r="P950" s="12">
        <f>HLOOKUP(C950,'Commission Criteria'!$A$2:$I$4,3,FALSE)</f>
        <v>4</v>
      </c>
      <c r="Q950" s="8">
        <f t="shared" si="43"/>
        <v>1812</v>
      </c>
      <c r="R950" s="8">
        <f t="shared" si="44"/>
        <v>4230</v>
      </c>
      <c r="S950" s="36">
        <f>VLOOKUP(R950,'Commission Criteria'!$L$3:$M$11,2,TRUE)</f>
        <v>0.01</v>
      </c>
      <c r="T950" s="36">
        <f>IF(P950&lt;5,VLOOKUP(R950,'Commission Criteria'!$L$3:$M$11,2,1),VLOOKUP('Order SUmmary'!R950,'Commission Criteria'!$P$3:$Q$11,2,1))</f>
        <v>0.01</v>
      </c>
      <c r="U950" s="36">
        <f>VLOOKUP(R950,IF(P950&lt;5,'Commission Criteria'!$L$3:$M$11,'Commission Criteria'!$P$3:$Q$11),2,1)</f>
        <v>0.01</v>
      </c>
      <c r="V950" s="8" t="s">
        <v>32</v>
      </c>
      <c r="W950" s="36">
        <f t="shared" ca="1" si="45"/>
        <v>0.05</v>
      </c>
      <c r="X950" s="8" t="str">
        <f>_xlfn.XLOOKUP(F950,'Product List'!$B$1:$B$299,'Product List'!$A$1:$A$299)</f>
        <v>Newell 307</v>
      </c>
      <c r="Y950" s="8"/>
      <c r="Z950" s="8" t="str" cm="1">
        <f t="array" ref="Z950:AD950">_xlfn.XLOOKUP(D950,'Customer Details'!$A$1:$A$17,'Customer Details'!$B$1:$F$17,"No such customer",0,1)</f>
        <v>GHCL Ltd.</v>
      </c>
      <c r="AA950" s="8" t="str">
        <v>58 Clarence St</v>
      </c>
      <c r="AB950" s="8" t="str">
        <v>Richmond</v>
      </c>
      <c r="AC950" s="8" t="str">
        <v>CA</v>
      </c>
      <c r="AD950" s="8" t="str">
        <v>94805</v>
      </c>
    </row>
    <row r="951" spans="1:30">
      <c r="A951" s="8" t="s">
        <v>966</v>
      </c>
      <c r="B951" s="19">
        <v>42134</v>
      </c>
      <c r="C951" s="8" t="s">
        <v>44</v>
      </c>
      <c r="D951" s="8">
        <v>10003</v>
      </c>
      <c r="E951" s="8" t="str">
        <f>VLOOKUP($D951,'Customer Details'!$A$1:$F$17,4,FALSE)</f>
        <v>Miami</v>
      </c>
      <c r="F951" s="8" t="s">
        <v>640</v>
      </c>
      <c r="G951" s="8">
        <v>1</v>
      </c>
      <c r="H951" s="2" t="str">
        <f>VLOOKUP($D951,'Customer Details'!$A$1:$F$17,MATCH('Order SUmmary'!H$2,'Customer Details'!$A$1:$F$1,0),0)</f>
        <v>Honeywell Automation</v>
      </c>
      <c r="I951" s="2" t="str">
        <f>VLOOKUP($D951,'Customer Details'!$A$1:$F$17,4,0)</f>
        <v>Miami</v>
      </c>
      <c r="J951" s="2" t="str">
        <f>VLOOKUP($D951,'Customer Details'!$A$1:$F$17,6,0)</f>
        <v>33732</v>
      </c>
      <c r="K951" s="8" t="str">
        <f>VLOOKUP(VLOOKUP(D951,'Customer Details'!$A$1:$F$17,5,0),'Region INfo'!$A$1:$C$52,3,0)</f>
        <v>Southern</v>
      </c>
      <c r="L951" s="8" t="str">
        <f>INDEX(Product_List,MATCH($F951,'Product List'!$B$1:$B$299,0),MATCH('Order SUmmary'!L$2,'Product List'!$A$1:$E$1,0))</f>
        <v>Crate-A-Files</v>
      </c>
      <c r="M951" s="8">
        <f>INDEX(Product_List,MATCH($F951,'Product List'!$B$1:$B$299,0),MATCH('Order SUmmary'!M$2,'Product List'!$A$1:$E$1,0))</f>
        <v>3445</v>
      </c>
      <c r="N951" s="8">
        <f>INDEX(Product_List,MATCH($F951,'Product List'!$B$1:$B$299,0),MATCH('Order SUmmary'!N$2,'Product List'!$A$1:$E$1,0))</f>
        <v>1909</v>
      </c>
      <c r="O951" s="8" t="str">
        <f>INDEX(Product_List,MATCH($F951,'Product List'!$B$1:$B$299,0),MATCH('Order SUmmary'!O$2,'Product List'!$A$1:$E$1,0))</f>
        <v>Storage</v>
      </c>
      <c r="P951" s="12">
        <f>HLOOKUP(C951,'Commission Criteria'!$A$2:$I$4,3,FALSE)</f>
        <v>4</v>
      </c>
      <c r="Q951" s="8">
        <f t="shared" si="43"/>
        <v>1909</v>
      </c>
      <c r="R951" s="8">
        <f t="shared" si="44"/>
        <v>3445</v>
      </c>
      <c r="S951" s="36">
        <f>VLOOKUP(R951,'Commission Criteria'!$L$3:$M$11,2,TRUE)</f>
        <v>0.01</v>
      </c>
      <c r="T951" s="36">
        <f>IF(P951&lt;5,VLOOKUP(R951,'Commission Criteria'!$L$3:$M$11,2,1),VLOOKUP('Order SUmmary'!R951,'Commission Criteria'!$P$3:$Q$11,2,1))</f>
        <v>0.01</v>
      </c>
      <c r="U951" s="36">
        <f>VLOOKUP(R951,IF(P951&lt;5,'Commission Criteria'!$L$3:$M$11,'Commission Criteria'!$P$3:$Q$11),2,1)</f>
        <v>0.01</v>
      </c>
      <c r="V951" s="8" t="s">
        <v>32</v>
      </c>
      <c r="W951" s="36">
        <f t="shared" ca="1" si="45"/>
        <v>0</v>
      </c>
      <c r="X951" s="8" t="str">
        <f>_xlfn.XLOOKUP(F951,'Product List'!$B$1:$B$299,'Product List'!$A$1:$A$299)</f>
        <v>Crate-A-Files</v>
      </c>
      <c r="Y951" s="8"/>
      <c r="Z951" s="8" t="str" cm="1">
        <f t="array" ref="Z951:AD951">_xlfn.XLOOKUP(D951,'Customer Details'!$A$1:$A$17,'Customer Details'!$B$1:$F$17,"No such customer",0,1)</f>
        <v>Honeywell Automation</v>
      </c>
      <c r="AA951" s="8" t="str">
        <v>1272 Harbor Road</v>
      </c>
      <c r="AB951" s="8" t="str">
        <v>Miami</v>
      </c>
      <c r="AC951" s="8" t="str">
        <v>FL</v>
      </c>
      <c r="AD951" s="8" t="str">
        <v>33732</v>
      </c>
    </row>
    <row r="952" spans="1:30">
      <c r="A952" s="8" t="s">
        <v>967</v>
      </c>
      <c r="B952" s="19">
        <v>42135</v>
      </c>
      <c r="C952" s="8" t="s">
        <v>44</v>
      </c>
      <c r="D952" s="8">
        <v>10012</v>
      </c>
      <c r="E952" s="8" t="str">
        <f>VLOOKUP($D952,'Customer Details'!$A$1:$F$17,4,FALSE)</f>
        <v>Santa Barbara</v>
      </c>
      <c r="F952" s="8" t="s">
        <v>476</v>
      </c>
      <c r="G952" s="8">
        <v>1</v>
      </c>
      <c r="H952" s="2" t="str">
        <f>VLOOKUP($D952,'Customer Details'!$A$1:$F$17,MATCH('Order SUmmary'!H$2,'Customer Details'!$A$1:$F$1,0),0)</f>
        <v>Dynamatic Technologies Ltd.</v>
      </c>
      <c r="I952" s="2" t="str">
        <f>VLOOKUP($D952,'Customer Details'!$A$1:$F$17,4,0)</f>
        <v>Santa Barbara</v>
      </c>
      <c r="J952" s="2" t="str">
        <f>VLOOKUP($D952,'Customer Details'!$A$1:$F$17,6,0)</f>
        <v>93110</v>
      </c>
      <c r="K952" s="8" t="str">
        <f>VLOOKUP(VLOOKUP(D952,'Customer Details'!$A$1:$F$17,5,0),'Region INfo'!$A$1:$C$52,3,0)</f>
        <v xml:space="preserve">Pacific   </v>
      </c>
      <c r="L952" s="8" t="str">
        <f>INDEX(Product_List,MATCH($F952,'Product List'!$B$1:$B$299,0),MATCH('Order SUmmary'!L$2,'Product List'!$A$1:$E$1,0))</f>
        <v>Xerox 200</v>
      </c>
      <c r="M952" s="8">
        <f>INDEX(Product_List,MATCH($F952,'Product List'!$B$1:$B$299,0),MATCH('Order SUmmary'!M$2,'Product List'!$A$1:$E$1,0))</f>
        <v>3555</v>
      </c>
      <c r="N952" s="8">
        <f>INDEX(Product_List,MATCH($F952,'Product List'!$B$1:$B$299,0),MATCH('Order SUmmary'!N$2,'Product List'!$A$1:$E$1,0))</f>
        <v>1564</v>
      </c>
      <c r="O952" s="8" t="str">
        <f>INDEX(Product_List,MATCH($F952,'Product List'!$B$1:$B$299,0),MATCH('Order SUmmary'!O$2,'Product List'!$A$1:$E$1,0))</f>
        <v>Paper</v>
      </c>
      <c r="P952" s="12">
        <f>HLOOKUP(C952,'Commission Criteria'!$A$2:$I$4,3,FALSE)</f>
        <v>4</v>
      </c>
      <c r="Q952" s="8">
        <f t="shared" si="43"/>
        <v>1564</v>
      </c>
      <c r="R952" s="8">
        <f t="shared" si="44"/>
        <v>3555</v>
      </c>
      <c r="S952" s="36">
        <f>VLOOKUP(R952,'Commission Criteria'!$L$3:$M$11,2,TRUE)</f>
        <v>0.01</v>
      </c>
      <c r="T952" s="36">
        <f>IF(P952&lt;5,VLOOKUP(R952,'Commission Criteria'!$L$3:$M$11,2,1),VLOOKUP('Order SUmmary'!R952,'Commission Criteria'!$P$3:$Q$11,2,1))</f>
        <v>0.01</v>
      </c>
      <c r="U952" s="36">
        <f>VLOOKUP(R952,IF(P952&lt;5,'Commission Criteria'!$L$3:$M$11,'Commission Criteria'!$P$3:$Q$11),2,1)</f>
        <v>0.01</v>
      </c>
      <c r="V952" s="8" t="s">
        <v>32</v>
      </c>
      <c r="W952" s="36">
        <f t="shared" ca="1" si="45"/>
        <v>0.05</v>
      </c>
      <c r="X952" s="8" t="str">
        <f>_xlfn.XLOOKUP(F952,'Product List'!$B$1:$B$299,'Product List'!$A$1:$A$299)</f>
        <v>Xerox 200</v>
      </c>
      <c r="Y952" s="8"/>
      <c r="Z952" s="8" t="str" cm="1">
        <f t="array" ref="Z952:AD952">_xlfn.XLOOKUP(D952,'Customer Details'!$A$1:$A$17,'Customer Details'!$B$1:$F$17,"No such customer",0,1)</f>
        <v>Dynamatic Technologies Ltd.</v>
      </c>
      <c r="AA952" s="8" t="str">
        <v>402 Pinkster Lane</v>
      </c>
      <c r="AB952" s="8" t="str">
        <v>Santa Barbara</v>
      </c>
      <c r="AC952" s="8" t="str">
        <v>CA</v>
      </c>
      <c r="AD952" s="8" t="str">
        <v>93110</v>
      </c>
    </row>
    <row r="953" spans="1:30">
      <c r="A953" s="8" t="s">
        <v>967</v>
      </c>
      <c r="B953" s="19">
        <v>42135</v>
      </c>
      <c r="C953" s="8" t="s">
        <v>36</v>
      </c>
      <c r="D953" s="8">
        <v>10015</v>
      </c>
      <c r="E953" s="8" t="str">
        <f>VLOOKUP($D953,'Customer Details'!$A$1:$F$17,4,FALSE)</f>
        <v>South Windsor</v>
      </c>
      <c r="F953" s="8" t="s">
        <v>226</v>
      </c>
      <c r="G953" s="8">
        <v>2</v>
      </c>
      <c r="H953" s="2" t="str">
        <f>VLOOKUP($D953,'Customer Details'!$A$1:$F$17,MATCH('Order SUmmary'!H$2,'Customer Details'!$A$1:$F$1,0),0)</f>
        <v>Punj Lloyd Ltd.</v>
      </c>
      <c r="I953" s="2" t="str">
        <f>VLOOKUP($D953,'Customer Details'!$A$1:$F$17,4,0)</f>
        <v>South Windsor</v>
      </c>
      <c r="J953" s="2" t="str">
        <f>VLOOKUP($D953,'Customer Details'!$A$1:$F$17,6,0)</f>
        <v>06074</v>
      </c>
      <c r="K953" s="8" t="str">
        <f>VLOOKUP(VLOOKUP(D953,'Customer Details'!$A$1:$F$17,5,0),'Region INfo'!$A$1:$C$52,3,0)</f>
        <v xml:space="preserve">Northern </v>
      </c>
      <c r="L953" s="8" t="str">
        <f>INDEX(Product_List,MATCH($F953,'Product List'!$B$1:$B$299,0),MATCH('Order SUmmary'!L$2,'Product List'!$A$1:$E$1,0))</f>
        <v>Avery 517</v>
      </c>
      <c r="M953" s="8">
        <f>INDEX(Product_List,MATCH($F953,'Product List'!$B$1:$B$299,0),MATCH('Order SUmmary'!M$2,'Product List'!$A$1:$E$1,0))</f>
        <v>3065</v>
      </c>
      <c r="N953" s="8">
        <f>INDEX(Product_List,MATCH($F953,'Product List'!$B$1:$B$299,0),MATCH('Order SUmmary'!N$2,'Product List'!$A$1:$E$1,0))</f>
        <v>1426</v>
      </c>
      <c r="O953" s="8" t="str">
        <f>INDEX(Product_List,MATCH($F953,'Product List'!$B$1:$B$299,0),MATCH('Order SUmmary'!O$2,'Product List'!$A$1:$E$1,0))</f>
        <v>Labels</v>
      </c>
      <c r="P953" s="12">
        <f>HLOOKUP(C953,'Commission Criteria'!$A$2:$I$4,3,FALSE)</f>
        <v>6</v>
      </c>
      <c r="Q953" s="8">
        <f t="shared" si="43"/>
        <v>2852</v>
      </c>
      <c r="R953" s="8">
        <f t="shared" si="44"/>
        <v>6130</v>
      </c>
      <c r="S953" s="36">
        <f>VLOOKUP(R953,'Commission Criteria'!$L$3:$M$11,2,TRUE)</f>
        <v>0.03</v>
      </c>
      <c r="T953" s="36">
        <f>IF(P953&lt;5,VLOOKUP(R953,'Commission Criteria'!$L$3:$M$11,2,1),VLOOKUP('Order SUmmary'!R953,'Commission Criteria'!$P$3:$Q$11,2,1))</f>
        <v>0.02</v>
      </c>
      <c r="U953" s="36">
        <f>VLOOKUP(R953,IF(P953&lt;5,'Commission Criteria'!$L$3:$M$11,'Commission Criteria'!$P$3:$Q$11),2,1)</f>
        <v>0.02</v>
      </c>
      <c r="V953" s="8" t="s">
        <v>40</v>
      </c>
      <c r="W953" s="36">
        <f t="shared" ca="1" si="45"/>
        <v>0.01</v>
      </c>
      <c r="X953" s="8" t="str">
        <f>_xlfn.XLOOKUP(F953,'Product List'!$B$1:$B$299,'Product List'!$A$1:$A$299)</f>
        <v>Avery 517</v>
      </c>
      <c r="Y953" s="8"/>
      <c r="Z953" s="8" t="str" cm="1">
        <f t="array" ref="Z953:AD953">_xlfn.XLOOKUP(D953,'Customer Details'!$A$1:$A$17,'Customer Details'!$B$1:$F$17,"No such customer",0,1)</f>
        <v>Punj Lloyd Ltd.</v>
      </c>
      <c r="AA953" s="8" t="str">
        <v>Box 3263</v>
      </c>
      <c r="AB953" s="8" t="str">
        <v>South Windsor</v>
      </c>
      <c r="AC953" s="8" t="str">
        <v>CT</v>
      </c>
      <c r="AD953" s="8" t="str">
        <v>06074</v>
      </c>
    </row>
    <row r="954" spans="1:30">
      <c r="A954" s="8" t="s">
        <v>968</v>
      </c>
      <c r="B954" s="19">
        <v>42138</v>
      </c>
      <c r="C954" s="8" t="s">
        <v>33</v>
      </c>
      <c r="D954" s="8">
        <v>10014</v>
      </c>
      <c r="E954" s="8" t="str">
        <f>VLOOKUP($D954,'Customer Details'!$A$1:$F$17,4,FALSE)</f>
        <v>Honolulu</v>
      </c>
      <c r="F954" s="8" t="s">
        <v>795</v>
      </c>
      <c r="G954" s="8">
        <v>1</v>
      </c>
      <c r="H954" s="2" t="str">
        <f>VLOOKUP($D954,'Customer Details'!$A$1:$F$17,MATCH('Order SUmmary'!H$2,'Customer Details'!$A$1:$F$1,0),0)</f>
        <v>Hindusthan National Glass &amp; Industries Ltd.</v>
      </c>
      <c r="I954" s="2" t="str">
        <f>VLOOKUP($D954,'Customer Details'!$A$1:$F$17,4,0)</f>
        <v>Honolulu</v>
      </c>
      <c r="J954" s="2" t="str">
        <f>VLOOKUP($D954,'Customer Details'!$A$1:$F$17,6,0)</f>
        <v>96825</v>
      </c>
      <c r="K954" s="8" t="str">
        <f>VLOOKUP(VLOOKUP(D954,'Customer Details'!$A$1:$F$17,5,0),'Region INfo'!$A$1:$C$52,3,0)</f>
        <v xml:space="preserve">Pacific   </v>
      </c>
      <c r="L954" s="8" t="str">
        <f>INDEX(Product_List,MATCH($F954,'Product List'!$B$1:$B$299,0),MATCH('Order SUmmary'!L$2,'Product List'!$A$1:$E$1,0))</f>
        <v>Newell 336</v>
      </c>
      <c r="M954" s="8">
        <f>INDEX(Product_List,MATCH($F954,'Product List'!$B$1:$B$299,0),MATCH('Order SUmmary'!M$2,'Product List'!$A$1:$E$1,0))</f>
        <v>2772</v>
      </c>
      <c r="N954" s="8">
        <f>INDEX(Product_List,MATCH($F954,'Product List'!$B$1:$B$299,0),MATCH('Order SUmmary'!N$2,'Product List'!$A$1:$E$1,0))</f>
        <v>1527</v>
      </c>
      <c r="O954" s="8" t="str">
        <f>INDEX(Product_List,MATCH($F954,'Product List'!$B$1:$B$299,0),MATCH('Order SUmmary'!O$2,'Product List'!$A$1:$E$1,0))</f>
        <v>Art</v>
      </c>
      <c r="P954" s="12">
        <f>HLOOKUP(C954,'Commission Criteria'!$A$2:$I$4,3,FALSE)</f>
        <v>1</v>
      </c>
      <c r="Q954" s="8">
        <f t="shared" si="43"/>
        <v>1527</v>
      </c>
      <c r="R954" s="8">
        <f t="shared" si="44"/>
        <v>2772</v>
      </c>
      <c r="S954" s="36">
        <f>VLOOKUP(R954,'Commission Criteria'!$L$3:$M$11,2,TRUE)</f>
        <v>0.01</v>
      </c>
      <c r="T954" s="36">
        <f>IF(P954&lt;5,VLOOKUP(R954,'Commission Criteria'!$L$3:$M$11,2,1),VLOOKUP('Order SUmmary'!R954,'Commission Criteria'!$P$3:$Q$11,2,1))</f>
        <v>0.01</v>
      </c>
      <c r="U954" s="36">
        <f>VLOOKUP(R954,IF(P954&lt;5,'Commission Criteria'!$L$3:$M$11,'Commission Criteria'!$P$3:$Q$11),2,1)</f>
        <v>0.01</v>
      </c>
      <c r="V954" s="8" t="s">
        <v>40</v>
      </c>
      <c r="W954" s="36">
        <f t="shared" ca="1" si="45"/>
        <v>0.03</v>
      </c>
      <c r="X954" s="8" t="str">
        <f>_xlfn.XLOOKUP(F954,'Product List'!$B$1:$B$299,'Product List'!$A$1:$A$299)</f>
        <v>Newell 336</v>
      </c>
      <c r="Y954" s="8"/>
      <c r="Z954" s="8" t="str" cm="1">
        <f t="array" ref="Z954:AD954">_xlfn.XLOOKUP(D954,'Customer Details'!$A$1:$A$17,'Customer Details'!$B$1:$F$17,"No such customer",0,1)</f>
        <v>Hindusthan National Glass &amp; Industries Ltd.</v>
      </c>
      <c r="AA954" s="8" t="str">
        <v>11 Cathy St.</v>
      </c>
      <c r="AB954" s="8" t="str">
        <v>Honolulu</v>
      </c>
      <c r="AC954" s="8" t="str">
        <v>HI</v>
      </c>
      <c r="AD954" s="8" t="str">
        <v>96825</v>
      </c>
    </row>
    <row r="955" spans="1:30">
      <c r="A955" s="8" t="s">
        <v>969</v>
      </c>
      <c r="B955" s="19">
        <v>42138</v>
      </c>
      <c r="C955" s="8" t="s">
        <v>54</v>
      </c>
      <c r="D955" s="8">
        <v>10008</v>
      </c>
      <c r="E955" s="8" t="str">
        <f>VLOOKUP($D955,'Customer Details'!$A$1:$F$17,4,FALSE)</f>
        <v>Chestnut Ridge</v>
      </c>
      <c r="F955" s="8" t="s">
        <v>535</v>
      </c>
      <c r="G955" s="8">
        <v>1</v>
      </c>
      <c r="H955" s="2" t="str">
        <f>VLOOKUP($D955,'Customer Details'!$A$1:$F$17,MATCH('Order SUmmary'!H$2,'Customer Details'!$A$1:$F$1,0),0)</f>
        <v>Reliance Industries Limited</v>
      </c>
      <c r="I955" s="2" t="str">
        <f>VLOOKUP($D955,'Customer Details'!$A$1:$F$17,4,0)</f>
        <v>Chestnut Ridge</v>
      </c>
      <c r="J955" s="2" t="str">
        <f>VLOOKUP($D955,'Customer Details'!$A$1:$F$17,6,0)</f>
        <v>10977</v>
      </c>
      <c r="K955" s="8" t="str">
        <f>VLOOKUP(VLOOKUP(D955,'Customer Details'!$A$1:$F$17,5,0),'Region INfo'!$A$1:$C$52,3,0)</f>
        <v xml:space="preserve">Northern </v>
      </c>
      <c r="L955" s="8" t="str">
        <f>INDEX(Product_List,MATCH($F955,'Product List'!$B$1:$B$299,0),MATCH('Order SUmmary'!L$2,'Product List'!$A$1:$E$1,0))</f>
        <v>Newell 325</v>
      </c>
      <c r="M955" s="8">
        <f>INDEX(Product_List,MATCH($F955,'Product List'!$B$1:$B$299,0),MATCH('Order SUmmary'!M$2,'Product List'!$A$1:$E$1,0))</f>
        <v>4420</v>
      </c>
      <c r="N955" s="8">
        <f>INDEX(Product_List,MATCH($F955,'Product List'!$B$1:$B$299,0),MATCH('Order SUmmary'!N$2,'Product List'!$A$1:$E$1,0))</f>
        <v>1797</v>
      </c>
      <c r="O955" s="8" t="str">
        <f>INDEX(Product_List,MATCH($F955,'Product List'!$B$1:$B$299,0),MATCH('Order SUmmary'!O$2,'Product List'!$A$1:$E$1,0))</f>
        <v>Art</v>
      </c>
      <c r="P955" s="12">
        <f>HLOOKUP(C955,'Commission Criteria'!$A$2:$I$4,3,FALSE)</f>
        <v>3</v>
      </c>
      <c r="Q955" s="8">
        <f t="shared" si="43"/>
        <v>1797</v>
      </c>
      <c r="R955" s="8">
        <f t="shared" si="44"/>
        <v>4420</v>
      </c>
      <c r="S955" s="36">
        <f>VLOOKUP(R955,'Commission Criteria'!$L$3:$M$11,2,TRUE)</f>
        <v>0.01</v>
      </c>
      <c r="T955" s="36">
        <f>IF(P955&lt;5,VLOOKUP(R955,'Commission Criteria'!$L$3:$M$11,2,1),VLOOKUP('Order SUmmary'!R955,'Commission Criteria'!$P$3:$Q$11,2,1))</f>
        <v>0.01</v>
      </c>
      <c r="U955" s="36">
        <f>VLOOKUP(R955,IF(P955&lt;5,'Commission Criteria'!$L$3:$M$11,'Commission Criteria'!$P$3:$Q$11),2,1)</f>
        <v>0.01</v>
      </c>
      <c r="V955" s="8" t="s">
        <v>43</v>
      </c>
      <c r="W955" s="36">
        <f t="shared" ca="1" si="45"/>
        <v>0.05</v>
      </c>
      <c r="X955" s="8" t="str">
        <f>_xlfn.XLOOKUP(F955,'Product List'!$B$1:$B$299,'Product List'!$A$1:$A$299)</f>
        <v>Newell 325</v>
      </c>
      <c r="Y955" s="8"/>
      <c r="Z955" s="8" t="str" cm="1">
        <f t="array" ref="Z955:AD955">_xlfn.XLOOKUP(D955,'Customer Details'!$A$1:$A$17,'Customer Details'!$B$1:$F$17,"No such customer",0,1)</f>
        <v>Reliance Industries Limited</v>
      </c>
      <c r="AA955" s="8" t="str">
        <v>12020 Shamrock Rd., Suite 333</v>
      </c>
      <c r="AB955" s="8" t="str">
        <v>Chestnut Ridge</v>
      </c>
      <c r="AC955" s="8" t="str">
        <v>NY</v>
      </c>
      <c r="AD955" s="8" t="str">
        <v>10977</v>
      </c>
    </row>
    <row r="956" spans="1:30">
      <c r="A956" s="8" t="s">
        <v>969</v>
      </c>
      <c r="B956" s="19">
        <v>42138</v>
      </c>
      <c r="C956" s="8" t="s">
        <v>66</v>
      </c>
      <c r="D956" s="8">
        <v>10010</v>
      </c>
      <c r="E956" s="8" t="str">
        <f>VLOOKUP($D956,'Customer Details'!$A$1:$F$17,4,FALSE)</f>
        <v>Tracy</v>
      </c>
      <c r="F956" s="8" t="s">
        <v>312</v>
      </c>
      <c r="G956" s="8">
        <v>1</v>
      </c>
      <c r="H956" s="2" t="str">
        <f>VLOOKUP($D956,'Customer Details'!$A$1:$F$17,MATCH('Order SUmmary'!H$2,'Customer Details'!$A$1:$F$1,0),0)</f>
        <v>Suzlon Energy Ltd.</v>
      </c>
      <c r="I956" s="2" t="str">
        <f>VLOOKUP($D956,'Customer Details'!$A$1:$F$17,4,0)</f>
        <v>Tracy</v>
      </c>
      <c r="J956" s="2" t="str">
        <f>VLOOKUP($D956,'Customer Details'!$A$1:$F$17,6,0)</f>
        <v>95376</v>
      </c>
      <c r="K956" s="8" t="str">
        <f>VLOOKUP(VLOOKUP(D956,'Customer Details'!$A$1:$F$17,5,0),'Region INfo'!$A$1:$C$52,3,0)</f>
        <v xml:space="preserve">Pacific   </v>
      </c>
      <c r="L956" s="8" t="str">
        <f>INDEX(Product_List,MATCH($F956,'Product List'!$B$1:$B$299,0),MATCH('Order SUmmary'!L$2,'Product List'!$A$1:$E$1,0))</f>
        <v>Avery 492</v>
      </c>
      <c r="M956" s="8">
        <f>INDEX(Product_List,MATCH($F956,'Product List'!$B$1:$B$299,0),MATCH('Order SUmmary'!M$2,'Product List'!$A$1:$E$1,0))</f>
        <v>4685</v>
      </c>
      <c r="N956" s="8">
        <f>INDEX(Product_List,MATCH($F956,'Product List'!$B$1:$B$299,0),MATCH('Order SUmmary'!N$2,'Product List'!$A$1:$E$1,0))</f>
        <v>2036</v>
      </c>
      <c r="O956" s="8" t="str">
        <f>INDEX(Product_List,MATCH($F956,'Product List'!$B$1:$B$299,0),MATCH('Order SUmmary'!O$2,'Product List'!$A$1:$E$1,0))</f>
        <v>Labels</v>
      </c>
      <c r="P956" s="12">
        <f>HLOOKUP(C956,'Commission Criteria'!$A$2:$I$4,3,FALSE)</f>
        <v>5</v>
      </c>
      <c r="Q956" s="8">
        <f t="shared" si="43"/>
        <v>2036</v>
      </c>
      <c r="R956" s="8">
        <f t="shared" si="44"/>
        <v>4685</v>
      </c>
      <c r="S956" s="36">
        <f>VLOOKUP(R956,'Commission Criteria'!$L$3:$M$11,2,TRUE)</f>
        <v>0.01</v>
      </c>
      <c r="T956" s="36">
        <f>IF(P956&lt;5,VLOOKUP(R956,'Commission Criteria'!$L$3:$M$11,2,1),VLOOKUP('Order SUmmary'!R956,'Commission Criteria'!$P$3:$Q$11,2,1))</f>
        <v>0.02</v>
      </c>
      <c r="U956" s="36">
        <f>VLOOKUP(R956,IF(P956&lt;5,'Commission Criteria'!$L$3:$M$11,'Commission Criteria'!$P$3:$Q$11),2,1)</f>
        <v>0.02</v>
      </c>
      <c r="V956" s="8" t="s">
        <v>32</v>
      </c>
      <c r="W956" s="36">
        <f t="shared" ca="1" si="45"/>
        <v>0.05</v>
      </c>
      <c r="X956" s="8" t="str">
        <f>_xlfn.XLOOKUP(F956,'Product List'!$B$1:$B$299,'Product List'!$A$1:$A$299)</f>
        <v>Avery 492</v>
      </c>
      <c r="Y956" s="8"/>
      <c r="Z956" s="8" t="str" cm="1">
        <f t="array" ref="Z956:AD956">_xlfn.XLOOKUP(D956,'Customer Details'!$A$1:$A$17,'Customer Details'!$B$1:$F$17,"No such customer",0,1)</f>
        <v>Suzlon Energy Ltd.</v>
      </c>
      <c r="AA956" s="8" t="str">
        <v>501 Marsh Trail Circle</v>
      </c>
      <c r="AB956" s="8" t="str">
        <v>Tracy</v>
      </c>
      <c r="AC956" s="8" t="str">
        <v>CA</v>
      </c>
      <c r="AD956" s="8" t="str">
        <v>95376</v>
      </c>
    </row>
    <row r="957" spans="1:30">
      <c r="A957" s="8" t="s">
        <v>969</v>
      </c>
      <c r="B957" s="19">
        <v>42138</v>
      </c>
      <c r="C957" s="8" t="s">
        <v>44</v>
      </c>
      <c r="D957" s="8">
        <v>10004</v>
      </c>
      <c r="E957" s="8" t="str">
        <f>VLOOKUP($D957,'Customer Details'!$A$1:$F$17,4,FALSE)</f>
        <v>New York</v>
      </c>
      <c r="F957" s="8" t="s">
        <v>840</v>
      </c>
      <c r="G957" s="8">
        <v>2</v>
      </c>
      <c r="H957" s="2" t="str">
        <f>VLOOKUP($D957,'Customer Details'!$A$1:$F$17,MATCH('Order SUmmary'!H$2,'Customer Details'!$A$1:$F$1,0),0)</f>
        <v>Lupin Ltd.</v>
      </c>
      <c r="I957" s="2" t="str">
        <f>VLOOKUP($D957,'Customer Details'!$A$1:$F$17,4,0)</f>
        <v>New York</v>
      </c>
      <c r="J957" s="2" t="str">
        <f>VLOOKUP($D957,'Customer Details'!$A$1:$F$17,6,0)</f>
        <v>10019</v>
      </c>
      <c r="K957" s="8" t="str">
        <f>VLOOKUP(VLOOKUP(D957,'Customer Details'!$A$1:$F$17,5,0),'Region INfo'!$A$1:$C$52,3,0)</f>
        <v xml:space="preserve">Northern </v>
      </c>
      <c r="L957" s="8" t="str">
        <f>INDEX(Product_List,MATCH($F957,'Product List'!$B$1:$B$299,0),MATCH('Order SUmmary'!L$2,'Product List'!$A$1:$E$1,0))</f>
        <v>Xerox 1888</v>
      </c>
      <c r="M957" s="8">
        <f>INDEX(Product_List,MATCH($F957,'Product List'!$B$1:$B$299,0),MATCH('Order SUmmary'!M$2,'Product List'!$A$1:$E$1,0))</f>
        <v>3290</v>
      </c>
      <c r="N957" s="8">
        <f>INDEX(Product_List,MATCH($F957,'Product List'!$B$1:$B$299,0),MATCH('Order SUmmary'!N$2,'Product List'!$A$1:$E$1,0))</f>
        <v>1720</v>
      </c>
      <c r="O957" s="8" t="str">
        <f>INDEX(Product_List,MATCH($F957,'Product List'!$B$1:$B$299,0),MATCH('Order SUmmary'!O$2,'Product List'!$A$1:$E$1,0))</f>
        <v>Paper</v>
      </c>
      <c r="P957" s="12">
        <f>HLOOKUP(C957,'Commission Criteria'!$A$2:$I$4,3,FALSE)</f>
        <v>4</v>
      </c>
      <c r="Q957" s="8">
        <f t="shared" si="43"/>
        <v>3440</v>
      </c>
      <c r="R957" s="8">
        <f t="shared" si="44"/>
        <v>6580</v>
      </c>
      <c r="S957" s="36">
        <f>VLOOKUP(R957,'Commission Criteria'!$L$3:$M$11,2,TRUE)</f>
        <v>0.03</v>
      </c>
      <c r="T957" s="36">
        <f>IF(P957&lt;5,VLOOKUP(R957,'Commission Criteria'!$L$3:$M$11,2,1),VLOOKUP('Order SUmmary'!R957,'Commission Criteria'!$P$3:$Q$11,2,1))</f>
        <v>0.03</v>
      </c>
      <c r="U957" s="36">
        <f>VLOOKUP(R957,IF(P957&lt;5,'Commission Criteria'!$L$3:$M$11,'Commission Criteria'!$P$3:$Q$11),2,1)</f>
        <v>0.03</v>
      </c>
      <c r="V957" s="8" t="s">
        <v>43</v>
      </c>
      <c r="W957" s="36">
        <f t="shared" ca="1" si="45"/>
        <v>0.04</v>
      </c>
      <c r="X957" s="8" t="str">
        <f>_xlfn.XLOOKUP(F957,'Product List'!$B$1:$B$299,'Product List'!$A$1:$A$299)</f>
        <v>Xerox 1888</v>
      </c>
      <c r="Y957" s="8"/>
      <c r="Z957" s="8" t="str" cm="1">
        <f t="array" ref="Z957:AD957">_xlfn.XLOOKUP(D957,'Customer Details'!$A$1:$A$17,'Customer Details'!$B$1:$F$17,"No such customer",0,1)</f>
        <v>Lupin Ltd.</v>
      </c>
      <c r="AA957" s="8" t="str">
        <v>Abbey Wood</v>
      </c>
      <c r="AB957" s="8" t="str">
        <v>New York</v>
      </c>
      <c r="AC957" s="8" t="str">
        <v>NY</v>
      </c>
      <c r="AD957" s="8" t="str">
        <v>10019</v>
      </c>
    </row>
    <row r="958" spans="1:30">
      <c r="A958" s="8" t="s">
        <v>970</v>
      </c>
      <c r="B958" s="19">
        <v>42142</v>
      </c>
      <c r="C958" s="8" t="s">
        <v>66</v>
      </c>
      <c r="D958" s="8">
        <v>10004</v>
      </c>
      <c r="E958" s="8" t="str">
        <f>VLOOKUP($D958,'Customer Details'!$A$1:$F$17,4,FALSE)</f>
        <v>New York</v>
      </c>
      <c r="F958" s="8" t="s">
        <v>337</v>
      </c>
      <c r="G958" s="8">
        <v>1</v>
      </c>
      <c r="H958" s="2" t="str">
        <f>VLOOKUP($D958,'Customer Details'!$A$1:$F$17,MATCH('Order SUmmary'!H$2,'Customer Details'!$A$1:$F$1,0),0)</f>
        <v>Lupin Ltd.</v>
      </c>
      <c r="I958" s="2" t="str">
        <f>VLOOKUP($D958,'Customer Details'!$A$1:$F$17,4,0)</f>
        <v>New York</v>
      </c>
      <c r="J958" s="2" t="str">
        <f>VLOOKUP($D958,'Customer Details'!$A$1:$F$17,6,0)</f>
        <v>10019</v>
      </c>
      <c r="K958" s="8" t="str">
        <f>VLOOKUP(VLOOKUP(D958,'Customer Details'!$A$1:$F$17,5,0),'Region INfo'!$A$1:$C$52,3,0)</f>
        <v xml:space="preserve">Northern </v>
      </c>
      <c r="L958" s="8" t="str">
        <f>INDEX(Product_List,MATCH($F958,'Product List'!$B$1:$B$299,0),MATCH('Order SUmmary'!L$2,'Product List'!$A$1:$E$1,0))</f>
        <v>Avery 487</v>
      </c>
      <c r="M958" s="8">
        <f>INDEX(Product_List,MATCH($F958,'Product List'!$B$1:$B$299,0),MATCH('Order SUmmary'!M$2,'Product List'!$A$1:$E$1,0))</f>
        <v>2775</v>
      </c>
      <c r="N958" s="8">
        <f>INDEX(Product_List,MATCH($F958,'Product List'!$B$1:$B$299,0),MATCH('Order SUmmary'!N$2,'Product List'!$A$1:$E$1,0))</f>
        <v>1946</v>
      </c>
      <c r="O958" s="8" t="str">
        <f>INDEX(Product_List,MATCH($F958,'Product List'!$B$1:$B$299,0),MATCH('Order SUmmary'!O$2,'Product List'!$A$1:$E$1,0))</f>
        <v>Labels</v>
      </c>
      <c r="P958" s="12">
        <f>HLOOKUP(C958,'Commission Criteria'!$A$2:$I$4,3,FALSE)</f>
        <v>5</v>
      </c>
      <c r="Q958" s="8">
        <f t="shared" si="43"/>
        <v>1946</v>
      </c>
      <c r="R958" s="8">
        <f t="shared" si="44"/>
        <v>2775</v>
      </c>
      <c r="S958" s="36">
        <f>VLOOKUP(R958,'Commission Criteria'!$L$3:$M$11,2,TRUE)</f>
        <v>0.01</v>
      </c>
      <c r="T958" s="36">
        <f>IF(P958&lt;5,VLOOKUP(R958,'Commission Criteria'!$L$3:$M$11,2,1),VLOOKUP('Order SUmmary'!R958,'Commission Criteria'!$P$3:$Q$11,2,1))</f>
        <v>0.02</v>
      </c>
      <c r="U958" s="36">
        <f>VLOOKUP(R958,IF(P958&lt;5,'Commission Criteria'!$L$3:$M$11,'Commission Criteria'!$P$3:$Q$11),2,1)</f>
        <v>0.02</v>
      </c>
      <c r="V958" s="8" t="s">
        <v>50</v>
      </c>
      <c r="W958" s="36">
        <f t="shared" ca="1" si="45"/>
        <v>0.05</v>
      </c>
      <c r="X958" s="8" t="str">
        <f>_xlfn.XLOOKUP(F958,'Product List'!$B$1:$B$299,'Product List'!$A$1:$A$299)</f>
        <v>Avery 487</v>
      </c>
      <c r="Y958" s="8"/>
      <c r="Z958" s="8" t="str" cm="1">
        <f t="array" ref="Z958:AD958">_xlfn.XLOOKUP(D958,'Customer Details'!$A$1:$A$17,'Customer Details'!$B$1:$F$17,"No such customer",0,1)</f>
        <v>Lupin Ltd.</v>
      </c>
      <c r="AA958" s="8" t="str">
        <v>Abbey Wood</v>
      </c>
      <c r="AB958" s="8" t="str">
        <v>New York</v>
      </c>
      <c r="AC958" s="8" t="str">
        <v>NY</v>
      </c>
      <c r="AD958" s="8" t="str">
        <v>10019</v>
      </c>
    </row>
    <row r="959" spans="1:30">
      <c r="A959" s="8" t="s">
        <v>970</v>
      </c>
      <c r="B959" s="19">
        <v>42142</v>
      </c>
      <c r="C959" s="8" t="s">
        <v>66</v>
      </c>
      <c r="D959" s="8">
        <v>10007</v>
      </c>
      <c r="E959" s="8" t="str">
        <f>VLOOKUP($D959,'Customer Details'!$A$1:$F$17,4,FALSE)</f>
        <v>Richmond</v>
      </c>
      <c r="F959" s="8" t="s">
        <v>507</v>
      </c>
      <c r="G959" s="8">
        <v>1</v>
      </c>
      <c r="H959" s="2" t="str">
        <f>VLOOKUP($D959,'Customer Details'!$A$1:$F$17,MATCH('Order SUmmary'!H$2,'Customer Details'!$A$1:$F$1,0),0)</f>
        <v>GHCL Ltd.</v>
      </c>
      <c r="I959" s="2" t="str">
        <f>VLOOKUP($D959,'Customer Details'!$A$1:$F$17,4,0)</f>
        <v>Richmond</v>
      </c>
      <c r="J959" s="2" t="str">
        <f>VLOOKUP($D959,'Customer Details'!$A$1:$F$17,6,0)</f>
        <v>94805</v>
      </c>
      <c r="K959" s="8" t="str">
        <f>VLOOKUP(VLOOKUP(D959,'Customer Details'!$A$1:$F$17,5,0),'Region INfo'!$A$1:$C$52,3,0)</f>
        <v xml:space="preserve">Pacific   </v>
      </c>
      <c r="L959" s="8" t="str">
        <f>INDEX(Product_List,MATCH($F959,'Product List'!$B$1:$B$299,0),MATCH('Order SUmmary'!L$2,'Product List'!$A$1:$E$1,0))</f>
        <v>Xerox 1905</v>
      </c>
      <c r="M959" s="8">
        <f>INDEX(Product_List,MATCH($F959,'Product List'!$B$1:$B$299,0),MATCH('Order SUmmary'!M$2,'Product List'!$A$1:$E$1,0))</f>
        <v>4858</v>
      </c>
      <c r="N959" s="8">
        <f>INDEX(Product_List,MATCH($F959,'Product List'!$B$1:$B$299,0),MATCH('Order SUmmary'!N$2,'Product List'!$A$1:$E$1,0))</f>
        <v>2491</v>
      </c>
      <c r="O959" s="8" t="str">
        <f>INDEX(Product_List,MATCH($F959,'Product List'!$B$1:$B$299,0),MATCH('Order SUmmary'!O$2,'Product List'!$A$1:$E$1,0))</f>
        <v>Paper</v>
      </c>
      <c r="P959" s="12">
        <f>HLOOKUP(C959,'Commission Criteria'!$A$2:$I$4,3,FALSE)</f>
        <v>5</v>
      </c>
      <c r="Q959" s="8">
        <f t="shared" si="43"/>
        <v>2491</v>
      </c>
      <c r="R959" s="8">
        <f t="shared" si="44"/>
        <v>4858</v>
      </c>
      <c r="S959" s="36">
        <f>VLOOKUP(R959,'Commission Criteria'!$L$3:$M$11,2,TRUE)</f>
        <v>0.01</v>
      </c>
      <c r="T959" s="36">
        <f>IF(P959&lt;5,VLOOKUP(R959,'Commission Criteria'!$L$3:$M$11,2,1),VLOOKUP('Order SUmmary'!R959,'Commission Criteria'!$P$3:$Q$11,2,1))</f>
        <v>0.02</v>
      </c>
      <c r="U959" s="36">
        <f>VLOOKUP(R959,IF(P959&lt;5,'Commission Criteria'!$L$3:$M$11,'Commission Criteria'!$P$3:$Q$11),2,1)</f>
        <v>0.02</v>
      </c>
      <c r="V959" s="8" t="s">
        <v>29</v>
      </c>
      <c r="W959" s="36">
        <f t="shared" ca="1" si="45"/>
        <v>0</v>
      </c>
      <c r="X959" s="8" t="str">
        <f>_xlfn.XLOOKUP(F959,'Product List'!$B$1:$B$299,'Product List'!$A$1:$A$299)</f>
        <v>Xerox 1905</v>
      </c>
      <c r="Y959" s="8"/>
      <c r="Z959" s="8" t="str" cm="1">
        <f t="array" ref="Z959:AD959">_xlfn.XLOOKUP(D959,'Customer Details'!$A$1:$A$17,'Customer Details'!$B$1:$F$17,"No such customer",0,1)</f>
        <v>GHCL Ltd.</v>
      </c>
      <c r="AA959" s="8" t="str">
        <v>58 Clarence St</v>
      </c>
      <c r="AB959" s="8" t="str">
        <v>Richmond</v>
      </c>
      <c r="AC959" s="8" t="str">
        <v>CA</v>
      </c>
      <c r="AD959" s="8" t="str">
        <v>94805</v>
      </c>
    </row>
    <row r="960" spans="1:30">
      <c r="A960" s="8" t="s">
        <v>971</v>
      </c>
      <c r="B960" s="19">
        <v>42142</v>
      </c>
      <c r="C960" s="8" t="s">
        <v>44</v>
      </c>
      <c r="D960" s="8">
        <v>10006</v>
      </c>
      <c r="E960" s="8" t="str">
        <f>VLOOKUP($D960,'Customer Details'!$A$1:$F$17,4,FALSE)</f>
        <v>Midland</v>
      </c>
      <c r="F960" s="8" t="s">
        <v>649</v>
      </c>
      <c r="G960" s="8">
        <v>3</v>
      </c>
      <c r="H960" s="2" t="str">
        <f>VLOOKUP($D960,'Customer Details'!$A$1:$F$17,MATCH('Order SUmmary'!H$2,'Customer Details'!$A$1:$F$1,0),0)</f>
        <v>Supreme Ind</v>
      </c>
      <c r="I960" s="2" t="str">
        <f>VLOOKUP($D960,'Customer Details'!$A$1:$F$17,4,0)</f>
        <v>Midland</v>
      </c>
      <c r="J960" s="2" t="str">
        <f>VLOOKUP($D960,'Customer Details'!$A$1:$F$17,6,0)</f>
        <v>79706</v>
      </c>
      <c r="K960" s="8" t="str">
        <f>VLOOKUP(VLOOKUP(D960,'Customer Details'!$A$1:$F$17,5,0),'Region INfo'!$A$1:$C$52,3,0)</f>
        <v>Western</v>
      </c>
      <c r="L960" s="8" t="str">
        <f>INDEX(Product_List,MATCH($F960,'Product List'!$B$1:$B$299,0),MATCH('Order SUmmary'!L$2,'Product List'!$A$1:$E$1,0))</f>
        <v>Xerox 1969</v>
      </c>
      <c r="M960" s="8">
        <f>INDEX(Product_List,MATCH($F960,'Product List'!$B$1:$B$299,0),MATCH('Order SUmmary'!M$2,'Product List'!$A$1:$E$1,0))</f>
        <v>4576</v>
      </c>
      <c r="N960" s="8">
        <f>INDEX(Product_List,MATCH($F960,'Product List'!$B$1:$B$299,0),MATCH('Order SUmmary'!N$2,'Product List'!$A$1:$E$1,0))</f>
        <v>2188</v>
      </c>
      <c r="O960" s="8" t="str">
        <f>INDEX(Product_List,MATCH($F960,'Product List'!$B$1:$B$299,0),MATCH('Order SUmmary'!O$2,'Product List'!$A$1:$E$1,0))</f>
        <v>Paper</v>
      </c>
      <c r="P960" s="12">
        <f>HLOOKUP(C960,'Commission Criteria'!$A$2:$I$4,3,FALSE)</f>
        <v>4</v>
      </c>
      <c r="Q960" s="8">
        <f t="shared" si="43"/>
        <v>6564</v>
      </c>
      <c r="R960" s="8">
        <f t="shared" si="44"/>
        <v>13728</v>
      </c>
      <c r="S960" s="36">
        <f>VLOOKUP(R960,'Commission Criteria'!$L$3:$M$11,2,TRUE)</f>
        <v>0.03</v>
      </c>
      <c r="T960" s="36">
        <f>IF(P960&lt;5,VLOOKUP(R960,'Commission Criteria'!$L$3:$M$11,2,1),VLOOKUP('Order SUmmary'!R960,'Commission Criteria'!$P$3:$Q$11,2,1))</f>
        <v>0.03</v>
      </c>
      <c r="U960" s="36">
        <f>VLOOKUP(R960,IF(P960&lt;5,'Commission Criteria'!$L$3:$M$11,'Commission Criteria'!$P$3:$Q$11),2,1)</f>
        <v>0.03</v>
      </c>
      <c r="V960" s="8" t="s">
        <v>35</v>
      </c>
      <c r="W960" s="36">
        <f t="shared" ca="1" si="45"/>
        <v>0</v>
      </c>
      <c r="X960" s="8" t="str">
        <f>_xlfn.XLOOKUP(F960,'Product List'!$B$1:$B$299,'Product List'!$A$1:$A$299)</f>
        <v>Xerox 1969</v>
      </c>
      <c r="Y960" s="8"/>
      <c r="Z960" s="8" t="str" cm="1">
        <f t="array" ref="Z960:AD960">_xlfn.XLOOKUP(D960,'Customer Details'!$A$1:$A$17,'Customer Details'!$B$1:$F$17,"No such customer",0,1)</f>
        <v>Supreme Ind</v>
      </c>
      <c r="AA960" s="8" t="str">
        <v>P.O. Box 1367</v>
      </c>
      <c r="AB960" s="8" t="str">
        <v>Midland</v>
      </c>
      <c r="AC960" s="8" t="str">
        <v>TX</v>
      </c>
      <c r="AD960" s="8" t="str">
        <v>79706</v>
      </c>
    </row>
    <row r="961" spans="1:30">
      <c r="A961" s="8" t="s">
        <v>972</v>
      </c>
      <c r="B961" s="19">
        <v>42143</v>
      </c>
      <c r="C961" s="8" t="s">
        <v>36</v>
      </c>
      <c r="D961" s="8">
        <v>10015</v>
      </c>
      <c r="E961" s="8" t="str">
        <f>VLOOKUP($D961,'Customer Details'!$A$1:$F$17,4,FALSE)</f>
        <v>South Windsor</v>
      </c>
      <c r="F961" s="8" t="s">
        <v>116</v>
      </c>
      <c r="G961" s="8">
        <v>1</v>
      </c>
      <c r="H961" s="2" t="str">
        <f>VLOOKUP($D961,'Customer Details'!$A$1:$F$17,MATCH('Order SUmmary'!H$2,'Customer Details'!$A$1:$F$1,0),0)</f>
        <v>Punj Lloyd Ltd.</v>
      </c>
      <c r="I961" s="2" t="str">
        <f>VLOOKUP($D961,'Customer Details'!$A$1:$F$17,4,0)</f>
        <v>South Windsor</v>
      </c>
      <c r="J961" s="2" t="str">
        <f>VLOOKUP($D961,'Customer Details'!$A$1:$F$17,6,0)</f>
        <v>06074</v>
      </c>
      <c r="K961" s="8" t="str">
        <f>VLOOKUP(VLOOKUP(D961,'Customer Details'!$A$1:$F$17,5,0),'Region INfo'!$A$1:$C$52,3,0)</f>
        <v xml:space="preserve">Northern </v>
      </c>
      <c r="L961" s="8" t="str">
        <f>INDEX(Product_List,MATCH($F961,'Product List'!$B$1:$B$299,0),MATCH('Order SUmmary'!L$2,'Product List'!$A$1:$E$1,0))</f>
        <v>Newell 326</v>
      </c>
      <c r="M961" s="8">
        <f>INDEX(Product_List,MATCH($F961,'Product List'!$B$1:$B$299,0),MATCH('Order SUmmary'!M$2,'Product List'!$A$1:$E$1,0))</f>
        <v>3645</v>
      </c>
      <c r="N961" s="8">
        <f>INDEX(Product_List,MATCH($F961,'Product List'!$B$1:$B$299,0),MATCH('Order SUmmary'!N$2,'Product List'!$A$1:$E$1,0))</f>
        <v>2466</v>
      </c>
      <c r="O961" s="8" t="str">
        <f>INDEX(Product_List,MATCH($F961,'Product List'!$B$1:$B$299,0),MATCH('Order SUmmary'!O$2,'Product List'!$A$1:$E$1,0))</f>
        <v>Art</v>
      </c>
      <c r="P961" s="12">
        <f>HLOOKUP(C961,'Commission Criteria'!$A$2:$I$4,3,FALSE)</f>
        <v>6</v>
      </c>
      <c r="Q961" s="8">
        <f t="shared" si="43"/>
        <v>2466</v>
      </c>
      <c r="R961" s="8">
        <f t="shared" si="44"/>
        <v>3645</v>
      </c>
      <c r="S961" s="36">
        <f>VLOOKUP(R961,'Commission Criteria'!$L$3:$M$11,2,TRUE)</f>
        <v>0.01</v>
      </c>
      <c r="T961" s="36">
        <f>IF(P961&lt;5,VLOOKUP(R961,'Commission Criteria'!$L$3:$M$11,2,1),VLOOKUP('Order SUmmary'!R961,'Commission Criteria'!$P$3:$Q$11,2,1))</f>
        <v>0.02</v>
      </c>
      <c r="U961" s="36">
        <f>VLOOKUP(R961,IF(P961&lt;5,'Commission Criteria'!$L$3:$M$11,'Commission Criteria'!$P$3:$Q$11),2,1)</f>
        <v>0.02</v>
      </c>
      <c r="V961" s="8" t="s">
        <v>40</v>
      </c>
      <c r="W961" s="36">
        <f t="shared" ca="1" si="45"/>
        <v>0.03</v>
      </c>
      <c r="X961" s="8" t="str">
        <f>_xlfn.XLOOKUP(F961,'Product List'!$B$1:$B$299,'Product List'!$A$1:$A$299)</f>
        <v>Newell 326</v>
      </c>
      <c r="Y961" s="8"/>
      <c r="Z961" s="8" t="str" cm="1">
        <f t="array" ref="Z961:AD961">_xlfn.XLOOKUP(D961,'Customer Details'!$A$1:$A$17,'Customer Details'!$B$1:$F$17,"No such customer",0,1)</f>
        <v>Punj Lloyd Ltd.</v>
      </c>
      <c r="AA961" s="8" t="str">
        <v>Box 3263</v>
      </c>
      <c r="AB961" s="8" t="str">
        <v>South Windsor</v>
      </c>
      <c r="AC961" s="8" t="str">
        <v>CT</v>
      </c>
      <c r="AD961" s="8" t="str">
        <v>06074</v>
      </c>
    </row>
    <row r="962" spans="1:30">
      <c r="A962" s="8" t="s">
        <v>972</v>
      </c>
      <c r="B962" s="19">
        <v>42143</v>
      </c>
      <c r="C962" s="8" t="s">
        <v>66</v>
      </c>
      <c r="D962" s="8">
        <v>10008</v>
      </c>
      <c r="E962" s="8" t="str">
        <f>VLOOKUP($D962,'Customer Details'!$A$1:$F$17,4,FALSE)</f>
        <v>Chestnut Ridge</v>
      </c>
      <c r="F962" s="8" t="s">
        <v>130</v>
      </c>
      <c r="G962" s="8">
        <v>1</v>
      </c>
      <c r="H962" s="2" t="str">
        <f>VLOOKUP($D962,'Customer Details'!$A$1:$F$17,MATCH('Order SUmmary'!H$2,'Customer Details'!$A$1:$F$1,0),0)</f>
        <v>Reliance Industries Limited</v>
      </c>
      <c r="I962" s="2" t="str">
        <f>VLOOKUP($D962,'Customer Details'!$A$1:$F$17,4,0)</f>
        <v>Chestnut Ridge</v>
      </c>
      <c r="J962" s="2" t="str">
        <f>VLOOKUP($D962,'Customer Details'!$A$1:$F$17,6,0)</f>
        <v>10977</v>
      </c>
      <c r="K962" s="8" t="str">
        <f>VLOOKUP(VLOOKUP(D962,'Customer Details'!$A$1:$F$17,5,0),'Region INfo'!$A$1:$C$52,3,0)</f>
        <v xml:space="preserve">Northern </v>
      </c>
      <c r="L962" s="8" t="str">
        <f>INDEX(Product_List,MATCH($F962,'Product List'!$B$1:$B$299,0),MATCH('Order SUmmary'!L$2,'Product List'!$A$1:$E$1,0))</f>
        <v>Xerox 212</v>
      </c>
      <c r="M962" s="8">
        <f>INDEX(Product_List,MATCH($F962,'Product List'!$B$1:$B$299,0),MATCH('Order SUmmary'!M$2,'Product List'!$A$1:$E$1,0))</f>
        <v>4564</v>
      </c>
      <c r="N962" s="8">
        <f>INDEX(Product_List,MATCH($F962,'Product List'!$B$1:$B$299,0),MATCH('Order SUmmary'!N$2,'Product List'!$A$1:$E$1,0))</f>
        <v>1823</v>
      </c>
      <c r="O962" s="8" t="str">
        <f>INDEX(Product_List,MATCH($F962,'Product List'!$B$1:$B$299,0),MATCH('Order SUmmary'!O$2,'Product List'!$A$1:$E$1,0))</f>
        <v>Paper</v>
      </c>
      <c r="P962" s="12">
        <f>HLOOKUP(C962,'Commission Criteria'!$A$2:$I$4,3,FALSE)</f>
        <v>5</v>
      </c>
      <c r="Q962" s="8">
        <f t="shared" si="43"/>
        <v>1823</v>
      </c>
      <c r="R962" s="8">
        <f t="shared" si="44"/>
        <v>4564</v>
      </c>
      <c r="S962" s="36">
        <f>VLOOKUP(R962,'Commission Criteria'!$L$3:$M$11,2,TRUE)</f>
        <v>0.01</v>
      </c>
      <c r="T962" s="36">
        <f>IF(P962&lt;5,VLOOKUP(R962,'Commission Criteria'!$L$3:$M$11,2,1),VLOOKUP('Order SUmmary'!R962,'Commission Criteria'!$P$3:$Q$11,2,1))</f>
        <v>0.02</v>
      </c>
      <c r="U962" s="36">
        <f>VLOOKUP(R962,IF(P962&lt;5,'Commission Criteria'!$L$3:$M$11,'Commission Criteria'!$P$3:$Q$11),2,1)</f>
        <v>0.02</v>
      </c>
      <c r="V962" s="8" t="s">
        <v>29</v>
      </c>
      <c r="W962" s="36">
        <f t="shared" ca="1" si="45"/>
        <v>0.02</v>
      </c>
      <c r="X962" s="8" t="str">
        <f>_xlfn.XLOOKUP(F962,'Product List'!$B$1:$B$299,'Product List'!$A$1:$A$299)</f>
        <v>Xerox 212</v>
      </c>
      <c r="Y962" s="8"/>
      <c r="Z962" s="8" t="str" cm="1">
        <f t="array" ref="Z962:AD962">_xlfn.XLOOKUP(D962,'Customer Details'!$A$1:$A$17,'Customer Details'!$B$1:$F$17,"No such customer",0,1)</f>
        <v>Reliance Industries Limited</v>
      </c>
      <c r="AA962" s="8" t="str">
        <v>12020 Shamrock Rd., Suite 333</v>
      </c>
      <c r="AB962" s="8" t="str">
        <v>Chestnut Ridge</v>
      </c>
      <c r="AC962" s="8" t="str">
        <v>NY</v>
      </c>
      <c r="AD962" s="8" t="str">
        <v>10977</v>
      </c>
    </row>
    <row r="963" spans="1:30">
      <c r="A963" s="8" t="s">
        <v>972</v>
      </c>
      <c r="B963" s="19">
        <v>42143</v>
      </c>
      <c r="C963" s="8" t="s">
        <v>36</v>
      </c>
      <c r="D963" s="8">
        <v>10015</v>
      </c>
      <c r="E963" s="8" t="str">
        <f>VLOOKUP($D963,'Customer Details'!$A$1:$F$17,4,FALSE)</f>
        <v>South Windsor</v>
      </c>
      <c r="F963" s="8" t="s">
        <v>712</v>
      </c>
      <c r="G963" s="8">
        <v>2</v>
      </c>
      <c r="H963" s="2" t="str">
        <f>VLOOKUP($D963,'Customer Details'!$A$1:$F$17,MATCH('Order SUmmary'!H$2,'Customer Details'!$A$1:$F$1,0),0)</f>
        <v>Punj Lloyd Ltd.</v>
      </c>
      <c r="I963" s="2" t="str">
        <f>VLOOKUP($D963,'Customer Details'!$A$1:$F$17,4,0)</f>
        <v>South Windsor</v>
      </c>
      <c r="J963" s="2" t="str">
        <f>VLOOKUP($D963,'Customer Details'!$A$1:$F$17,6,0)</f>
        <v>06074</v>
      </c>
      <c r="K963" s="8" t="str">
        <f>VLOOKUP(VLOOKUP(D963,'Customer Details'!$A$1:$F$17,5,0),'Region INfo'!$A$1:$C$52,3,0)</f>
        <v xml:space="preserve">Northern </v>
      </c>
      <c r="L963" s="8" t="str">
        <f>INDEX(Product_List,MATCH($F963,'Product List'!$B$1:$B$299,0),MATCH('Order SUmmary'!L$2,'Product List'!$A$1:$E$1,0))</f>
        <v>Xerox 1929</v>
      </c>
      <c r="M963" s="8">
        <f>INDEX(Product_List,MATCH($F963,'Product List'!$B$1:$B$299,0),MATCH('Order SUmmary'!M$2,'Product List'!$A$1:$E$1,0))</f>
        <v>2856</v>
      </c>
      <c r="N963" s="8">
        <f>INDEX(Product_List,MATCH($F963,'Product List'!$B$1:$B$299,0),MATCH('Order SUmmary'!N$2,'Product List'!$A$1:$E$1,0))</f>
        <v>1780</v>
      </c>
      <c r="O963" s="8" t="str">
        <f>INDEX(Product_List,MATCH($F963,'Product List'!$B$1:$B$299,0),MATCH('Order SUmmary'!O$2,'Product List'!$A$1:$E$1,0))</f>
        <v>Paper</v>
      </c>
      <c r="P963" s="12">
        <f>HLOOKUP(C963,'Commission Criteria'!$A$2:$I$4,3,FALSE)</f>
        <v>6</v>
      </c>
      <c r="Q963" s="8">
        <f t="shared" si="43"/>
        <v>3560</v>
      </c>
      <c r="R963" s="8">
        <f t="shared" si="44"/>
        <v>5712</v>
      </c>
      <c r="S963" s="36">
        <f>VLOOKUP(R963,'Commission Criteria'!$L$3:$M$11,2,TRUE)</f>
        <v>0.03</v>
      </c>
      <c r="T963" s="36">
        <f>IF(P963&lt;5,VLOOKUP(R963,'Commission Criteria'!$L$3:$M$11,2,1),VLOOKUP('Order SUmmary'!R963,'Commission Criteria'!$P$3:$Q$11,2,1))</f>
        <v>0.02</v>
      </c>
      <c r="U963" s="36">
        <f>VLOOKUP(R963,IF(P963&lt;5,'Commission Criteria'!$L$3:$M$11,'Commission Criteria'!$P$3:$Q$11),2,1)</f>
        <v>0.02</v>
      </c>
      <c r="V963" s="8" t="s">
        <v>50</v>
      </c>
      <c r="W963" s="36">
        <f t="shared" ca="1" si="45"/>
        <v>0.02</v>
      </c>
      <c r="X963" s="8" t="str">
        <f>_xlfn.XLOOKUP(F963,'Product List'!$B$1:$B$299,'Product List'!$A$1:$A$299)</f>
        <v>Xerox 1929</v>
      </c>
      <c r="Y963" s="8"/>
      <c r="Z963" s="8" t="str" cm="1">
        <f t="array" ref="Z963:AD963">_xlfn.XLOOKUP(D963,'Customer Details'!$A$1:$A$17,'Customer Details'!$B$1:$F$17,"No such customer",0,1)</f>
        <v>Punj Lloyd Ltd.</v>
      </c>
      <c r="AA963" s="8" t="str">
        <v>Box 3263</v>
      </c>
      <c r="AB963" s="8" t="str">
        <v>South Windsor</v>
      </c>
      <c r="AC963" s="8" t="str">
        <v>CT</v>
      </c>
      <c r="AD963" s="8" t="str">
        <v>06074</v>
      </c>
    </row>
    <row r="964" spans="1:30">
      <c r="A964" s="8" t="s">
        <v>973</v>
      </c>
      <c r="B964" s="19">
        <v>42146</v>
      </c>
      <c r="C964" s="8" t="s">
        <v>27</v>
      </c>
      <c r="D964" s="8">
        <v>10003</v>
      </c>
      <c r="E964" s="8" t="str">
        <f>VLOOKUP($D964,'Customer Details'!$A$1:$F$17,4,FALSE)</f>
        <v>Miami</v>
      </c>
      <c r="F964" s="8" t="s">
        <v>78</v>
      </c>
      <c r="G964" s="8">
        <v>2</v>
      </c>
      <c r="H964" s="2" t="str">
        <f>VLOOKUP($D964,'Customer Details'!$A$1:$F$17,MATCH('Order SUmmary'!H$2,'Customer Details'!$A$1:$F$1,0),0)</f>
        <v>Honeywell Automation</v>
      </c>
      <c r="I964" s="2" t="str">
        <f>VLOOKUP($D964,'Customer Details'!$A$1:$F$17,4,0)</f>
        <v>Miami</v>
      </c>
      <c r="J964" s="2" t="str">
        <f>VLOOKUP($D964,'Customer Details'!$A$1:$F$17,6,0)</f>
        <v>33732</v>
      </c>
      <c r="K964" s="8" t="str">
        <f>VLOOKUP(VLOOKUP(D964,'Customer Details'!$A$1:$F$17,5,0),'Region INfo'!$A$1:$C$52,3,0)</f>
        <v>Southern</v>
      </c>
      <c r="L964" s="8" t="str">
        <f>INDEX(Product_List,MATCH($F964,'Product List'!$B$1:$B$299,0),MATCH('Order SUmmary'!L$2,'Product List'!$A$1:$E$1,0))</f>
        <v>Xerox 199</v>
      </c>
      <c r="M964" s="8">
        <f>INDEX(Product_List,MATCH($F964,'Product List'!$B$1:$B$299,0),MATCH('Order SUmmary'!M$2,'Product List'!$A$1:$E$1,0))</f>
        <v>2523</v>
      </c>
      <c r="N964" s="8">
        <f>INDEX(Product_List,MATCH($F964,'Product List'!$B$1:$B$299,0),MATCH('Order SUmmary'!N$2,'Product List'!$A$1:$E$1,0))</f>
        <v>1665</v>
      </c>
      <c r="O964" s="8" t="str">
        <f>INDEX(Product_List,MATCH($F964,'Product List'!$B$1:$B$299,0),MATCH('Order SUmmary'!O$2,'Product List'!$A$1:$E$1,0))</f>
        <v>Paper</v>
      </c>
      <c r="P964" s="12">
        <f>HLOOKUP(C964,'Commission Criteria'!$A$2:$I$4,3,FALSE)</f>
        <v>4</v>
      </c>
      <c r="Q964" s="8">
        <f t="shared" ref="Q964:Q1027" si="46">N964*G964</f>
        <v>3330</v>
      </c>
      <c r="R964" s="8">
        <f t="shared" ref="R964:R1027" si="47">M964*G964</f>
        <v>5046</v>
      </c>
      <c r="S964" s="36">
        <f>VLOOKUP(R964,'Commission Criteria'!$L$3:$M$11,2,TRUE)</f>
        <v>0.03</v>
      </c>
      <c r="T964" s="36">
        <f>IF(P964&lt;5,VLOOKUP(R964,'Commission Criteria'!$L$3:$M$11,2,1),VLOOKUP('Order SUmmary'!R964,'Commission Criteria'!$P$3:$Q$11,2,1))</f>
        <v>0.03</v>
      </c>
      <c r="U964" s="36">
        <f>VLOOKUP(R964,IF(P964&lt;5,'Commission Criteria'!$L$3:$M$11,'Commission Criteria'!$P$3:$Q$11),2,1)</f>
        <v>0.03</v>
      </c>
      <c r="V964" s="8" t="s">
        <v>35</v>
      </c>
      <c r="W964" s="36">
        <f t="shared" ref="W964:W1027" ca="1" si="48">VLOOKUP(F964,INDIRECT(V964&amp;"!$A$1:$B$296"),2,0)</f>
        <v>0.02</v>
      </c>
      <c r="X964" s="8" t="str">
        <f>_xlfn.XLOOKUP(F964,'Product List'!$B$1:$B$299,'Product List'!$A$1:$A$299)</f>
        <v>Xerox 199</v>
      </c>
      <c r="Y964" s="8"/>
      <c r="Z964" s="8" t="str" cm="1">
        <f t="array" ref="Z964:AD964">_xlfn.XLOOKUP(D964,'Customer Details'!$A$1:$A$17,'Customer Details'!$B$1:$F$17,"No such customer",0,1)</f>
        <v>Honeywell Automation</v>
      </c>
      <c r="AA964" s="8" t="str">
        <v>1272 Harbor Road</v>
      </c>
      <c r="AB964" s="8" t="str">
        <v>Miami</v>
      </c>
      <c r="AC964" s="8" t="str">
        <v>FL</v>
      </c>
      <c r="AD964" s="8" t="str">
        <v>33732</v>
      </c>
    </row>
    <row r="965" spans="1:30">
      <c r="A965" s="8" t="s">
        <v>974</v>
      </c>
      <c r="B965" s="19">
        <v>42147</v>
      </c>
      <c r="C965" s="8" t="s">
        <v>33</v>
      </c>
      <c r="D965" s="8">
        <v>10004</v>
      </c>
      <c r="E965" s="8" t="str">
        <f>VLOOKUP($D965,'Customer Details'!$A$1:$F$17,4,FALSE)</f>
        <v>New York</v>
      </c>
      <c r="F965" s="8" t="s">
        <v>298</v>
      </c>
      <c r="G965" s="8">
        <v>1</v>
      </c>
      <c r="H965" s="2" t="str">
        <f>VLOOKUP($D965,'Customer Details'!$A$1:$F$17,MATCH('Order SUmmary'!H$2,'Customer Details'!$A$1:$F$1,0),0)</f>
        <v>Lupin Ltd.</v>
      </c>
      <c r="I965" s="2" t="str">
        <f>VLOOKUP($D965,'Customer Details'!$A$1:$F$17,4,0)</f>
        <v>New York</v>
      </c>
      <c r="J965" s="2" t="str">
        <f>VLOOKUP($D965,'Customer Details'!$A$1:$F$17,6,0)</f>
        <v>10019</v>
      </c>
      <c r="K965" s="8" t="str">
        <f>VLOOKUP(VLOOKUP(D965,'Customer Details'!$A$1:$F$17,5,0),'Region INfo'!$A$1:$C$52,3,0)</f>
        <v xml:space="preserve">Northern </v>
      </c>
      <c r="L965" s="8" t="str">
        <f>INDEX(Product_List,MATCH($F965,'Product List'!$B$1:$B$299,0),MATCH('Order SUmmary'!L$2,'Product List'!$A$1:$E$1,0))</f>
        <v>Xerox 216</v>
      </c>
      <c r="M965" s="8">
        <f>INDEX(Product_List,MATCH($F965,'Product List'!$B$1:$B$299,0),MATCH('Order SUmmary'!M$2,'Product List'!$A$1:$E$1,0))</f>
        <v>4719</v>
      </c>
      <c r="N965" s="8">
        <f>INDEX(Product_List,MATCH($F965,'Product List'!$B$1:$B$299,0),MATCH('Order SUmmary'!N$2,'Product List'!$A$1:$E$1,0))</f>
        <v>2043</v>
      </c>
      <c r="O965" s="8" t="str">
        <f>INDEX(Product_List,MATCH($F965,'Product List'!$B$1:$B$299,0),MATCH('Order SUmmary'!O$2,'Product List'!$A$1:$E$1,0))</f>
        <v>Paper</v>
      </c>
      <c r="P965" s="12">
        <f>HLOOKUP(C965,'Commission Criteria'!$A$2:$I$4,3,FALSE)</f>
        <v>1</v>
      </c>
      <c r="Q965" s="8">
        <f t="shared" si="46"/>
        <v>2043</v>
      </c>
      <c r="R965" s="8">
        <f t="shared" si="47"/>
        <v>4719</v>
      </c>
      <c r="S965" s="36">
        <f>VLOOKUP(R965,'Commission Criteria'!$L$3:$M$11,2,TRUE)</f>
        <v>0.01</v>
      </c>
      <c r="T965" s="36">
        <f>IF(P965&lt;5,VLOOKUP(R965,'Commission Criteria'!$L$3:$M$11,2,1),VLOOKUP('Order SUmmary'!R965,'Commission Criteria'!$P$3:$Q$11,2,1))</f>
        <v>0.01</v>
      </c>
      <c r="U965" s="36">
        <f>VLOOKUP(R965,IF(P965&lt;5,'Commission Criteria'!$L$3:$M$11,'Commission Criteria'!$P$3:$Q$11),2,1)</f>
        <v>0.01</v>
      </c>
      <c r="V965" s="8" t="s">
        <v>32</v>
      </c>
      <c r="W965" s="36">
        <f t="shared" ca="1" si="48"/>
        <v>0</v>
      </c>
      <c r="X965" s="8" t="str">
        <f>_xlfn.XLOOKUP(F965,'Product List'!$B$1:$B$299,'Product List'!$A$1:$A$299)</f>
        <v>Xerox 216</v>
      </c>
      <c r="Y965" s="8"/>
      <c r="Z965" s="8" t="str" cm="1">
        <f t="array" ref="Z965:AD965">_xlfn.XLOOKUP(D965,'Customer Details'!$A$1:$A$17,'Customer Details'!$B$1:$F$17,"No such customer",0,1)</f>
        <v>Lupin Ltd.</v>
      </c>
      <c r="AA965" s="8" t="str">
        <v>Abbey Wood</v>
      </c>
      <c r="AB965" s="8" t="str">
        <v>New York</v>
      </c>
      <c r="AC965" s="8" t="str">
        <v>NY</v>
      </c>
      <c r="AD965" s="8" t="str">
        <v>10019</v>
      </c>
    </row>
    <row r="966" spans="1:30">
      <c r="A966" s="8" t="s">
        <v>974</v>
      </c>
      <c r="B966" s="19">
        <v>42147</v>
      </c>
      <c r="C966" s="8" t="s">
        <v>33</v>
      </c>
      <c r="D966" s="8">
        <v>10014</v>
      </c>
      <c r="E966" s="8" t="str">
        <f>VLOOKUP($D966,'Customer Details'!$A$1:$F$17,4,FALSE)</f>
        <v>Honolulu</v>
      </c>
      <c r="F966" s="8" t="s">
        <v>100</v>
      </c>
      <c r="G966" s="8">
        <v>1</v>
      </c>
      <c r="H966" s="2" t="str">
        <f>VLOOKUP($D966,'Customer Details'!$A$1:$F$17,MATCH('Order SUmmary'!H$2,'Customer Details'!$A$1:$F$1,0),0)</f>
        <v>Hindusthan National Glass &amp; Industries Ltd.</v>
      </c>
      <c r="I966" s="2" t="str">
        <f>VLOOKUP($D966,'Customer Details'!$A$1:$F$17,4,0)</f>
        <v>Honolulu</v>
      </c>
      <c r="J966" s="2" t="str">
        <f>VLOOKUP($D966,'Customer Details'!$A$1:$F$17,6,0)</f>
        <v>96825</v>
      </c>
      <c r="K966" s="8" t="str">
        <f>VLOOKUP(VLOOKUP(D966,'Customer Details'!$A$1:$F$17,5,0),'Region INfo'!$A$1:$C$52,3,0)</f>
        <v xml:space="preserve">Pacific   </v>
      </c>
      <c r="L966" s="8" t="str">
        <f>INDEX(Product_List,MATCH($F966,'Product List'!$B$1:$B$299,0),MATCH('Order SUmmary'!L$2,'Product List'!$A$1:$E$1,0))</f>
        <v>Xerox 1893</v>
      </c>
      <c r="M966" s="8">
        <f>INDEX(Product_List,MATCH($F966,'Product List'!$B$1:$B$299,0),MATCH('Order SUmmary'!M$2,'Product List'!$A$1:$E$1,0))</f>
        <v>4874</v>
      </c>
      <c r="N966" s="8">
        <f>INDEX(Product_List,MATCH($F966,'Product List'!$B$1:$B$299,0),MATCH('Order SUmmary'!N$2,'Product List'!$A$1:$E$1,0))</f>
        <v>1503</v>
      </c>
      <c r="O966" s="8" t="str">
        <f>INDEX(Product_List,MATCH($F966,'Product List'!$B$1:$B$299,0),MATCH('Order SUmmary'!O$2,'Product List'!$A$1:$E$1,0))</f>
        <v>Paper</v>
      </c>
      <c r="P966" s="12">
        <f>HLOOKUP(C966,'Commission Criteria'!$A$2:$I$4,3,FALSE)</f>
        <v>1</v>
      </c>
      <c r="Q966" s="8">
        <f t="shared" si="46"/>
        <v>1503</v>
      </c>
      <c r="R966" s="8">
        <f t="shared" si="47"/>
        <v>4874</v>
      </c>
      <c r="S966" s="36">
        <f>VLOOKUP(R966,'Commission Criteria'!$L$3:$M$11,2,TRUE)</f>
        <v>0.01</v>
      </c>
      <c r="T966" s="36">
        <f>IF(P966&lt;5,VLOOKUP(R966,'Commission Criteria'!$L$3:$M$11,2,1),VLOOKUP('Order SUmmary'!R966,'Commission Criteria'!$P$3:$Q$11,2,1))</f>
        <v>0.01</v>
      </c>
      <c r="U966" s="36">
        <f>VLOOKUP(R966,IF(P966&lt;5,'Commission Criteria'!$L$3:$M$11,'Commission Criteria'!$P$3:$Q$11),2,1)</f>
        <v>0.01</v>
      </c>
      <c r="V966" s="8" t="s">
        <v>29</v>
      </c>
      <c r="W966" s="36">
        <f t="shared" ca="1" si="48"/>
        <v>0</v>
      </c>
      <c r="X966" s="8" t="str">
        <f>_xlfn.XLOOKUP(F966,'Product List'!$B$1:$B$299,'Product List'!$A$1:$A$299)</f>
        <v>Xerox 1893</v>
      </c>
      <c r="Y966" s="8"/>
      <c r="Z966" s="8" t="str" cm="1">
        <f t="array" ref="Z966:AD966">_xlfn.XLOOKUP(D966,'Customer Details'!$A$1:$A$17,'Customer Details'!$B$1:$F$17,"No such customer",0,1)</f>
        <v>Hindusthan National Glass &amp; Industries Ltd.</v>
      </c>
      <c r="AA966" s="8" t="str">
        <v>11 Cathy St.</v>
      </c>
      <c r="AB966" s="8" t="str">
        <v>Honolulu</v>
      </c>
      <c r="AC966" s="8" t="str">
        <v>HI</v>
      </c>
      <c r="AD966" s="8" t="str">
        <v>96825</v>
      </c>
    </row>
    <row r="967" spans="1:30">
      <c r="A967" s="8" t="s">
        <v>974</v>
      </c>
      <c r="B967" s="19">
        <v>42147</v>
      </c>
      <c r="C967" s="8" t="s">
        <v>66</v>
      </c>
      <c r="D967" s="8">
        <v>10002</v>
      </c>
      <c r="E967" s="8" t="str">
        <f>VLOOKUP($D967,'Customer Details'!$A$1:$F$17,4,FALSE)</f>
        <v>Omaha</v>
      </c>
      <c r="F967" s="8" t="s">
        <v>263</v>
      </c>
      <c r="G967" s="8">
        <v>2</v>
      </c>
      <c r="H967" s="2" t="str">
        <f>VLOOKUP($D967,'Customer Details'!$A$1:$F$17,MATCH('Order SUmmary'!H$2,'Customer Details'!$A$1:$F$1,0),0)</f>
        <v>Elder Pharmaceuticals</v>
      </c>
      <c r="I967" s="2" t="str">
        <f>VLOOKUP($D967,'Customer Details'!$A$1:$F$17,4,0)</f>
        <v>Omaha</v>
      </c>
      <c r="J967" s="2" t="str">
        <f>VLOOKUP($D967,'Customer Details'!$A$1:$F$17,6,0)</f>
        <v>68127</v>
      </c>
      <c r="K967" s="8" t="str">
        <f>VLOOKUP(VLOOKUP(D967,'Customer Details'!$A$1:$F$17,5,0),'Region INfo'!$A$1:$C$52,3,0)</f>
        <v>Western</v>
      </c>
      <c r="L967" s="8" t="str">
        <f>INDEX(Product_List,MATCH($F967,'Product List'!$B$1:$B$299,0),MATCH('Order SUmmary'!L$2,'Product List'!$A$1:$E$1,0))</f>
        <v>Xerox 1976</v>
      </c>
      <c r="M967" s="8">
        <f>INDEX(Product_List,MATCH($F967,'Product List'!$B$1:$B$299,0),MATCH('Order SUmmary'!M$2,'Product List'!$A$1:$E$1,0))</f>
        <v>3479</v>
      </c>
      <c r="N967" s="8">
        <f>INDEX(Product_List,MATCH($F967,'Product List'!$B$1:$B$299,0),MATCH('Order SUmmary'!N$2,'Product List'!$A$1:$E$1,0))</f>
        <v>2056</v>
      </c>
      <c r="O967" s="8" t="str">
        <f>INDEX(Product_List,MATCH($F967,'Product List'!$B$1:$B$299,0),MATCH('Order SUmmary'!O$2,'Product List'!$A$1:$E$1,0))</f>
        <v>Paper</v>
      </c>
      <c r="P967" s="12">
        <f>HLOOKUP(C967,'Commission Criteria'!$A$2:$I$4,3,FALSE)</f>
        <v>5</v>
      </c>
      <c r="Q967" s="8">
        <f t="shared" si="46"/>
        <v>4112</v>
      </c>
      <c r="R967" s="8">
        <f t="shared" si="47"/>
        <v>6958</v>
      </c>
      <c r="S967" s="36">
        <f>VLOOKUP(R967,'Commission Criteria'!$L$3:$M$11,2,TRUE)</f>
        <v>0.03</v>
      </c>
      <c r="T967" s="36">
        <f>IF(P967&lt;5,VLOOKUP(R967,'Commission Criteria'!$L$3:$M$11,2,1),VLOOKUP('Order SUmmary'!R967,'Commission Criteria'!$P$3:$Q$11,2,1))</f>
        <v>0.02</v>
      </c>
      <c r="U967" s="36">
        <f>VLOOKUP(R967,IF(P967&lt;5,'Commission Criteria'!$L$3:$M$11,'Commission Criteria'!$P$3:$Q$11),2,1)</f>
        <v>0.02</v>
      </c>
      <c r="V967" s="8" t="s">
        <v>35</v>
      </c>
      <c r="W967" s="36">
        <f t="shared" ca="1" si="48"/>
        <v>0.03</v>
      </c>
      <c r="X967" s="8" t="str">
        <f>_xlfn.XLOOKUP(F967,'Product List'!$B$1:$B$299,'Product List'!$A$1:$A$299)</f>
        <v>Xerox 1976</v>
      </c>
      <c r="Y967" s="8"/>
      <c r="Z967" s="8" t="str" cm="1">
        <f t="array" ref="Z967:AD967">_xlfn.XLOOKUP(D967,'Customer Details'!$A$1:$A$17,'Customer Details'!$B$1:$F$17,"No such customer",0,1)</f>
        <v>Elder Pharmaceuticals</v>
      </c>
      <c r="AA967" s="8" t="str">
        <v>57 Neriba Cres</v>
      </c>
      <c r="AB967" s="8" t="str">
        <v>Omaha</v>
      </c>
      <c r="AC967" s="8" t="str">
        <v>NE</v>
      </c>
      <c r="AD967" s="8" t="str">
        <v>68127</v>
      </c>
    </row>
    <row r="968" spans="1:30">
      <c r="A968" s="8" t="s">
        <v>975</v>
      </c>
      <c r="B968" s="19">
        <v>42148</v>
      </c>
      <c r="C968" s="8" t="s">
        <v>44</v>
      </c>
      <c r="D968" s="8">
        <v>10014</v>
      </c>
      <c r="E968" s="8" t="str">
        <f>VLOOKUP($D968,'Customer Details'!$A$1:$F$17,4,FALSE)</f>
        <v>Honolulu</v>
      </c>
      <c r="F968" s="8" t="s">
        <v>859</v>
      </c>
      <c r="G968" s="8">
        <v>1</v>
      </c>
      <c r="H968" s="2" t="str">
        <f>VLOOKUP($D968,'Customer Details'!$A$1:$F$17,MATCH('Order SUmmary'!H$2,'Customer Details'!$A$1:$F$1,0),0)</f>
        <v>Hindusthan National Glass &amp; Industries Ltd.</v>
      </c>
      <c r="I968" s="2" t="str">
        <f>VLOOKUP($D968,'Customer Details'!$A$1:$F$17,4,0)</f>
        <v>Honolulu</v>
      </c>
      <c r="J968" s="2" t="str">
        <f>VLOOKUP($D968,'Customer Details'!$A$1:$F$17,6,0)</f>
        <v>96825</v>
      </c>
      <c r="K968" s="8" t="str">
        <f>VLOOKUP(VLOOKUP(D968,'Customer Details'!$A$1:$F$17,5,0),'Region INfo'!$A$1:$C$52,3,0)</f>
        <v xml:space="preserve">Pacific   </v>
      </c>
      <c r="L968" s="8" t="str">
        <f>INDEX(Product_List,MATCH($F968,'Product List'!$B$1:$B$299,0),MATCH('Order SUmmary'!L$2,'Product List'!$A$1:$E$1,0))</f>
        <v>Xerox 1970</v>
      </c>
      <c r="M968" s="8">
        <f>INDEX(Product_List,MATCH($F968,'Product List'!$B$1:$B$299,0),MATCH('Order SUmmary'!M$2,'Product List'!$A$1:$E$1,0))</f>
        <v>3277</v>
      </c>
      <c r="N968" s="8">
        <f>INDEX(Product_List,MATCH($F968,'Product List'!$B$1:$B$299,0),MATCH('Order SUmmary'!N$2,'Product List'!$A$1:$E$1,0))</f>
        <v>1891</v>
      </c>
      <c r="O968" s="8" t="str">
        <f>INDEX(Product_List,MATCH($F968,'Product List'!$B$1:$B$299,0),MATCH('Order SUmmary'!O$2,'Product List'!$A$1:$E$1,0))</f>
        <v>Paper</v>
      </c>
      <c r="P968" s="12">
        <f>HLOOKUP(C968,'Commission Criteria'!$A$2:$I$4,3,FALSE)</f>
        <v>4</v>
      </c>
      <c r="Q968" s="8">
        <f t="shared" si="46"/>
        <v>1891</v>
      </c>
      <c r="R968" s="8">
        <f t="shared" si="47"/>
        <v>3277</v>
      </c>
      <c r="S968" s="36">
        <f>VLOOKUP(R968,'Commission Criteria'!$L$3:$M$11,2,TRUE)</f>
        <v>0.01</v>
      </c>
      <c r="T968" s="36">
        <f>IF(P968&lt;5,VLOOKUP(R968,'Commission Criteria'!$L$3:$M$11,2,1),VLOOKUP('Order SUmmary'!R968,'Commission Criteria'!$P$3:$Q$11,2,1))</f>
        <v>0.01</v>
      </c>
      <c r="U968" s="36">
        <f>VLOOKUP(R968,IF(P968&lt;5,'Commission Criteria'!$L$3:$M$11,'Commission Criteria'!$P$3:$Q$11),2,1)</f>
        <v>0.01</v>
      </c>
      <c r="V968" s="8" t="s">
        <v>32</v>
      </c>
      <c r="W968" s="36">
        <f t="shared" ca="1" si="48"/>
        <v>0.05</v>
      </c>
      <c r="X968" s="8" t="str">
        <f>_xlfn.XLOOKUP(F968,'Product List'!$B$1:$B$299,'Product List'!$A$1:$A$299)</f>
        <v>Xerox 1970</v>
      </c>
      <c r="Y968" s="8"/>
      <c r="Z968" s="8" t="str" cm="1">
        <f t="array" ref="Z968:AD968">_xlfn.XLOOKUP(D968,'Customer Details'!$A$1:$A$17,'Customer Details'!$B$1:$F$17,"No such customer",0,1)</f>
        <v>Hindusthan National Glass &amp; Industries Ltd.</v>
      </c>
      <c r="AA968" s="8" t="str">
        <v>11 Cathy St.</v>
      </c>
      <c r="AB968" s="8" t="str">
        <v>Honolulu</v>
      </c>
      <c r="AC968" s="8" t="str">
        <v>HI</v>
      </c>
      <c r="AD968" s="8" t="str">
        <v>96825</v>
      </c>
    </row>
    <row r="969" spans="1:30">
      <c r="A969" s="8" t="s">
        <v>976</v>
      </c>
      <c r="B969" s="19">
        <v>42148</v>
      </c>
      <c r="C969" s="8" t="s">
        <v>51</v>
      </c>
      <c r="D969" s="8">
        <v>10015</v>
      </c>
      <c r="E969" s="8" t="str">
        <f>VLOOKUP($D969,'Customer Details'!$A$1:$F$17,4,FALSE)</f>
        <v>South Windsor</v>
      </c>
      <c r="F969" s="8" t="s">
        <v>420</v>
      </c>
      <c r="G969" s="8">
        <v>1</v>
      </c>
      <c r="H969" s="2" t="str">
        <f>VLOOKUP($D969,'Customer Details'!$A$1:$F$17,MATCH('Order SUmmary'!H$2,'Customer Details'!$A$1:$F$1,0),0)</f>
        <v>Punj Lloyd Ltd.</v>
      </c>
      <c r="I969" s="2" t="str">
        <f>VLOOKUP($D969,'Customer Details'!$A$1:$F$17,4,0)</f>
        <v>South Windsor</v>
      </c>
      <c r="J969" s="2" t="str">
        <f>VLOOKUP($D969,'Customer Details'!$A$1:$F$17,6,0)</f>
        <v>06074</v>
      </c>
      <c r="K969" s="8" t="str">
        <f>VLOOKUP(VLOOKUP(D969,'Customer Details'!$A$1:$F$17,5,0),'Region INfo'!$A$1:$C$52,3,0)</f>
        <v xml:space="preserve">Northern </v>
      </c>
      <c r="L969" s="8" t="str">
        <f>INDEX(Product_List,MATCH($F969,'Product List'!$B$1:$B$299,0),MATCH('Order SUmmary'!L$2,'Product List'!$A$1:$E$1,0))</f>
        <v>Xerox 1972</v>
      </c>
      <c r="M969" s="8">
        <f>INDEX(Product_List,MATCH($F969,'Product List'!$B$1:$B$299,0),MATCH('Order SUmmary'!M$2,'Product List'!$A$1:$E$1,0))</f>
        <v>3566</v>
      </c>
      <c r="N969" s="8">
        <f>INDEX(Product_List,MATCH($F969,'Product List'!$B$1:$B$299,0),MATCH('Order SUmmary'!N$2,'Product List'!$A$1:$E$1,0))</f>
        <v>2276</v>
      </c>
      <c r="O969" s="8" t="str">
        <f>INDEX(Product_List,MATCH($F969,'Product List'!$B$1:$B$299,0),MATCH('Order SUmmary'!O$2,'Product List'!$A$1:$E$1,0))</f>
        <v>Paper</v>
      </c>
      <c r="P969" s="12">
        <f>HLOOKUP(C969,'Commission Criteria'!$A$2:$I$4,3,FALSE)</f>
        <v>10</v>
      </c>
      <c r="Q969" s="8">
        <f t="shared" si="46"/>
        <v>2276</v>
      </c>
      <c r="R969" s="8">
        <f t="shared" si="47"/>
        <v>3566</v>
      </c>
      <c r="S969" s="36">
        <f>VLOOKUP(R969,'Commission Criteria'!$L$3:$M$11,2,TRUE)</f>
        <v>0.01</v>
      </c>
      <c r="T969" s="36">
        <f>IF(P969&lt;5,VLOOKUP(R969,'Commission Criteria'!$L$3:$M$11,2,1),VLOOKUP('Order SUmmary'!R969,'Commission Criteria'!$P$3:$Q$11,2,1))</f>
        <v>0.02</v>
      </c>
      <c r="U969" s="36">
        <f>VLOOKUP(R969,IF(P969&lt;5,'Commission Criteria'!$L$3:$M$11,'Commission Criteria'!$P$3:$Q$11),2,1)</f>
        <v>0.02</v>
      </c>
      <c r="V969" s="8" t="s">
        <v>32</v>
      </c>
      <c r="W969" s="36">
        <f t="shared" ca="1" si="48"/>
        <v>0.02</v>
      </c>
      <c r="X969" s="8" t="str">
        <f>_xlfn.XLOOKUP(F969,'Product List'!$B$1:$B$299,'Product List'!$A$1:$A$299)</f>
        <v>Xerox 1972</v>
      </c>
      <c r="Y969" s="8"/>
      <c r="Z969" s="8" t="str" cm="1">
        <f t="array" ref="Z969:AD969">_xlfn.XLOOKUP(D969,'Customer Details'!$A$1:$A$17,'Customer Details'!$B$1:$F$17,"No such customer",0,1)</f>
        <v>Punj Lloyd Ltd.</v>
      </c>
      <c r="AA969" s="8" t="str">
        <v>Box 3263</v>
      </c>
      <c r="AB969" s="8" t="str">
        <v>South Windsor</v>
      </c>
      <c r="AC969" s="8" t="str">
        <v>CT</v>
      </c>
      <c r="AD969" s="8" t="str">
        <v>06074</v>
      </c>
    </row>
    <row r="970" spans="1:30">
      <c r="A970" s="8" t="s">
        <v>976</v>
      </c>
      <c r="B970" s="19">
        <v>42148</v>
      </c>
      <c r="C970" s="8" t="s">
        <v>33</v>
      </c>
      <c r="D970" s="8">
        <v>10006</v>
      </c>
      <c r="E970" s="8" t="str">
        <f>VLOOKUP($D970,'Customer Details'!$A$1:$F$17,4,FALSE)</f>
        <v>Midland</v>
      </c>
      <c r="F970" s="8" t="s">
        <v>137</v>
      </c>
      <c r="G970" s="8">
        <v>2</v>
      </c>
      <c r="H970" s="2" t="str">
        <f>VLOOKUP($D970,'Customer Details'!$A$1:$F$17,MATCH('Order SUmmary'!H$2,'Customer Details'!$A$1:$F$1,0),0)</f>
        <v>Supreme Ind</v>
      </c>
      <c r="I970" s="2" t="str">
        <f>VLOOKUP($D970,'Customer Details'!$A$1:$F$17,4,0)</f>
        <v>Midland</v>
      </c>
      <c r="J970" s="2" t="str">
        <f>VLOOKUP($D970,'Customer Details'!$A$1:$F$17,6,0)</f>
        <v>79706</v>
      </c>
      <c r="K970" s="8" t="str">
        <f>VLOOKUP(VLOOKUP(D970,'Customer Details'!$A$1:$F$17,5,0),'Region INfo'!$A$1:$C$52,3,0)</f>
        <v>Western</v>
      </c>
      <c r="L970" s="8" t="str">
        <f>INDEX(Product_List,MATCH($F970,'Product List'!$B$1:$B$299,0),MATCH('Order SUmmary'!L$2,'Product List'!$A$1:$E$1,0))</f>
        <v>Newell 35</v>
      </c>
      <c r="M970" s="8">
        <f>INDEX(Product_List,MATCH($F970,'Product List'!$B$1:$B$299,0),MATCH('Order SUmmary'!M$2,'Product List'!$A$1:$E$1,0))</f>
        <v>4209</v>
      </c>
      <c r="N970" s="8">
        <f>INDEX(Product_List,MATCH($F970,'Product List'!$B$1:$B$299,0),MATCH('Order SUmmary'!N$2,'Product List'!$A$1:$E$1,0))</f>
        <v>1692</v>
      </c>
      <c r="O970" s="8" t="str">
        <f>INDEX(Product_List,MATCH($F970,'Product List'!$B$1:$B$299,0),MATCH('Order SUmmary'!O$2,'Product List'!$A$1:$E$1,0))</f>
        <v>Art</v>
      </c>
      <c r="P970" s="12">
        <f>HLOOKUP(C970,'Commission Criteria'!$A$2:$I$4,3,FALSE)</f>
        <v>1</v>
      </c>
      <c r="Q970" s="8">
        <f t="shared" si="46"/>
        <v>3384</v>
      </c>
      <c r="R970" s="8">
        <f t="shared" si="47"/>
        <v>8418</v>
      </c>
      <c r="S970" s="36">
        <f>VLOOKUP(R970,'Commission Criteria'!$L$3:$M$11,2,TRUE)</f>
        <v>0.03</v>
      </c>
      <c r="T970" s="36">
        <f>IF(P970&lt;5,VLOOKUP(R970,'Commission Criteria'!$L$3:$M$11,2,1),VLOOKUP('Order SUmmary'!R970,'Commission Criteria'!$P$3:$Q$11,2,1))</f>
        <v>0.03</v>
      </c>
      <c r="U970" s="36">
        <f>VLOOKUP(R970,IF(P970&lt;5,'Commission Criteria'!$L$3:$M$11,'Commission Criteria'!$P$3:$Q$11),2,1)</f>
        <v>0.03</v>
      </c>
      <c r="V970" s="8" t="s">
        <v>32</v>
      </c>
      <c r="W970" s="36">
        <f t="shared" ca="1" si="48"/>
        <v>0.05</v>
      </c>
      <c r="X970" s="8" t="str">
        <f>_xlfn.XLOOKUP(F970,'Product List'!$B$1:$B$299,'Product List'!$A$1:$A$299)</f>
        <v>Newell 35</v>
      </c>
      <c r="Y970" s="8"/>
      <c r="Z970" s="8" t="str" cm="1">
        <f t="array" ref="Z970:AD970">_xlfn.XLOOKUP(D970,'Customer Details'!$A$1:$A$17,'Customer Details'!$B$1:$F$17,"No such customer",0,1)</f>
        <v>Supreme Ind</v>
      </c>
      <c r="AA970" s="8" t="str">
        <v>P.O. Box 1367</v>
      </c>
      <c r="AB970" s="8" t="str">
        <v>Midland</v>
      </c>
      <c r="AC970" s="8" t="str">
        <v>TX</v>
      </c>
      <c r="AD970" s="8" t="str">
        <v>79706</v>
      </c>
    </row>
    <row r="971" spans="1:30">
      <c r="A971" s="8" t="s">
        <v>975</v>
      </c>
      <c r="B971" s="19">
        <v>42148</v>
      </c>
      <c r="C971" s="8" t="s">
        <v>66</v>
      </c>
      <c r="D971" s="8">
        <v>10008</v>
      </c>
      <c r="E971" s="8" t="str">
        <f>VLOOKUP($D971,'Customer Details'!$A$1:$F$17,4,FALSE)</f>
        <v>Chestnut Ridge</v>
      </c>
      <c r="F971" s="8" t="s">
        <v>205</v>
      </c>
      <c r="G971" s="8">
        <v>3</v>
      </c>
      <c r="H971" s="2" t="str">
        <f>VLOOKUP($D971,'Customer Details'!$A$1:$F$17,MATCH('Order SUmmary'!H$2,'Customer Details'!$A$1:$F$1,0),0)</f>
        <v>Reliance Industries Limited</v>
      </c>
      <c r="I971" s="2" t="str">
        <f>VLOOKUP($D971,'Customer Details'!$A$1:$F$17,4,0)</f>
        <v>Chestnut Ridge</v>
      </c>
      <c r="J971" s="2" t="str">
        <f>VLOOKUP($D971,'Customer Details'!$A$1:$F$17,6,0)</f>
        <v>10977</v>
      </c>
      <c r="K971" s="8" t="str">
        <f>VLOOKUP(VLOOKUP(D971,'Customer Details'!$A$1:$F$17,5,0),'Region INfo'!$A$1:$C$52,3,0)</f>
        <v xml:space="preserve">Northern </v>
      </c>
      <c r="L971" s="8" t="str">
        <f>INDEX(Product_List,MATCH($F971,'Product List'!$B$1:$B$299,0),MATCH('Order SUmmary'!L$2,'Product List'!$A$1:$E$1,0))</f>
        <v>AT&amp;T TR1909W</v>
      </c>
      <c r="M971" s="8">
        <f>INDEX(Product_List,MATCH($F971,'Product List'!$B$1:$B$299,0),MATCH('Order SUmmary'!M$2,'Product List'!$A$1:$E$1,0))</f>
        <v>4378</v>
      </c>
      <c r="N971" s="8">
        <f>INDEX(Product_List,MATCH($F971,'Product List'!$B$1:$B$299,0),MATCH('Order SUmmary'!N$2,'Product List'!$A$1:$E$1,0))</f>
        <v>1998</v>
      </c>
      <c r="O971" s="8" t="str">
        <f>INDEX(Product_List,MATCH($F971,'Product List'!$B$1:$B$299,0),MATCH('Order SUmmary'!O$2,'Product List'!$A$1:$E$1,0))</f>
        <v>Phones</v>
      </c>
      <c r="P971" s="12">
        <f>HLOOKUP(C971,'Commission Criteria'!$A$2:$I$4,3,FALSE)</f>
        <v>5</v>
      </c>
      <c r="Q971" s="8">
        <f t="shared" si="46"/>
        <v>5994</v>
      </c>
      <c r="R971" s="8">
        <f t="shared" si="47"/>
        <v>13134</v>
      </c>
      <c r="S971" s="36">
        <f>VLOOKUP(R971,'Commission Criteria'!$L$3:$M$11,2,TRUE)</f>
        <v>0.03</v>
      </c>
      <c r="T971" s="36">
        <f>IF(P971&lt;5,VLOOKUP(R971,'Commission Criteria'!$L$3:$M$11,2,1),VLOOKUP('Order SUmmary'!R971,'Commission Criteria'!$P$3:$Q$11,2,1))</f>
        <v>0.02</v>
      </c>
      <c r="U971" s="36">
        <f>VLOOKUP(R971,IF(P971&lt;5,'Commission Criteria'!$L$3:$M$11,'Commission Criteria'!$P$3:$Q$11),2,1)</f>
        <v>0.02</v>
      </c>
      <c r="V971" s="8" t="s">
        <v>50</v>
      </c>
      <c r="W971" s="36">
        <f t="shared" ca="1" si="48"/>
        <v>0.03</v>
      </c>
      <c r="X971" s="8" t="str">
        <f>_xlfn.XLOOKUP(F971,'Product List'!$B$1:$B$299,'Product List'!$A$1:$A$299)</f>
        <v>AT&amp;T TR1909W</v>
      </c>
      <c r="Y971" s="8"/>
      <c r="Z971" s="8" t="str" cm="1">
        <f t="array" ref="Z971:AD971">_xlfn.XLOOKUP(D971,'Customer Details'!$A$1:$A$17,'Customer Details'!$B$1:$F$17,"No such customer",0,1)</f>
        <v>Reliance Industries Limited</v>
      </c>
      <c r="AA971" s="8" t="str">
        <v>12020 Shamrock Rd., Suite 333</v>
      </c>
      <c r="AB971" s="8" t="str">
        <v>Chestnut Ridge</v>
      </c>
      <c r="AC971" s="8" t="str">
        <v>NY</v>
      </c>
      <c r="AD971" s="8" t="str">
        <v>10977</v>
      </c>
    </row>
    <row r="972" spans="1:30">
      <c r="A972" s="8" t="s">
        <v>977</v>
      </c>
      <c r="B972" s="19">
        <v>42149</v>
      </c>
      <c r="C972" s="8" t="s">
        <v>66</v>
      </c>
      <c r="D972" s="8">
        <v>10009</v>
      </c>
      <c r="E972" s="8" t="str">
        <f>VLOOKUP($D972,'Customer Details'!$A$1:$F$17,4,FALSE)</f>
        <v>Salt Lake City</v>
      </c>
      <c r="F972" s="8" t="s">
        <v>182</v>
      </c>
      <c r="G972" s="8">
        <v>1</v>
      </c>
      <c r="H972" s="2" t="str">
        <f>VLOOKUP($D972,'Customer Details'!$A$1:$F$17,MATCH('Order SUmmary'!H$2,'Customer Details'!$A$1:$F$1,0),0)</f>
        <v>Godfrey Philips India Ltd.</v>
      </c>
      <c r="I972" s="2" t="str">
        <f>VLOOKUP($D972,'Customer Details'!$A$1:$F$17,4,0)</f>
        <v>Salt Lake City</v>
      </c>
      <c r="J972" s="2" t="str">
        <f>VLOOKUP($D972,'Customer Details'!$A$1:$F$17,6,0)</f>
        <v>84118</v>
      </c>
      <c r="K972" s="8" t="str">
        <f>VLOOKUP(VLOOKUP(D972,'Customer Details'!$A$1:$F$17,5,0),'Region INfo'!$A$1:$C$52,3,0)</f>
        <v xml:space="preserve">Pacific   </v>
      </c>
      <c r="L972" s="8" t="str">
        <f>INDEX(Product_List,MATCH($F972,'Product List'!$B$1:$B$299,0),MATCH('Order SUmmary'!L$2,'Product List'!$A$1:$E$1,0))</f>
        <v>Newell 351</v>
      </c>
      <c r="M972" s="8">
        <f>INDEX(Product_List,MATCH($F972,'Product List'!$B$1:$B$299,0),MATCH('Order SUmmary'!M$2,'Product List'!$A$1:$E$1,0))</f>
        <v>2850</v>
      </c>
      <c r="N972" s="8">
        <f>INDEX(Product_List,MATCH($F972,'Product List'!$B$1:$B$299,0),MATCH('Order SUmmary'!N$2,'Product List'!$A$1:$E$1,0))</f>
        <v>2007</v>
      </c>
      <c r="O972" s="8" t="str">
        <f>INDEX(Product_List,MATCH($F972,'Product List'!$B$1:$B$299,0),MATCH('Order SUmmary'!O$2,'Product List'!$A$1:$E$1,0))</f>
        <v>Art</v>
      </c>
      <c r="P972" s="12">
        <f>HLOOKUP(C972,'Commission Criteria'!$A$2:$I$4,3,FALSE)</f>
        <v>5</v>
      </c>
      <c r="Q972" s="8">
        <f t="shared" si="46"/>
        <v>2007</v>
      </c>
      <c r="R972" s="8">
        <f t="shared" si="47"/>
        <v>2850</v>
      </c>
      <c r="S972" s="36">
        <f>VLOOKUP(R972,'Commission Criteria'!$L$3:$M$11,2,TRUE)</f>
        <v>0.01</v>
      </c>
      <c r="T972" s="36">
        <f>IF(P972&lt;5,VLOOKUP(R972,'Commission Criteria'!$L$3:$M$11,2,1),VLOOKUP('Order SUmmary'!R972,'Commission Criteria'!$P$3:$Q$11,2,1))</f>
        <v>0.02</v>
      </c>
      <c r="U972" s="36">
        <f>VLOOKUP(R972,IF(P972&lt;5,'Commission Criteria'!$L$3:$M$11,'Commission Criteria'!$P$3:$Q$11),2,1)</f>
        <v>0.02</v>
      </c>
      <c r="V972" s="8" t="s">
        <v>35</v>
      </c>
      <c r="W972" s="36">
        <f t="shared" ca="1" si="48"/>
        <v>0.04</v>
      </c>
      <c r="X972" s="8" t="str">
        <f>_xlfn.XLOOKUP(F972,'Product List'!$B$1:$B$299,'Product List'!$A$1:$A$299)</f>
        <v>Newell 351</v>
      </c>
      <c r="Y972" s="8"/>
      <c r="Z972" s="8" t="str" cm="1">
        <f t="array" ref="Z972:AD972">_xlfn.XLOOKUP(D972,'Customer Details'!$A$1:$A$17,'Customer Details'!$B$1:$F$17,"No such customer",0,1)</f>
        <v>Godfrey Philips India Ltd.</v>
      </c>
      <c r="AA972" s="8" t="str">
        <v>20501 Ania Ave #2</v>
      </c>
      <c r="AB972" s="8" t="str">
        <v>Salt Lake City</v>
      </c>
      <c r="AC972" s="8" t="str">
        <v>UT</v>
      </c>
      <c r="AD972" s="8" t="str">
        <v>84118</v>
      </c>
    </row>
    <row r="973" spans="1:30">
      <c r="A973" s="8" t="s">
        <v>978</v>
      </c>
      <c r="B973" s="19">
        <v>42149</v>
      </c>
      <c r="C973" s="8" t="s">
        <v>66</v>
      </c>
      <c r="D973" s="8">
        <v>10005</v>
      </c>
      <c r="E973" s="8" t="str">
        <f>VLOOKUP($D973,'Customer Details'!$A$1:$F$17,4,FALSE)</f>
        <v>Goleta</v>
      </c>
      <c r="F973" s="8" t="s">
        <v>395</v>
      </c>
      <c r="G973" s="8">
        <v>1</v>
      </c>
      <c r="H973" s="2" t="str">
        <f>VLOOKUP($D973,'Customer Details'!$A$1:$F$17,MATCH('Order SUmmary'!H$2,'Customer Details'!$A$1:$F$1,0),0)</f>
        <v>Fortis Healthcare Ltd.</v>
      </c>
      <c r="I973" s="2" t="str">
        <f>VLOOKUP($D973,'Customer Details'!$A$1:$F$17,4,0)</f>
        <v>Goleta</v>
      </c>
      <c r="J973" s="2" t="str">
        <f>VLOOKUP($D973,'Customer Details'!$A$1:$F$17,6,0)</f>
        <v>93117</v>
      </c>
      <c r="K973" s="8" t="str">
        <f>VLOOKUP(VLOOKUP(D973,'Customer Details'!$A$1:$F$17,5,0),'Region INfo'!$A$1:$C$52,3,0)</f>
        <v xml:space="preserve">Pacific   </v>
      </c>
      <c r="L973" s="8" t="str">
        <f>INDEX(Product_List,MATCH($F973,'Product List'!$B$1:$B$299,0),MATCH('Order SUmmary'!L$2,'Product List'!$A$1:$E$1,0))</f>
        <v>Xerox 1883</v>
      </c>
      <c r="M973" s="8">
        <f>INDEX(Product_List,MATCH($F973,'Product List'!$B$1:$B$299,0),MATCH('Order SUmmary'!M$2,'Product List'!$A$1:$E$1,0))</f>
        <v>3112</v>
      </c>
      <c r="N973" s="8">
        <f>INDEX(Product_List,MATCH($F973,'Product List'!$B$1:$B$299,0),MATCH('Order SUmmary'!N$2,'Product List'!$A$1:$E$1,0))</f>
        <v>1766</v>
      </c>
      <c r="O973" s="8" t="str">
        <f>INDEX(Product_List,MATCH($F973,'Product List'!$B$1:$B$299,0),MATCH('Order SUmmary'!O$2,'Product List'!$A$1:$E$1,0))</f>
        <v>Paper</v>
      </c>
      <c r="P973" s="12">
        <f>HLOOKUP(C973,'Commission Criteria'!$A$2:$I$4,3,FALSE)</f>
        <v>5</v>
      </c>
      <c r="Q973" s="8">
        <f t="shared" si="46"/>
        <v>1766</v>
      </c>
      <c r="R973" s="8">
        <f t="shared" si="47"/>
        <v>3112</v>
      </c>
      <c r="S973" s="36">
        <f>VLOOKUP(R973,'Commission Criteria'!$L$3:$M$11,2,TRUE)</f>
        <v>0.01</v>
      </c>
      <c r="T973" s="36">
        <f>IF(P973&lt;5,VLOOKUP(R973,'Commission Criteria'!$L$3:$M$11,2,1),VLOOKUP('Order SUmmary'!R973,'Commission Criteria'!$P$3:$Q$11,2,1))</f>
        <v>0.02</v>
      </c>
      <c r="U973" s="36">
        <f>VLOOKUP(R973,IF(P973&lt;5,'Commission Criteria'!$L$3:$M$11,'Commission Criteria'!$P$3:$Q$11),2,1)</f>
        <v>0.02</v>
      </c>
      <c r="V973" s="8" t="s">
        <v>43</v>
      </c>
      <c r="W973" s="36">
        <f t="shared" ca="1" si="48"/>
        <v>0</v>
      </c>
      <c r="X973" s="8" t="str">
        <f>_xlfn.XLOOKUP(F973,'Product List'!$B$1:$B$299,'Product List'!$A$1:$A$299)</f>
        <v>Xerox 1883</v>
      </c>
      <c r="Y973" s="8"/>
      <c r="Z973" s="8" t="str" cm="1">
        <f t="array" ref="Z973:AD973">_xlfn.XLOOKUP(D973,'Customer Details'!$A$1:$A$17,'Customer Details'!$B$1:$F$17,"No such customer",0,1)</f>
        <v>Fortis Healthcare Ltd.</v>
      </c>
      <c r="AA973" s="8" t="str">
        <v>14 Elsworthy Terrace</v>
      </c>
      <c r="AB973" s="8" t="str">
        <v>Goleta</v>
      </c>
      <c r="AC973" s="8" t="str">
        <v>CA</v>
      </c>
      <c r="AD973" s="8" t="str">
        <v>93117</v>
      </c>
    </row>
    <row r="974" spans="1:30">
      <c r="A974" s="8" t="s">
        <v>978</v>
      </c>
      <c r="B974" s="19">
        <v>42149</v>
      </c>
      <c r="C974" s="8" t="s">
        <v>46</v>
      </c>
      <c r="D974" s="8">
        <v>10015</v>
      </c>
      <c r="E974" s="8" t="str">
        <f>VLOOKUP($D974,'Customer Details'!$A$1:$F$17,4,FALSE)</f>
        <v>South Windsor</v>
      </c>
      <c r="F974" s="8" t="s">
        <v>37</v>
      </c>
      <c r="G974" s="8">
        <v>1</v>
      </c>
      <c r="H974" s="2" t="str">
        <f>VLOOKUP($D974,'Customer Details'!$A$1:$F$17,MATCH('Order SUmmary'!H$2,'Customer Details'!$A$1:$F$1,0),0)</f>
        <v>Punj Lloyd Ltd.</v>
      </c>
      <c r="I974" s="2" t="str">
        <f>VLOOKUP($D974,'Customer Details'!$A$1:$F$17,4,0)</f>
        <v>South Windsor</v>
      </c>
      <c r="J974" s="2" t="str">
        <f>VLOOKUP($D974,'Customer Details'!$A$1:$F$17,6,0)</f>
        <v>06074</v>
      </c>
      <c r="K974" s="8" t="str">
        <f>VLOOKUP(VLOOKUP(D974,'Customer Details'!$A$1:$F$17,5,0),'Region INfo'!$A$1:$C$52,3,0)</f>
        <v xml:space="preserve">Northern </v>
      </c>
      <c r="L974" s="8" t="str">
        <f>INDEX(Product_List,MATCH($F974,'Product List'!$B$1:$B$299,0),MATCH('Order SUmmary'!L$2,'Product List'!$A$1:$E$1,0))</f>
        <v>Avery 508</v>
      </c>
      <c r="M974" s="8">
        <f>INDEX(Product_List,MATCH($F974,'Product List'!$B$1:$B$299,0),MATCH('Order SUmmary'!M$2,'Product List'!$A$1:$E$1,0))</f>
        <v>3788</v>
      </c>
      <c r="N974" s="8">
        <f>INDEX(Product_List,MATCH($F974,'Product List'!$B$1:$B$299,0),MATCH('Order SUmmary'!N$2,'Product List'!$A$1:$E$1,0))</f>
        <v>2170</v>
      </c>
      <c r="O974" s="8" t="str">
        <f>INDEX(Product_List,MATCH($F974,'Product List'!$B$1:$B$299,0),MATCH('Order SUmmary'!O$2,'Product List'!$A$1:$E$1,0))</f>
        <v>Labels</v>
      </c>
      <c r="P974" s="12">
        <f>HLOOKUP(C974,'Commission Criteria'!$A$2:$I$4,3,FALSE)</f>
        <v>8</v>
      </c>
      <c r="Q974" s="8">
        <f t="shared" si="46"/>
        <v>2170</v>
      </c>
      <c r="R974" s="8">
        <f t="shared" si="47"/>
        <v>3788</v>
      </c>
      <c r="S974" s="36">
        <f>VLOOKUP(R974,'Commission Criteria'!$L$3:$M$11,2,TRUE)</f>
        <v>0.01</v>
      </c>
      <c r="T974" s="36">
        <f>IF(P974&lt;5,VLOOKUP(R974,'Commission Criteria'!$L$3:$M$11,2,1),VLOOKUP('Order SUmmary'!R974,'Commission Criteria'!$P$3:$Q$11,2,1))</f>
        <v>0.02</v>
      </c>
      <c r="U974" s="36">
        <f>VLOOKUP(R974,IF(P974&lt;5,'Commission Criteria'!$L$3:$M$11,'Commission Criteria'!$P$3:$Q$11),2,1)</f>
        <v>0.02</v>
      </c>
      <c r="V974" s="8" t="s">
        <v>40</v>
      </c>
      <c r="W974" s="36">
        <f t="shared" ca="1" si="48"/>
        <v>0.05</v>
      </c>
      <c r="X974" s="8" t="str">
        <f>_xlfn.XLOOKUP(F974,'Product List'!$B$1:$B$299,'Product List'!$A$1:$A$299)</f>
        <v>Avery 508</v>
      </c>
      <c r="Y974" s="8"/>
      <c r="Z974" s="8" t="str" cm="1">
        <f t="array" ref="Z974:AD974">_xlfn.XLOOKUP(D974,'Customer Details'!$A$1:$A$17,'Customer Details'!$B$1:$F$17,"No such customer",0,1)</f>
        <v>Punj Lloyd Ltd.</v>
      </c>
      <c r="AA974" s="8" t="str">
        <v>Box 3263</v>
      </c>
      <c r="AB974" s="8" t="str">
        <v>South Windsor</v>
      </c>
      <c r="AC974" s="8" t="str">
        <v>CT</v>
      </c>
      <c r="AD974" s="8" t="str">
        <v>06074</v>
      </c>
    </row>
    <row r="975" spans="1:30">
      <c r="A975" s="8" t="s">
        <v>977</v>
      </c>
      <c r="B975" s="19">
        <v>42149</v>
      </c>
      <c r="C975" s="8" t="s">
        <v>33</v>
      </c>
      <c r="D975" s="8">
        <v>10010</v>
      </c>
      <c r="E975" s="8" t="str">
        <f>VLOOKUP($D975,'Customer Details'!$A$1:$F$17,4,FALSE)</f>
        <v>Tracy</v>
      </c>
      <c r="F975" s="8" t="s">
        <v>412</v>
      </c>
      <c r="G975" s="8">
        <v>2</v>
      </c>
      <c r="H975" s="2" t="str">
        <f>VLOOKUP($D975,'Customer Details'!$A$1:$F$17,MATCH('Order SUmmary'!H$2,'Customer Details'!$A$1:$F$1,0),0)</f>
        <v>Suzlon Energy Ltd.</v>
      </c>
      <c r="I975" s="2" t="str">
        <f>VLOOKUP($D975,'Customer Details'!$A$1:$F$17,4,0)</f>
        <v>Tracy</v>
      </c>
      <c r="J975" s="2" t="str">
        <f>VLOOKUP($D975,'Customer Details'!$A$1:$F$17,6,0)</f>
        <v>95376</v>
      </c>
      <c r="K975" s="8" t="str">
        <f>VLOOKUP(VLOOKUP(D975,'Customer Details'!$A$1:$F$17,5,0),'Region INfo'!$A$1:$C$52,3,0)</f>
        <v xml:space="preserve">Pacific   </v>
      </c>
      <c r="L975" s="8" t="str">
        <f>INDEX(Product_List,MATCH($F975,'Product List'!$B$1:$B$299,0),MATCH('Order SUmmary'!L$2,'Product List'!$A$1:$E$1,0))</f>
        <v>Avery 482</v>
      </c>
      <c r="M975" s="8">
        <f>INDEX(Product_List,MATCH($F975,'Product List'!$B$1:$B$299,0),MATCH('Order SUmmary'!M$2,'Product List'!$A$1:$E$1,0))</f>
        <v>2868</v>
      </c>
      <c r="N975" s="8">
        <f>INDEX(Product_List,MATCH($F975,'Product List'!$B$1:$B$299,0),MATCH('Order SUmmary'!N$2,'Product List'!$A$1:$E$1,0))</f>
        <v>2479</v>
      </c>
      <c r="O975" s="8" t="str">
        <f>INDEX(Product_List,MATCH($F975,'Product List'!$B$1:$B$299,0),MATCH('Order SUmmary'!O$2,'Product List'!$A$1:$E$1,0))</f>
        <v>Labels</v>
      </c>
      <c r="P975" s="12">
        <f>HLOOKUP(C975,'Commission Criteria'!$A$2:$I$4,3,FALSE)</f>
        <v>1</v>
      </c>
      <c r="Q975" s="8">
        <f t="shared" si="46"/>
        <v>4958</v>
      </c>
      <c r="R975" s="8">
        <f t="shared" si="47"/>
        <v>5736</v>
      </c>
      <c r="S975" s="36">
        <f>VLOOKUP(R975,'Commission Criteria'!$L$3:$M$11,2,TRUE)</f>
        <v>0.03</v>
      </c>
      <c r="T975" s="36">
        <f>IF(P975&lt;5,VLOOKUP(R975,'Commission Criteria'!$L$3:$M$11,2,1),VLOOKUP('Order SUmmary'!R975,'Commission Criteria'!$P$3:$Q$11,2,1))</f>
        <v>0.03</v>
      </c>
      <c r="U975" s="36">
        <f>VLOOKUP(R975,IF(P975&lt;5,'Commission Criteria'!$L$3:$M$11,'Commission Criteria'!$P$3:$Q$11),2,1)</f>
        <v>0.03</v>
      </c>
      <c r="V975" s="8" t="s">
        <v>50</v>
      </c>
      <c r="W975" s="36">
        <f t="shared" ca="1" si="48"/>
        <v>0.02</v>
      </c>
      <c r="X975" s="8" t="str">
        <f>_xlfn.XLOOKUP(F975,'Product List'!$B$1:$B$299,'Product List'!$A$1:$A$299)</f>
        <v>Avery 482</v>
      </c>
      <c r="Y975" s="8"/>
      <c r="Z975" s="8" t="str" cm="1">
        <f t="array" ref="Z975:AD975">_xlfn.XLOOKUP(D975,'Customer Details'!$A$1:$A$17,'Customer Details'!$B$1:$F$17,"No such customer",0,1)</f>
        <v>Suzlon Energy Ltd.</v>
      </c>
      <c r="AA975" s="8" t="str">
        <v>501 Marsh Trail Circle</v>
      </c>
      <c r="AB975" s="8" t="str">
        <v>Tracy</v>
      </c>
      <c r="AC975" s="8" t="str">
        <v>CA</v>
      </c>
      <c r="AD975" s="8" t="str">
        <v>95376</v>
      </c>
    </row>
    <row r="976" spans="1:30">
      <c r="A976" s="8" t="s">
        <v>977</v>
      </c>
      <c r="B976" s="19">
        <v>42149</v>
      </c>
      <c r="C976" s="8" t="s">
        <v>33</v>
      </c>
      <c r="D976" s="8">
        <v>10003</v>
      </c>
      <c r="E976" s="8" t="str">
        <f>VLOOKUP($D976,'Customer Details'!$A$1:$F$17,4,FALSE)</f>
        <v>Miami</v>
      </c>
      <c r="F976" s="8" t="s">
        <v>143</v>
      </c>
      <c r="G976" s="8">
        <v>2</v>
      </c>
      <c r="H976" s="2" t="str">
        <f>VLOOKUP($D976,'Customer Details'!$A$1:$F$17,MATCH('Order SUmmary'!H$2,'Customer Details'!$A$1:$F$1,0),0)</f>
        <v>Honeywell Automation</v>
      </c>
      <c r="I976" s="2" t="str">
        <f>VLOOKUP($D976,'Customer Details'!$A$1:$F$17,4,0)</f>
        <v>Miami</v>
      </c>
      <c r="J976" s="2" t="str">
        <f>VLOOKUP($D976,'Customer Details'!$A$1:$F$17,6,0)</f>
        <v>33732</v>
      </c>
      <c r="K976" s="8" t="str">
        <f>VLOOKUP(VLOOKUP(D976,'Customer Details'!$A$1:$F$17,5,0),'Region INfo'!$A$1:$C$52,3,0)</f>
        <v>Southern</v>
      </c>
      <c r="L976" s="8" t="str">
        <f>INDEX(Product_List,MATCH($F976,'Product List'!$B$1:$B$299,0),MATCH('Order SUmmary'!L$2,'Product List'!$A$1:$E$1,0))</f>
        <v>Xerox 1932</v>
      </c>
      <c r="M976" s="8">
        <f>INDEX(Product_List,MATCH($F976,'Product List'!$B$1:$B$299,0),MATCH('Order SUmmary'!M$2,'Product List'!$A$1:$E$1,0))</f>
        <v>4309</v>
      </c>
      <c r="N976" s="8">
        <f>INDEX(Product_List,MATCH($F976,'Product List'!$B$1:$B$299,0),MATCH('Order SUmmary'!N$2,'Product List'!$A$1:$E$1,0))</f>
        <v>1779</v>
      </c>
      <c r="O976" s="8" t="str">
        <f>INDEX(Product_List,MATCH($F976,'Product List'!$B$1:$B$299,0),MATCH('Order SUmmary'!O$2,'Product List'!$A$1:$E$1,0))</f>
        <v>Paper</v>
      </c>
      <c r="P976" s="12">
        <f>HLOOKUP(C976,'Commission Criteria'!$A$2:$I$4,3,FALSE)</f>
        <v>1</v>
      </c>
      <c r="Q976" s="8">
        <f t="shared" si="46"/>
        <v>3558</v>
      </c>
      <c r="R976" s="8">
        <f t="shared" si="47"/>
        <v>8618</v>
      </c>
      <c r="S976" s="36">
        <f>VLOOKUP(R976,'Commission Criteria'!$L$3:$M$11,2,TRUE)</f>
        <v>0.03</v>
      </c>
      <c r="T976" s="36">
        <f>IF(P976&lt;5,VLOOKUP(R976,'Commission Criteria'!$L$3:$M$11,2,1),VLOOKUP('Order SUmmary'!R976,'Commission Criteria'!$P$3:$Q$11,2,1))</f>
        <v>0.03</v>
      </c>
      <c r="U976" s="36">
        <f>VLOOKUP(R976,IF(P976&lt;5,'Commission Criteria'!$L$3:$M$11,'Commission Criteria'!$P$3:$Q$11),2,1)</f>
        <v>0.03</v>
      </c>
      <c r="V976" s="8" t="s">
        <v>35</v>
      </c>
      <c r="W976" s="36">
        <f t="shared" ca="1" si="48"/>
        <v>0.04</v>
      </c>
      <c r="X976" s="8" t="str">
        <f>_xlfn.XLOOKUP(F976,'Product List'!$B$1:$B$299,'Product List'!$A$1:$A$299)</f>
        <v>Xerox 1932</v>
      </c>
      <c r="Y976" s="8"/>
      <c r="Z976" s="8" t="str" cm="1">
        <f t="array" ref="Z976:AD976">_xlfn.XLOOKUP(D976,'Customer Details'!$A$1:$A$17,'Customer Details'!$B$1:$F$17,"No such customer",0,1)</f>
        <v>Honeywell Automation</v>
      </c>
      <c r="AA976" s="8" t="str">
        <v>1272 Harbor Road</v>
      </c>
      <c r="AB976" s="8" t="str">
        <v>Miami</v>
      </c>
      <c r="AC976" s="8" t="str">
        <v>FL</v>
      </c>
      <c r="AD976" s="8" t="str">
        <v>33732</v>
      </c>
    </row>
    <row r="977" spans="1:30">
      <c r="A977" s="8" t="s">
        <v>978</v>
      </c>
      <c r="B977" s="19">
        <v>42149</v>
      </c>
      <c r="C977" s="8" t="s">
        <v>46</v>
      </c>
      <c r="D977" s="8">
        <v>10009</v>
      </c>
      <c r="E977" s="8" t="str">
        <f>VLOOKUP($D977,'Customer Details'!$A$1:$F$17,4,FALSE)</f>
        <v>Salt Lake City</v>
      </c>
      <c r="F977" s="8" t="s">
        <v>716</v>
      </c>
      <c r="G977" s="8">
        <v>3</v>
      </c>
      <c r="H977" s="2" t="str">
        <f>VLOOKUP($D977,'Customer Details'!$A$1:$F$17,MATCH('Order SUmmary'!H$2,'Customer Details'!$A$1:$F$1,0),0)</f>
        <v>Godfrey Philips India Ltd.</v>
      </c>
      <c r="I977" s="2" t="str">
        <f>VLOOKUP($D977,'Customer Details'!$A$1:$F$17,4,0)</f>
        <v>Salt Lake City</v>
      </c>
      <c r="J977" s="2" t="str">
        <f>VLOOKUP($D977,'Customer Details'!$A$1:$F$17,6,0)</f>
        <v>84118</v>
      </c>
      <c r="K977" s="8" t="str">
        <f>VLOOKUP(VLOOKUP(D977,'Customer Details'!$A$1:$F$17,5,0),'Region INfo'!$A$1:$C$52,3,0)</f>
        <v xml:space="preserve">Pacific   </v>
      </c>
      <c r="L977" s="8" t="str">
        <f>INDEX(Product_List,MATCH($F977,'Product List'!$B$1:$B$299,0),MATCH('Order SUmmary'!L$2,'Product List'!$A$1:$E$1,0))</f>
        <v>Xerox 1954</v>
      </c>
      <c r="M977" s="8">
        <f>INDEX(Product_List,MATCH($F977,'Product List'!$B$1:$B$299,0),MATCH('Order SUmmary'!M$2,'Product List'!$A$1:$E$1,0))</f>
        <v>3575</v>
      </c>
      <c r="N977" s="8">
        <f>INDEX(Product_List,MATCH($F977,'Product List'!$B$1:$B$299,0),MATCH('Order SUmmary'!N$2,'Product List'!$A$1:$E$1,0))</f>
        <v>1937</v>
      </c>
      <c r="O977" s="8" t="str">
        <f>INDEX(Product_List,MATCH($F977,'Product List'!$B$1:$B$299,0),MATCH('Order SUmmary'!O$2,'Product List'!$A$1:$E$1,0))</f>
        <v>Paper</v>
      </c>
      <c r="P977" s="12">
        <f>HLOOKUP(C977,'Commission Criteria'!$A$2:$I$4,3,FALSE)</f>
        <v>8</v>
      </c>
      <c r="Q977" s="8">
        <f t="shared" si="46"/>
        <v>5811</v>
      </c>
      <c r="R977" s="8">
        <f t="shared" si="47"/>
        <v>10725</v>
      </c>
      <c r="S977" s="36">
        <f>VLOOKUP(R977,'Commission Criteria'!$L$3:$M$11,2,TRUE)</f>
        <v>0.03</v>
      </c>
      <c r="T977" s="36">
        <f>IF(P977&lt;5,VLOOKUP(R977,'Commission Criteria'!$L$3:$M$11,2,1),VLOOKUP('Order SUmmary'!R977,'Commission Criteria'!$P$3:$Q$11,2,1))</f>
        <v>0.02</v>
      </c>
      <c r="U977" s="36">
        <f>VLOOKUP(R977,IF(P977&lt;5,'Commission Criteria'!$L$3:$M$11,'Commission Criteria'!$P$3:$Q$11),2,1)</f>
        <v>0.02</v>
      </c>
      <c r="V977" s="8" t="s">
        <v>50</v>
      </c>
      <c r="W977" s="36">
        <f t="shared" ca="1" si="48"/>
        <v>0.01</v>
      </c>
      <c r="X977" s="8" t="str">
        <f>_xlfn.XLOOKUP(F977,'Product List'!$B$1:$B$299,'Product List'!$A$1:$A$299)</f>
        <v>Xerox 1954</v>
      </c>
      <c r="Y977" s="8"/>
      <c r="Z977" s="8" t="str" cm="1">
        <f t="array" ref="Z977:AD977">_xlfn.XLOOKUP(D977,'Customer Details'!$A$1:$A$17,'Customer Details'!$B$1:$F$17,"No such customer",0,1)</f>
        <v>Godfrey Philips India Ltd.</v>
      </c>
      <c r="AA977" s="8" t="str">
        <v>20501 Ania Ave #2</v>
      </c>
      <c r="AB977" s="8" t="str">
        <v>Salt Lake City</v>
      </c>
      <c r="AC977" s="8" t="str">
        <v>UT</v>
      </c>
      <c r="AD977" s="8" t="str">
        <v>84118</v>
      </c>
    </row>
    <row r="978" spans="1:30">
      <c r="A978" s="8" t="s">
        <v>979</v>
      </c>
      <c r="B978" s="19">
        <v>42151</v>
      </c>
      <c r="C978" s="8" t="s">
        <v>46</v>
      </c>
      <c r="D978" s="8">
        <v>10004</v>
      </c>
      <c r="E978" s="8" t="str">
        <f>VLOOKUP($D978,'Customer Details'!$A$1:$F$17,4,FALSE)</f>
        <v>New York</v>
      </c>
      <c r="F978" s="8" t="s">
        <v>303</v>
      </c>
      <c r="G978" s="8">
        <v>1</v>
      </c>
      <c r="H978" s="2" t="str">
        <f>VLOOKUP($D978,'Customer Details'!$A$1:$F$17,MATCH('Order SUmmary'!H$2,'Customer Details'!$A$1:$F$1,0),0)</f>
        <v>Lupin Ltd.</v>
      </c>
      <c r="I978" s="2" t="str">
        <f>VLOOKUP($D978,'Customer Details'!$A$1:$F$17,4,0)</f>
        <v>New York</v>
      </c>
      <c r="J978" s="2" t="str">
        <f>VLOOKUP($D978,'Customer Details'!$A$1:$F$17,6,0)</f>
        <v>10019</v>
      </c>
      <c r="K978" s="8" t="str">
        <f>VLOOKUP(VLOOKUP(D978,'Customer Details'!$A$1:$F$17,5,0),'Region INfo'!$A$1:$C$52,3,0)</f>
        <v xml:space="preserve">Northern </v>
      </c>
      <c r="L978" s="8" t="str">
        <f>INDEX(Product_List,MATCH($F978,'Product List'!$B$1:$B$299,0),MATCH('Order SUmmary'!L$2,'Product List'!$A$1:$E$1,0))</f>
        <v>Xerox 1885</v>
      </c>
      <c r="M978" s="8">
        <f>INDEX(Product_List,MATCH($F978,'Product List'!$B$1:$B$299,0),MATCH('Order SUmmary'!M$2,'Product List'!$A$1:$E$1,0))</f>
        <v>3096</v>
      </c>
      <c r="N978" s="8">
        <f>INDEX(Product_List,MATCH($F978,'Product List'!$B$1:$B$299,0),MATCH('Order SUmmary'!N$2,'Product List'!$A$1:$E$1,0))</f>
        <v>2065</v>
      </c>
      <c r="O978" s="8" t="str">
        <f>INDEX(Product_List,MATCH($F978,'Product List'!$B$1:$B$299,0),MATCH('Order SUmmary'!O$2,'Product List'!$A$1:$E$1,0))</f>
        <v>Paper</v>
      </c>
      <c r="P978" s="12">
        <f>HLOOKUP(C978,'Commission Criteria'!$A$2:$I$4,3,FALSE)</f>
        <v>8</v>
      </c>
      <c r="Q978" s="8">
        <f t="shared" si="46"/>
        <v>2065</v>
      </c>
      <c r="R978" s="8">
        <f t="shared" si="47"/>
        <v>3096</v>
      </c>
      <c r="S978" s="36">
        <f>VLOOKUP(R978,'Commission Criteria'!$L$3:$M$11,2,TRUE)</f>
        <v>0.01</v>
      </c>
      <c r="T978" s="36">
        <f>IF(P978&lt;5,VLOOKUP(R978,'Commission Criteria'!$L$3:$M$11,2,1),VLOOKUP('Order SUmmary'!R978,'Commission Criteria'!$P$3:$Q$11,2,1))</f>
        <v>0.02</v>
      </c>
      <c r="U978" s="36">
        <f>VLOOKUP(R978,IF(P978&lt;5,'Commission Criteria'!$L$3:$M$11,'Commission Criteria'!$P$3:$Q$11),2,1)</f>
        <v>0.02</v>
      </c>
      <c r="V978" s="8" t="s">
        <v>50</v>
      </c>
      <c r="W978" s="36">
        <f t="shared" ca="1" si="48"/>
        <v>0.02</v>
      </c>
      <c r="X978" s="8" t="str">
        <f>_xlfn.XLOOKUP(F978,'Product List'!$B$1:$B$299,'Product List'!$A$1:$A$299)</f>
        <v>Xerox 1885</v>
      </c>
      <c r="Y978" s="8"/>
      <c r="Z978" s="8" t="str" cm="1">
        <f t="array" ref="Z978:AD978">_xlfn.XLOOKUP(D978,'Customer Details'!$A$1:$A$17,'Customer Details'!$B$1:$F$17,"No such customer",0,1)</f>
        <v>Lupin Ltd.</v>
      </c>
      <c r="AA978" s="8" t="str">
        <v>Abbey Wood</v>
      </c>
      <c r="AB978" s="8" t="str">
        <v>New York</v>
      </c>
      <c r="AC978" s="8" t="str">
        <v>NY</v>
      </c>
      <c r="AD978" s="8" t="str">
        <v>10019</v>
      </c>
    </row>
    <row r="979" spans="1:30">
      <c r="A979" s="8" t="s">
        <v>980</v>
      </c>
      <c r="B979" s="19">
        <v>42151</v>
      </c>
      <c r="C979" s="8" t="s">
        <v>46</v>
      </c>
      <c r="D979" s="8">
        <v>10009</v>
      </c>
      <c r="E979" s="8" t="str">
        <f>VLOOKUP($D979,'Customer Details'!$A$1:$F$17,4,FALSE)</f>
        <v>Salt Lake City</v>
      </c>
      <c r="F979" s="8" t="s">
        <v>218</v>
      </c>
      <c r="G979" s="8">
        <v>1</v>
      </c>
      <c r="H979" s="2" t="str">
        <f>VLOOKUP($D979,'Customer Details'!$A$1:$F$17,MATCH('Order SUmmary'!H$2,'Customer Details'!$A$1:$F$1,0),0)</f>
        <v>Godfrey Philips India Ltd.</v>
      </c>
      <c r="I979" s="2" t="str">
        <f>VLOOKUP($D979,'Customer Details'!$A$1:$F$17,4,0)</f>
        <v>Salt Lake City</v>
      </c>
      <c r="J979" s="2" t="str">
        <f>VLOOKUP($D979,'Customer Details'!$A$1:$F$17,6,0)</f>
        <v>84118</v>
      </c>
      <c r="K979" s="8" t="str">
        <f>VLOOKUP(VLOOKUP(D979,'Customer Details'!$A$1:$F$17,5,0),'Region INfo'!$A$1:$C$52,3,0)</f>
        <v xml:space="preserve">Pacific   </v>
      </c>
      <c r="L979" s="8" t="str">
        <f>INDEX(Product_List,MATCH($F979,'Product List'!$B$1:$B$299,0),MATCH('Order SUmmary'!L$2,'Product List'!$A$1:$E$1,0))</f>
        <v>Avery 509</v>
      </c>
      <c r="M979" s="8">
        <f>INDEX(Product_List,MATCH($F979,'Product List'!$B$1:$B$299,0),MATCH('Order SUmmary'!M$2,'Product List'!$A$1:$E$1,0))</f>
        <v>3377</v>
      </c>
      <c r="N979" s="8">
        <f>INDEX(Product_List,MATCH($F979,'Product List'!$B$1:$B$299,0),MATCH('Order SUmmary'!N$2,'Product List'!$A$1:$E$1,0))</f>
        <v>2112</v>
      </c>
      <c r="O979" s="8" t="str">
        <f>INDEX(Product_List,MATCH($F979,'Product List'!$B$1:$B$299,0),MATCH('Order SUmmary'!O$2,'Product List'!$A$1:$E$1,0))</f>
        <v>Labels</v>
      </c>
      <c r="P979" s="12">
        <f>HLOOKUP(C979,'Commission Criteria'!$A$2:$I$4,3,FALSE)</f>
        <v>8</v>
      </c>
      <c r="Q979" s="8">
        <f t="shared" si="46"/>
        <v>2112</v>
      </c>
      <c r="R979" s="8">
        <f t="shared" si="47"/>
        <v>3377</v>
      </c>
      <c r="S979" s="36">
        <f>VLOOKUP(R979,'Commission Criteria'!$L$3:$M$11,2,TRUE)</f>
        <v>0.01</v>
      </c>
      <c r="T979" s="36">
        <f>IF(P979&lt;5,VLOOKUP(R979,'Commission Criteria'!$L$3:$M$11,2,1),VLOOKUP('Order SUmmary'!R979,'Commission Criteria'!$P$3:$Q$11,2,1))</f>
        <v>0.02</v>
      </c>
      <c r="U979" s="36">
        <f>VLOOKUP(R979,IF(P979&lt;5,'Commission Criteria'!$L$3:$M$11,'Commission Criteria'!$P$3:$Q$11),2,1)</f>
        <v>0.02</v>
      </c>
      <c r="V979" s="8" t="s">
        <v>50</v>
      </c>
      <c r="W979" s="36">
        <f t="shared" ca="1" si="48"/>
        <v>0.03</v>
      </c>
      <c r="X979" s="8" t="str">
        <f>_xlfn.XLOOKUP(F979,'Product List'!$B$1:$B$299,'Product List'!$A$1:$A$299)</f>
        <v>Avery 509</v>
      </c>
      <c r="Y979" s="8"/>
      <c r="Z979" s="8" t="str" cm="1">
        <f t="array" ref="Z979:AD979">_xlfn.XLOOKUP(D979,'Customer Details'!$A$1:$A$17,'Customer Details'!$B$1:$F$17,"No such customer",0,1)</f>
        <v>Godfrey Philips India Ltd.</v>
      </c>
      <c r="AA979" s="8" t="str">
        <v>20501 Ania Ave #2</v>
      </c>
      <c r="AB979" s="8" t="str">
        <v>Salt Lake City</v>
      </c>
      <c r="AC979" s="8" t="str">
        <v>UT</v>
      </c>
      <c r="AD979" s="8" t="str">
        <v>84118</v>
      </c>
    </row>
    <row r="980" spans="1:30">
      <c r="A980" s="8" t="s">
        <v>981</v>
      </c>
      <c r="B980" s="19">
        <v>42151</v>
      </c>
      <c r="C980" s="8" t="s">
        <v>51</v>
      </c>
      <c r="D980" s="8">
        <v>10002</v>
      </c>
      <c r="E980" s="8" t="str">
        <f>VLOOKUP($D980,'Customer Details'!$A$1:$F$17,4,FALSE)</f>
        <v>Omaha</v>
      </c>
      <c r="F980" s="8" t="s">
        <v>309</v>
      </c>
      <c r="G980" s="8">
        <v>2</v>
      </c>
      <c r="H980" s="2" t="str">
        <f>VLOOKUP($D980,'Customer Details'!$A$1:$F$17,MATCH('Order SUmmary'!H$2,'Customer Details'!$A$1:$F$1,0),0)</f>
        <v>Elder Pharmaceuticals</v>
      </c>
      <c r="I980" s="2" t="str">
        <f>VLOOKUP($D980,'Customer Details'!$A$1:$F$17,4,0)</f>
        <v>Omaha</v>
      </c>
      <c r="J980" s="2" t="str">
        <f>VLOOKUP($D980,'Customer Details'!$A$1:$F$17,6,0)</f>
        <v>68127</v>
      </c>
      <c r="K980" s="8" t="str">
        <f>VLOOKUP(VLOOKUP(D980,'Customer Details'!$A$1:$F$17,5,0),'Region INfo'!$A$1:$C$52,3,0)</f>
        <v>Western</v>
      </c>
      <c r="L980" s="8" t="str">
        <f>INDEX(Product_List,MATCH($F980,'Product List'!$B$1:$B$299,0),MATCH('Order SUmmary'!L$2,'Product List'!$A$1:$E$1,0))</f>
        <v>Xerox 1996</v>
      </c>
      <c r="M980" s="8">
        <f>INDEX(Product_List,MATCH($F980,'Product List'!$B$1:$B$299,0),MATCH('Order SUmmary'!M$2,'Product List'!$A$1:$E$1,0))</f>
        <v>4220</v>
      </c>
      <c r="N980" s="8">
        <f>INDEX(Product_List,MATCH($F980,'Product List'!$B$1:$B$299,0),MATCH('Order SUmmary'!N$2,'Product List'!$A$1:$E$1,0))</f>
        <v>1635</v>
      </c>
      <c r="O980" s="8" t="str">
        <f>INDEX(Product_List,MATCH($F980,'Product List'!$B$1:$B$299,0),MATCH('Order SUmmary'!O$2,'Product List'!$A$1:$E$1,0))</f>
        <v>Paper</v>
      </c>
      <c r="P980" s="12">
        <f>HLOOKUP(C980,'Commission Criteria'!$A$2:$I$4,3,FALSE)</f>
        <v>10</v>
      </c>
      <c r="Q980" s="8">
        <f t="shared" si="46"/>
        <v>3270</v>
      </c>
      <c r="R980" s="8">
        <f t="shared" si="47"/>
        <v>8440</v>
      </c>
      <c r="S980" s="36">
        <f>VLOOKUP(R980,'Commission Criteria'!$L$3:$M$11,2,TRUE)</f>
        <v>0.03</v>
      </c>
      <c r="T980" s="36">
        <f>IF(P980&lt;5,VLOOKUP(R980,'Commission Criteria'!$L$3:$M$11,2,1),VLOOKUP('Order SUmmary'!R980,'Commission Criteria'!$P$3:$Q$11,2,1))</f>
        <v>0.02</v>
      </c>
      <c r="U980" s="36">
        <f>VLOOKUP(R980,IF(P980&lt;5,'Commission Criteria'!$L$3:$M$11,'Commission Criteria'!$P$3:$Q$11),2,1)</f>
        <v>0.02</v>
      </c>
      <c r="V980" s="8" t="s">
        <v>29</v>
      </c>
      <c r="W980" s="36">
        <f t="shared" ca="1" si="48"/>
        <v>0.05</v>
      </c>
      <c r="X980" s="8" t="str">
        <f>_xlfn.XLOOKUP(F980,'Product List'!$B$1:$B$299,'Product List'!$A$1:$A$299)</f>
        <v>Xerox 1996</v>
      </c>
      <c r="Y980" s="8"/>
      <c r="Z980" s="8" t="str" cm="1">
        <f t="array" ref="Z980:AD980">_xlfn.XLOOKUP(D980,'Customer Details'!$A$1:$A$17,'Customer Details'!$B$1:$F$17,"No such customer",0,1)</f>
        <v>Elder Pharmaceuticals</v>
      </c>
      <c r="AA980" s="8" t="str">
        <v>57 Neriba Cres</v>
      </c>
      <c r="AB980" s="8" t="str">
        <v>Omaha</v>
      </c>
      <c r="AC980" s="8" t="str">
        <v>NE</v>
      </c>
      <c r="AD980" s="8" t="str">
        <v>68127</v>
      </c>
    </row>
    <row r="981" spans="1:30">
      <c r="A981" s="8" t="s">
        <v>981</v>
      </c>
      <c r="B981" s="19">
        <v>42151</v>
      </c>
      <c r="C981" s="8" t="s">
        <v>54</v>
      </c>
      <c r="D981" s="8">
        <v>10001</v>
      </c>
      <c r="E981" s="8" t="str">
        <f>VLOOKUP($D981,'Customer Details'!$A$1:$F$17,4,FALSE)</f>
        <v>New York</v>
      </c>
      <c r="F981" s="8" t="s">
        <v>123</v>
      </c>
      <c r="G981" s="8">
        <v>3</v>
      </c>
      <c r="H981" s="2" t="str">
        <f>VLOOKUP($D981,'Customer Details'!$A$1:$F$17,MATCH('Order SUmmary'!H$2,'Customer Details'!$A$1:$F$1,0),0)</f>
        <v>Chambal Fertilisers and Chemicals Ltd.</v>
      </c>
      <c r="I981" s="2" t="str">
        <f>VLOOKUP($D981,'Customer Details'!$A$1:$F$17,4,0)</f>
        <v>New York</v>
      </c>
      <c r="J981" s="2" t="str">
        <f>VLOOKUP($D981,'Customer Details'!$A$1:$F$17,6,0)</f>
        <v>10025</v>
      </c>
      <c r="K981" s="8" t="str">
        <f>VLOOKUP(VLOOKUP(D981,'Customer Details'!$A$1:$F$17,5,0),'Region INfo'!$A$1:$C$52,3,0)</f>
        <v xml:space="preserve">Northern </v>
      </c>
      <c r="L981" s="8" t="str">
        <f>INDEX(Product_List,MATCH($F981,'Product List'!$B$1:$B$299,0),MATCH('Order SUmmary'!L$2,'Product List'!$A$1:$E$1,0))</f>
        <v>Avery 503</v>
      </c>
      <c r="M981" s="8">
        <f>INDEX(Product_List,MATCH($F981,'Product List'!$B$1:$B$299,0),MATCH('Order SUmmary'!M$2,'Product List'!$A$1:$E$1,0))</f>
        <v>2820</v>
      </c>
      <c r="N981" s="8">
        <f>INDEX(Product_List,MATCH($F981,'Product List'!$B$1:$B$299,0),MATCH('Order SUmmary'!N$2,'Product List'!$A$1:$E$1,0))</f>
        <v>1504</v>
      </c>
      <c r="O981" s="8" t="str">
        <f>INDEX(Product_List,MATCH($F981,'Product List'!$B$1:$B$299,0),MATCH('Order SUmmary'!O$2,'Product List'!$A$1:$E$1,0))</f>
        <v>Labels</v>
      </c>
      <c r="P981" s="12">
        <f>HLOOKUP(C981,'Commission Criteria'!$A$2:$I$4,3,FALSE)</f>
        <v>3</v>
      </c>
      <c r="Q981" s="8">
        <f t="shared" si="46"/>
        <v>4512</v>
      </c>
      <c r="R981" s="8">
        <f t="shared" si="47"/>
        <v>8460</v>
      </c>
      <c r="S981" s="36">
        <f>VLOOKUP(R981,'Commission Criteria'!$L$3:$M$11,2,TRUE)</f>
        <v>0.03</v>
      </c>
      <c r="T981" s="36">
        <f>IF(P981&lt;5,VLOOKUP(R981,'Commission Criteria'!$L$3:$M$11,2,1),VLOOKUP('Order SUmmary'!R981,'Commission Criteria'!$P$3:$Q$11,2,1))</f>
        <v>0.03</v>
      </c>
      <c r="U981" s="36">
        <f>VLOOKUP(R981,IF(P981&lt;5,'Commission Criteria'!$L$3:$M$11,'Commission Criteria'!$P$3:$Q$11),2,1)</f>
        <v>0.03</v>
      </c>
      <c r="V981" s="8" t="s">
        <v>29</v>
      </c>
      <c r="W981" s="36">
        <f t="shared" ca="1" si="48"/>
        <v>0</v>
      </c>
      <c r="X981" s="8" t="str">
        <f>_xlfn.XLOOKUP(F981,'Product List'!$B$1:$B$299,'Product List'!$A$1:$A$299)</f>
        <v>Avery 503</v>
      </c>
      <c r="Y981" s="8"/>
      <c r="Z981" s="8" t="str" cm="1">
        <f t="array" ref="Z981:AD981">_xlfn.XLOOKUP(D981,'Customer Details'!$A$1:$A$17,'Customer Details'!$B$1:$F$17,"No such customer",0,1)</f>
        <v>Chambal Fertilisers and Chemicals Ltd.</v>
      </c>
      <c r="AA981" s="8" t="str">
        <v>4951 Indiana Ave.</v>
      </c>
      <c r="AB981" s="8" t="str">
        <v>New York</v>
      </c>
      <c r="AC981" s="8" t="str">
        <v>NY</v>
      </c>
      <c r="AD981" s="8" t="str">
        <v>10025</v>
      </c>
    </row>
    <row r="982" spans="1:30">
      <c r="A982" s="8" t="s">
        <v>980</v>
      </c>
      <c r="B982" s="19">
        <v>42151</v>
      </c>
      <c r="C982" s="8" t="s">
        <v>51</v>
      </c>
      <c r="D982" s="8">
        <v>10002</v>
      </c>
      <c r="E982" s="8" t="str">
        <f>VLOOKUP($D982,'Customer Details'!$A$1:$F$17,4,FALSE)</f>
        <v>Omaha</v>
      </c>
      <c r="F982" s="8" t="s">
        <v>128</v>
      </c>
      <c r="G982" s="8">
        <v>2</v>
      </c>
      <c r="H982" s="2" t="str">
        <f>VLOOKUP($D982,'Customer Details'!$A$1:$F$17,MATCH('Order SUmmary'!H$2,'Customer Details'!$A$1:$F$1,0),0)</f>
        <v>Elder Pharmaceuticals</v>
      </c>
      <c r="I982" s="2" t="str">
        <f>VLOOKUP($D982,'Customer Details'!$A$1:$F$17,4,0)</f>
        <v>Omaha</v>
      </c>
      <c r="J982" s="2" t="str">
        <f>VLOOKUP($D982,'Customer Details'!$A$1:$F$17,6,0)</f>
        <v>68127</v>
      </c>
      <c r="K982" s="8" t="str">
        <f>VLOOKUP(VLOOKUP(D982,'Customer Details'!$A$1:$F$17,5,0),'Region INfo'!$A$1:$C$52,3,0)</f>
        <v>Western</v>
      </c>
      <c r="L982" s="8" t="str">
        <f>INDEX(Product_List,MATCH($F982,'Product List'!$B$1:$B$299,0),MATCH('Order SUmmary'!L$2,'Product List'!$A$1:$E$1,0))</f>
        <v>Xerox 19</v>
      </c>
      <c r="M982" s="8">
        <f>INDEX(Product_List,MATCH($F982,'Product List'!$B$1:$B$299,0),MATCH('Order SUmmary'!M$2,'Product List'!$A$1:$E$1,0))</f>
        <v>4845</v>
      </c>
      <c r="N982" s="8">
        <f>INDEX(Product_List,MATCH($F982,'Product List'!$B$1:$B$299,0),MATCH('Order SUmmary'!N$2,'Product List'!$A$1:$E$1,0))</f>
        <v>1433</v>
      </c>
      <c r="O982" s="8" t="str">
        <f>INDEX(Product_List,MATCH($F982,'Product List'!$B$1:$B$299,0),MATCH('Order SUmmary'!O$2,'Product List'!$A$1:$E$1,0))</f>
        <v>Paper</v>
      </c>
      <c r="P982" s="12">
        <f>HLOOKUP(C982,'Commission Criteria'!$A$2:$I$4,3,FALSE)</f>
        <v>10</v>
      </c>
      <c r="Q982" s="8">
        <f t="shared" si="46"/>
        <v>2866</v>
      </c>
      <c r="R982" s="8">
        <f t="shared" si="47"/>
        <v>9690</v>
      </c>
      <c r="S982" s="36">
        <f>VLOOKUP(R982,'Commission Criteria'!$L$3:$M$11,2,TRUE)</f>
        <v>0.03</v>
      </c>
      <c r="T982" s="36">
        <f>IF(P982&lt;5,VLOOKUP(R982,'Commission Criteria'!$L$3:$M$11,2,1),VLOOKUP('Order SUmmary'!R982,'Commission Criteria'!$P$3:$Q$11,2,1))</f>
        <v>0.02</v>
      </c>
      <c r="U982" s="36">
        <f>VLOOKUP(R982,IF(P982&lt;5,'Commission Criteria'!$L$3:$M$11,'Commission Criteria'!$P$3:$Q$11),2,1)</f>
        <v>0.02</v>
      </c>
      <c r="V982" s="8" t="s">
        <v>50</v>
      </c>
      <c r="W982" s="36">
        <f t="shared" ca="1" si="48"/>
        <v>0.05</v>
      </c>
      <c r="X982" s="8" t="str">
        <f>_xlfn.XLOOKUP(F982,'Product List'!$B$1:$B$299,'Product List'!$A$1:$A$299)</f>
        <v>Xerox 19</v>
      </c>
      <c r="Y982" s="8"/>
      <c r="Z982" s="8" t="str" cm="1">
        <f t="array" ref="Z982:AD982">_xlfn.XLOOKUP(D982,'Customer Details'!$A$1:$A$17,'Customer Details'!$B$1:$F$17,"No such customer",0,1)</f>
        <v>Elder Pharmaceuticals</v>
      </c>
      <c r="AA982" s="8" t="str">
        <v>57 Neriba Cres</v>
      </c>
      <c r="AB982" s="8" t="str">
        <v>Omaha</v>
      </c>
      <c r="AC982" s="8" t="str">
        <v>NE</v>
      </c>
      <c r="AD982" s="8" t="str">
        <v>68127</v>
      </c>
    </row>
    <row r="983" spans="1:30">
      <c r="A983" s="8" t="s">
        <v>982</v>
      </c>
      <c r="B983" s="19">
        <v>42152</v>
      </c>
      <c r="C983" s="8" t="s">
        <v>33</v>
      </c>
      <c r="D983" s="8">
        <v>10001</v>
      </c>
      <c r="E983" s="8" t="str">
        <f>VLOOKUP($D983,'Customer Details'!$A$1:$F$17,4,FALSE)</f>
        <v>New York</v>
      </c>
      <c r="F983" s="8" t="s">
        <v>58</v>
      </c>
      <c r="G983" s="8">
        <v>1</v>
      </c>
      <c r="H983" s="2" t="str">
        <f>VLOOKUP($D983,'Customer Details'!$A$1:$F$17,MATCH('Order SUmmary'!H$2,'Customer Details'!$A$1:$F$1,0),0)</f>
        <v>Chambal Fertilisers and Chemicals Ltd.</v>
      </c>
      <c r="I983" s="2" t="str">
        <f>VLOOKUP($D983,'Customer Details'!$A$1:$F$17,4,0)</f>
        <v>New York</v>
      </c>
      <c r="J983" s="2" t="str">
        <f>VLOOKUP($D983,'Customer Details'!$A$1:$F$17,6,0)</f>
        <v>10025</v>
      </c>
      <c r="K983" s="8" t="str">
        <f>VLOOKUP(VLOOKUP(D983,'Customer Details'!$A$1:$F$17,5,0),'Region INfo'!$A$1:$C$52,3,0)</f>
        <v xml:space="preserve">Northern </v>
      </c>
      <c r="L983" s="8" t="str">
        <f>INDEX(Product_List,MATCH($F983,'Product List'!$B$1:$B$299,0),MATCH('Order SUmmary'!L$2,'Product List'!$A$1:$E$1,0))</f>
        <v>Xiaomi Mi3</v>
      </c>
      <c r="M983" s="8">
        <f>INDEX(Product_List,MATCH($F983,'Product List'!$B$1:$B$299,0),MATCH('Order SUmmary'!M$2,'Product List'!$A$1:$E$1,0))</f>
        <v>4404</v>
      </c>
      <c r="N983" s="8">
        <f>INDEX(Product_List,MATCH($F983,'Product List'!$B$1:$B$299,0),MATCH('Order SUmmary'!N$2,'Product List'!$A$1:$E$1,0))</f>
        <v>1517</v>
      </c>
      <c r="O983" s="8" t="str">
        <f>INDEX(Product_List,MATCH($F983,'Product List'!$B$1:$B$299,0),MATCH('Order SUmmary'!O$2,'Product List'!$A$1:$E$1,0))</f>
        <v>Phones</v>
      </c>
      <c r="P983" s="12">
        <f>HLOOKUP(C983,'Commission Criteria'!$A$2:$I$4,3,FALSE)</f>
        <v>1</v>
      </c>
      <c r="Q983" s="8">
        <f t="shared" si="46"/>
        <v>1517</v>
      </c>
      <c r="R983" s="8">
        <f t="shared" si="47"/>
        <v>4404</v>
      </c>
      <c r="S983" s="36">
        <f>VLOOKUP(R983,'Commission Criteria'!$L$3:$M$11,2,TRUE)</f>
        <v>0.01</v>
      </c>
      <c r="T983" s="36">
        <f>IF(P983&lt;5,VLOOKUP(R983,'Commission Criteria'!$L$3:$M$11,2,1),VLOOKUP('Order SUmmary'!R983,'Commission Criteria'!$P$3:$Q$11,2,1))</f>
        <v>0.01</v>
      </c>
      <c r="U983" s="36">
        <f>VLOOKUP(R983,IF(P983&lt;5,'Commission Criteria'!$L$3:$M$11,'Commission Criteria'!$P$3:$Q$11),2,1)</f>
        <v>0.01</v>
      </c>
      <c r="V983" s="8" t="s">
        <v>29</v>
      </c>
      <c r="W983" s="36">
        <f t="shared" ca="1" si="48"/>
        <v>0</v>
      </c>
      <c r="X983" s="8" t="str">
        <f>_xlfn.XLOOKUP(F983,'Product List'!$B$1:$B$299,'Product List'!$A$1:$A$299)</f>
        <v>Xiaomi Mi3</v>
      </c>
      <c r="Y983" s="8"/>
      <c r="Z983" s="8" t="str" cm="1">
        <f t="array" ref="Z983:AD983">_xlfn.XLOOKUP(D983,'Customer Details'!$A$1:$A$17,'Customer Details'!$B$1:$F$17,"No such customer",0,1)</f>
        <v>Chambal Fertilisers and Chemicals Ltd.</v>
      </c>
      <c r="AA983" s="8" t="str">
        <v>4951 Indiana Ave.</v>
      </c>
      <c r="AB983" s="8" t="str">
        <v>New York</v>
      </c>
      <c r="AC983" s="8" t="str">
        <v>NY</v>
      </c>
      <c r="AD983" s="8" t="str">
        <v>10025</v>
      </c>
    </row>
    <row r="984" spans="1:30">
      <c r="A984" s="8" t="s">
        <v>983</v>
      </c>
      <c r="B984" s="19">
        <v>42152</v>
      </c>
      <c r="C984" s="8" t="s">
        <v>46</v>
      </c>
      <c r="D984" s="8">
        <v>10014</v>
      </c>
      <c r="E984" s="8" t="str">
        <f>VLOOKUP($D984,'Customer Details'!$A$1:$F$17,4,FALSE)</f>
        <v>Honolulu</v>
      </c>
      <c r="F984" s="8" t="s">
        <v>78</v>
      </c>
      <c r="G984" s="8">
        <v>2</v>
      </c>
      <c r="H984" s="2" t="str">
        <f>VLOOKUP($D984,'Customer Details'!$A$1:$F$17,MATCH('Order SUmmary'!H$2,'Customer Details'!$A$1:$F$1,0),0)</f>
        <v>Hindusthan National Glass &amp; Industries Ltd.</v>
      </c>
      <c r="I984" s="2" t="str">
        <f>VLOOKUP($D984,'Customer Details'!$A$1:$F$17,4,0)</f>
        <v>Honolulu</v>
      </c>
      <c r="J984" s="2" t="str">
        <f>VLOOKUP($D984,'Customer Details'!$A$1:$F$17,6,0)</f>
        <v>96825</v>
      </c>
      <c r="K984" s="8" t="str">
        <f>VLOOKUP(VLOOKUP(D984,'Customer Details'!$A$1:$F$17,5,0),'Region INfo'!$A$1:$C$52,3,0)</f>
        <v xml:space="preserve">Pacific   </v>
      </c>
      <c r="L984" s="8" t="str">
        <f>INDEX(Product_List,MATCH($F984,'Product List'!$B$1:$B$299,0),MATCH('Order SUmmary'!L$2,'Product List'!$A$1:$E$1,0))</f>
        <v>Xerox 199</v>
      </c>
      <c r="M984" s="8">
        <f>INDEX(Product_List,MATCH($F984,'Product List'!$B$1:$B$299,0),MATCH('Order SUmmary'!M$2,'Product List'!$A$1:$E$1,0))</f>
        <v>2523</v>
      </c>
      <c r="N984" s="8">
        <f>INDEX(Product_List,MATCH($F984,'Product List'!$B$1:$B$299,0),MATCH('Order SUmmary'!N$2,'Product List'!$A$1:$E$1,0))</f>
        <v>1665</v>
      </c>
      <c r="O984" s="8" t="str">
        <f>INDEX(Product_List,MATCH($F984,'Product List'!$B$1:$B$299,0),MATCH('Order SUmmary'!O$2,'Product List'!$A$1:$E$1,0))</f>
        <v>Paper</v>
      </c>
      <c r="P984" s="12">
        <f>HLOOKUP(C984,'Commission Criteria'!$A$2:$I$4,3,FALSE)</f>
        <v>8</v>
      </c>
      <c r="Q984" s="8">
        <f t="shared" si="46"/>
        <v>3330</v>
      </c>
      <c r="R984" s="8">
        <f t="shared" si="47"/>
        <v>5046</v>
      </c>
      <c r="S984" s="36">
        <f>VLOOKUP(R984,'Commission Criteria'!$L$3:$M$11,2,TRUE)</f>
        <v>0.03</v>
      </c>
      <c r="T984" s="36">
        <f>IF(P984&lt;5,VLOOKUP(R984,'Commission Criteria'!$L$3:$M$11,2,1),VLOOKUP('Order SUmmary'!R984,'Commission Criteria'!$P$3:$Q$11,2,1))</f>
        <v>0.02</v>
      </c>
      <c r="U984" s="36">
        <f>VLOOKUP(R984,IF(P984&lt;5,'Commission Criteria'!$L$3:$M$11,'Commission Criteria'!$P$3:$Q$11),2,1)</f>
        <v>0.02</v>
      </c>
      <c r="V984" s="8" t="s">
        <v>50</v>
      </c>
      <c r="W984" s="36">
        <f t="shared" ca="1" si="48"/>
        <v>0.01</v>
      </c>
      <c r="X984" s="8" t="str">
        <f>_xlfn.XLOOKUP(F984,'Product List'!$B$1:$B$299,'Product List'!$A$1:$A$299)</f>
        <v>Xerox 199</v>
      </c>
      <c r="Y984" s="8"/>
      <c r="Z984" s="8" t="str" cm="1">
        <f t="array" ref="Z984:AD984">_xlfn.XLOOKUP(D984,'Customer Details'!$A$1:$A$17,'Customer Details'!$B$1:$F$17,"No such customer",0,1)</f>
        <v>Hindusthan National Glass &amp; Industries Ltd.</v>
      </c>
      <c r="AA984" s="8" t="str">
        <v>11 Cathy St.</v>
      </c>
      <c r="AB984" s="8" t="str">
        <v>Honolulu</v>
      </c>
      <c r="AC984" s="8" t="str">
        <v>HI</v>
      </c>
      <c r="AD984" s="8" t="str">
        <v>96825</v>
      </c>
    </row>
    <row r="985" spans="1:30">
      <c r="A985" s="8" t="s">
        <v>982</v>
      </c>
      <c r="B985" s="19">
        <v>42152</v>
      </c>
      <c r="C985" s="8" t="s">
        <v>44</v>
      </c>
      <c r="D985" s="8">
        <v>10003</v>
      </c>
      <c r="E985" s="8" t="str">
        <f>VLOOKUP($D985,'Customer Details'!$A$1:$F$17,4,FALSE)</f>
        <v>Miami</v>
      </c>
      <c r="F985" s="8" t="s">
        <v>605</v>
      </c>
      <c r="G985" s="8">
        <v>2</v>
      </c>
      <c r="H985" s="2" t="str">
        <f>VLOOKUP($D985,'Customer Details'!$A$1:$F$17,MATCH('Order SUmmary'!H$2,'Customer Details'!$A$1:$F$1,0),0)</f>
        <v>Honeywell Automation</v>
      </c>
      <c r="I985" s="2" t="str">
        <f>VLOOKUP($D985,'Customer Details'!$A$1:$F$17,4,0)</f>
        <v>Miami</v>
      </c>
      <c r="J985" s="2" t="str">
        <f>VLOOKUP($D985,'Customer Details'!$A$1:$F$17,6,0)</f>
        <v>33732</v>
      </c>
      <c r="K985" s="8" t="str">
        <f>VLOOKUP(VLOOKUP(D985,'Customer Details'!$A$1:$F$17,5,0),'Region INfo'!$A$1:$C$52,3,0)</f>
        <v>Southern</v>
      </c>
      <c r="L985" s="8" t="str">
        <f>INDEX(Product_List,MATCH($F985,'Product List'!$B$1:$B$299,0),MATCH('Order SUmmary'!L$2,'Product List'!$A$1:$E$1,0))</f>
        <v>Pyle PMP37LED</v>
      </c>
      <c r="M985" s="8">
        <f>INDEX(Product_List,MATCH($F985,'Product List'!$B$1:$B$299,0),MATCH('Order SUmmary'!M$2,'Product List'!$A$1:$E$1,0))</f>
        <v>2808</v>
      </c>
      <c r="N985" s="8">
        <f>INDEX(Product_List,MATCH($F985,'Product List'!$B$1:$B$299,0),MATCH('Order SUmmary'!N$2,'Product List'!$A$1:$E$1,0))</f>
        <v>1759</v>
      </c>
      <c r="O985" s="8" t="str">
        <f>INDEX(Product_List,MATCH($F985,'Product List'!$B$1:$B$299,0),MATCH('Order SUmmary'!O$2,'Product List'!$A$1:$E$1,0))</f>
        <v>Phones</v>
      </c>
      <c r="P985" s="12">
        <f>HLOOKUP(C985,'Commission Criteria'!$A$2:$I$4,3,FALSE)</f>
        <v>4</v>
      </c>
      <c r="Q985" s="8">
        <f t="shared" si="46"/>
        <v>3518</v>
      </c>
      <c r="R985" s="8">
        <f t="shared" si="47"/>
        <v>5616</v>
      </c>
      <c r="S985" s="36">
        <f>VLOOKUP(R985,'Commission Criteria'!$L$3:$M$11,2,TRUE)</f>
        <v>0.03</v>
      </c>
      <c r="T985" s="36">
        <f>IF(P985&lt;5,VLOOKUP(R985,'Commission Criteria'!$L$3:$M$11,2,1),VLOOKUP('Order SUmmary'!R985,'Commission Criteria'!$P$3:$Q$11,2,1))</f>
        <v>0.03</v>
      </c>
      <c r="U985" s="36">
        <f>VLOOKUP(R985,IF(P985&lt;5,'Commission Criteria'!$L$3:$M$11,'Commission Criteria'!$P$3:$Q$11),2,1)</f>
        <v>0.03</v>
      </c>
      <c r="V985" s="8" t="s">
        <v>29</v>
      </c>
      <c r="W985" s="36">
        <f t="shared" ca="1" si="48"/>
        <v>0</v>
      </c>
      <c r="X985" s="8" t="str">
        <f>_xlfn.XLOOKUP(F985,'Product List'!$B$1:$B$299,'Product List'!$A$1:$A$299)</f>
        <v>Pyle PMP37LED</v>
      </c>
      <c r="Y985" s="8"/>
      <c r="Z985" s="8" t="str" cm="1">
        <f t="array" ref="Z985:AD985">_xlfn.XLOOKUP(D985,'Customer Details'!$A$1:$A$17,'Customer Details'!$B$1:$F$17,"No such customer",0,1)</f>
        <v>Honeywell Automation</v>
      </c>
      <c r="AA985" s="8" t="str">
        <v>1272 Harbor Road</v>
      </c>
      <c r="AB985" s="8" t="str">
        <v>Miami</v>
      </c>
      <c r="AC985" s="8" t="str">
        <v>FL</v>
      </c>
      <c r="AD985" s="8" t="str">
        <v>33732</v>
      </c>
    </row>
    <row r="986" spans="1:30">
      <c r="A986" s="8" t="s">
        <v>982</v>
      </c>
      <c r="B986" s="19">
        <v>42152</v>
      </c>
      <c r="C986" s="8" t="s">
        <v>66</v>
      </c>
      <c r="D986" s="8">
        <v>10009</v>
      </c>
      <c r="E986" s="8" t="str">
        <f>VLOOKUP($D986,'Customer Details'!$A$1:$F$17,4,FALSE)</f>
        <v>Salt Lake City</v>
      </c>
      <c r="F986" s="8" t="s">
        <v>842</v>
      </c>
      <c r="G986" s="8">
        <v>2</v>
      </c>
      <c r="H986" s="2" t="str">
        <f>VLOOKUP($D986,'Customer Details'!$A$1:$F$17,MATCH('Order SUmmary'!H$2,'Customer Details'!$A$1:$F$1,0),0)</f>
        <v>Godfrey Philips India Ltd.</v>
      </c>
      <c r="I986" s="2" t="str">
        <f>VLOOKUP($D986,'Customer Details'!$A$1:$F$17,4,0)</f>
        <v>Salt Lake City</v>
      </c>
      <c r="J986" s="2" t="str">
        <f>VLOOKUP($D986,'Customer Details'!$A$1:$F$17,6,0)</f>
        <v>84118</v>
      </c>
      <c r="K986" s="8" t="str">
        <f>VLOOKUP(VLOOKUP(D986,'Customer Details'!$A$1:$F$17,5,0),'Region INfo'!$A$1:$C$52,3,0)</f>
        <v xml:space="preserve">Pacific   </v>
      </c>
      <c r="L986" s="8" t="str">
        <f>INDEX(Product_List,MATCH($F986,'Product List'!$B$1:$B$299,0),MATCH('Order SUmmary'!L$2,'Product List'!$A$1:$E$1,0))</f>
        <v>Xerox 1933</v>
      </c>
      <c r="M986" s="8">
        <f>INDEX(Product_List,MATCH($F986,'Product List'!$B$1:$B$299,0),MATCH('Order SUmmary'!M$2,'Product List'!$A$1:$E$1,0))</f>
        <v>3448</v>
      </c>
      <c r="N986" s="8">
        <f>INDEX(Product_List,MATCH($F986,'Product List'!$B$1:$B$299,0),MATCH('Order SUmmary'!N$2,'Product List'!$A$1:$E$1,0))</f>
        <v>1219</v>
      </c>
      <c r="O986" s="8" t="str">
        <f>INDEX(Product_List,MATCH($F986,'Product List'!$B$1:$B$299,0),MATCH('Order SUmmary'!O$2,'Product List'!$A$1:$E$1,0))</f>
        <v>Paper</v>
      </c>
      <c r="P986" s="12">
        <f>HLOOKUP(C986,'Commission Criteria'!$A$2:$I$4,3,FALSE)</f>
        <v>5</v>
      </c>
      <c r="Q986" s="8">
        <f t="shared" si="46"/>
        <v>2438</v>
      </c>
      <c r="R986" s="8">
        <f t="shared" si="47"/>
        <v>6896</v>
      </c>
      <c r="S986" s="36">
        <f>VLOOKUP(R986,'Commission Criteria'!$L$3:$M$11,2,TRUE)</f>
        <v>0.03</v>
      </c>
      <c r="T986" s="36">
        <f>IF(P986&lt;5,VLOOKUP(R986,'Commission Criteria'!$L$3:$M$11,2,1),VLOOKUP('Order SUmmary'!R986,'Commission Criteria'!$P$3:$Q$11,2,1))</f>
        <v>0.02</v>
      </c>
      <c r="U986" s="36">
        <f>VLOOKUP(R986,IF(P986&lt;5,'Commission Criteria'!$L$3:$M$11,'Commission Criteria'!$P$3:$Q$11),2,1)</f>
        <v>0.02</v>
      </c>
      <c r="V986" s="8" t="s">
        <v>29</v>
      </c>
      <c r="W986" s="36">
        <f t="shared" ca="1" si="48"/>
        <v>0</v>
      </c>
      <c r="X986" s="8" t="str">
        <f>_xlfn.XLOOKUP(F986,'Product List'!$B$1:$B$299,'Product List'!$A$1:$A$299)</f>
        <v>Xerox 1933</v>
      </c>
      <c r="Y986" s="8"/>
      <c r="Z986" s="8" t="str" cm="1">
        <f t="array" ref="Z986:AD986">_xlfn.XLOOKUP(D986,'Customer Details'!$A$1:$A$17,'Customer Details'!$B$1:$F$17,"No such customer",0,1)</f>
        <v>Godfrey Philips India Ltd.</v>
      </c>
      <c r="AA986" s="8" t="str">
        <v>20501 Ania Ave #2</v>
      </c>
      <c r="AB986" s="8" t="str">
        <v>Salt Lake City</v>
      </c>
      <c r="AC986" s="8" t="str">
        <v>UT</v>
      </c>
      <c r="AD986" s="8" t="str">
        <v>84118</v>
      </c>
    </row>
    <row r="987" spans="1:30">
      <c r="A987" s="8" t="s">
        <v>984</v>
      </c>
      <c r="B987" s="19">
        <v>42153</v>
      </c>
      <c r="C987" s="8" t="s">
        <v>33</v>
      </c>
      <c r="D987" s="8">
        <v>10012</v>
      </c>
      <c r="E987" s="8" t="str">
        <f>VLOOKUP($D987,'Customer Details'!$A$1:$F$17,4,FALSE)</f>
        <v>Santa Barbara</v>
      </c>
      <c r="F987" s="8" t="s">
        <v>370</v>
      </c>
      <c r="G987" s="8">
        <v>1</v>
      </c>
      <c r="H987" s="2" t="str">
        <f>VLOOKUP($D987,'Customer Details'!$A$1:$F$17,MATCH('Order SUmmary'!H$2,'Customer Details'!$A$1:$F$1,0),0)</f>
        <v>Dynamatic Technologies Ltd.</v>
      </c>
      <c r="I987" s="2" t="str">
        <f>VLOOKUP($D987,'Customer Details'!$A$1:$F$17,4,0)</f>
        <v>Santa Barbara</v>
      </c>
      <c r="J987" s="2" t="str">
        <f>VLOOKUP($D987,'Customer Details'!$A$1:$F$17,6,0)</f>
        <v>93110</v>
      </c>
      <c r="K987" s="8" t="str">
        <f>VLOOKUP(VLOOKUP(D987,'Customer Details'!$A$1:$F$17,5,0),'Region INfo'!$A$1:$C$52,3,0)</f>
        <v xml:space="preserve">Pacific   </v>
      </c>
      <c r="L987" s="8" t="str">
        <f>INDEX(Product_List,MATCH($F987,'Product List'!$B$1:$B$299,0),MATCH('Order SUmmary'!L$2,'Product List'!$A$1:$E$1,0))</f>
        <v>Avery 496</v>
      </c>
      <c r="M987" s="8">
        <f>INDEX(Product_List,MATCH($F987,'Product List'!$B$1:$B$299,0),MATCH('Order SUmmary'!M$2,'Product List'!$A$1:$E$1,0))</f>
        <v>2902</v>
      </c>
      <c r="N987" s="8">
        <f>INDEX(Product_List,MATCH($F987,'Product List'!$B$1:$B$299,0),MATCH('Order SUmmary'!N$2,'Product List'!$A$1:$E$1,0))</f>
        <v>1633</v>
      </c>
      <c r="O987" s="8" t="str">
        <f>INDEX(Product_List,MATCH($F987,'Product List'!$B$1:$B$299,0),MATCH('Order SUmmary'!O$2,'Product List'!$A$1:$E$1,0))</f>
        <v>Labels</v>
      </c>
      <c r="P987" s="12">
        <f>HLOOKUP(C987,'Commission Criteria'!$A$2:$I$4,3,FALSE)</f>
        <v>1</v>
      </c>
      <c r="Q987" s="8">
        <f t="shared" si="46"/>
        <v>1633</v>
      </c>
      <c r="R987" s="8">
        <f t="shared" si="47"/>
        <v>2902</v>
      </c>
      <c r="S987" s="36">
        <f>VLOOKUP(R987,'Commission Criteria'!$L$3:$M$11,2,TRUE)</f>
        <v>0.01</v>
      </c>
      <c r="T987" s="36">
        <f>IF(P987&lt;5,VLOOKUP(R987,'Commission Criteria'!$L$3:$M$11,2,1),VLOOKUP('Order SUmmary'!R987,'Commission Criteria'!$P$3:$Q$11,2,1))</f>
        <v>0.01</v>
      </c>
      <c r="U987" s="36">
        <f>VLOOKUP(R987,IF(P987&lt;5,'Commission Criteria'!$L$3:$M$11,'Commission Criteria'!$P$3:$Q$11),2,1)</f>
        <v>0.01</v>
      </c>
      <c r="V987" s="8" t="s">
        <v>40</v>
      </c>
      <c r="W987" s="36">
        <f t="shared" ca="1" si="48"/>
        <v>0.01</v>
      </c>
      <c r="X987" s="8" t="str">
        <f>_xlfn.XLOOKUP(F987,'Product List'!$B$1:$B$299,'Product List'!$A$1:$A$299)</f>
        <v>Avery 496</v>
      </c>
      <c r="Y987" s="8"/>
      <c r="Z987" s="8" t="str" cm="1">
        <f t="array" ref="Z987:AD987">_xlfn.XLOOKUP(D987,'Customer Details'!$A$1:$A$17,'Customer Details'!$B$1:$F$17,"No such customer",0,1)</f>
        <v>Dynamatic Technologies Ltd.</v>
      </c>
      <c r="AA987" s="8" t="str">
        <v>402 Pinkster Lane</v>
      </c>
      <c r="AB987" s="8" t="str">
        <v>Santa Barbara</v>
      </c>
      <c r="AC987" s="8" t="str">
        <v>CA</v>
      </c>
      <c r="AD987" s="8" t="str">
        <v>93110</v>
      </c>
    </row>
    <row r="988" spans="1:30">
      <c r="A988" s="8" t="s">
        <v>985</v>
      </c>
      <c r="B988" s="19">
        <v>42153</v>
      </c>
      <c r="C988" s="8" t="s">
        <v>36</v>
      </c>
      <c r="D988" s="8">
        <v>10003</v>
      </c>
      <c r="E988" s="8" t="str">
        <f>VLOOKUP($D988,'Customer Details'!$A$1:$F$17,4,FALSE)</f>
        <v>Miami</v>
      </c>
      <c r="F988" s="8" t="s">
        <v>654</v>
      </c>
      <c r="G988" s="8">
        <v>1</v>
      </c>
      <c r="H988" s="2" t="str">
        <f>VLOOKUP($D988,'Customer Details'!$A$1:$F$17,MATCH('Order SUmmary'!H$2,'Customer Details'!$A$1:$F$1,0),0)</f>
        <v>Honeywell Automation</v>
      </c>
      <c r="I988" s="2" t="str">
        <f>VLOOKUP($D988,'Customer Details'!$A$1:$F$17,4,0)</f>
        <v>Miami</v>
      </c>
      <c r="J988" s="2" t="str">
        <f>VLOOKUP($D988,'Customer Details'!$A$1:$F$17,6,0)</f>
        <v>33732</v>
      </c>
      <c r="K988" s="8" t="str">
        <f>VLOOKUP(VLOOKUP(D988,'Customer Details'!$A$1:$F$17,5,0),'Region INfo'!$A$1:$C$52,3,0)</f>
        <v>Southern</v>
      </c>
      <c r="L988" s="8" t="str">
        <f>INDEX(Product_List,MATCH($F988,'Product List'!$B$1:$B$299,0),MATCH('Order SUmmary'!L$2,'Product List'!$A$1:$E$1,0))</f>
        <v>Xerox 1895</v>
      </c>
      <c r="M988" s="8">
        <f>INDEX(Product_List,MATCH($F988,'Product List'!$B$1:$B$299,0),MATCH('Order SUmmary'!M$2,'Product List'!$A$1:$E$1,0))</f>
        <v>3282</v>
      </c>
      <c r="N988" s="8">
        <f>INDEX(Product_List,MATCH($F988,'Product List'!$B$1:$B$299,0),MATCH('Order SUmmary'!N$2,'Product List'!$A$1:$E$1,0))</f>
        <v>1376</v>
      </c>
      <c r="O988" s="8" t="str">
        <f>INDEX(Product_List,MATCH($F988,'Product List'!$B$1:$B$299,0),MATCH('Order SUmmary'!O$2,'Product List'!$A$1:$E$1,0))</f>
        <v>Paper</v>
      </c>
      <c r="P988" s="12">
        <f>HLOOKUP(C988,'Commission Criteria'!$A$2:$I$4,3,FALSE)</f>
        <v>6</v>
      </c>
      <c r="Q988" s="8">
        <f t="shared" si="46"/>
        <v>1376</v>
      </c>
      <c r="R988" s="8">
        <f t="shared" si="47"/>
        <v>3282</v>
      </c>
      <c r="S988" s="36">
        <f>VLOOKUP(R988,'Commission Criteria'!$L$3:$M$11,2,TRUE)</f>
        <v>0.01</v>
      </c>
      <c r="T988" s="36">
        <f>IF(P988&lt;5,VLOOKUP(R988,'Commission Criteria'!$L$3:$M$11,2,1),VLOOKUP('Order SUmmary'!R988,'Commission Criteria'!$P$3:$Q$11,2,1))</f>
        <v>0.02</v>
      </c>
      <c r="U988" s="36">
        <f>VLOOKUP(R988,IF(P988&lt;5,'Commission Criteria'!$L$3:$M$11,'Commission Criteria'!$P$3:$Q$11),2,1)</f>
        <v>0.02</v>
      </c>
      <c r="V988" s="8" t="s">
        <v>43</v>
      </c>
      <c r="W988" s="36">
        <f t="shared" ca="1" si="48"/>
        <v>0.04</v>
      </c>
      <c r="X988" s="8" t="str">
        <f>_xlfn.XLOOKUP(F988,'Product List'!$B$1:$B$299,'Product List'!$A$1:$A$299)</f>
        <v>Xerox 1895</v>
      </c>
      <c r="Y988" s="8"/>
      <c r="Z988" s="8" t="str" cm="1">
        <f t="array" ref="Z988:AD988">_xlfn.XLOOKUP(D988,'Customer Details'!$A$1:$A$17,'Customer Details'!$B$1:$F$17,"No such customer",0,1)</f>
        <v>Honeywell Automation</v>
      </c>
      <c r="AA988" s="8" t="str">
        <v>1272 Harbor Road</v>
      </c>
      <c r="AB988" s="8" t="str">
        <v>Miami</v>
      </c>
      <c r="AC988" s="8" t="str">
        <v>FL</v>
      </c>
      <c r="AD988" s="8" t="str">
        <v>33732</v>
      </c>
    </row>
    <row r="989" spans="1:30">
      <c r="A989" s="8" t="s">
        <v>984</v>
      </c>
      <c r="B989" s="19">
        <v>42153</v>
      </c>
      <c r="C989" s="8" t="s">
        <v>44</v>
      </c>
      <c r="D989" s="8">
        <v>10001</v>
      </c>
      <c r="E989" s="8" t="str">
        <f>VLOOKUP($D989,'Customer Details'!$A$1:$F$17,4,FALSE)</f>
        <v>New York</v>
      </c>
      <c r="F989" s="8" t="s">
        <v>285</v>
      </c>
      <c r="G989" s="8">
        <v>3</v>
      </c>
      <c r="H989" s="2" t="str">
        <f>VLOOKUP($D989,'Customer Details'!$A$1:$F$17,MATCH('Order SUmmary'!H$2,'Customer Details'!$A$1:$F$1,0),0)</f>
        <v>Chambal Fertilisers and Chemicals Ltd.</v>
      </c>
      <c r="I989" s="2" t="str">
        <f>VLOOKUP($D989,'Customer Details'!$A$1:$F$17,4,0)</f>
        <v>New York</v>
      </c>
      <c r="J989" s="2" t="str">
        <f>VLOOKUP($D989,'Customer Details'!$A$1:$F$17,6,0)</f>
        <v>10025</v>
      </c>
      <c r="K989" s="8" t="str">
        <f>VLOOKUP(VLOOKUP(D989,'Customer Details'!$A$1:$F$17,5,0),'Region INfo'!$A$1:$C$52,3,0)</f>
        <v xml:space="preserve">Northern </v>
      </c>
      <c r="L989" s="8" t="str">
        <f>INDEX(Product_List,MATCH($F989,'Product List'!$B$1:$B$299,0),MATCH('Order SUmmary'!L$2,'Product List'!$A$1:$E$1,0))</f>
        <v>Newell 344</v>
      </c>
      <c r="M989" s="8">
        <f>INDEX(Product_List,MATCH($F989,'Product List'!$B$1:$B$299,0),MATCH('Order SUmmary'!M$2,'Product List'!$A$1:$E$1,0))</f>
        <v>3282</v>
      </c>
      <c r="N989" s="8">
        <f>INDEX(Product_List,MATCH($F989,'Product List'!$B$1:$B$299,0),MATCH('Order SUmmary'!N$2,'Product List'!$A$1:$E$1,0))</f>
        <v>1654</v>
      </c>
      <c r="O989" s="8" t="str">
        <f>INDEX(Product_List,MATCH($F989,'Product List'!$B$1:$B$299,0),MATCH('Order SUmmary'!O$2,'Product List'!$A$1:$E$1,0))</f>
        <v>Art</v>
      </c>
      <c r="P989" s="12">
        <f>HLOOKUP(C989,'Commission Criteria'!$A$2:$I$4,3,FALSE)</f>
        <v>4</v>
      </c>
      <c r="Q989" s="8">
        <f t="shared" si="46"/>
        <v>4962</v>
      </c>
      <c r="R989" s="8">
        <f t="shared" si="47"/>
        <v>9846</v>
      </c>
      <c r="S989" s="36">
        <f>VLOOKUP(R989,'Commission Criteria'!$L$3:$M$11,2,TRUE)</f>
        <v>0.03</v>
      </c>
      <c r="T989" s="36">
        <f>IF(P989&lt;5,VLOOKUP(R989,'Commission Criteria'!$L$3:$M$11,2,1),VLOOKUP('Order SUmmary'!R989,'Commission Criteria'!$P$3:$Q$11,2,1))</f>
        <v>0.03</v>
      </c>
      <c r="U989" s="36">
        <f>VLOOKUP(R989,IF(P989&lt;5,'Commission Criteria'!$L$3:$M$11,'Commission Criteria'!$P$3:$Q$11),2,1)</f>
        <v>0.03</v>
      </c>
      <c r="V989" s="8" t="s">
        <v>32</v>
      </c>
      <c r="W989" s="36">
        <f t="shared" ca="1" si="48"/>
        <v>0.03</v>
      </c>
      <c r="X989" s="8" t="str">
        <f>_xlfn.XLOOKUP(F989,'Product List'!$B$1:$B$299,'Product List'!$A$1:$A$299)</f>
        <v>Newell 344</v>
      </c>
      <c r="Y989" s="8"/>
      <c r="Z989" s="8" t="str" cm="1">
        <f t="array" ref="Z989:AD989">_xlfn.XLOOKUP(D989,'Customer Details'!$A$1:$A$17,'Customer Details'!$B$1:$F$17,"No such customer",0,1)</f>
        <v>Chambal Fertilisers and Chemicals Ltd.</v>
      </c>
      <c r="AA989" s="8" t="str">
        <v>4951 Indiana Ave.</v>
      </c>
      <c r="AB989" s="8" t="str">
        <v>New York</v>
      </c>
      <c r="AC989" s="8" t="str">
        <v>NY</v>
      </c>
      <c r="AD989" s="8" t="str">
        <v>10025</v>
      </c>
    </row>
    <row r="990" spans="1:30">
      <c r="A990" s="8" t="s">
        <v>986</v>
      </c>
      <c r="B990" s="19">
        <v>42154</v>
      </c>
      <c r="C990" s="8" t="s">
        <v>51</v>
      </c>
      <c r="D990" s="8">
        <v>10015</v>
      </c>
      <c r="E990" s="8" t="str">
        <f>VLOOKUP($D990,'Customer Details'!$A$1:$F$17,4,FALSE)</f>
        <v>South Windsor</v>
      </c>
      <c r="F990" s="8" t="s">
        <v>182</v>
      </c>
      <c r="G990" s="8">
        <v>1</v>
      </c>
      <c r="H990" s="2" t="str">
        <f>VLOOKUP($D990,'Customer Details'!$A$1:$F$17,MATCH('Order SUmmary'!H$2,'Customer Details'!$A$1:$F$1,0),0)</f>
        <v>Punj Lloyd Ltd.</v>
      </c>
      <c r="I990" s="2" t="str">
        <f>VLOOKUP($D990,'Customer Details'!$A$1:$F$17,4,0)</f>
        <v>South Windsor</v>
      </c>
      <c r="J990" s="2" t="str">
        <f>VLOOKUP($D990,'Customer Details'!$A$1:$F$17,6,0)</f>
        <v>06074</v>
      </c>
      <c r="K990" s="8" t="str">
        <f>VLOOKUP(VLOOKUP(D990,'Customer Details'!$A$1:$F$17,5,0),'Region INfo'!$A$1:$C$52,3,0)</f>
        <v xml:space="preserve">Northern </v>
      </c>
      <c r="L990" s="8" t="str">
        <f>INDEX(Product_List,MATCH($F990,'Product List'!$B$1:$B$299,0),MATCH('Order SUmmary'!L$2,'Product List'!$A$1:$E$1,0))</f>
        <v>Newell 351</v>
      </c>
      <c r="M990" s="8">
        <f>INDEX(Product_List,MATCH($F990,'Product List'!$B$1:$B$299,0),MATCH('Order SUmmary'!M$2,'Product List'!$A$1:$E$1,0))</f>
        <v>2850</v>
      </c>
      <c r="N990" s="8">
        <f>INDEX(Product_List,MATCH($F990,'Product List'!$B$1:$B$299,0),MATCH('Order SUmmary'!N$2,'Product List'!$A$1:$E$1,0))</f>
        <v>2007</v>
      </c>
      <c r="O990" s="8" t="str">
        <f>INDEX(Product_List,MATCH($F990,'Product List'!$B$1:$B$299,0),MATCH('Order SUmmary'!O$2,'Product List'!$A$1:$E$1,0))</f>
        <v>Art</v>
      </c>
      <c r="P990" s="12">
        <f>HLOOKUP(C990,'Commission Criteria'!$A$2:$I$4,3,FALSE)</f>
        <v>10</v>
      </c>
      <c r="Q990" s="8">
        <f t="shared" si="46"/>
        <v>2007</v>
      </c>
      <c r="R990" s="8">
        <f t="shared" si="47"/>
        <v>2850</v>
      </c>
      <c r="S990" s="36">
        <f>VLOOKUP(R990,'Commission Criteria'!$L$3:$M$11,2,TRUE)</f>
        <v>0.01</v>
      </c>
      <c r="T990" s="36">
        <f>IF(P990&lt;5,VLOOKUP(R990,'Commission Criteria'!$L$3:$M$11,2,1),VLOOKUP('Order SUmmary'!R990,'Commission Criteria'!$P$3:$Q$11,2,1))</f>
        <v>0.02</v>
      </c>
      <c r="U990" s="36">
        <f>VLOOKUP(R990,IF(P990&lt;5,'Commission Criteria'!$L$3:$M$11,'Commission Criteria'!$P$3:$Q$11),2,1)</f>
        <v>0.02</v>
      </c>
      <c r="V990" s="8" t="s">
        <v>32</v>
      </c>
      <c r="W990" s="36">
        <f t="shared" ca="1" si="48"/>
        <v>0</v>
      </c>
      <c r="X990" s="8" t="str">
        <f>_xlfn.XLOOKUP(F990,'Product List'!$B$1:$B$299,'Product List'!$A$1:$A$299)</f>
        <v>Newell 351</v>
      </c>
      <c r="Y990" s="8"/>
      <c r="Z990" s="8" t="str" cm="1">
        <f t="array" ref="Z990:AD990">_xlfn.XLOOKUP(D990,'Customer Details'!$A$1:$A$17,'Customer Details'!$B$1:$F$17,"No such customer",0,1)</f>
        <v>Punj Lloyd Ltd.</v>
      </c>
      <c r="AA990" s="8" t="str">
        <v>Box 3263</v>
      </c>
      <c r="AB990" s="8" t="str">
        <v>South Windsor</v>
      </c>
      <c r="AC990" s="8" t="str">
        <v>CT</v>
      </c>
      <c r="AD990" s="8" t="str">
        <v>06074</v>
      </c>
    </row>
    <row r="991" spans="1:30">
      <c r="A991" s="8" t="s">
        <v>986</v>
      </c>
      <c r="B991" s="19">
        <v>42154</v>
      </c>
      <c r="C991" s="8" t="s">
        <v>66</v>
      </c>
      <c r="D991" s="8">
        <v>10005</v>
      </c>
      <c r="E991" s="8" t="str">
        <f>VLOOKUP($D991,'Customer Details'!$A$1:$F$17,4,FALSE)</f>
        <v>Goleta</v>
      </c>
      <c r="F991" s="8" t="s">
        <v>265</v>
      </c>
      <c r="G991" s="8">
        <v>1</v>
      </c>
      <c r="H991" s="2" t="str">
        <f>VLOOKUP($D991,'Customer Details'!$A$1:$F$17,MATCH('Order SUmmary'!H$2,'Customer Details'!$A$1:$F$1,0),0)</f>
        <v>Fortis Healthcare Ltd.</v>
      </c>
      <c r="I991" s="2" t="str">
        <f>VLOOKUP($D991,'Customer Details'!$A$1:$F$17,4,0)</f>
        <v>Goleta</v>
      </c>
      <c r="J991" s="2" t="str">
        <f>VLOOKUP($D991,'Customer Details'!$A$1:$F$17,6,0)</f>
        <v>93117</v>
      </c>
      <c r="K991" s="8" t="str">
        <f>VLOOKUP(VLOOKUP(D991,'Customer Details'!$A$1:$F$17,5,0),'Region INfo'!$A$1:$C$52,3,0)</f>
        <v xml:space="preserve">Pacific   </v>
      </c>
      <c r="L991" s="8" t="str">
        <f>INDEX(Product_List,MATCH($F991,'Product List'!$B$1:$B$299,0),MATCH('Order SUmmary'!L$2,'Product List'!$A$1:$E$1,0))</f>
        <v>Xerox 205</v>
      </c>
      <c r="M991" s="8">
        <f>INDEX(Product_List,MATCH($F991,'Product List'!$B$1:$B$299,0),MATCH('Order SUmmary'!M$2,'Product List'!$A$1:$E$1,0))</f>
        <v>3832</v>
      </c>
      <c r="N991" s="8">
        <f>INDEX(Product_List,MATCH($F991,'Product List'!$B$1:$B$299,0),MATCH('Order SUmmary'!N$2,'Product List'!$A$1:$E$1,0))</f>
        <v>1570</v>
      </c>
      <c r="O991" s="8" t="str">
        <f>INDEX(Product_List,MATCH($F991,'Product List'!$B$1:$B$299,0),MATCH('Order SUmmary'!O$2,'Product List'!$A$1:$E$1,0))</f>
        <v>Paper</v>
      </c>
      <c r="P991" s="12">
        <f>HLOOKUP(C991,'Commission Criteria'!$A$2:$I$4,3,FALSE)</f>
        <v>5</v>
      </c>
      <c r="Q991" s="8">
        <f t="shared" si="46"/>
        <v>1570</v>
      </c>
      <c r="R991" s="8">
        <f t="shared" si="47"/>
        <v>3832</v>
      </c>
      <c r="S991" s="36">
        <f>VLOOKUP(R991,'Commission Criteria'!$L$3:$M$11,2,TRUE)</f>
        <v>0.01</v>
      </c>
      <c r="T991" s="36">
        <f>IF(P991&lt;5,VLOOKUP(R991,'Commission Criteria'!$L$3:$M$11,2,1),VLOOKUP('Order SUmmary'!R991,'Commission Criteria'!$P$3:$Q$11,2,1))</f>
        <v>0.02</v>
      </c>
      <c r="U991" s="36">
        <f>VLOOKUP(R991,IF(P991&lt;5,'Commission Criteria'!$L$3:$M$11,'Commission Criteria'!$P$3:$Q$11),2,1)</f>
        <v>0.02</v>
      </c>
      <c r="V991" s="8" t="s">
        <v>29</v>
      </c>
      <c r="W991" s="36">
        <f t="shared" ca="1" si="48"/>
        <v>0.04</v>
      </c>
      <c r="X991" s="8" t="str">
        <f>_xlfn.XLOOKUP(F991,'Product List'!$B$1:$B$299,'Product List'!$A$1:$A$299)</f>
        <v>Xerox 205</v>
      </c>
      <c r="Y991" s="8"/>
      <c r="Z991" s="8" t="str" cm="1">
        <f t="array" ref="Z991:AD991">_xlfn.XLOOKUP(D991,'Customer Details'!$A$1:$A$17,'Customer Details'!$B$1:$F$17,"No such customer",0,1)</f>
        <v>Fortis Healthcare Ltd.</v>
      </c>
      <c r="AA991" s="8" t="str">
        <v>14 Elsworthy Terrace</v>
      </c>
      <c r="AB991" s="8" t="str">
        <v>Goleta</v>
      </c>
      <c r="AC991" s="8" t="str">
        <v>CA</v>
      </c>
      <c r="AD991" s="8" t="str">
        <v>93117</v>
      </c>
    </row>
    <row r="992" spans="1:30">
      <c r="A992" s="8" t="s">
        <v>986</v>
      </c>
      <c r="B992" s="19">
        <v>42154</v>
      </c>
      <c r="C992" s="8" t="s">
        <v>44</v>
      </c>
      <c r="D992" s="8">
        <v>10002</v>
      </c>
      <c r="E992" s="8" t="str">
        <f>VLOOKUP($D992,'Customer Details'!$A$1:$F$17,4,FALSE)</f>
        <v>Omaha</v>
      </c>
      <c r="F992" s="8" t="s">
        <v>164</v>
      </c>
      <c r="G992" s="8">
        <v>1</v>
      </c>
      <c r="H992" s="2" t="str">
        <f>VLOOKUP($D992,'Customer Details'!$A$1:$F$17,MATCH('Order SUmmary'!H$2,'Customer Details'!$A$1:$F$1,0),0)</f>
        <v>Elder Pharmaceuticals</v>
      </c>
      <c r="I992" s="2" t="str">
        <f>VLOOKUP($D992,'Customer Details'!$A$1:$F$17,4,0)</f>
        <v>Omaha</v>
      </c>
      <c r="J992" s="2" t="str">
        <f>VLOOKUP($D992,'Customer Details'!$A$1:$F$17,6,0)</f>
        <v>68127</v>
      </c>
      <c r="K992" s="8" t="str">
        <f>VLOOKUP(VLOOKUP(D992,'Customer Details'!$A$1:$F$17,5,0),'Region INfo'!$A$1:$C$52,3,0)</f>
        <v>Western</v>
      </c>
      <c r="L992" s="8" t="str">
        <f>INDEX(Product_List,MATCH($F992,'Product List'!$B$1:$B$299,0),MATCH('Order SUmmary'!L$2,'Product List'!$A$1:$E$1,0))</f>
        <v>Avery 52</v>
      </c>
      <c r="M992" s="8">
        <f>INDEX(Product_List,MATCH($F992,'Product List'!$B$1:$B$299,0),MATCH('Order SUmmary'!M$2,'Product List'!$A$1:$E$1,0))</f>
        <v>4744</v>
      </c>
      <c r="N992" s="8">
        <f>INDEX(Product_List,MATCH($F992,'Product List'!$B$1:$B$299,0),MATCH('Order SUmmary'!N$2,'Product List'!$A$1:$E$1,0))</f>
        <v>1465</v>
      </c>
      <c r="O992" s="8" t="str">
        <f>INDEX(Product_List,MATCH($F992,'Product List'!$B$1:$B$299,0),MATCH('Order SUmmary'!O$2,'Product List'!$A$1:$E$1,0))</f>
        <v>Labels</v>
      </c>
      <c r="P992" s="12">
        <f>HLOOKUP(C992,'Commission Criteria'!$A$2:$I$4,3,FALSE)</f>
        <v>4</v>
      </c>
      <c r="Q992" s="8">
        <f t="shared" si="46"/>
        <v>1465</v>
      </c>
      <c r="R992" s="8">
        <f t="shared" si="47"/>
        <v>4744</v>
      </c>
      <c r="S992" s="36">
        <f>VLOOKUP(R992,'Commission Criteria'!$L$3:$M$11,2,TRUE)</f>
        <v>0.01</v>
      </c>
      <c r="T992" s="36">
        <f>IF(P992&lt;5,VLOOKUP(R992,'Commission Criteria'!$L$3:$M$11,2,1),VLOOKUP('Order SUmmary'!R992,'Commission Criteria'!$P$3:$Q$11,2,1))</f>
        <v>0.01</v>
      </c>
      <c r="U992" s="36">
        <f>VLOOKUP(R992,IF(P992&lt;5,'Commission Criteria'!$L$3:$M$11,'Commission Criteria'!$P$3:$Q$11),2,1)</f>
        <v>0.01</v>
      </c>
      <c r="V992" s="8" t="s">
        <v>40</v>
      </c>
      <c r="W992" s="36">
        <f t="shared" ca="1" si="48"/>
        <v>0.04</v>
      </c>
      <c r="X992" s="8" t="str">
        <f>_xlfn.XLOOKUP(F992,'Product List'!$B$1:$B$299,'Product List'!$A$1:$A$299)</f>
        <v>Avery 52</v>
      </c>
      <c r="Y992" s="8"/>
      <c r="Z992" s="8" t="str" cm="1">
        <f t="array" ref="Z992:AD992">_xlfn.XLOOKUP(D992,'Customer Details'!$A$1:$A$17,'Customer Details'!$B$1:$F$17,"No such customer",0,1)</f>
        <v>Elder Pharmaceuticals</v>
      </c>
      <c r="AA992" s="8" t="str">
        <v>57 Neriba Cres</v>
      </c>
      <c r="AB992" s="8" t="str">
        <v>Omaha</v>
      </c>
      <c r="AC992" s="8" t="str">
        <v>NE</v>
      </c>
      <c r="AD992" s="8" t="str">
        <v>68127</v>
      </c>
    </row>
    <row r="993" spans="1:30">
      <c r="A993" s="8" t="s">
        <v>987</v>
      </c>
      <c r="B993" s="19">
        <v>42154</v>
      </c>
      <c r="C993" s="8" t="s">
        <v>44</v>
      </c>
      <c r="D993" s="8">
        <v>10013</v>
      </c>
      <c r="E993" s="8" t="str">
        <f>VLOOKUP($D993,'Customer Details'!$A$1:$F$17,4,FALSE)</f>
        <v>Naugatuck</v>
      </c>
      <c r="F993" s="8" t="s">
        <v>578</v>
      </c>
      <c r="G993" s="8">
        <v>1</v>
      </c>
      <c r="H993" s="2" t="str">
        <f>VLOOKUP($D993,'Customer Details'!$A$1:$F$17,MATCH('Order SUmmary'!H$2,'Customer Details'!$A$1:$F$1,0),0)</f>
        <v>GMR Infrastructure Ltd.</v>
      </c>
      <c r="I993" s="2" t="str">
        <f>VLOOKUP($D993,'Customer Details'!$A$1:$F$17,4,0)</f>
        <v>Naugatuck</v>
      </c>
      <c r="J993" s="2" t="str">
        <f>VLOOKUP($D993,'Customer Details'!$A$1:$F$17,6,0)</f>
        <v>06770</v>
      </c>
      <c r="K993" s="8" t="str">
        <f>VLOOKUP(VLOOKUP(D993,'Customer Details'!$A$1:$F$17,5,0),'Region INfo'!$A$1:$C$52,3,0)</f>
        <v xml:space="preserve">Northern </v>
      </c>
      <c r="L993" s="8" t="str">
        <f>INDEX(Product_List,MATCH($F993,'Product List'!$B$1:$B$299,0),MATCH('Order SUmmary'!L$2,'Product List'!$A$1:$E$1,0))</f>
        <v>Xerox 1948</v>
      </c>
      <c r="M993" s="8">
        <f>INDEX(Product_List,MATCH($F993,'Product List'!$B$1:$B$299,0),MATCH('Order SUmmary'!M$2,'Product List'!$A$1:$E$1,0))</f>
        <v>4910</v>
      </c>
      <c r="N993" s="8">
        <f>INDEX(Product_List,MATCH($F993,'Product List'!$B$1:$B$299,0),MATCH('Order SUmmary'!N$2,'Product List'!$A$1:$E$1,0))</f>
        <v>2108</v>
      </c>
      <c r="O993" s="8" t="str">
        <f>INDEX(Product_List,MATCH($F993,'Product List'!$B$1:$B$299,0),MATCH('Order SUmmary'!O$2,'Product List'!$A$1:$E$1,0))</f>
        <v>Paper</v>
      </c>
      <c r="P993" s="12">
        <f>HLOOKUP(C993,'Commission Criteria'!$A$2:$I$4,3,FALSE)</f>
        <v>4</v>
      </c>
      <c r="Q993" s="8">
        <f t="shared" si="46"/>
        <v>2108</v>
      </c>
      <c r="R993" s="8">
        <f t="shared" si="47"/>
        <v>4910</v>
      </c>
      <c r="S993" s="36">
        <f>VLOOKUP(R993,'Commission Criteria'!$L$3:$M$11,2,TRUE)</f>
        <v>0.01</v>
      </c>
      <c r="T993" s="36">
        <f>IF(P993&lt;5,VLOOKUP(R993,'Commission Criteria'!$L$3:$M$11,2,1),VLOOKUP('Order SUmmary'!R993,'Commission Criteria'!$P$3:$Q$11,2,1))</f>
        <v>0.01</v>
      </c>
      <c r="U993" s="36">
        <f>VLOOKUP(R993,IF(P993&lt;5,'Commission Criteria'!$L$3:$M$11,'Commission Criteria'!$P$3:$Q$11),2,1)</f>
        <v>0.01</v>
      </c>
      <c r="V993" s="8" t="s">
        <v>29</v>
      </c>
      <c r="W993" s="36">
        <f t="shared" ca="1" si="48"/>
        <v>0.02</v>
      </c>
      <c r="X993" s="8" t="str">
        <f>_xlfn.XLOOKUP(F993,'Product List'!$B$1:$B$299,'Product List'!$A$1:$A$299)</f>
        <v>Xerox 1948</v>
      </c>
      <c r="Y993" s="8"/>
      <c r="Z993" s="8" t="str" cm="1">
        <f t="array" ref="Z993:AD993">_xlfn.XLOOKUP(D993,'Customer Details'!$A$1:$A$17,'Customer Details'!$B$1:$F$17,"No such customer",0,1)</f>
        <v>GMR Infrastructure Ltd.</v>
      </c>
      <c r="AA993" s="8" t="str">
        <v>P.O. Box 4421</v>
      </c>
      <c r="AB993" s="8" t="str">
        <v>Naugatuck</v>
      </c>
      <c r="AC993" s="8" t="str">
        <v>CT</v>
      </c>
      <c r="AD993" s="8" t="str">
        <v>06770</v>
      </c>
    </row>
    <row r="994" spans="1:30">
      <c r="A994" s="8" t="s">
        <v>988</v>
      </c>
      <c r="B994" s="19">
        <v>42155</v>
      </c>
      <c r="C994" s="8" t="s">
        <v>46</v>
      </c>
      <c r="D994" s="8">
        <v>10008</v>
      </c>
      <c r="E994" s="8" t="str">
        <f>VLOOKUP($D994,'Customer Details'!$A$1:$F$17,4,FALSE)</f>
        <v>Chestnut Ridge</v>
      </c>
      <c r="F994" s="8" t="s">
        <v>882</v>
      </c>
      <c r="G994" s="8">
        <v>3</v>
      </c>
      <c r="H994" s="2" t="str">
        <f>VLOOKUP($D994,'Customer Details'!$A$1:$F$17,MATCH('Order SUmmary'!H$2,'Customer Details'!$A$1:$F$1,0),0)</f>
        <v>Reliance Industries Limited</v>
      </c>
      <c r="I994" s="2" t="str">
        <f>VLOOKUP($D994,'Customer Details'!$A$1:$F$17,4,0)</f>
        <v>Chestnut Ridge</v>
      </c>
      <c r="J994" s="2" t="str">
        <f>VLOOKUP($D994,'Customer Details'!$A$1:$F$17,6,0)</f>
        <v>10977</v>
      </c>
      <c r="K994" s="8" t="str">
        <f>VLOOKUP(VLOOKUP(D994,'Customer Details'!$A$1:$F$17,5,0),'Region INfo'!$A$1:$C$52,3,0)</f>
        <v xml:space="preserve">Northern </v>
      </c>
      <c r="L994" s="8" t="str">
        <f>INDEX(Product_List,MATCH($F994,'Product List'!$B$1:$B$299,0),MATCH('Order SUmmary'!L$2,'Product List'!$A$1:$E$1,0))</f>
        <v>Xerox 1935</v>
      </c>
      <c r="M994" s="8">
        <f>INDEX(Product_List,MATCH($F994,'Product List'!$B$1:$B$299,0),MATCH('Order SUmmary'!M$2,'Product List'!$A$1:$E$1,0))</f>
        <v>2929</v>
      </c>
      <c r="N994" s="8">
        <f>INDEX(Product_List,MATCH($F994,'Product List'!$B$1:$B$299,0),MATCH('Order SUmmary'!N$2,'Product List'!$A$1:$E$1,0))</f>
        <v>1320</v>
      </c>
      <c r="O994" s="8" t="str">
        <f>INDEX(Product_List,MATCH($F994,'Product List'!$B$1:$B$299,0),MATCH('Order SUmmary'!O$2,'Product List'!$A$1:$E$1,0))</f>
        <v>Paper</v>
      </c>
      <c r="P994" s="12">
        <f>HLOOKUP(C994,'Commission Criteria'!$A$2:$I$4,3,FALSE)</f>
        <v>8</v>
      </c>
      <c r="Q994" s="8">
        <f t="shared" si="46"/>
        <v>3960</v>
      </c>
      <c r="R994" s="8">
        <f t="shared" si="47"/>
        <v>8787</v>
      </c>
      <c r="S994" s="36">
        <f>VLOOKUP(R994,'Commission Criteria'!$L$3:$M$11,2,TRUE)</f>
        <v>0.03</v>
      </c>
      <c r="T994" s="36">
        <f>IF(P994&lt;5,VLOOKUP(R994,'Commission Criteria'!$L$3:$M$11,2,1),VLOOKUP('Order SUmmary'!R994,'Commission Criteria'!$P$3:$Q$11,2,1))</f>
        <v>0.02</v>
      </c>
      <c r="U994" s="36">
        <f>VLOOKUP(R994,IF(P994&lt;5,'Commission Criteria'!$L$3:$M$11,'Commission Criteria'!$P$3:$Q$11),2,1)</f>
        <v>0.02</v>
      </c>
      <c r="V994" s="8" t="s">
        <v>50</v>
      </c>
      <c r="W994" s="36">
        <f t="shared" ca="1" si="48"/>
        <v>0.04</v>
      </c>
      <c r="X994" s="8" t="str">
        <f>_xlfn.XLOOKUP(F994,'Product List'!$B$1:$B$299,'Product List'!$A$1:$A$299)</f>
        <v>Xerox 1935</v>
      </c>
      <c r="Y994" s="8"/>
      <c r="Z994" s="8" t="str" cm="1">
        <f t="array" ref="Z994:AD994">_xlfn.XLOOKUP(D994,'Customer Details'!$A$1:$A$17,'Customer Details'!$B$1:$F$17,"No such customer",0,1)</f>
        <v>Reliance Industries Limited</v>
      </c>
      <c r="AA994" s="8" t="str">
        <v>12020 Shamrock Rd., Suite 333</v>
      </c>
      <c r="AB994" s="8" t="str">
        <v>Chestnut Ridge</v>
      </c>
      <c r="AC994" s="8" t="str">
        <v>NY</v>
      </c>
      <c r="AD994" s="8" t="str">
        <v>10977</v>
      </c>
    </row>
    <row r="995" spans="1:30">
      <c r="A995" s="8" t="s">
        <v>989</v>
      </c>
      <c r="B995" s="19">
        <v>42157</v>
      </c>
      <c r="C995" s="8" t="s">
        <v>66</v>
      </c>
      <c r="D995" s="8">
        <v>10001</v>
      </c>
      <c r="E995" s="8" t="str">
        <f>VLOOKUP($D995,'Customer Details'!$A$1:$F$17,4,FALSE)</f>
        <v>New York</v>
      </c>
      <c r="F995" s="8" t="s">
        <v>600</v>
      </c>
      <c r="G995" s="8">
        <v>1</v>
      </c>
      <c r="H995" s="2" t="str">
        <f>VLOOKUP($D995,'Customer Details'!$A$1:$F$17,MATCH('Order SUmmary'!H$2,'Customer Details'!$A$1:$F$1,0),0)</f>
        <v>Chambal Fertilisers and Chemicals Ltd.</v>
      </c>
      <c r="I995" s="2" t="str">
        <f>VLOOKUP($D995,'Customer Details'!$A$1:$F$17,4,0)</f>
        <v>New York</v>
      </c>
      <c r="J995" s="2" t="str">
        <f>VLOOKUP($D995,'Customer Details'!$A$1:$F$17,6,0)</f>
        <v>10025</v>
      </c>
      <c r="K995" s="8" t="str">
        <f>VLOOKUP(VLOOKUP(D995,'Customer Details'!$A$1:$F$17,5,0),'Region INfo'!$A$1:$C$52,3,0)</f>
        <v xml:space="preserve">Northern </v>
      </c>
      <c r="L995" s="8" t="str">
        <f>INDEX(Product_List,MATCH($F995,'Product List'!$B$1:$B$299,0),MATCH('Order SUmmary'!L$2,'Product List'!$A$1:$E$1,0))</f>
        <v>Xerox 189</v>
      </c>
      <c r="M995" s="8">
        <f>INDEX(Product_List,MATCH($F995,'Product List'!$B$1:$B$299,0),MATCH('Order SUmmary'!M$2,'Product List'!$A$1:$E$1,0))</f>
        <v>4295</v>
      </c>
      <c r="N995" s="8">
        <f>INDEX(Product_List,MATCH($F995,'Product List'!$B$1:$B$299,0),MATCH('Order SUmmary'!N$2,'Product List'!$A$1:$E$1,0))</f>
        <v>2280</v>
      </c>
      <c r="O995" s="8" t="str">
        <f>INDEX(Product_List,MATCH($F995,'Product List'!$B$1:$B$299,0),MATCH('Order SUmmary'!O$2,'Product List'!$A$1:$E$1,0))</f>
        <v>Paper</v>
      </c>
      <c r="P995" s="12">
        <f>HLOOKUP(C995,'Commission Criteria'!$A$2:$I$4,3,FALSE)</f>
        <v>5</v>
      </c>
      <c r="Q995" s="8">
        <f t="shared" si="46"/>
        <v>2280</v>
      </c>
      <c r="R995" s="8">
        <f t="shared" si="47"/>
        <v>4295</v>
      </c>
      <c r="S995" s="36">
        <f>VLOOKUP(R995,'Commission Criteria'!$L$3:$M$11,2,TRUE)</f>
        <v>0.01</v>
      </c>
      <c r="T995" s="36">
        <f>IF(P995&lt;5,VLOOKUP(R995,'Commission Criteria'!$L$3:$M$11,2,1),VLOOKUP('Order SUmmary'!R995,'Commission Criteria'!$P$3:$Q$11,2,1))</f>
        <v>0.02</v>
      </c>
      <c r="U995" s="36">
        <f>VLOOKUP(R995,IF(P995&lt;5,'Commission Criteria'!$L$3:$M$11,'Commission Criteria'!$P$3:$Q$11),2,1)</f>
        <v>0.02</v>
      </c>
      <c r="V995" s="8" t="s">
        <v>50</v>
      </c>
      <c r="W995" s="36">
        <f t="shared" ca="1" si="48"/>
        <v>0.04</v>
      </c>
      <c r="X995" s="8" t="str">
        <f>_xlfn.XLOOKUP(F995,'Product List'!$B$1:$B$299,'Product List'!$A$1:$A$299)</f>
        <v>Xerox 189</v>
      </c>
      <c r="Y995" s="8"/>
      <c r="Z995" s="8" t="str" cm="1">
        <f t="array" ref="Z995:AD995">_xlfn.XLOOKUP(D995,'Customer Details'!$A$1:$A$17,'Customer Details'!$B$1:$F$17,"No such customer",0,1)</f>
        <v>Chambal Fertilisers and Chemicals Ltd.</v>
      </c>
      <c r="AA995" s="8" t="str">
        <v>4951 Indiana Ave.</v>
      </c>
      <c r="AB995" s="8" t="str">
        <v>New York</v>
      </c>
      <c r="AC995" s="8" t="str">
        <v>NY</v>
      </c>
      <c r="AD995" s="8" t="str">
        <v>10025</v>
      </c>
    </row>
    <row r="996" spans="1:30">
      <c r="A996" s="8" t="s">
        <v>990</v>
      </c>
      <c r="B996" s="19">
        <v>42157</v>
      </c>
      <c r="C996" s="8" t="s">
        <v>54</v>
      </c>
      <c r="D996" s="8">
        <v>10002</v>
      </c>
      <c r="E996" s="8" t="str">
        <f>VLOOKUP($D996,'Customer Details'!$A$1:$F$17,4,FALSE)</f>
        <v>Omaha</v>
      </c>
      <c r="F996" s="8" t="s">
        <v>289</v>
      </c>
      <c r="G996" s="8">
        <v>2</v>
      </c>
      <c r="H996" s="2" t="str">
        <f>VLOOKUP($D996,'Customer Details'!$A$1:$F$17,MATCH('Order SUmmary'!H$2,'Customer Details'!$A$1:$F$1,0),0)</f>
        <v>Elder Pharmaceuticals</v>
      </c>
      <c r="I996" s="2" t="str">
        <f>VLOOKUP($D996,'Customer Details'!$A$1:$F$17,4,0)</f>
        <v>Omaha</v>
      </c>
      <c r="J996" s="2" t="str">
        <f>VLOOKUP($D996,'Customer Details'!$A$1:$F$17,6,0)</f>
        <v>68127</v>
      </c>
      <c r="K996" s="8" t="str">
        <f>VLOOKUP(VLOOKUP(D996,'Customer Details'!$A$1:$F$17,5,0),'Region INfo'!$A$1:$C$52,3,0)</f>
        <v>Western</v>
      </c>
      <c r="L996" s="8" t="str">
        <f>INDEX(Product_List,MATCH($F996,'Product List'!$B$1:$B$299,0),MATCH('Order SUmmary'!L$2,'Product List'!$A$1:$E$1,0))</f>
        <v>Newell 348</v>
      </c>
      <c r="M996" s="8">
        <f>INDEX(Product_List,MATCH($F996,'Product List'!$B$1:$B$299,0),MATCH('Order SUmmary'!M$2,'Product List'!$A$1:$E$1,0))</f>
        <v>2898</v>
      </c>
      <c r="N996" s="8">
        <f>INDEX(Product_List,MATCH($F996,'Product List'!$B$1:$B$299,0),MATCH('Order SUmmary'!N$2,'Product List'!$A$1:$E$1,0))</f>
        <v>1324</v>
      </c>
      <c r="O996" s="8" t="str">
        <f>INDEX(Product_List,MATCH($F996,'Product List'!$B$1:$B$299,0),MATCH('Order SUmmary'!O$2,'Product List'!$A$1:$E$1,0))</f>
        <v>Art</v>
      </c>
      <c r="P996" s="12">
        <f>HLOOKUP(C996,'Commission Criteria'!$A$2:$I$4,3,FALSE)</f>
        <v>3</v>
      </c>
      <c r="Q996" s="8">
        <f t="shared" si="46"/>
        <v>2648</v>
      </c>
      <c r="R996" s="8">
        <f t="shared" si="47"/>
        <v>5796</v>
      </c>
      <c r="S996" s="36">
        <f>VLOOKUP(R996,'Commission Criteria'!$L$3:$M$11,2,TRUE)</f>
        <v>0.03</v>
      </c>
      <c r="T996" s="36">
        <f>IF(P996&lt;5,VLOOKUP(R996,'Commission Criteria'!$L$3:$M$11,2,1),VLOOKUP('Order SUmmary'!R996,'Commission Criteria'!$P$3:$Q$11,2,1))</f>
        <v>0.03</v>
      </c>
      <c r="U996" s="36">
        <f>VLOOKUP(R996,IF(P996&lt;5,'Commission Criteria'!$L$3:$M$11,'Commission Criteria'!$P$3:$Q$11),2,1)</f>
        <v>0.03</v>
      </c>
      <c r="V996" s="8" t="s">
        <v>40</v>
      </c>
      <c r="W996" s="36">
        <f t="shared" ca="1" si="48"/>
        <v>0.02</v>
      </c>
      <c r="X996" s="8" t="str">
        <f>_xlfn.XLOOKUP(F996,'Product List'!$B$1:$B$299,'Product List'!$A$1:$A$299)</f>
        <v>Newell 348</v>
      </c>
      <c r="Y996" s="8"/>
      <c r="Z996" s="8" t="str" cm="1">
        <f t="array" ref="Z996:AD996">_xlfn.XLOOKUP(D996,'Customer Details'!$A$1:$A$17,'Customer Details'!$B$1:$F$17,"No such customer",0,1)</f>
        <v>Elder Pharmaceuticals</v>
      </c>
      <c r="AA996" s="8" t="str">
        <v>57 Neriba Cres</v>
      </c>
      <c r="AB996" s="8" t="str">
        <v>Omaha</v>
      </c>
      <c r="AC996" s="8" t="str">
        <v>NE</v>
      </c>
      <c r="AD996" s="8" t="str">
        <v>68127</v>
      </c>
    </row>
    <row r="997" spans="1:30">
      <c r="A997" s="8" t="s">
        <v>991</v>
      </c>
      <c r="B997" s="19">
        <v>42159</v>
      </c>
      <c r="C997" s="8" t="s">
        <v>33</v>
      </c>
      <c r="D997" s="8">
        <v>10002</v>
      </c>
      <c r="E997" s="8" t="str">
        <f>VLOOKUP($D997,'Customer Details'!$A$1:$F$17,4,FALSE)</f>
        <v>Omaha</v>
      </c>
      <c r="F997" s="8" t="s">
        <v>859</v>
      </c>
      <c r="G997" s="8">
        <v>1</v>
      </c>
      <c r="H997" s="2" t="str">
        <f>VLOOKUP($D997,'Customer Details'!$A$1:$F$17,MATCH('Order SUmmary'!H$2,'Customer Details'!$A$1:$F$1,0),0)</f>
        <v>Elder Pharmaceuticals</v>
      </c>
      <c r="I997" s="2" t="str">
        <f>VLOOKUP($D997,'Customer Details'!$A$1:$F$17,4,0)</f>
        <v>Omaha</v>
      </c>
      <c r="J997" s="2" t="str">
        <f>VLOOKUP($D997,'Customer Details'!$A$1:$F$17,6,0)</f>
        <v>68127</v>
      </c>
      <c r="K997" s="8" t="str">
        <f>VLOOKUP(VLOOKUP(D997,'Customer Details'!$A$1:$F$17,5,0),'Region INfo'!$A$1:$C$52,3,0)</f>
        <v>Western</v>
      </c>
      <c r="L997" s="8" t="str">
        <f>INDEX(Product_List,MATCH($F997,'Product List'!$B$1:$B$299,0),MATCH('Order SUmmary'!L$2,'Product List'!$A$1:$E$1,0))</f>
        <v>Xerox 1970</v>
      </c>
      <c r="M997" s="8">
        <f>INDEX(Product_List,MATCH($F997,'Product List'!$B$1:$B$299,0),MATCH('Order SUmmary'!M$2,'Product List'!$A$1:$E$1,0))</f>
        <v>3277</v>
      </c>
      <c r="N997" s="8">
        <f>INDEX(Product_List,MATCH($F997,'Product List'!$B$1:$B$299,0),MATCH('Order SUmmary'!N$2,'Product List'!$A$1:$E$1,0))</f>
        <v>1891</v>
      </c>
      <c r="O997" s="8" t="str">
        <f>INDEX(Product_List,MATCH($F997,'Product List'!$B$1:$B$299,0),MATCH('Order SUmmary'!O$2,'Product List'!$A$1:$E$1,0))</f>
        <v>Paper</v>
      </c>
      <c r="P997" s="12">
        <f>HLOOKUP(C997,'Commission Criteria'!$A$2:$I$4,3,FALSE)</f>
        <v>1</v>
      </c>
      <c r="Q997" s="8">
        <f t="shared" si="46"/>
        <v>1891</v>
      </c>
      <c r="R997" s="8">
        <f t="shared" si="47"/>
        <v>3277</v>
      </c>
      <c r="S997" s="36">
        <f>VLOOKUP(R997,'Commission Criteria'!$L$3:$M$11,2,TRUE)</f>
        <v>0.01</v>
      </c>
      <c r="T997" s="36">
        <f>IF(P997&lt;5,VLOOKUP(R997,'Commission Criteria'!$L$3:$M$11,2,1),VLOOKUP('Order SUmmary'!R997,'Commission Criteria'!$P$3:$Q$11,2,1))</f>
        <v>0.01</v>
      </c>
      <c r="U997" s="36">
        <f>VLOOKUP(R997,IF(P997&lt;5,'Commission Criteria'!$L$3:$M$11,'Commission Criteria'!$P$3:$Q$11),2,1)</f>
        <v>0.01</v>
      </c>
      <c r="V997" s="8" t="s">
        <v>29</v>
      </c>
      <c r="W997" s="36">
        <f t="shared" ca="1" si="48"/>
        <v>0.01</v>
      </c>
      <c r="X997" s="8" t="str">
        <f>_xlfn.XLOOKUP(F997,'Product List'!$B$1:$B$299,'Product List'!$A$1:$A$299)</f>
        <v>Xerox 1970</v>
      </c>
      <c r="Y997" s="8"/>
      <c r="Z997" s="8" t="str" cm="1">
        <f t="array" ref="Z997:AD997">_xlfn.XLOOKUP(D997,'Customer Details'!$A$1:$A$17,'Customer Details'!$B$1:$F$17,"No such customer",0,1)</f>
        <v>Elder Pharmaceuticals</v>
      </c>
      <c r="AA997" s="8" t="str">
        <v>57 Neriba Cres</v>
      </c>
      <c r="AB997" s="8" t="str">
        <v>Omaha</v>
      </c>
      <c r="AC997" s="8" t="str">
        <v>NE</v>
      </c>
      <c r="AD997" s="8" t="str">
        <v>68127</v>
      </c>
    </row>
    <row r="998" spans="1:30">
      <c r="A998" s="8" t="s">
        <v>992</v>
      </c>
      <c r="B998" s="19">
        <v>42159</v>
      </c>
      <c r="C998" s="8" t="s">
        <v>36</v>
      </c>
      <c r="D998" s="8">
        <v>10014</v>
      </c>
      <c r="E998" s="8" t="str">
        <f>VLOOKUP($D998,'Customer Details'!$A$1:$F$17,4,FALSE)</f>
        <v>Honolulu</v>
      </c>
      <c r="F998" s="8" t="s">
        <v>743</v>
      </c>
      <c r="G998" s="8">
        <v>1</v>
      </c>
      <c r="H998" s="2" t="str">
        <f>VLOOKUP($D998,'Customer Details'!$A$1:$F$17,MATCH('Order SUmmary'!H$2,'Customer Details'!$A$1:$F$1,0),0)</f>
        <v>Hindusthan National Glass &amp; Industries Ltd.</v>
      </c>
      <c r="I998" s="2" t="str">
        <f>VLOOKUP($D998,'Customer Details'!$A$1:$F$17,4,0)</f>
        <v>Honolulu</v>
      </c>
      <c r="J998" s="2" t="str">
        <f>VLOOKUP($D998,'Customer Details'!$A$1:$F$17,6,0)</f>
        <v>96825</v>
      </c>
      <c r="K998" s="8" t="str">
        <f>VLOOKUP(VLOOKUP(D998,'Customer Details'!$A$1:$F$17,5,0),'Region INfo'!$A$1:$C$52,3,0)</f>
        <v xml:space="preserve">Pacific   </v>
      </c>
      <c r="L998" s="8" t="str">
        <f>INDEX(Product_List,MATCH($F998,'Product List'!$B$1:$B$299,0),MATCH('Order SUmmary'!L$2,'Product List'!$A$1:$E$1,0))</f>
        <v>Xerox 207</v>
      </c>
      <c r="M998" s="8">
        <f>INDEX(Product_List,MATCH($F998,'Product List'!$B$1:$B$299,0),MATCH('Order SUmmary'!M$2,'Product List'!$A$1:$E$1,0))</f>
        <v>4454</v>
      </c>
      <c r="N998" s="8">
        <f>INDEX(Product_List,MATCH($F998,'Product List'!$B$1:$B$299,0),MATCH('Order SUmmary'!N$2,'Product List'!$A$1:$E$1,0))</f>
        <v>1884</v>
      </c>
      <c r="O998" s="8" t="str">
        <f>INDEX(Product_List,MATCH($F998,'Product List'!$B$1:$B$299,0),MATCH('Order SUmmary'!O$2,'Product List'!$A$1:$E$1,0))</f>
        <v>Paper</v>
      </c>
      <c r="P998" s="12">
        <f>HLOOKUP(C998,'Commission Criteria'!$A$2:$I$4,3,FALSE)</f>
        <v>6</v>
      </c>
      <c r="Q998" s="8">
        <f t="shared" si="46"/>
        <v>1884</v>
      </c>
      <c r="R998" s="8">
        <f t="shared" si="47"/>
        <v>4454</v>
      </c>
      <c r="S998" s="36">
        <f>VLOOKUP(R998,'Commission Criteria'!$L$3:$M$11,2,TRUE)</f>
        <v>0.01</v>
      </c>
      <c r="T998" s="36">
        <f>IF(P998&lt;5,VLOOKUP(R998,'Commission Criteria'!$L$3:$M$11,2,1),VLOOKUP('Order SUmmary'!R998,'Commission Criteria'!$P$3:$Q$11,2,1))</f>
        <v>0.02</v>
      </c>
      <c r="U998" s="36">
        <f>VLOOKUP(R998,IF(P998&lt;5,'Commission Criteria'!$L$3:$M$11,'Commission Criteria'!$P$3:$Q$11),2,1)</f>
        <v>0.02</v>
      </c>
      <c r="V998" s="8" t="s">
        <v>43</v>
      </c>
      <c r="W998" s="36">
        <f t="shared" ca="1" si="48"/>
        <v>0.01</v>
      </c>
      <c r="X998" s="8" t="str">
        <f>_xlfn.XLOOKUP(F998,'Product List'!$B$1:$B$299,'Product List'!$A$1:$A$299)</f>
        <v>Xerox 207</v>
      </c>
      <c r="Y998" s="8"/>
      <c r="Z998" s="8" t="str" cm="1">
        <f t="array" ref="Z998:AD998">_xlfn.XLOOKUP(D998,'Customer Details'!$A$1:$A$17,'Customer Details'!$B$1:$F$17,"No such customer",0,1)</f>
        <v>Hindusthan National Glass &amp; Industries Ltd.</v>
      </c>
      <c r="AA998" s="8" t="str">
        <v>11 Cathy St.</v>
      </c>
      <c r="AB998" s="8" t="str">
        <v>Honolulu</v>
      </c>
      <c r="AC998" s="8" t="str">
        <v>HI</v>
      </c>
      <c r="AD998" s="8" t="str">
        <v>96825</v>
      </c>
    </row>
    <row r="999" spans="1:30">
      <c r="A999" s="8" t="s">
        <v>993</v>
      </c>
      <c r="B999" s="19">
        <v>42161</v>
      </c>
      <c r="C999" s="8" t="s">
        <v>44</v>
      </c>
      <c r="D999" s="8">
        <v>10004</v>
      </c>
      <c r="E999" s="8" t="str">
        <f>VLOOKUP($D999,'Customer Details'!$A$1:$F$17,4,FALSE)</f>
        <v>New York</v>
      </c>
      <c r="F999" s="8" t="s">
        <v>930</v>
      </c>
      <c r="G999" s="8">
        <v>1</v>
      </c>
      <c r="H999" s="2" t="str">
        <f>VLOOKUP($D999,'Customer Details'!$A$1:$F$17,MATCH('Order SUmmary'!H$2,'Customer Details'!$A$1:$F$1,0),0)</f>
        <v>Lupin Ltd.</v>
      </c>
      <c r="I999" s="2" t="str">
        <f>VLOOKUP($D999,'Customer Details'!$A$1:$F$17,4,0)</f>
        <v>New York</v>
      </c>
      <c r="J999" s="2" t="str">
        <f>VLOOKUP($D999,'Customer Details'!$A$1:$F$17,6,0)</f>
        <v>10019</v>
      </c>
      <c r="K999" s="8" t="str">
        <f>VLOOKUP(VLOOKUP(D999,'Customer Details'!$A$1:$F$17,5,0),'Region INfo'!$A$1:$C$52,3,0)</f>
        <v xml:space="preserve">Northern </v>
      </c>
      <c r="L999" s="8" t="str">
        <f>INDEX(Product_List,MATCH($F999,'Product List'!$B$1:$B$299,0),MATCH('Order SUmmary'!L$2,'Product List'!$A$1:$E$1,0))</f>
        <v>Xerox 1906</v>
      </c>
      <c r="M999" s="8">
        <f>INDEX(Product_List,MATCH($F999,'Product List'!$B$1:$B$299,0),MATCH('Order SUmmary'!M$2,'Product List'!$A$1:$E$1,0))</f>
        <v>3422</v>
      </c>
      <c r="N999" s="8">
        <f>INDEX(Product_List,MATCH($F999,'Product List'!$B$1:$B$299,0),MATCH('Order SUmmary'!N$2,'Product List'!$A$1:$E$1,0))</f>
        <v>1696</v>
      </c>
      <c r="O999" s="8" t="str">
        <f>INDEX(Product_List,MATCH($F999,'Product List'!$B$1:$B$299,0),MATCH('Order SUmmary'!O$2,'Product List'!$A$1:$E$1,0))</f>
        <v>Paper</v>
      </c>
      <c r="P999" s="12">
        <f>HLOOKUP(C999,'Commission Criteria'!$A$2:$I$4,3,FALSE)</f>
        <v>4</v>
      </c>
      <c r="Q999" s="8">
        <f t="shared" si="46"/>
        <v>1696</v>
      </c>
      <c r="R999" s="8">
        <f t="shared" si="47"/>
        <v>3422</v>
      </c>
      <c r="S999" s="36">
        <f>VLOOKUP(R999,'Commission Criteria'!$L$3:$M$11,2,TRUE)</f>
        <v>0.01</v>
      </c>
      <c r="T999" s="36">
        <f>IF(P999&lt;5,VLOOKUP(R999,'Commission Criteria'!$L$3:$M$11,2,1),VLOOKUP('Order SUmmary'!R999,'Commission Criteria'!$P$3:$Q$11,2,1))</f>
        <v>0.01</v>
      </c>
      <c r="U999" s="36">
        <f>VLOOKUP(R999,IF(P999&lt;5,'Commission Criteria'!$L$3:$M$11,'Commission Criteria'!$P$3:$Q$11),2,1)</f>
        <v>0.01</v>
      </c>
      <c r="V999" s="8" t="s">
        <v>32</v>
      </c>
      <c r="W999" s="36">
        <f t="shared" ca="1" si="48"/>
        <v>0.01</v>
      </c>
      <c r="X999" s="8" t="str">
        <f>_xlfn.XLOOKUP(F999,'Product List'!$B$1:$B$299,'Product List'!$A$1:$A$299)</f>
        <v>Xerox 1906</v>
      </c>
      <c r="Y999" s="8"/>
      <c r="Z999" s="8" t="str" cm="1">
        <f t="array" ref="Z999:AD999">_xlfn.XLOOKUP(D999,'Customer Details'!$A$1:$A$17,'Customer Details'!$B$1:$F$17,"No such customer",0,1)</f>
        <v>Lupin Ltd.</v>
      </c>
      <c r="AA999" s="8" t="str">
        <v>Abbey Wood</v>
      </c>
      <c r="AB999" s="8" t="str">
        <v>New York</v>
      </c>
      <c r="AC999" s="8" t="str">
        <v>NY</v>
      </c>
      <c r="AD999" s="8" t="str">
        <v>10019</v>
      </c>
    </row>
    <row r="1000" spans="1:30">
      <c r="A1000" s="8" t="s">
        <v>994</v>
      </c>
      <c r="B1000" s="19">
        <v>42161</v>
      </c>
      <c r="C1000" s="8" t="s">
        <v>66</v>
      </c>
      <c r="D1000" s="8">
        <v>10001</v>
      </c>
      <c r="E1000" s="8" t="str">
        <f>VLOOKUP($D1000,'Customer Details'!$A$1:$F$17,4,FALSE)</f>
        <v>New York</v>
      </c>
      <c r="F1000" s="8" t="s">
        <v>333</v>
      </c>
      <c r="G1000" s="8">
        <v>2</v>
      </c>
      <c r="H1000" s="2" t="str">
        <f>VLOOKUP($D1000,'Customer Details'!$A$1:$F$17,MATCH('Order SUmmary'!H$2,'Customer Details'!$A$1:$F$1,0),0)</f>
        <v>Chambal Fertilisers and Chemicals Ltd.</v>
      </c>
      <c r="I1000" s="2" t="str">
        <f>VLOOKUP($D1000,'Customer Details'!$A$1:$F$17,4,0)</f>
        <v>New York</v>
      </c>
      <c r="J1000" s="2" t="str">
        <f>VLOOKUP($D1000,'Customer Details'!$A$1:$F$17,6,0)</f>
        <v>10025</v>
      </c>
      <c r="K1000" s="8" t="str">
        <f>VLOOKUP(VLOOKUP(D1000,'Customer Details'!$A$1:$F$17,5,0),'Region INfo'!$A$1:$C$52,3,0)</f>
        <v xml:space="preserve">Northern </v>
      </c>
      <c r="L1000" s="8" t="str">
        <f>INDEX(Product_List,MATCH($F1000,'Product List'!$B$1:$B$299,0),MATCH('Order SUmmary'!L$2,'Product List'!$A$1:$E$1,0))</f>
        <v>Xerox 1881</v>
      </c>
      <c r="M1000" s="8">
        <f>INDEX(Product_List,MATCH($F1000,'Product List'!$B$1:$B$299,0),MATCH('Order SUmmary'!M$2,'Product List'!$A$1:$E$1,0))</f>
        <v>3330</v>
      </c>
      <c r="N1000" s="8">
        <f>INDEX(Product_List,MATCH($F1000,'Product List'!$B$1:$B$299,0),MATCH('Order SUmmary'!N$2,'Product List'!$A$1:$E$1,0))</f>
        <v>1819</v>
      </c>
      <c r="O1000" s="8" t="str">
        <f>INDEX(Product_List,MATCH($F1000,'Product List'!$B$1:$B$299,0),MATCH('Order SUmmary'!O$2,'Product List'!$A$1:$E$1,0))</f>
        <v>Paper</v>
      </c>
      <c r="P1000" s="12">
        <f>HLOOKUP(C1000,'Commission Criteria'!$A$2:$I$4,3,FALSE)</f>
        <v>5</v>
      </c>
      <c r="Q1000" s="8">
        <f t="shared" si="46"/>
        <v>3638</v>
      </c>
      <c r="R1000" s="8">
        <f t="shared" si="47"/>
        <v>6660</v>
      </c>
      <c r="S1000" s="36">
        <f>VLOOKUP(R1000,'Commission Criteria'!$L$3:$M$11,2,TRUE)</f>
        <v>0.03</v>
      </c>
      <c r="T1000" s="36">
        <f>IF(P1000&lt;5,VLOOKUP(R1000,'Commission Criteria'!$L$3:$M$11,2,1),VLOOKUP('Order SUmmary'!R1000,'Commission Criteria'!$P$3:$Q$11,2,1))</f>
        <v>0.02</v>
      </c>
      <c r="U1000" s="36">
        <f>VLOOKUP(R1000,IF(P1000&lt;5,'Commission Criteria'!$L$3:$M$11,'Commission Criteria'!$P$3:$Q$11),2,1)</f>
        <v>0.02</v>
      </c>
      <c r="V1000" s="8" t="s">
        <v>40</v>
      </c>
      <c r="W1000" s="36">
        <f t="shared" ca="1" si="48"/>
        <v>0.03</v>
      </c>
      <c r="X1000" s="8" t="str">
        <f>_xlfn.XLOOKUP(F1000,'Product List'!$B$1:$B$299,'Product List'!$A$1:$A$299)</f>
        <v>Xerox 1881</v>
      </c>
      <c r="Y1000" s="8"/>
      <c r="Z1000" s="8" t="str" cm="1">
        <f t="array" ref="Z1000:AD1000">_xlfn.XLOOKUP(D1000,'Customer Details'!$A$1:$A$17,'Customer Details'!$B$1:$F$17,"No such customer",0,1)</f>
        <v>Chambal Fertilisers and Chemicals Ltd.</v>
      </c>
      <c r="AA1000" s="8" t="str">
        <v>4951 Indiana Ave.</v>
      </c>
      <c r="AB1000" s="8" t="str">
        <v>New York</v>
      </c>
      <c r="AC1000" s="8" t="str">
        <v>NY</v>
      </c>
      <c r="AD1000" s="8" t="str">
        <v>10025</v>
      </c>
    </row>
    <row r="1001" spans="1:30">
      <c r="A1001" s="8" t="s">
        <v>995</v>
      </c>
      <c r="B1001" s="19">
        <v>42161</v>
      </c>
      <c r="C1001" s="8" t="s">
        <v>46</v>
      </c>
      <c r="D1001" s="8">
        <v>10015</v>
      </c>
      <c r="E1001" s="8" t="str">
        <f>VLOOKUP($D1001,'Customer Details'!$A$1:$F$17,4,FALSE)</f>
        <v>South Windsor</v>
      </c>
      <c r="F1001" s="8" t="s">
        <v>584</v>
      </c>
      <c r="G1001" s="8">
        <v>3</v>
      </c>
      <c r="H1001" s="2" t="str">
        <f>VLOOKUP($D1001,'Customer Details'!$A$1:$F$17,MATCH('Order SUmmary'!H$2,'Customer Details'!$A$1:$F$1,0),0)</f>
        <v>Punj Lloyd Ltd.</v>
      </c>
      <c r="I1001" s="2" t="str">
        <f>VLOOKUP($D1001,'Customer Details'!$A$1:$F$17,4,0)</f>
        <v>South Windsor</v>
      </c>
      <c r="J1001" s="2" t="str">
        <f>VLOOKUP($D1001,'Customer Details'!$A$1:$F$17,6,0)</f>
        <v>06074</v>
      </c>
      <c r="K1001" s="8" t="str">
        <f>VLOOKUP(VLOOKUP(D1001,'Customer Details'!$A$1:$F$17,5,0),'Region INfo'!$A$1:$C$52,3,0)</f>
        <v xml:space="preserve">Northern </v>
      </c>
      <c r="L1001" s="8" t="str">
        <f>INDEX(Product_List,MATCH($F1001,'Product List'!$B$1:$B$299,0),MATCH('Order SUmmary'!L$2,'Product List'!$A$1:$E$1,0))</f>
        <v>Xerox 1894</v>
      </c>
      <c r="M1001" s="8">
        <f>INDEX(Product_List,MATCH($F1001,'Product List'!$B$1:$B$299,0),MATCH('Order SUmmary'!M$2,'Product List'!$A$1:$E$1,0))</f>
        <v>4369</v>
      </c>
      <c r="N1001" s="8">
        <f>INDEX(Product_List,MATCH($F1001,'Product List'!$B$1:$B$299,0),MATCH('Order SUmmary'!N$2,'Product List'!$A$1:$E$1,0))</f>
        <v>1245</v>
      </c>
      <c r="O1001" s="8" t="str">
        <f>INDEX(Product_List,MATCH($F1001,'Product List'!$B$1:$B$299,0),MATCH('Order SUmmary'!O$2,'Product List'!$A$1:$E$1,0))</f>
        <v>Paper</v>
      </c>
      <c r="P1001" s="12">
        <f>HLOOKUP(C1001,'Commission Criteria'!$A$2:$I$4,3,FALSE)</f>
        <v>8</v>
      </c>
      <c r="Q1001" s="8">
        <f t="shared" si="46"/>
        <v>3735</v>
      </c>
      <c r="R1001" s="8">
        <f t="shared" si="47"/>
        <v>13107</v>
      </c>
      <c r="S1001" s="36">
        <f>VLOOKUP(R1001,'Commission Criteria'!$L$3:$M$11,2,TRUE)</f>
        <v>0.03</v>
      </c>
      <c r="T1001" s="36">
        <f>IF(P1001&lt;5,VLOOKUP(R1001,'Commission Criteria'!$L$3:$M$11,2,1),VLOOKUP('Order SUmmary'!R1001,'Commission Criteria'!$P$3:$Q$11,2,1))</f>
        <v>0.02</v>
      </c>
      <c r="U1001" s="36">
        <f>VLOOKUP(R1001,IF(P1001&lt;5,'Commission Criteria'!$L$3:$M$11,'Commission Criteria'!$P$3:$Q$11),2,1)</f>
        <v>0.02</v>
      </c>
      <c r="V1001" s="8" t="s">
        <v>32</v>
      </c>
      <c r="W1001" s="36">
        <f t="shared" ca="1" si="48"/>
        <v>0.01</v>
      </c>
      <c r="X1001" s="8" t="str">
        <f>_xlfn.XLOOKUP(F1001,'Product List'!$B$1:$B$299,'Product List'!$A$1:$A$299)</f>
        <v>Xerox 1894</v>
      </c>
      <c r="Y1001" s="8"/>
      <c r="Z1001" s="8" t="str" cm="1">
        <f t="array" ref="Z1001:AD1001">_xlfn.XLOOKUP(D1001,'Customer Details'!$A$1:$A$17,'Customer Details'!$B$1:$F$17,"No such customer",0,1)</f>
        <v>Punj Lloyd Ltd.</v>
      </c>
      <c r="AA1001" s="8" t="str">
        <v>Box 3263</v>
      </c>
      <c r="AB1001" s="8" t="str">
        <v>South Windsor</v>
      </c>
      <c r="AC1001" s="8" t="str">
        <v>CT</v>
      </c>
      <c r="AD1001" s="8" t="str">
        <v>06074</v>
      </c>
    </row>
    <row r="1002" spans="1:30">
      <c r="A1002" s="8" t="s">
        <v>996</v>
      </c>
      <c r="B1002" s="19">
        <v>42162</v>
      </c>
      <c r="C1002" s="8" t="s">
        <v>33</v>
      </c>
      <c r="D1002" s="8">
        <v>10015</v>
      </c>
      <c r="E1002" s="8" t="str">
        <f>VLOOKUP($D1002,'Customer Details'!$A$1:$F$17,4,FALSE)</f>
        <v>South Windsor</v>
      </c>
      <c r="F1002" s="8" t="s">
        <v>227</v>
      </c>
      <c r="G1002" s="8">
        <v>2</v>
      </c>
      <c r="H1002" s="2" t="str">
        <f>VLOOKUP($D1002,'Customer Details'!$A$1:$F$17,MATCH('Order SUmmary'!H$2,'Customer Details'!$A$1:$F$1,0),0)</f>
        <v>Punj Lloyd Ltd.</v>
      </c>
      <c r="I1002" s="2" t="str">
        <f>VLOOKUP($D1002,'Customer Details'!$A$1:$F$17,4,0)</f>
        <v>South Windsor</v>
      </c>
      <c r="J1002" s="2" t="str">
        <f>VLOOKUP($D1002,'Customer Details'!$A$1:$F$17,6,0)</f>
        <v>06074</v>
      </c>
      <c r="K1002" s="8" t="str">
        <f>VLOOKUP(VLOOKUP(D1002,'Customer Details'!$A$1:$F$17,5,0),'Region INfo'!$A$1:$C$52,3,0)</f>
        <v xml:space="preserve">Northern </v>
      </c>
      <c r="L1002" s="8" t="str">
        <f>INDEX(Product_List,MATCH($F1002,'Product List'!$B$1:$B$299,0),MATCH('Order SUmmary'!L$2,'Product List'!$A$1:$E$1,0))</f>
        <v>Xerox 21</v>
      </c>
      <c r="M1002" s="8">
        <f>INDEX(Product_List,MATCH($F1002,'Product List'!$B$1:$B$299,0),MATCH('Order SUmmary'!M$2,'Product List'!$A$1:$E$1,0))</f>
        <v>2787</v>
      </c>
      <c r="N1002" s="8">
        <f>INDEX(Product_List,MATCH($F1002,'Product List'!$B$1:$B$299,0),MATCH('Order SUmmary'!N$2,'Product List'!$A$1:$E$1,0))</f>
        <v>2020</v>
      </c>
      <c r="O1002" s="8" t="str">
        <f>INDEX(Product_List,MATCH($F1002,'Product List'!$B$1:$B$299,0),MATCH('Order SUmmary'!O$2,'Product List'!$A$1:$E$1,0))</f>
        <v>Paper</v>
      </c>
      <c r="P1002" s="12">
        <f>HLOOKUP(C1002,'Commission Criteria'!$A$2:$I$4,3,FALSE)</f>
        <v>1</v>
      </c>
      <c r="Q1002" s="8">
        <f t="shared" si="46"/>
        <v>4040</v>
      </c>
      <c r="R1002" s="8">
        <f t="shared" si="47"/>
        <v>5574</v>
      </c>
      <c r="S1002" s="36">
        <f>VLOOKUP(R1002,'Commission Criteria'!$L$3:$M$11,2,TRUE)</f>
        <v>0.03</v>
      </c>
      <c r="T1002" s="36">
        <f>IF(P1002&lt;5,VLOOKUP(R1002,'Commission Criteria'!$L$3:$M$11,2,1),VLOOKUP('Order SUmmary'!R1002,'Commission Criteria'!$P$3:$Q$11,2,1))</f>
        <v>0.03</v>
      </c>
      <c r="U1002" s="36">
        <f>VLOOKUP(R1002,IF(P1002&lt;5,'Commission Criteria'!$L$3:$M$11,'Commission Criteria'!$P$3:$Q$11),2,1)</f>
        <v>0.03</v>
      </c>
      <c r="V1002" s="8" t="s">
        <v>50</v>
      </c>
      <c r="W1002" s="36">
        <f t="shared" ca="1" si="48"/>
        <v>0.01</v>
      </c>
      <c r="X1002" s="8" t="str">
        <f>_xlfn.XLOOKUP(F1002,'Product List'!$B$1:$B$299,'Product List'!$A$1:$A$299)</f>
        <v>Xerox 21</v>
      </c>
      <c r="Y1002" s="8"/>
      <c r="Z1002" s="8" t="str" cm="1">
        <f t="array" ref="Z1002:AD1002">_xlfn.XLOOKUP(D1002,'Customer Details'!$A$1:$A$17,'Customer Details'!$B$1:$F$17,"No such customer",0,1)</f>
        <v>Punj Lloyd Ltd.</v>
      </c>
      <c r="AA1002" s="8" t="str">
        <v>Box 3263</v>
      </c>
      <c r="AB1002" s="8" t="str">
        <v>South Windsor</v>
      </c>
      <c r="AC1002" s="8" t="str">
        <v>CT</v>
      </c>
      <c r="AD1002" s="8" t="str">
        <v>06074</v>
      </c>
    </row>
    <row r="1003" spans="1:30">
      <c r="A1003" s="8" t="s">
        <v>996</v>
      </c>
      <c r="B1003" s="19">
        <v>42162</v>
      </c>
      <c r="C1003" s="8" t="s">
        <v>46</v>
      </c>
      <c r="D1003" s="8">
        <v>10013</v>
      </c>
      <c r="E1003" s="8" t="str">
        <f>VLOOKUP($D1003,'Customer Details'!$A$1:$F$17,4,FALSE)</f>
        <v>Naugatuck</v>
      </c>
      <c r="F1003" s="8" t="s">
        <v>736</v>
      </c>
      <c r="G1003" s="8">
        <v>2</v>
      </c>
      <c r="H1003" s="2" t="str">
        <f>VLOOKUP($D1003,'Customer Details'!$A$1:$F$17,MATCH('Order SUmmary'!H$2,'Customer Details'!$A$1:$F$1,0),0)</f>
        <v>GMR Infrastructure Ltd.</v>
      </c>
      <c r="I1003" s="2" t="str">
        <f>VLOOKUP($D1003,'Customer Details'!$A$1:$F$17,4,0)</f>
        <v>Naugatuck</v>
      </c>
      <c r="J1003" s="2" t="str">
        <f>VLOOKUP($D1003,'Customer Details'!$A$1:$F$17,6,0)</f>
        <v>06770</v>
      </c>
      <c r="K1003" s="8" t="str">
        <f>VLOOKUP(VLOOKUP(D1003,'Customer Details'!$A$1:$F$17,5,0),'Region INfo'!$A$1:$C$52,3,0)</f>
        <v xml:space="preserve">Northern </v>
      </c>
      <c r="L1003" s="8" t="str">
        <f>INDEX(Product_List,MATCH($F1003,'Product List'!$B$1:$B$299,0),MATCH('Order SUmmary'!L$2,'Product List'!$A$1:$E$1,0))</f>
        <v>Xerox 1908</v>
      </c>
      <c r="M1003" s="8">
        <f>INDEX(Product_List,MATCH($F1003,'Product List'!$B$1:$B$299,0),MATCH('Order SUmmary'!M$2,'Product List'!$A$1:$E$1,0))</f>
        <v>4190</v>
      </c>
      <c r="N1003" s="8">
        <f>INDEX(Product_List,MATCH($F1003,'Product List'!$B$1:$B$299,0),MATCH('Order SUmmary'!N$2,'Product List'!$A$1:$E$1,0))</f>
        <v>1817</v>
      </c>
      <c r="O1003" s="8" t="str">
        <f>INDEX(Product_List,MATCH($F1003,'Product List'!$B$1:$B$299,0),MATCH('Order SUmmary'!O$2,'Product List'!$A$1:$E$1,0))</f>
        <v>Paper</v>
      </c>
      <c r="P1003" s="12">
        <f>HLOOKUP(C1003,'Commission Criteria'!$A$2:$I$4,3,FALSE)</f>
        <v>8</v>
      </c>
      <c r="Q1003" s="8">
        <f t="shared" si="46"/>
        <v>3634</v>
      </c>
      <c r="R1003" s="8">
        <f t="shared" si="47"/>
        <v>8380</v>
      </c>
      <c r="S1003" s="36">
        <f>VLOOKUP(R1003,'Commission Criteria'!$L$3:$M$11,2,TRUE)</f>
        <v>0.03</v>
      </c>
      <c r="T1003" s="36">
        <f>IF(P1003&lt;5,VLOOKUP(R1003,'Commission Criteria'!$L$3:$M$11,2,1),VLOOKUP('Order SUmmary'!R1003,'Commission Criteria'!$P$3:$Q$11,2,1))</f>
        <v>0.02</v>
      </c>
      <c r="U1003" s="36">
        <f>VLOOKUP(R1003,IF(P1003&lt;5,'Commission Criteria'!$L$3:$M$11,'Commission Criteria'!$P$3:$Q$11),2,1)</f>
        <v>0.02</v>
      </c>
      <c r="V1003" s="8" t="s">
        <v>32</v>
      </c>
      <c r="W1003" s="36">
        <f t="shared" ca="1" si="48"/>
        <v>0.05</v>
      </c>
      <c r="X1003" s="8" t="str">
        <f>_xlfn.XLOOKUP(F1003,'Product List'!$B$1:$B$299,'Product List'!$A$1:$A$299)</f>
        <v>Xerox 1908</v>
      </c>
      <c r="Y1003" s="8"/>
      <c r="Z1003" s="8" t="str" cm="1">
        <f t="array" ref="Z1003:AD1003">_xlfn.XLOOKUP(D1003,'Customer Details'!$A$1:$A$17,'Customer Details'!$B$1:$F$17,"No such customer",0,1)</f>
        <v>GMR Infrastructure Ltd.</v>
      </c>
      <c r="AA1003" s="8" t="str">
        <v>P.O. Box 4421</v>
      </c>
      <c r="AB1003" s="8" t="str">
        <v>Naugatuck</v>
      </c>
      <c r="AC1003" s="8" t="str">
        <v>CT</v>
      </c>
      <c r="AD1003" s="8" t="str">
        <v>06770</v>
      </c>
    </row>
    <row r="1004" spans="1:30">
      <c r="A1004" s="8" t="s">
        <v>996</v>
      </c>
      <c r="B1004" s="19">
        <v>42162</v>
      </c>
      <c r="C1004" s="8" t="s">
        <v>66</v>
      </c>
      <c r="D1004" s="8">
        <v>10004</v>
      </c>
      <c r="E1004" s="8" t="str">
        <f>VLOOKUP($D1004,'Customer Details'!$A$1:$F$17,4,FALSE)</f>
        <v>New York</v>
      </c>
      <c r="F1004" s="8" t="s">
        <v>203</v>
      </c>
      <c r="G1004" s="8">
        <v>3</v>
      </c>
      <c r="H1004" s="2" t="str">
        <f>VLOOKUP($D1004,'Customer Details'!$A$1:$F$17,MATCH('Order SUmmary'!H$2,'Customer Details'!$A$1:$F$1,0),0)</f>
        <v>Lupin Ltd.</v>
      </c>
      <c r="I1004" s="2" t="str">
        <f>VLOOKUP($D1004,'Customer Details'!$A$1:$F$17,4,0)</f>
        <v>New York</v>
      </c>
      <c r="J1004" s="2" t="str">
        <f>VLOOKUP($D1004,'Customer Details'!$A$1:$F$17,6,0)</f>
        <v>10019</v>
      </c>
      <c r="K1004" s="8" t="str">
        <f>VLOOKUP(VLOOKUP(D1004,'Customer Details'!$A$1:$F$17,5,0),'Region INfo'!$A$1:$C$52,3,0)</f>
        <v xml:space="preserve">Northern </v>
      </c>
      <c r="L1004" s="8" t="str">
        <f>INDEX(Product_List,MATCH($F1004,'Product List'!$B$1:$B$299,0),MATCH('Order SUmmary'!L$2,'Product List'!$A$1:$E$1,0))</f>
        <v>Xerox 1957</v>
      </c>
      <c r="M1004" s="8">
        <f>INDEX(Product_List,MATCH($F1004,'Product List'!$B$1:$B$299,0),MATCH('Order SUmmary'!M$2,'Product List'!$A$1:$E$1,0))</f>
        <v>4398</v>
      </c>
      <c r="N1004" s="8">
        <f>INDEX(Product_List,MATCH($F1004,'Product List'!$B$1:$B$299,0),MATCH('Order SUmmary'!N$2,'Product List'!$A$1:$E$1,0))</f>
        <v>1800</v>
      </c>
      <c r="O1004" s="8" t="str">
        <f>INDEX(Product_List,MATCH($F1004,'Product List'!$B$1:$B$299,0),MATCH('Order SUmmary'!O$2,'Product List'!$A$1:$E$1,0))</f>
        <v>Paper</v>
      </c>
      <c r="P1004" s="12">
        <f>HLOOKUP(C1004,'Commission Criteria'!$A$2:$I$4,3,FALSE)</f>
        <v>5</v>
      </c>
      <c r="Q1004" s="8">
        <f t="shared" si="46"/>
        <v>5400</v>
      </c>
      <c r="R1004" s="8">
        <f t="shared" si="47"/>
        <v>13194</v>
      </c>
      <c r="S1004" s="36">
        <f>VLOOKUP(R1004,'Commission Criteria'!$L$3:$M$11,2,TRUE)</f>
        <v>0.03</v>
      </c>
      <c r="T1004" s="36">
        <f>IF(P1004&lt;5,VLOOKUP(R1004,'Commission Criteria'!$L$3:$M$11,2,1),VLOOKUP('Order SUmmary'!R1004,'Commission Criteria'!$P$3:$Q$11,2,1))</f>
        <v>0.02</v>
      </c>
      <c r="U1004" s="36">
        <f>VLOOKUP(R1004,IF(P1004&lt;5,'Commission Criteria'!$L$3:$M$11,'Commission Criteria'!$P$3:$Q$11),2,1)</f>
        <v>0.02</v>
      </c>
      <c r="V1004" s="8" t="s">
        <v>40</v>
      </c>
      <c r="W1004" s="36">
        <f t="shared" ca="1" si="48"/>
        <v>0.04</v>
      </c>
      <c r="X1004" s="8" t="str">
        <f>_xlfn.XLOOKUP(F1004,'Product List'!$B$1:$B$299,'Product List'!$A$1:$A$299)</f>
        <v>Xerox 1957</v>
      </c>
      <c r="Y1004" s="8"/>
      <c r="Z1004" s="8" t="str" cm="1">
        <f t="array" ref="Z1004:AD1004">_xlfn.XLOOKUP(D1004,'Customer Details'!$A$1:$A$17,'Customer Details'!$B$1:$F$17,"No such customer",0,1)</f>
        <v>Lupin Ltd.</v>
      </c>
      <c r="AA1004" s="8" t="str">
        <v>Abbey Wood</v>
      </c>
      <c r="AB1004" s="8" t="str">
        <v>New York</v>
      </c>
      <c r="AC1004" s="8" t="str">
        <v>NY</v>
      </c>
      <c r="AD1004" s="8" t="str">
        <v>10019</v>
      </c>
    </row>
    <row r="1005" spans="1:30">
      <c r="A1005" s="8" t="s">
        <v>997</v>
      </c>
      <c r="B1005" s="19">
        <v>42163</v>
      </c>
      <c r="C1005" s="8" t="s">
        <v>54</v>
      </c>
      <c r="D1005" s="8">
        <v>10005</v>
      </c>
      <c r="E1005" s="8" t="str">
        <f>VLOOKUP($D1005,'Customer Details'!$A$1:$F$17,4,FALSE)</f>
        <v>Goleta</v>
      </c>
      <c r="F1005" s="8" t="s">
        <v>249</v>
      </c>
      <c r="G1005" s="8">
        <v>1</v>
      </c>
      <c r="H1005" s="2" t="str">
        <f>VLOOKUP($D1005,'Customer Details'!$A$1:$F$17,MATCH('Order SUmmary'!H$2,'Customer Details'!$A$1:$F$1,0),0)</f>
        <v>Fortis Healthcare Ltd.</v>
      </c>
      <c r="I1005" s="2" t="str">
        <f>VLOOKUP($D1005,'Customer Details'!$A$1:$F$17,4,0)</f>
        <v>Goleta</v>
      </c>
      <c r="J1005" s="2" t="str">
        <f>VLOOKUP($D1005,'Customer Details'!$A$1:$F$17,6,0)</f>
        <v>93117</v>
      </c>
      <c r="K1005" s="8" t="str">
        <f>VLOOKUP(VLOOKUP(D1005,'Customer Details'!$A$1:$F$17,5,0),'Region INfo'!$A$1:$C$52,3,0)</f>
        <v xml:space="preserve">Pacific   </v>
      </c>
      <c r="L1005" s="8" t="str">
        <f>INDEX(Product_List,MATCH($F1005,'Product List'!$B$1:$B$299,0),MATCH('Order SUmmary'!L$2,'Product List'!$A$1:$E$1,0))</f>
        <v>Newell 315</v>
      </c>
      <c r="M1005" s="8">
        <f>INDEX(Product_List,MATCH($F1005,'Product List'!$B$1:$B$299,0),MATCH('Order SUmmary'!M$2,'Product List'!$A$1:$E$1,0))</f>
        <v>3646</v>
      </c>
      <c r="N1005" s="8">
        <f>INDEX(Product_List,MATCH($F1005,'Product List'!$B$1:$B$299,0),MATCH('Order SUmmary'!N$2,'Product List'!$A$1:$E$1,0))</f>
        <v>1603</v>
      </c>
      <c r="O1005" s="8" t="str">
        <f>INDEX(Product_List,MATCH($F1005,'Product List'!$B$1:$B$299,0),MATCH('Order SUmmary'!O$2,'Product List'!$A$1:$E$1,0))</f>
        <v>Art</v>
      </c>
      <c r="P1005" s="12">
        <f>HLOOKUP(C1005,'Commission Criteria'!$A$2:$I$4,3,FALSE)</f>
        <v>3</v>
      </c>
      <c r="Q1005" s="8">
        <f t="shared" si="46"/>
        <v>1603</v>
      </c>
      <c r="R1005" s="8">
        <f t="shared" si="47"/>
        <v>3646</v>
      </c>
      <c r="S1005" s="36">
        <f>VLOOKUP(R1005,'Commission Criteria'!$L$3:$M$11,2,TRUE)</f>
        <v>0.01</v>
      </c>
      <c r="T1005" s="36">
        <f>IF(P1005&lt;5,VLOOKUP(R1005,'Commission Criteria'!$L$3:$M$11,2,1),VLOOKUP('Order SUmmary'!R1005,'Commission Criteria'!$P$3:$Q$11,2,1))</f>
        <v>0.01</v>
      </c>
      <c r="U1005" s="36">
        <f>VLOOKUP(R1005,IF(P1005&lt;5,'Commission Criteria'!$L$3:$M$11,'Commission Criteria'!$P$3:$Q$11),2,1)</f>
        <v>0.01</v>
      </c>
      <c r="V1005" s="8" t="s">
        <v>50</v>
      </c>
      <c r="W1005" s="36">
        <f t="shared" ca="1" si="48"/>
        <v>0.03</v>
      </c>
      <c r="X1005" s="8" t="str">
        <f>_xlfn.XLOOKUP(F1005,'Product List'!$B$1:$B$299,'Product List'!$A$1:$A$299)</f>
        <v>Newell 315</v>
      </c>
      <c r="Y1005" s="8"/>
      <c r="Z1005" s="8" t="str" cm="1">
        <f t="array" ref="Z1005:AD1005">_xlfn.XLOOKUP(D1005,'Customer Details'!$A$1:$A$17,'Customer Details'!$B$1:$F$17,"No such customer",0,1)</f>
        <v>Fortis Healthcare Ltd.</v>
      </c>
      <c r="AA1005" s="8" t="str">
        <v>14 Elsworthy Terrace</v>
      </c>
      <c r="AB1005" s="8" t="str">
        <v>Goleta</v>
      </c>
      <c r="AC1005" s="8" t="str">
        <v>CA</v>
      </c>
      <c r="AD1005" s="8" t="str">
        <v>93117</v>
      </c>
    </row>
    <row r="1006" spans="1:30">
      <c r="A1006" s="8" t="s">
        <v>998</v>
      </c>
      <c r="B1006" s="19">
        <v>42164</v>
      </c>
      <c r="C1006" s="8" t="s">
        <v>66</v>
      </c>
      <c r="D1006" s="8">
        <v>10011</v>
      </c>
      <c r="E1006" s="8" t="str">
        <f>VLOOKUP($D1006,'Customer Details'!$A$1:$F$17,4,FALSE)</f>
        <v>Olympia</v>
      </c>
      <c r="F1006" s="8" t="s">
        <v>285</v>
      </c>
      <c r="G1006" s="8">
        <v>1</v>
      </c>
      <c r="H1006" s="2" t="str">
        <f>VLOOKUP($D1006,'Customer Details'!$A$1:$F$17,MATCH('Order SUmmary'!H$2,'Customer Details'!$A$1:$F$1,0),0)</f>
        <v>Sonata Software</v>
      </c>
      <c r="I1006" s="2" t="str">
        <f>VLOOKUP($D1006,'Customer Details'!$A$1:$F$17,4,0)</f>
        <v>Olympia</v>
      </c>
      <c r="J1006" s="2" t="str">
        <f>VLOOKUP($D1006,'Customer Details'!$A$1:$F$17,6,0)</f>
        <v>98502</v>
      </c>
      <c r="K1006" s="8" t="str">
        <f>VLOOKUP(VLOOKUP(D1006,'Customer Details'!$A$1:$F$17,5,0),'Region INfo'!$A$1:$C$52,3,0)</f>
        <v xml:space="preserve">Pacific   </v>
      </c>
      <c r="L1006" s="8" t="str">
        <f>INDEX(Product_List,MATCH($F1006,'Product List'!$B$1:$B$299,0),MATCH('Order SUmmary'!L$2,'Product List'!$A$1:$E$1,0))</f>
        <v>Newell 344</v>
      </c>
      <c r="M1006" s="8">
        <f>INDEX(Product_List,MATCH($F1006,'Product List'!$B$1:$B$299,0),MATCH('Order SUmmary'!M$2,'Product List'!$A$1:$E$1,0))</f>
        <v>3282</v>
      </c>
      <c r="N1006" s="8">
        <f>INDEX(Product_List,MATCH($F1006,'Product List'!$B$1:$B$299,0),MATCH('Order SUmmary'!N$2,'Product List'!$A$1:$E$1,0))</f>
        <v>1654</v>
      </c>
      <c r="O1006" s="8" t="str">
        <f>INDEX(Product_List,MATCH($F1006,'Product List'!$B$1:$B$299,0),MATCH('Order SUmmary'!O$2,'Product List'!$A$1:$E$1,0))</f>
        <v>Art</v>
      </c>
      <c r="P1006" s="12">
        <f>HLOOKUP(C1006,'Commission Criteria'!$A$2:$I$4,3,FALSE)</f>
        <v>5</v>
      </c>
      <c r="Q1006" s="8">
        <f t="shared" si="46"/>
        <v>1654</v>
      </c>
      <c r="R1006" s="8">
        <f t="shared" si="47"/>
        <v>3282</v>
      </c>
      <c r="S1006" s="36">
        <f>VLOOKUP(R1006,'Commission Criteria'!$L$3:$M$11,2,TRUE)</f>
        <v>0.01</v>
      </c>
      <c r="T1006" s="36">
        <f>IF(P1006&lt;5,VLOOKUP(R1006,'Commission Criteria'!$L$3:$M$11,2,1),VLOOKUP('Order SUmmary'!R1006,'Commission Criteria'!$P$3:$Q$11,2,1))</f>
        <v>0.02</v>
      </c>
      <c r="U1006" s="36">
        <f>VLOOKUP(R1006,IF(P1006&lt;5,'Commission Criteria'!$L$3:$M$11,'Commission Criteria'!$P$3:$Q$11),2,1)</f>
        <v>0.02</v>
      </c>
      <c r="V1006" s="8" t="s">
        <v>40</v>
      </c>
      <c r="W1006" s="36">
        <f t="shared" ca="1" si="48"/>
        <v>0.02</v>
      </c>
      <c r="X1006" s="8" t="str">
        <f>_xlfn.XLOOKUP(F1006,'Product List'!$B$1:$B$299,'Product List'!$A$1:$A$299)</f>
        <v>Newell 344</v>
      </c>
      <c r="Y1006" s="8"/>
      <c r="Z1006" s="8" t="str" cm="1">
        <f t="array" ref="Z1006:AD1006">_xlfn.XLOOKUP(D1006,'Customer Details'!$A$1:$A$17,'Customer Details'!$B$1:$F$17,"No such customer",0,1)</f>
        <v>Sonata Software</v>
      </c>
      <c r="AA1006" s="8" t="str">
        <v>1331 Kimberly Dr.</v>
      </c>
      <c r="AB1006" s="8" t="str">
        <v>Olympia</v>
      </c>
      <c r="AC1006" s="8" t="str">
        <v>WA</v>
      </c>
      <c r="AD1006" s="8" t="str">
        <v>98502</v>
      </c>
    </row>
    <row r="1007" spans="1:30">
      <c r="A1007" s="8" t="s">
        <v>999</v>
      </c>
      <c r="B1007" s="19">
        <v>42164</v>
      </c>
      <c r="C1007" s="8" t="s">
        <v>36</v>
      </c>
      <c r="D1007" s="8">
        <v>10008</v>
      </c>
      <c r="E1007" s="8" t="str">
        <f>VLOOKUP($D1007,'Customer Details'!$A$1:$F$17,4,FALSE)</f>
        <v>Chestnut Ridge</v>
      </c>
      <c r="F1007" s="8" t="s">
        <v>137</v>
      </c>
      <c r="G1007" s="8">
        <v>1</v>
      </c>
      <c r="H1007" s="2" t="str">
        <f>VLOOKUP($D1007,'Customer Details'!$A$1:$F$17,MATCH('Order SUmmary'!H$2,'Customer Details'!$A$1:$F$1,0),0)</f>
        <v>Reliance Industries Limited</v>
      </c>
      <c r="I1007" s="2" t="str">
        <f>VLOOKUP($D1007,'Customer Details'!$A$1:$F$17,4,0)</f>
        <v>Chestnut Ridge</v>
      </c>
      <c r="J1007" s="2" t="str">
        <f>VLOOKUP($D1007,'Customer Details'!$A$1:$F$17,6,0)</f>
        <v>10977</v>
      </c>
      <c r="K1007" s="8" t="str">
        <f>VLOOKUP(VLOOKUP(D1007,'Customer Details'!$A$1:$F$17,5,0),'Region INfo'!$A$1:$C$52,3,0)</f>
        <v xml:space="preserve">Northern </v>
      </c>
      <c r="L1007" s="8" t="str">
        <f>INDEX(Product_List,MATCH($F1007,'Product List'!$B$1:$B$299,0),MATCH('Order SUmmary'!L$2,'Product List'!$A$1:$E$1,0))</f>
        <v>Newell 35</v>
      </c>
      <c r="M1007" s="8">
        <f>INDEX(Product_List,MATCH($F1007,'Product List'!$B$1:$B$299,0),MATCH('Order SUmmary'!M$2,'Product List'!$A$1:$E$1,0))</f>
        <v>4209</v>
      </c>
      <c r="N1007" s="8">
        <f>INDEX(Product_List,MATCH($F1007,'Product List'!$B$1:$B$299,0),MATCH('Order SUmmary'!N$2,'Product List'!$A$1:$E$1,0))</f>
        <v>1692</v>
      </c>
      <c r="O1007" s="8" t="str">
        <f>INDEX(Product_List,MATCH($F1007,'Product List'!$B$1:$B$299,0),MATCH('Order SUmmary'!O$2,'Product List'!$A$1:$E$1,0))</f>
        <v>Art</v>
      </c>
      <c r="P1007" s="12">
        <f>HLOOKUP(C1007,'Commission Criteria'!$A$2:$I$4,3,FALSE)</f>
        <v>6</v>
      </c>
      <c r="Q1007" s="8">
        <f t="shared" si="46"/>
        <v>1692</v>
      </c>
      <c r="R1007" s="8">
        <f t="shared" si="47"/>
        <v>4209</v>
      </c>
      <c r="S1007" s="36">
        <f>VLOOKUP(R1007,'Commission Criteria'!$L$3:$M$11,2,TRUE)</f>
        <v>0.01</v>
      </c>
      <c r="T1007" s="36">
        <f>IF(P1007&lt;5,VLOOKUP(R1007,'Commission Criteria'!$L$3:$M$11,2,1),VLOOKUP('Order SUmmary'!R1007,'Commission Criteria'!$P$3:$Q$11,2,1))</f>
        <v>0.02</v>
      </c>
      <c r="U1007" s="36">
        <f>VLOOKUP(R1007,IF(P1007&lt;5,'Commission Criteria'!$L$3:$M$11,'Commission Criteria'!$P$3:$Q$11),2,1)</f>
        <v>0.02</v>
      </c>
      <c r="V1007" s="8" t="s">
        <v>32</v>
      </c>
      <c r="W1007" s="36">
        <f t="shared" ca="1" si="48"/>
        <v>0.05</v>
      </c>
      <c r="X1007" s="8" t="str">
        <f>_xlfn.XLOOKUP(F1007,'Product List'!$B$1:$B$299,'Product List'!$A$1:$A$299)</f>
        <v>Newell 35</v>
      </c>
      <c r="Y1007" s="8"/>
      <c r="Z1007" s="8" t="str" cm="1">
        <f t="array" ref="Z1007:AD1007">_xlfn.XLOOKUP(D1007,'Customer Details'!$A$1:$A$17,'Customer Details'!$B$1:$F$17,"No such customer",0,1)</f>
        <v>Reliance Industries Limited</v>
      </c>
      <c r="AA1007" s="8" t="str">
        <v>12020 Shamrock Rd., Suite 333</v>
      </c>
      <c r="AB1007" s="8" t="str">
        <v>Chestnut Ridge</v>
      </c>
      <c r="AC1007" s="8" t="str">
        <v>NY</v>
      </c>
      <c r="AD1007" s="8" t="str">
        <v>10977</v>
      </c>
    </row>
    <row r="1008" spans="1:30">
      <c r="A1008" s="8" t="s">
        <v>1000</v>
      </c>
      <c r="B1008" s="19">
        <v>42164</v>
      </c>
      <c r="C1008" s="8" t="s">
        <v>27</v>
      </c>
      <c r="D1008" s="8">
        <v>10001</v>
      </c>
      <c r="E1008" s="8" t="str">
        <f>VLOOKUP($D1008,'Customer Details'!$A$1:$F$17,4,FALSE)</f>
        <v>New York</v>
      </c>
      <c r="F1008" s="8" t="s">
        <v>172</v>
      </c>
      <c r="G1008" s="8">
        <v>1</v>
      </c>
      <c r="H1008" s="2" t="str">
        <f>VLOOKUP($D1008,'Customer Details'!$A$1:$F$17,MATCH('Order SUmmary'!H$2,'Customer Details'!$A$1:$F$1,0),0)</f>
        <v>Chambal Fertilisers and Chemicals Ltd.</v>
      </c>
      <c r="I1008" s="2" t="str">
        <f>VLOOKUP($D1008,'Customer Details'!$A$1:$F$17,4,0)</f>
        <v>New York</v>
      </c>
      <c r="J1008" s="2" t="str">
        <f>VLOOKUP($D1008,'Customer Details'!$A$1:$F$17,6,0)</f>
        <v>10025</v>
      </c>
      <c r="K1008" s="8" t="str">
        <f>VLOOKUP(VLOOKUP(D1008,'Customer Details'!$A$1:$F$17,5,0),'Region INfo'!$A$1:$C$52,3,0)</f>
        <v xml:space="preserve">Northern </v>
      </c>
      <c r="L1008" s="8" t="str">
        <f>INDEX(Product_List,MATCH($F1008,'Product List'!$B$1:$B$299,0),MATCH('Order SUmmary'!L$2,'Product List'!$A$1:$E$1,0))</f>
        <v>Xerox 223</v>
      </c>
      <c r="M1008" s="8">
        <f>INDEX(Product_List,MATCH($F1008,'Product List'!$B$1:$B$299,0),MATCH('Order SUmmary'!M$2,'Product List'!$A$1:$E$1,0))</f>
        <v>4733</v>
      </c>
      <c r="N1008" s="8">
        <f>INDEX(Product_List,MATCH($F1008,'Product List'!$B$1:$B$299,0),MATCH('Order SUmmary'!N$2,'Product List'!$A$1:$E$1,0))</f>
        <v>1415</v>
      </c>
      <c r="O1008" s="8" t="str">
        <f>INDEX(Product_List,MATCH($F1008,'Product List'!$B$1:$B$299,0),MATCH('Order SUmmary'!O$2,'Product List'!$A$1:$E$1,0))</f>
        <v>Paper</v>
      </c>
      <c r="P1008" s="12">
        <f>HLOOKUP(C1008,'Commission Criteria'!$A$2:$I$4,3,FALSE)</f>
        <v>4</v>
      </c>
      <c r="Q1008" s="8">
        <f t="shared" si="46"/>
        <v>1415</v>
      </c>
      <c r="R1008" s="8">
        <f t="shared" si="47"/>
        <v>4733</v>
      </c>
      <c r="S1008" s="36">
        <f>VLOOKUP(R1008,'Commission Criteria'!$L$3:$M$11,2,TRUE)</f>
        <v>0.01</v>
      </c>
      <c r="T1008" s="36">
        <f>IF(P1008&lt;5,VLOOKUP(R1008,'Commission Criteria'!$L$3:$M$11,2,1),VLOOKUP('Order SUmmary'!R1008,'Commission Criteria'!$P$3:$Q$11,2,1))</f>
        <v>0.01</v>
      </c>
      <c r="U1008" s="36">
        <f>VLOOKUP(R1008,IF(P1008&lt;5,'Commission Criteria'!$L$3:$M$11,'Commission Criteria'!$P$3:$Q$11),2,1)</f>
        <v>0.01</v>
      </c>
      <c r="V1008" s="8" t="s">
        <v>29</v>
      </c>
      <c r="W1008" s="36">
        <f t="shared" ca="1" si="48"/>
        <v>0</v>
      </c>
      <c r="X1008" s="8" t="str">
        <f>_xlfn.XLOOKUP(F1008,'Product List'!$B$1:$B$299,'Product List'!$A$1:$A$299)</f>
        <v>Xerox 223</v>
      </c>
      <c r="Y1008" s="8"/>
      <c r="Z1008" s="8" t="str" cm="1">
        <f t="array" ref="Z1008:AD1008">_xlfn.XLOOKUP(D1008,'Customer Details'!$A$1:$A$17,'Customer Details'!$B$1:$F$17,"No such customer",0,1)</f>
        <v>Chambal Fertilisers and Chemicals Ltd.</v>
      </c>
      <c r="AA1008" s="8" t="str">
        <v>4951 Indiana Ave.</v>
      </c>
      <c r="AB1008" s="8" t="str">
        <v>New York</v>
      </c>
      <c r="AC1008" s="8" t="str">
        <v>NY</v>
      </c>
      <c r="AD1008" s="8" t="str">
        <v>10025</v>
      </c>
    </row>
    <row r="1009" spans="1:30">
      <c r="A1009" s="8" t="s">
        <v>1001</v>
      </c>
      <c r="B1009" s="19">
        <v>42165</v>
      </c>
      <c r="C1009" s="8" t="s">
        <v>36</v>
      </c>
      <c r="D1009" s="8">
        <v>10015</v>
      </c>
      <c r="E1009" s="8" t="str">
        <f>VLOOKUP($D1009,'Customer Details'!$A$1:$F$17,4,FALSE)</f>
        <v>South Windsor</v>
      </c>
      <c r="F1009" s="8" t="s">
        <v>850</v>
      </c>
      <c r="G1009" s="8">
        <v>1</v>
      </c>
      <c r="H1009" s="2" t="str">
        <f>VLOOKUP($D1009,'Customer Details'!$A$1:$F$17,MATCH('Order SUmmary'!H$2,'Customer Details'!$A$1:$F$1,0),0)</f>
        <v>Punj Lloyd Ltd.</v>
      </c>
      <c r="I1009" s="2" t="str">
        <f>VLOOKUP($D1009,'Customer Details'!$A$1:$F$17,4,0)</f>
        <v>South Windsor</v>
      </c>
      <c r="J1009" s="2" t="str">
        <f>VLOOKUP($D1009,'Customer Details'!$A$1:$F$17,6,0)</f>
        <v>06074</v>
      </c>
      <c r="K1009" s="8" t="str">
        <f>VLOOKUP(VLOOKUP(D1009,'Customer Details'!$A$1:$F$17,5,0),'Region INfo'!$A$1:$C$52,3,0)</f>
        <v xml:space="preserve">Northern </v>
      </c>
      <c r="L1009" s="8" t="str">
        <f>INDEX(Product_List,MATCH($F1009,'Product List'!$B$1:$B$299,0),MATCH('Order SUmmary'!L$2,'Product List'!$A$1:$E$1,0))</f>
        <v>Xerox 225</v>
      </c>
      <c r="M1009" s="8">
        <f>INDEX(Product_List,MATCH($F1009,'Product List'!$B$1:$B$299,0),MATCH('Order SUmmary'!M$2,'Product List'!$A$1:$E$1,0))</f>
        <v>2672</v>
      </c>
      <c r="N1009" s="8">
        <f>INDEX(Product_List,MATCH($F1009,'Product List'!$B$1:$B$299,0),MATCH('Order SUmmary'!N$2,'Product List'!$A$1:$E$1,0))</f>
        <v>2236</v>
      </c>
      <c r="O1009" s="8" t="str">
        <f>INDEX(Product_List,MATCH($F1009,'Product List'!$B$1:$B$299,0),MATCH('Order SUmmary'!O$2,'Product List'!$A$1:$E$1,0))</f>
        <v>Paper</v>
      </c>
      <c r="P1009" s="12">
        <f>HLOOKUP(C1009,'Commission Criteria'!$A$2:$I$4,3,FALSE)</f>
        <v>6</v>
      </c>
      <c r="Q1009" s="8">
        <f t="shared" si="46"/>
        <v>2236</v>
      </c>
      <c r="R1009" s="8">
        <f t="shared" si="47"/>
        <v>2672</v>
      </c>
      <c r="S1009" s="36">
        <f>VLOOKUP(R1009,'Commission Criteria'!$L$3:$M$11,2,TRUE)</f>
        <v>0.01</v>
      </c>
      <c r="T1009" s="36">
        <f>IF(P1009&lt;5,VLOOKUP(R1009,'Commission Criteria'!$L$3:$M$11,2,1),VLOOKUP('Order SUmmary'!R1009,'Commission Criteria'!$P$3:$Q$11,2,1))</f>
        <v>0.02</v>
      </c>
      <c r="U1009" s="36">
        <f>VLOOKUP(R1009,IF(P1009&lt;5,'Commission Criteria'!$L$3:$M$11,'Commission Criteria'!$P$3:$Q$11),2,1)</f>
        <v>0.02</v>
      </c>
      <c r="V1009" s="8" t="s">
        <v>35</v>
      </c>
      <c r="W1009" s="36">
        <f t="shared" ca="1" si="48"/>
        <v>0.04</v>
      </c>
      <c r="X1009" s="8" t="str">
        <f>_xlfn.XLOOKUP(F1009,'Product List'!$B$1:$B$299,'Product List'!$A$1:$A$299)</f>
        <v>Xerox 225</v>
      </c>
      <c r="Y1009" s="8"/>
      <c r="Z1009" s="8" t="str" cm="1">
        <f t="array" ref="Z1009:AD1009">_xlfn.XLOOKUP(D1009,'Customer Details'!$A$1:$A$17,'Customer Details'!$B$1:$F$17,"No such customer",0,1)</f>
        <v>Punj Lloyd Ltd.</v>
      </c>
      <c r="AA1009" s="8" t="str">
        <v>Box 3263</v>
      </c>
      <c r="AB1009" s="8" t="str">
        <v>South Windsor</v>
      </c>
      <c r="AC1009" s="8" t="str">
        <v>CT</v>
      </c>
      <c r="AD1009" s="8" t="str">
        <v>06074</v>
      </c>
    </row>
    <row r="1010" spans="1:30">
      <c r="A1010" s="8" t="s">
        <v>1001</v>
      </c>
      <c r="B1010" s="19">
        <v>42165</v>
      </c>
      <c r="C1010" s="8" t="s">
        <v>54</v>
      </c>
      <c r="D1010" s="8">
        <v>10008</v>
      </c>
      <c r="E1010" s="8" t="str">
        <f>VLOOKUP($D1010,'Customer Details'!$A$1:$F$17,4,FALSE)</f>
        <v>Chestnut Ridge</v>
      </c>
      <c r="F1010" s="8" t="s">
        <v>339</v>
      </c>
      <c r="G1010" s="8">
        <v>2</v>
      </c>
      <c r="H1010" s="2" t="str">
        <f>VLOOKUP($D1010,'Customer Details'!$A$1:$F$17,MATCH('Order SUmmary'!H$2,'Customer Details'!$A$1:$F$1,0),0)</f>
        <v>Reliance Industries Limited</v>
      </c>
      <c r="I1010" s="2" t="str">
        <f>VLOOKUP($D1010,'Customer Details'!$A$1:$F$17,4,0)</f>
        <v>Chestnut Ridge</v>
      </c>
      <c r="J1010" s="2" t="str">
        <f>VLOOKUP($D1010,'Customer Details'!$A$1:$F$17,6,0)</f>
        <v>10977</v>
      </c>
      <c r="K1010" s="8" t="str">
        <f>VLOOKUP(VLOOKUP(D1010,'Customer Details'!$A$1:$F$17,5,0),'Region INfo'!$A$1:$C$52,3,0)</f>
        <v xml:space="preserve">Northern </v>
      </c>
      <c r="L1010" s="8" t="str">
        <f>INDEX(Product_List,MATCH($F1010,'Product List'!$B$1:$B$299,0),MATCH('Order SUmmary'!L$2,'Product List'!$A$1:$E$1,0))</f>
        <v>Avery 489</v>
      </c>
      <c r="M1010" s="8">
        <f>INDEX(Product_List,MATCH($F1010,'Product List'!$B$1:$B$299,0),MATCH('Order SUmmary'!M$2,'Product List'!$A$1:$E$1,0))</f>
        <v>4605</v>
      </c>
      <c r="N1010" s="8">
        <f>INDEX(Product_List,MATCH($F1010,'Product List'!$B$1:$B$299,0),MATCH('Order SUmmary'!N$2,'Product List'!$A$1:$E$1,0))</f>
        <v>1834</v>
      </c>
      <c r="O1010" s="8" t="str">
        <f>INDEX(Product_List,MATCH($F1010,'Product List'!$B$1:$B$299,0),MATCH('Order SUmmary'!O$2,'Product List'!$A$1:$E$1,0))</f>
        <v>Labels</v>
      </c>
      <c r="P1010" s="12">
        <f>HLOOKUP(C1010,'Commission Criteria'!$A$2:$I$4,3,FALSE)</f>
        <v>3</v>
      </c>
      <c r="Q1010" s="8">
        <f t="shared" si="46"/>
        <v>3668</v>
      </c>
      <c r="R1010" s="8">
        <f t="shared" si="47"/>
        <v>9210</v>
      </c>
      <c r="S1010" s="36">
        <f>VLOOKUP(R1010,'Commission Criteria'!$L$3:$M$11,2,TRUE)</f>
        <v>0.03</v>
      </c>
      <c r="T1010" s="36">
        <f>IF(P1010&lt;5,VLOOKUP(R1010,'Commission Criteria'!$L$3:$M$11,2,1),VLOOKUP('Order SUmmary'!R1010,'Commission Criteria'!$P$3:$Q$11,2,1))</f>
        <v>0.03</v>
      </c>
      <c r="U1010" s="36">
        <f>VLOOKUP(R1010,IF(P1010&lt;5,'Commission Criteria'!$L$3:$M$11,'Commission Criteria'!$P$3:$Q$11),2,1)</f>
        <v>0.03</v>
      </c>
      <c r="V1010" s="8" t="s">
        <v>43</v>
      </c>
      <c r="W1010" s="36">
        <f t="shared" ca="1" si="48"/>
        <v>0</v>
      </c>
      <c r="X1010" s="8" t="str">
        <f>_xlfn.XLOOKUP(F1010,'Product List'!$B$1:$B$299,'Product List'!$A$1:$A$299)</f>
        <v>Avery 489</v>
      </c>
      <c r="Y1010" s="8"/>
      <c r="Z1010" s="8" t="str" cm="1">
        <f t="array" ref="Z1010:AD1010">_xlfn.XLOOKUP(D1010,'Customer Details'!$A$1:$A$17,'Customer Details'!$B$1:$F$17,"No such customer",0,1)</f>
        <v>Reliance Industries Limited</v>
      </c>
      <c r="AA1010" s="8" t="str">
        <v>12020 Shamrock Rd., Suite 333</v>
      </c>
      <c r="AB1010" s="8" t="str">
        <v>Chestnut Ridge</v>
      </c>
      <c r="AC1010" s="8" t="str">
        <v>NY</v>
      </c>
      <c r="AD1010" s="8" t="str">
        <v>10977</v>
      </c>
    </row>
    <row r="1011" spans="1:30">
      <c r="A1011" s="8" t="s">
        <v>1002</v>
      </c>
      <c r="B1011" s="19">
        <v>42166</v>
      </c>
      <c r="C1011" s="8" t="s">
        <v>66</v>
      </c>
      <c r="D1011" s="8">
        <v>10001</v>
      </c>
      <c r="E1011" s="8" t="str">
        <f>VLOOKUP($D1011,'Customer Details'!$A$1:$F$17,4,FALSE)</f>
        <v>New York</v>
      </c>
      <c r="F1011" s="8" t="s">
        <v>94</v>
      </c>
      <c r="G1011" s="8">
        <v>1</v>
      </c>
      <c r="H1011" s="2" t="str">
        <f>VLOOKUP($D1011,'Customer Details'!$A$1:$F$17,MATCH('Order SUmmary'!H$2,'Customer Details'!$A$1:$F$1,0),0)</f>
        <v>Chambal Fertilisers and Chemicals Ltd.</v>
      </c>
      <c r="I1011" s="2" t="str">
        <f>VLOOKUP($D1011,'Customer Details'!$A$1:$F$17,4,0)</f>
        <v>New York</v>
      </c>
      <c r="J1011" s="2" t="str">
        <f>VLOOKUP($D1011,'Customer Details'!$A$1:$F$17,6,0)</f>
        <v>10025</v>
      </c>
      <c r="K1011" s="8" t="str">
        <f>VLOOKUP(VLOOKUP(D1011,'Customer Details'!$A$1:$F$17,5,0),'Region INfo'!$A$1:$C$52,3,0)</f>
        <v xml:space="preserve">Northern </v>
      </c>
      <c r="L1011" s="8" t="str">
        <f>INDEX(Product_List,MATCH($F1011,'Product List'!$B$1:$B$299,0),MATCH('Order SUmmary'!L$2,'Product List'!$A$1:$E$1,0))</f>
        <v>Xerox 191</v>
      </c>
      <c r="M1011" s="8">
        <f>INDEX(Product_List,MATCH($F1011,'Product List'!$B$1:$B$299,0),MATCH('Order SUmmary'!M$2,'Product List'!$A$1:$E$1,0))</f>
        <v>3768</v>
      </c>
      <c r="N1011" s="8">
        <f>INDEX(Product_List,MATCH($F1011,'Product List'!$B$1:$B$299,0),MATCH('Order SUmmary'!N$2,'Product List'!$A$1:$E$1,0))</f>
        <v>1353</v>
      </c>
      <c r="O1011" s="8" t="str">
        <f>INDEX(Product_List,MATCH($F1011,'Product List'!$B$1:$B$299,0),MATCH('Order SUmmary'!O$2,'Product List'!$A$1:$E$1,0))</f>
        <v>Paper</v>
      </c>
      <c r="P1011" s="12">
        <f>HLOOKUP(C1011,'Commission Criteria'!$A$2:$I$4,3,FALSE)</f>
        <v>5</v>
      </c>
      <c r="Q1011" s="8">
        <f t="shared" si="46"/>
        <v>1353</v>
      </c>
      <c r="R1011" s="8">
        <f t="shared" si="47"/>
        <v>3768</v>
      </c>
      <c r="S1011" s="36">
        <f>VLOOKUP(R1011,'Commission Criteria'!$L$3:$M$11,2,TRUE)</f>
        <v>0.01</v>
      </c>
      <c r="T1011" s="36">
        <f>IF(P1011&lt;5,VLOOKUP(R1011,'Commission Criteria'!$L$3:$M$11,2,1),VLOOKUP('Order SUmmary'!R1011,'Commission Criteria'!$P$3:$Q$11,2,1))</f>
        <v>0.02</v>
      </c>
      <c r="U1011" s="36">
        <f>VLOOKUP(R1011,IF(P1011&lt;5,'Commission Criteria'!$L$3:$M$11,'Commission Criteria'!$P$3:$Q$11),2,1)</f>
        <v>0.02</v>
      </c>
      <c r="V1011" s="8" t="s">
        <v>40</v>
      </c>
      <c r="W1011" s="36">
        <f t="shared" ca="1" si="48"/>
        <v>0.05</v>
      </c>
      <c r="X1011" s="8" t="str">
        <f>_xlfn.XLOOKUP(F1011,'Product List'!$B$1:$B$299,'Product List'!$A$1:$A$299)</f>
        <v>Xerox 191</v>
      </c>
      <c r="Y1011" s="8"/>
      <c r="Z1011" s="8" t="str" cm="1">
        <f t="array" ref="Z1011:AD1011">_xlfn.XLOOKUP(D1011,'Customer Details'!$A$1:$A$17,'Customer Details'!$B$1:$F$17,"No such customer",0,1)</f>
        <v>Chambal Fertilisers and Chemicals Ltd.</v>
      </c>
      <c r="AA1011" s="8" t="str">
        <v>4951 Indiana Ave.</v>
      </c>
      <c r="AB1011" s="8" t="str">
        <v>New York</v>
      </c>
      <c r="AC1011" s="8" t="str">
        <v>NY</v>
      </c>
      <c r="AD1011" s="8" t="str">
        <v>10025</v>
      </c>
    </row>
    <row r="1012" spans="1:30">
      <c r="A1012" s="8" t="s">
        <v>1002</v>
      </c>
      <c r="B1012" s="19">
        <v>42166</v>
      </c>
      <c r="C1012" s="8" t="s">
        <v>44</v>
      </c>
      <c r="D1012" s="8">
        <v>10010</v>
      </c>
      <c r="E1012" s="8" t="str">
        <f>VLOOKUP($D1012,'Customer Details'!$A$1:$F$17,4,FALSE)</f>
        <v>Tracy</v>
      </c>
      <c r="F1012" s="8" t="s">
        <v>1003</v>
      </c>
      <c r="G1012" s="8">
        <v>1</v>
      </c>
      <c r="H1012" s="2" t="str">
        <f>VLOOKUP($D1012,'Customer Details'!$A$1:$F$17,MATCH('Order SUmmary'!H$2,'Customer Details'!$A$1:$F$1,0),0)</f>
        <v>Suzlon Energy Ltd.</v>
      </c>
      <c r="I1012" s="2" t="str">
        <f>VLOOKUP($D1012,'Customer Details'!$A$1:$F$17,4,0)</f>
        <v>Tracy</v>
      </c>
      <c r="J1012" s="2" t="str">
        <f>VLOOKUP($D1012,'Customer Details'!$A$1:$F$17,6,0)</f>
        <v>95376</v>
      </c>
      <c r="K1012" s="8" t="str">
        <f>VLOOKUP(VLOOKUP(D1012,'Customer Details'!$A$1:$F$17,5,0),'Region INfo'!$A$1:$C$52,3,0)</f>
        <v xml:space="preserve">Pacific   </v>
      </c>
      <c r="L1012" s="8" t="str">
        <f>INDEX(Product_List,MATCH($F1012,'Product List'!$B$1:$B$299,0),MATCH('Order SUmmary'!L$2,'Product List'!$A$1:$E$1,0))</f>
        <v>Xerox 224</v>
      </c>
      <c r="M1012" s="8">
        <f>INDEX(Product_List,MATCH($F1012,'Product List'!$B$1:$B$299,0),MATCH('Order SUmmary'!M$2,'Product List'!$A$1:$E$1,0))</f>
        <v>4658</v>
      </c>
      <c r="N1012" s="8">
        <f>INDEX(Product_List,MATCH($F1012,'Product List'!$B$1:$B$299,0),MATCH('Order SUmmary'!N$2,'Product List'!$A$1:$E$1,0))</f>
        <v>1435</v>
      </c>
      <c r="O1012" s="8" t="str">
        <f>INDEX(Product_List,MATCH($F1012,'Product List'!$B$1:$B$299,0),MATCH('Order SUmmary'!O$2,'Product List'!$A$1:$E$1,0))</f>
        <v>Paper</v>
      </c>
      <c r="P1012" s="12">
        <f>HLOOKUP(C1012,'Commission Criteria'!$A$2:$I$4,3,FALSE)</f>
        <v>4</v>
      </c>
      <c r="Q1012" s="8">
        <f t="shared" si="46"/>
        <v>1435</v>
      </c>
      <c r="R1012" s="8">
        <f t="shared" si="47"/>
        <v>4658</v>
      </c>
      <c r="S1012" s="36">
        <f>VLOOKUP(R1012,'Commission Criteria'!$L$3:$M$11,2,TRUE)</f>
        <v>0.01</v>
      </c>
      <c r="T1012" s="36">
        <f>IF(P1012&lt;5,VLOOKUP(R1012,'Commission Criteria'!$L$3:$M$11,2,1),VLOOKUP('Order SUmmary'!R1012,'Commission Criteria'!$P$3:$Q$11,2,1))</f>
        <v>0.01</v>
      </c>
      <c r="U1012" s="36">
        <f>VLOOKUP(R1012,IF(P1012&lt;5,'Commission Criteria'!$L$3:$M$11,'Commission Criteria'!$P$3:$Q$11),2,1)</f>
        <v>0.01</v>
      </c>
      <c r="V1012" s="8" t="s">
        <v>32</v>
      </c>
      <c r="W1012" s="36">
        <f t="shared" ca="1" si="48"/>
        <v>0.03</v>
      </c>
      <c r="X1012" s="8" t="str">
        <f>_xlfn.XLOOKUP(F1012,'Product List'!$B$1:$B$299,'Product List'!$A$1:$A$299)</f>
        <v>Xerox 224</v>
      </c>
      <c r="Y1012" s="8"/>
      <c r="Z1012" s="8" t="str" cm="1">
        <f t="array" ref="Z1012:AD1012">_xlfn.XLOOKUP(D1012,'Customer Details'!$A$1:$A$17,'Customer Details'!$B$1:$F$17,"No such customer",0,1)</f>
        <v>Suzlon Energy Ltd.</v>
      </c>
      <c r="AA1012" s="8" t="str">
        <v>501 Marsh Trail Circle</v>
      </c>
      <c r="AB1012" s="8" t="str">
        <v>Tracy</v>
      </c>
      <c r="AC1012" s="8" t="str">
        <v>CA</v>
      </c>
      <c r="AD1012" s="8" t="str">
        <v>95376</v>
      </c>
    </row>
    <row r="1013" spans="1:30">
      <c r="A1013" s="8" t="s">
        <v>1004</v>
      </c>
      <c r="B1013" s="19">
        <v>42168</v>
      </c>
      <c r="C1013" s="8" t="s">
        <v>33</v>
      </c>
      <c r="D1013" s="8">
        <v>10015</v>
      </c>
      <c r="E1013" s="8" t="str">
        <f>VLOOKUP($D1013,'Customer Details'!$A$1:$F$17,4,FALSE)</f>
        <v>South Windsor</v>
      </c>
      <c r="F1013" s="8" t="s">
        <v>416</v>
      </c>
      <c r="G1013" s="8">
        <v>1</v>
      </c>
      <c r="H1013" s="2" t="str">
        <f>VLOOKUP($D1013,'Customer Details'!$A$1:$F$17,MATCH('Order SUmmary'!H$2,'Customer Details'!$A$1:$F$1,0),0)</f>
        <v>Punj Lloyd Ltd.</v>
      </c>
      <c r="I1013" s="2" t="str">
        <f>VLOOKUP($D1013,'Customer Details'!$A$1:$F$17,4,0)</f>
        <v>South Windsor</v>
      </c>
      <c r="J1013" s="2" t="str">
        <f>VLOOKUP($D1013,'Customer Details'!$A$1:$F$17,6,0)</f>
        <v>06074</v>
      </c>
      <c r="K1013" s="8" t="str">
        <f>VLOOKUP(VLOOKUP(D1013,'Customer Details'!$A$1:$F$17,5,0),'Region INfo'!$A$1:$C$52,3,0)</f>
        <v xml:space="preserve">Northern </v>
      </c>
      <c r="L1013" s="8" t="str">
        <f>INDEX(Product_List,MATCH($F1013,'Product List'!$B$1:$B$299,0),MATCH('Order SUmmary'!L$2,'Product List'!$A$1:$E$1,0))</f>
        <v>Newell 314</v>
      </c>
      <c r="M1013" s="8">
        <f>INDEX(Product_List,MATCH($F1013,'Product List'!$B$1:$B$299,0),MATCH('Order SUmmary'!M$2,'Product List'!$A$1:$E$1,0))</f>
        <v>3458</v>
      </c>
      <c r="N1013" s="8">
        <f>INDEX(Product_List,MATCH($F1013,'Product List'!$B$1:$B$299,0),MATCH('Order SUmmary'!N$2,'Product List'!$A$1:$E$1,0))</f>
        <v>1684</v>
      </c>
      <c r="O1013" s="8" t="str">
        <f>INDEX(Product_List,MATCH($F1013,'Product List'!$B$1:$B$299,0),MATCH('Order SUmmary'!O$2,'Product List'!$A$1:$E$1,0))</f>
        <v>Art</v>
      </c>
      <c r="P1013" s="12">
        <f>HLOOKUP(C1013,'Commission Criteria'!$A$2:$I$4,3,FALSE)</f>
        <v>1</v>
      </c>
      <c r="Q1013" s="8">
        <f t="shared" si="46"/>
        <v>1684</v>
      </c>
      <c r="R1013" s="8">
        <f t="shared" si="47"/>
        <v>3458</v>
      </c>
      <c r="S1013" s="36">
        <f>VLOOKUP(R1013,'Commission Criteria'!$L$3:$M$11,2,TRUE)</f>
        <v>0.01</v>
      </c>
      <c r="T1013" s="36">
        <f>IF(P1013&lt;5,VLOOKUP(R1013,'Commission Criteria'!$L$3:$M$11,2,1),VLOOKUP('Order SUmmary'!R1013,'Commission Criteria'!$P$3:$Q$11,2,1))</f>
        <v>0.01</v>
      </c>
      <c r="U1013" s="36">
        <f>VLOOKUP(R1013,IF(P1013&lt;5,'Commission Criteria'!$L$3:$M$11,'Commission Criteria'!$P$3:$Q$11),2,1)</f>
        <v>0.01</v>
      </c>
      <c r="V1013" s="8" t="s">
        <v>40</v>
      </c>
      <c r="W1013" s="36">
        <f t="shared" ca="1" si="48"/>
        <v>0.03</v>
      </c>
      <c r="X1013" s="8" t="str">
        <f>_xlfn.XLOOKUP(F1013,'Product List'!$B$1:$B$299,'Product List'!$A$1:$A$299)</f>
        <v>Newell 314</v>
      </c>
      <c r="Y1013" s="8"/>
      <c r="Z1013" s="8" t="str" cm="1">
        <f t="array" ref="Z1013:AD1013">_xlfn.XLOOKUP(D1013,'Customer Details'!$A$1:$A$17,'Customer Details'!$B$1:$F$17,"No such customer",0,1)</f>
        <v>Punj Lloyd Ltd.</v>
      </c>
      <c r="AA1013" s="8" t="str">
        <v>Box 3263</v>
      </c>
      <c r="AB1013" s="8" t="str">
        <v>South Windsor</v>
      </c>
      <c r="AC1013" s="8" t="str">
        <v>CT</v>
      </c>
      <c r="AD1013" s="8" t="str">
        <v>06074</v>
      </c>
    </row>
    <row r="1014" spans="1:30">
      <c r="A1014" s="8" t="s">
        <v>1005</v>
      </c>
      <c r="B1014" s="19">
        <v>42170</v>
      </c>
      <c r="C1014" s="8" t="s">
        <v>46</v>
      </c>
      <c r="D1014" s="8">
        <v>10004</v>
      </c>
      <c r="E1014" s="8" t="str">
        <f>VLOOKUP($D1014,'Customer Details'!$A$1:$F$17,4,FALSE)</f>
        <v>New York</v>
      </c>
      <c r="F1014" s="8" t="s">
        <v>416</v>
      </c>
      <c r="G1014" s="8">
        <v>2</v>
      </c>
      <c r="H1014" s="2" t="str">
        <f>VLOOKUP($D1014,'Customer Details'!$A$1:$F$17,MATCH('Order SUmmary'!H$2,'Customer Details'!$A$1:$F$1,0),0)</f>
        <v>Lupin Ltd.</v>
      </c>
      <c r="I1014" s="2" t="str">
        <f>VLOOKUP($D1014,'Customer Details'!$A$1:$F$17,4,0)</f>
        <v>New York</v>
      </c>
      <c r="J1014" s="2" t="str">
        <f>VLOOKUP($D1014,'Customer Details'!$A$1:$F$17,6,0)</f>
        <v>10019</v>
      </c>
      <c r="K1014" s="8" t="str">
        <f>VLOOKUP(VLOOKUP(D1014,'Customer Details'!$A$1:$F$17,5,0),'Region INfo'!$A$1:$C$52,3,0)</f>
        <v xml:space="preserve">Northern </v>
      </c>
      <c r="L1014" s="8" t="str">
        <f>INDEX(Product_List,MATCH($F1014,'Product List'!$B$1:$B$299,0),MATCH('Order SUmmary'!L$2,'Product List'!$A$1:$E$1,0))</f>
        <v>Newell 314</v>
      </c>
      <c r="M1014" s="8">
        <f>INDEX(Product_List,MATCH($F1014,'Product List'!$B$1:$B$299,0),MATCH('Order SUmmary'!M$2,'Product List'!$A$1:$E$1,0))</f>
        <v>3458</v>
      </c>
      <c r="N1014" s="8">
        <f>INDEX(Product_List,MATCH($F1014,'Product List'!$B$1:$B$299,0),MATCH('Order SUmmary'!N$2,'Product List'!$A$1:$E$1,0))</f>
        <v>1684</v>
      </c>
      <c r="O1014" s="8" t="str">
        <f>INDEX(Product_List,MATCH($F1014,'Product List'!$B$1:$B$299,0),MATCH('Order SUmmary'!O$2,'Product List'!$A$1:$E$1,0))</f>
        <v>Art</v>
      </c>
      <c r="P1014" s="12">
        <f>HLOOKUP(C1014,'Commission Criteria'!$A$2:$I$4,3,FALSE)</f>
        <v>8</v>
      </c>
      <c r="Q1014" s="8">
        <f t="shared" si="46"/>
        <v>3368</v>
      </c>
      <c r="R1014" s="8">
        <f t="shared" si="47"/>
        <v>6916</v>
      </c>
      <c r="S1014" s="36">
        <f>VLOOKUP(R1014,'Commission Criteria'!$L$3:$M$11,2,TRUE)</f>
        <v>0.03</v>
      </c>
      <c r="T1014" s="36">
        <f>IF(P1014&lt;5,VLOOKUP(R1014,'Commission Criteria'!$L$3:$M$11,2,1),VLOOKUP('Order SUmmary'!R1014,'Commission Criteria'!$P$3:$Q$11,2,1))</f>
        <v>0.02</v>
      </c>
      <c r="U1014" s="36">
        <f>VLOOKUP(R1014,IF(P1014&lt;5,'Commission Criteria'!$L$3:$M$11,'Commission Criteria'!$P$3:$Q$11),2,1)</f>
        <v>0.02</v>
      </c>
      <c r="V1014" s="8" t="s">
        <v>40</v>
      </c>
      <c r="W1014" s="36">
        <f t="shared" ca="1" si="48"/>
        <v>0.03</v>
      </c>
      <c r="X1014" s="8" t="str">
        <f>_xlfn.XLOOKUP(F1014,'Product List'!$B$1:$B$299,'Product List'!$A$1:$A$299)</f>
        <v>Newell 314</v>
      </c>
      <c r="Y1014" s="8"/>
      <c r="Z1014" s="8" t="str" cm="1">
        <f t="array" ref="Z1014:AD1014">_xlfn.XLOOKUP(D1014,'Customer Details'!$A$1:$A$17,'Customer Details'!$B$1:$F$17,"No such customer",0,1)</f>
        <v>Lupin Ltd.</v>
      </c>
      <c r="AA1014" s="8" t="str">
        <v>Abbey Wood</v>
      </c>
      <c r="AB1014" s="8" t="str">
        <v>New York</v>
      </c>
      <c r="AC1014" s="8" t="str">
        <v>NY</v>
      </c>
      <c r="AD1014" s="8" t="str">
        <v>10019</v>
      </c>
    </row>
    <row r="1015" spans="1:30">
      <c r="A1015" s="8" t="s">
        <v>1005</v>
      </c>
      <c r="B1015" s="19">
        <v>42170</v>
      </c>
      <c r="C1015" s="8" t="s">
        <v>66</v>
      </c>
      <c r="D1015" s="8">
        <v>10007</v>
      </c>
      <c r="E1015" s="8" t="str">
        <f>VLOOKUP($D1015,'Customer Details'!$A$1:$F$17,4,FALSE)</f>
        <v>Richmond</v>
      </c>
      <c r="F1015" s="8" t="s">
        <v>436</v>
      </c>
      <c r="G1015" s="8">
        <v>3</v>
      </c>
      <c r="H1015" s="2" t="str">
        <f>VLOOKUP($D1015,'Customer Details'!$A$1:$F$17,MATCH('Order SUmmary'!H$2,'Customer Details'!$A$1:$F$1,0),0)</f>
        <v>GHCL Ltd.</v>
      </c>
      <c r="I1015" s="2" t="str">
        <f>VLOOKUP($D1015,'Customer Details'!$A$1:$F$17,4,0)</f>
        <v>Richmond</v>
      </c>
      <c r="J1015" s="2" t="str">
        <f>VLOOKUP($D1015,'Customer Details'!$A$1:$F$17,6,0)</f>
        <v>94805</v>
      </c>
      <c r="K1015" s="8" t="str">
        <f>VLOOKUP(VLOOKUP(D1015,'Customer Details'!$A$1:$F$17,5,0),'Region INfo'!$A$1:$C$52,3,0)</f>
        <v xml:space="preserve">Pacific   </v>
      </c>
      <c r="L1015" s="8" t="str">
        <f>INDEX(Product_List,MATCH($F1015,'Product List'!$B$1:$B$299,0),MATCH('Order SUmmary'!L$2,'Product List'!$A$1:$E$1,0))</f>
        <v>Newell 338</v>
      </c>
      <c r="M1015" s="8">
        <f>INDEX(Product_List,MATCH($F1015,'Product List'!$B$1:$B$299,0),MATCH('Order SUmmary'!M$2,'Product List'!$A$1:$E$1,0))</f>
        <v>3686</v>
      </c>
      <c r="N1015" s="8">
        <f>INDEX(Product_List,MATCH($F1015,'Product List'!$B$1:$B$299,0),MATCH('Order SUmmary'!N$2,'Product List'!$A$1:$E$1,0))</f>
        <v>2401</v>
      </c>
      <c r="O1015" s="8" t="str">
        <f>INDEX(Product_List,MATCH($F1015,'Product List'!$B$1:$B$299,0),MATCH('Order SUmmary'!O$2,'Product List'!$A$1:$E$1,0))</f>
        <v>Art</v>
      </c>
      <c r="P1015" s="12">
        <f>HLOOKUP(C1015,'Commission Criteria'!$A$2:$I$4,3,FALSE)</f>
        <v>5</v>
      </c>
      <c r="Q1015" s="8">
        <f t="shared" si="46"/>
        <v>7203</v>
      </c>
      <c r="R1015" s="8">
        <f t="shared" si="47"/>
        <v>11058</v>
      </c>
      <c r="S1015" s="36">
        <f>VLOOKUP(R1015,'Commission Criteria'!$L$3:$M$11,2,TRUE)</f>
        <v>0.03</v>
      </c>
      <c r="T1015" s="36">
        <f>IF(P1015&lt;5,VLOOKUP(R1015,'Commission Criteria'!$L$3:$M$11,2,1),VLOOKUP('Order SUmmary'!R1015,'Commission Criteria'!$P$3:$Q$11,2,1))</f>
        <v>0.02</v>
      </c>
      <c r="U1015" s="36">
        <f>VLOOKUP(R1015,IF(P1015&lt;5,'Commission Criteria'!$L$3:$M$11,'Commission Criteria'!$P$3:$Q$11),2,1)</f>
        <v>0.02</v>
      </c>
      <c r="V1015" s="8" t="s">
        <v>29</v>
      </c>
      <c r="W1015" s="36">
        <f t="shared" ca="1" si="48"/>
        <v>0.02</v>
      </c>
      <c r="X1015" s="8" t="str">
        <f>_xlfn.XLOOKUP(F1015,'Product List'!$B$1:$B$299,'Product List'!$A$1:$A$299)</f>
        <v>Newell 338</v>
      </c>
      <c r="Y1015" s="8"/>
      <c r="Z1015" s="8" t="str" cm="1">
        <f t="array" ref="Z1015:AD1015">_xlfn.XLOOKUP(D1015,'Customer Details'!$A$1:$A$17,'Customer Details'!$B$1:$F$17,"No such customer",0,1)</f>
        <v>GHCL Ltd.</v>
      </c>
      <c r="AA1015" s="8" t="str">
        <v>58 Clarence St</v>
      </c>
      <c r="AB1015" s="8" t="str">
        <v>Richmond</v>
      </c>
      <c r="AC1015" s="8" t="str">
        <v>CA</v>
      </c>
      <c r="AD1015" s="8" t="str">
        <v>94805</v>
      </c>
    </row>
    <row r="1016" spans="1:30">
      <c r="A1016" s="8" t="s">
        <v>1006</v>
      </c>
      <c r="B1016" s="19">
        <v>42171</v>
      </c>
      <c r="C1016" s="8" t="s">
        <v>46</v>
      </c>
      <c r="D1016" s="8">
        <v>10002</v>
      </c>
      <c r="E1016" s="8" t="str">
        <f>VLOOKUP($D1016,'Customer Details'!$A$1:$F$17,4,FALSE)</f>
        <v>Omaha</v>
      </c>
      <c r="F1016" s="8" t="s">
        <v>211</v>
      </c>
      <c r="G1016" s="8">
        <v>1</v>
      </c>
      <c r="H1016" s="2" t="str">
        <f>VLOOKUP($D1016,'Customer Details'!$A$1:$F$17,MATCH('Order SUmmary'!H$2,'Customer Details'!$A$1:$F$1,0),0)</f>
        <v>Elder Pharmaceuticals</v>
      </c>
      <c r="I1016" s="2" t="str">
        <f>VLOOKUP($D1016,'Customer Details'!$A$1:$F$17,4,0)</f>
        <v>Omaha</v>
      </c>
      <c r="J1016" s="2" t="str">
        <f>VLOOKUP($D1016,'Customer Details'!$A$1:$F$17,6,0)</f>
        <v>68127</v>
      </c>
      <c r="K1016" s="8" t="str">
        <f>VLOOKUP(VLOOKUP(D1016,'Customer Details'!$A$1:$F$17,5,0),'Region INfo'!$A$1:$C$52,3,0)</f>
        <v>Western</v>
      </c>
      <c r="L1016" s="8" t="str">
        <f>INDEX(Product_List,MATCH($F1016,'Product List'!$B$1:$B$299,0),MATCH('Order SUmmary'!L$2,'Product List'!$A$1:$E$1,0))</f>
        <v>Xerox 1993</v>
      </c>
      <c r="M1016" s="8">
        <f>INDEX(Product_List,MATCH($F1016,'Product List'!$B$1:$B$299,0),MATCH('Order SUmmary'!M$2,'Product List'!$A$1:$E$1,0))</f>
        <v>4610</v>
      </c>
      <c r="N1016" s="8">
        <f>INDEX(Product_List,MATCH($F1016,'Product List'!$B$1:$B$299,0),MATCH('Order SUmmary'!N$2,'Product List'!$A$1:$E$1,0))</f>
        <v>2176</v>
      </c>
      <c r="O1016" s="8" t="str">
        <f>INDEX(Product_List,MATCH($F1016,'Product List'!$B$1:$B$299,0),MATCH('Order SUmmary'!O$2,'Product List'!$A$1:$E$1,0))</f>
        <v>Paper</v>
      </c>
      <c r="P1016" s="12">
        <f>HLOOKUP(C1016,'Commission Criteria'!$A$2:$I$4,3,FALSE)</f>
        <v>8</v>
      </c>
      <c r="Q1016" s="8">
        <f t="shared" si="46"/>
        <v>2176</v>
      </c>
      <c r="R1016" s="8">
        <f t="shared" si="47"/>
        <v>4610</v>
      </c>
      <c r="S1016" s="36">
        <f>VLOOKUP(R1016,'Commission Criteria'!$L$3:$M$11,2,TRUE)</f>
        <v>0.01</v>
      </c>
      <c r="T1016" s="36">
        <f>IF(P1016&lt;5,VLOOKUP(R1016,'Commission Criteria'!$L$3:$M$11,2,1),VLOOKUP('Order SUmmary'!R1016,'Commission Criteria'!$P$3:$Q$11,2,1))</f>
        <v>0.02</v>
      </c>
      <c r="U1016" s="36">
        <f>VLOOKUP(R1016,IF(P1016&lt;5,'Commission Criteria'!$L$3:$M$11,'Commission Criteria'!$P$3:$Q$11),2,1)</f>
        <v>0.02</v>
      </c>
      <c r="V1016" s="8" t="s">
        <v>43</v>
      </c>
      <c r="W1016" s="36">
        <f t="shared" ca="1" si="48"/>
        <v>0</v>
      </c>
      <c r="X1016" s="8" t="str">
        <f>_xlfn.XLOOKUP(F1016,'Product List'!$B$1:$B$299,'Product List'!$A$1:$A$299)</f>
        <v>Xerox 1993</v>
      </c>
      <c r="Y1016" s="8"/>
      <c r="Z1016" s="8" t="str" cm="1">
        <f t="array" ref="Z1016:AD1016">_xlfn.XLOOKUP(D1016,'Customer Details'!$A$1:$A$17,'Customer Details'!$B$1:$F$17,"No such customer",0,1)</f>
        <v>Elder Pharmaceuticals</v>
      </c>
      <c r="AA1016" s="8" t="str">
        <v>57 Neriba Cres</v>
      </c>
      <c r="AB1016" s="8" t="str">
        <v>Omaha</v>
      </c>
      <c r="AC1016" s="8" t="str">
        <v>NE</v>
      </c>
      <c r="AD1016" s="8" t="str">
        <v>68127</v>
      </c>
    </row>
    <row r="1017" spans="1:30">
      <c r="A1017" s="8" t="s">
        <v>1007</v>
      </c>
      <c r="B1017" s="19">
        <v>42171</v>
      </c>
      <c r="C1017" s="8" t="s">
        <v>27</v>
      </c>
      <c r="D1017" s="8">
        <v>10014</v>
      </c>
      <c r="E1017" s="8" t="str">
        <f>VLOOKUP($D1017,'Customer Details'!$A$1:$F$17,4,FALSE)</f>
        <v>Honolulu</v>
      </c>
      <c r="F1017" s="8" t="s">
        <v>284</v>
      </c>
      <c r="G1017" s="8">
        <v>3</v>
      </c>
      <c r="H1017" s="2" t="str">
        <f>VLOOKUP($D1017,'Customer Details'!$A$1:$F$17,MATCH('Order SUmmary'!H$2,'Customer Details'!$A$1:$F$1,0),0)</f>
        <v>Hindusthan National Glass &amp; Industries Ltd.</v>
      </c>
      <c r="I1017" s="2" t="str">
        <f>VLOOKUP($D1017,'Customer Details'!$A$1:$F$17,4,0)</f>
        <v>Honolulu</v>
      </c>
      <c r="J1017" s="2" t="str">
        <f>VLOOKUP($D1017,'Customer Details'!$A$1:$F$17,6,0)</f>
        <v>96825</v>
      </c>
      <c r="K1017" s="8" t="str">
        <f>VLOOKUP(VLOOKUP(D1017,'Customer Details'!$A$1:$F$17,5,0),'Region INfo'!$A$1:$C$52,3,0)</f>
        <v xml:space="preserve">Pacific   </v>
      </c>
      <c r="L1017" s="8" t="str">
        <f>INDEX(Product_List,MATCH($F1017,'Product List'!$B$1:$B$299,0),MATCH('Order SUmmary'!L$2,'Product List'!$A$1:$E$1,0))</f>
        <v>Xerox 1986</v>
      </c>
      <c r="M1017" s="8">
        <f>INDEX(Product_List,MATCH($F1017,'Product List'!$B$1:$B$299,0),MATCH('Order SUmmary'!M$2,'Product List'!$A$1:$E$1,0))</f>
        <v>2889</v>
      </c>
      <c r="N1017" s="8">
        <f>INDEX(Product_List,MATCH($F1017,'Product List'!$B$1:$B$299,0),MATCH('Order SUmmary'!N$2,'Product List'!$A$1:$E$1,0))</f>
        <v>1384</v>
      </c>
      <c r="O1017" s="8" t="str">
        <f>INDEX(Product_List,MATCH($F1017,'Product List'!$B$1:$B$299,0),MATCH('Order SUmmary'!O$2,'Product List'!$A$1:$E$1,0))</f>
        <v>Paper</v>
      </c>
      <c r="P1017" s="12">
        <f>HLOOKUP(C1017,'Commission Criteria'!$A$2:$I$4,3,FALSE)</f>
        <v>4</v>
      </c>
      <c r="Q1017" s="8">
        <f t="shared" si="46"/>
        <v>4152</v>
      </c>
      <c r="R1017" s="8">
        <f t="shared" si="47"/>
        <v>8667</v>
      </c>
      <c r="S1017" s="36">
        <f>VLOOKUP(R1017,'Commission Criteria'!$L$3:$M$11,2,TRUE)</f>
        <v>0.03</v>
      </c>
      <c r="T1017" s="36">
        <f>IF(P1017&lt;5,VLOOKUP(R1017,'Commission Criteria'!$L$3:$M$11,2,1),VLOOKUP('Order SUmmary'!R1017,'Commission Criteria'!$P$3:$Q$11,2,1))</f>
        <v>0.03</v>
      </c>
      <c r="U1017" s="36">
        <f>VLOOKUP(R1017,IF(P1017&lt;5,'Commission Criteria'!$L$3:$M$11,'Commission Criteria'!$P$3:$Q$11),2,1)</f>
        <v>0.03</v>
      </c>
      <c r="V1017" s="8" t="s">
        <v>29</v>
      </c>
      <c r="W1017" s="36">
        <f t="shared" ca="1" si="48"/>
        <v>0.03</v>
      </c>
      <c r="X1017" s="8" t="str">
        <f>_xlfn.XLOOKUP(F1017,'Product List'!$B$1:$B$299,'Product List'!$A$1:$A$299)</f>
        <v>Xerox 1986</v>
      </c>
      <c r="Y1017" s="8"/>
      <c r="Z1017" s="8" t="str" cm="1">
        <f t="array" ref="Z1017:AD1017">_xlfn.XLOOKUP(D1017,'Customer Details'!$A$1:$A$17,'Customer Details'!$B$1:$F$17,"No such customer",0,1)</f>
        <v>Hindusthan National Glass &amp; Industries Ltd.</v>
      </c>
      <c r="AA1017" s="8" t="str">
        <v>11 Cathy St.</v>
      </c>
      <c r="AB1017" s="8" t="str">
        <v>Honolulu</v>
      </c>
      <c r="AC1017" s="8" t="str">
        <v>HI</v>
      </c>
      <c r="AD1017" s="8" t="str">
        <v>96825</v>
      </c>
    </row>
    <row r="1018" spans="1:30">
      <c r="A1018" s="8" t="s">
        <v>1008</v>
      </c>
      <c r="B1018" s="19">
        <v>42172</v>
      </c>
      <c r="C1018" s="8" t="s">
        <v>66</v>
      </c>
      <c r="D1018" s="8">
        <v>10007</v>
      </c>
      <c r="E1018" s="8" t="str">
        <f>VLOOKUP($D1018,'Customer Details'!$A$1:$F$17,4,FALSE)</f>
        <v>Richmond</v>
      </c>
      <c r="F1018" s="8" t="s">
        <v>45</v>
      </c>
      <c r="G1018" s="8">
        <v>1</v>
      </c>
      <c r="H1018" s="2" t="str">
        <f>VLOOKUP($D1018,'Customer Details'!$A$1:$F$17,MATCH('Order SUmmary'!H$2,'Customer Details'!$A$1:$F$1,0),0)</f>
        <v>GHCL Ltd.</v>
      </c>
      <c r="I1018" s="2" t="str">
        <f>VLOOKUP($D1018,'Customer Details'!$A$1:$F$17,4,0)</f>
        <v>Richmond</v>
      </c>
      <c r="J1018" s="2" t="str">
        <f>VLOOKUP($D1018,'Customer Details'!$A$1:$F$17,6,0)</f>
        <v>94805</v>
      </c>
      <c r="K1018" s="8" t="str">
        <f>VLOOKUP(VLOOKUP(D1018,'Customer Details'!$A$1:$F$17,5,0),'Region INfo'!$A$1:$C$52,3,0)</f>
        <v xml:space="preserve">Pacific   </v>
      </c>
      <c r="L1018" s="8" t="str">
        <f>INDEX(Product_List,MATCH($F1018,'Product List'!$B$1:$B$299,0),MATCH('Order SUmmary'!L$2,'Product List'!$A$1:$E$1,0))</f>
        <v>Avery 486</v>
      </c>
      <c r="M1018" s="8">
        <f>INDEX(Product_List,MATCH($F1018,'Product List'!$B$1:$B$299,0),MATCH('Order SUmmary'!M$2,'Product List'!$A$1:$E$1,0))</f>
        <v>4914</v>
      </c>
      <c r="N1018" s="8">
        <f>INDEX(Product_List,MATCH($F1018,'Product List'!$B$1:$B$299,0),MATCH('Order SUmmary'!N$2,'Product List'!$A$1:$E$1,0))</f>
        <v>1632</v>
      </c>
      <c r="O1018" s="8" t="str">
        <f>INDEX(Product_List,MATCH($F1018,'Product List'!$B$1:$B$299,0),MATCH('Order SUmmary'!O$2,'Product List'!$A$1:$E$1,0))</f>
        <v>Labels</v>
      </c>
      <c r="P1018" s="12">
        <f>HLOOKUP(C1018,'Commission Criteria'!$A$2:$I$4,3,FALSE)</f>
        <v>5</v>
      </c>
      <c r="Q1018" s="8">
        <f t="shared" si="46"/>
        <v>1632</v>
      </c>
      <c r="R1018" s="8">
        <f t="shared" si="47"/>
        <v>4914</v>
      </c>
      <c r="S1018" s="36">
        <f>VLOOKUP(R1018,'Commission Criteria'!$L$3:$M$11,2,TRUE)</f>
        <v>0.01</v>
      </c>
      <c r="T1018" s="36">
        <f>IF(P1018&lt;5,VLOOKUP(R1018,'Commission Criteria'!$L$3:$M$11,2,1),VLOOKUP('Order SUmmary'!R1018,'Commission Criteria'!$P$3:$Q$11,2,1))</f>
        <v>0.02</v>
      </c>
      <c r="U1018" s="36">
        <f>VLOOKUP(R1018,IF(P1018&lt;5,'Commission Criteria'!$L$3:$M$11,'Commission Criteria'!$P$3:$Q$11),2,1)</f>
        <v>0.02</v>
      </c>
      <c r="V1018" s="8" t="s">
        <v>35</v>
      </c>
      <c r="W1018" s="36">
        <f t="shared" ca="1" si="48"/>
        <v>0.04</v>
      </c>
      <c r="X1018" s="8" t="str">
        <f>_xlfn.XLOOKUP(F1018,'Product List'!$B$1:$B$299,'Product List'!$A$1:$A$299)</f>
        <v>Avery 486</v>
      </c>
      <c r="Y1018" s="8"/>
      <c r="Z1018" s="8" t="str" cm="1">
        <f t="array" ref="Z1018:AD1018">_xlfn.XLOOKUP(D1018,'Customer Details'!$A$1:$A$17,'Customer Details'!$B$1:$F$17,"No such customer",0,1)</f>
        <v>GHCL Ltd.</v>
      </c>
      <c r="AA1018" s="8" t="str">
        <v>58 Clarence St</v>
      </c>
      <c r="AB1018" s="8" t="str">
        <v>Richmond</v>
      </c>
      <c r="AC1018" s="8" t="str">
        <v>CA</v>
      </c>
      <c r="AD1018" s="8" t="str">
        <v>94805</v>
      </c>
    </row>
    <row r="1019" spans="1:30">
      <c r="A1019" s="8" t="s">
        <v>1008</v>
      </c>
      <c r="B1019" s="19">
        <v>42172</v>
      </c>
      <c r="C1019" s="8" t="s">
        <v>27</v>
      </c>
      <c r="D1019" s="8">
        <v>10004</v>
      </c>
      <c r="E1019" s="8" t="str">
        <f>VLOOKUP($D1019,'Customer Details'!$A$1:$F$17,4,FALSE)</f>
        <v>New York</v>
      </c>
      <c r="F1019" s="8" t="s">
        <v>539</v>
      </c>
      <c r="G1019" s="8">
        <v>2</v>
      </c>
      <c r="H1019" s="2" t="str">
        <f>VLOOKUP($D1019,'Customer Details'!$A$1:$F$17,MATCH('Order SUmmary'!H$2,'Customer Details'!$A$1:$F$1,0),0)</f>
        <v>Lupin Ltd.</v>
      </c>
      <c r="I1019" s="2" t="str">
        <f>VLOOKUP($D1019,'Customer Details'!$A$1:$F$17,4,0)</f>
        <v>New York</v>
      </c>
      <c r="J1019" s="2" t="str">
        <f>VLOOKUP($D1019,'Customer Details'!$A$1:$F$17,6,0)</f>
        <v>10019</v>
      </c>
      <c r="K1019" s="8" t="str">
        <f>VLOOKUP(VLOOKUP(D1019,'Customer Details'!$A$1:$F$17,5,0),'Region INfo'!$A$1:$C$52,3,0)</f>
        <v xml:space="preserve">Northern </v>
      </c>
      <c r="L1019" s="8" t="str">
        <f>INDEX(Product_List,MATCH($F1019,'Product List'!$B$1:$B$299,0),MATCH('Order SUmmary'!L$2,'Product List'!$A$1:$E$1,0))</f>
        <v>Xerox 220</v>
      </c>
      <c r="M1019" s="8">
        <f>INDEX(Product_List,MATCH($F1019,'Product List'!$B$1:$B$299,0),MATCH('Order SUmmary'!M$2,'Product List'!$A$1:$E$1,0))</f>
        <v>2714</v>
      </c>
      <c r="N1019" s="8">
        <f>INDEX(Product_List,MATCH($F1019,'Product List'!$B$1:$B$299,0),MATCH('Order SUmmary'!N$2,'Product List'!$A$1:$E$1,0))</f>
        <v>1975</v>
      </c>
      <c r="O1019" s="8" t="str">
        <f>INDEX(Product_List,MATCH($F1019,'Product List'!$B$1:$B$299,0),MATCH('Order SUmmary'!O$2,'Product List'!$A$1:$E$1,0))</f>
        <v>Paper</v>
      </c>
      <c r="P1019" s="12">
        <f>HLOOKUP(C1019,'Commission Criteria'!$A$2:$I$4,3,FALSE)</f>
        <v>4</v>
      </c>
      <c r="Q1019" s="8">
        <f t="shared" si="46"/>
        <v>3950</v>
      </c>
      <c r="R1019" s="8">
        <f t="shared" si="47"/>
        <v>5428</v>
      </c>
      <c r="S1019" s="36">
        <f>VLOOKUP(R1019,'Commission Criteria'!$L$3:$M$11,2,TRUE)</f>
        <v>0.03</v>
      </c>
      <c r="T1019" s="36">
        <f>IF(P1019&lt;5,VLOOKUP(R1019,'Commission Criteria'!$L$3:$M$11,2,1),VLOOKUP('Order SUmmary'!R1019,'Commission Criteria'!$P$3:$Q$11,2,1))</f>
        <v>0.03</v>
      </c>
      <c r="U1019" s="36">
        <f>VLOOKUP(R1019,IF(P1019&lt;5,'Commission Criteria'!$L$3:$M$11,'Commission Criteria'!$P$3:$Q$11),2,1)</f>
        <v>0.03</v>
      </c>
      <c r="V1019" s="8" t="s">
        <v>43</v>
      </c>
      <c r="W1019" s="36">
        <f t="shared" ca="1" si="48"/>
        <v>0.04</v>
      </c>
      <c r="X1019" s="8" t="str">
        <f>_xlfn.XLOOKUP(F1019,'Product List'!$B$1:$B$299,'Product List'!$A$1:$A$299)</f>
        <v>Xerox 220</v>
      </c>
      <c r="Y1019" s="8"/>
      <c r="Z1019" s="8" t="str" cm="1">
        <f t="array" ref="Z1019:AD1019">_xlfn.XLOOKUP(D1019,'Customer Details'!$A$1:$A$17,'Customer Details'!$B$1:$F$17,"No such customer",0,1)</f>
        <v>Lupin Ltd.</v>
      </c>
      <c r="AA1019" s="8" t="str">
        <v>Abbey Wood</v>
      </c>
      <c r="AB1019" s="8" t="str">
        <v>New York</v>
      </c>
      <c r="AC1019" s="8" t="str">
        <v>NY</v>
      </c>
      <c r="AD1019" s="8" t="str">
        <v>10019</v>
      </c>
    </row>
    <row r="1020" spans="1:30">
      <c r="A1020" s="8" t="s">
        <v>1009</v>
      </c>
      <c r="B1020" s="19">
        <v>42172</v>
      </c>
      <c r="C1020" s="8" t="s">
        <v>51</v>
      </c>
      <c r="D1020" s="8">
        <v>10008</v>
      </c>
      <c r="E1020" s="8" t="str">
        <f>VLOOKUP($D1020,'Customer Details'!$A$1:$F$17,4,FALSE)</f>
        <v>Chestnut Ridge</v>
      </c>
      <c r="F1020" s="8" t="s">
        <v>263</v>
      </c>
      <c r="G1020" s="8">
        <v>2</v>
      </c>
      <c r="H1020" s="2" t="str">
        <f>VLOOKUP($D1020,'Customer Details'!$A$1:$F$17,MATCH('Order SUmmary'!H$2,'Customer Details'!$A$1:$F$1,0),0)</f>
        <v>Reliance Industries Limited</v>
      </c>
      <c r="I1020" s="2" t="str">
        <f>VLOOKUP($D1020,'Customer Details'!$A$1:$F$17,4,0)</f>
        <v>Chestnut Ridge</v>
      </c>
      <c r="J1020" s="2" t="str">
        <f>VLOOKUP($D1020,'Customer Details'!$A$1:$F$17,6,0)</f>
        <v>10977</v>
      </c>
      <c r="K1020" s="8" t="str">
        <f>VLOOKUP(VLOOKUP(D1020,'Customer Details'!$A$1:$F$17,5,0),'Region INfo'!$A$1:$C$52,3,0)</f>
        <v xml:space="preserve">Northern </v>
      </c>
      <c r="L1020" s="8" t="str">
        <f>INDEX(Product_List,MATCH($F1020,'Product List'!$B$1:$B$299,0),MATCH('Order SUmmary'!L$2,'Product List'!$A$1:$E$1,0))</f>
        <v>Xerox 1976</v>
      </c>
      <c r="M1020" s="8">
        <f>INDEX(Product_List,MATCH($F1020,'Product List'!$B$1:$B$299,0),MATCH('Order SUmmary'!M$2,'Product List'!$A$1:$E$1,0))</f>
        <v>3479</v>
      </c>
      <c r="N1020" s="8">
        <f>INDEX(Product_List,MATCH($F1020,'Product List'!$B$1:$B$299,0),MATCH('Order SUmmary'!N$2,'Product List'!$A$1:$E$1,0))</f>
        <v>2056</v>
      </c>
      <c r="O1020" s="8" t="str">
        <f>INDEX(Product_List,MATCH($F1020,'Product List'!$B$1:$B$299,0),MATCH('Order SUmmary'!O$2,'Product List'!$A$1:$E$1,0))</f>
        <v>Paper</v>
      </c>
      <c r="P1020" s="12">
        <f>HLOOKUP(C1020,'Commission Criteria'!$A$2:$I$4,3,FALSE)</f>
        <v>10</v>
      </c>
      <c r="Q1020" s="8">
        <f t="shared" si="46"/>
        <v>4112</v>
      </c>
      <c r="R1020" s="8">
        <f t="shared" si="47"/>
        <v>6958</v>
      </c>
      <c r="S1020" s="36">
        <f>VLOOKUP(R1020,'Commission Criteria'!$L$3:$M$11,2,TRUE)</f>
        <v>0.03</v>
      </c>
      <c r="T1020" s="36">
        <f>IF(P1020&lt;5,VLOOKUP(R1020,'Commission Criteria'!$L$3:$M$11,2,1),VLOOKUP('Order SUmmary'!R1020,'Commission Criteria'!$P$3:$Q$11,2,1))</f>
        <v>0.02</v>
      </c>
      <c r="U1020" s="36">
        <f>VLOOKUP(R1020,IF(P1020&lt;5,'Commission Criteria'!$L$3:$M$11,'Commission Criteria'!$P$3:$Q$11),2,1)</f>
        <v>0.02</v>
      </c>
      <c r="V1020" s="8" t="s">
        <v>40</v>
      </c>
      <c r="W1020" s="36">
        <f t="shared" ca="1" si="48"/>
        <v>0.04</v>
      </c>
      <c r="X1020" s="8" t="str">
        <f>_xlfn.XLOOKUP(F1020,'Product List'!$B$1:$B$299,'Product List'!$A$1:$A$299)</f>
        <v>Xerox 1976</v>
      </c>
      <c r="Y1020" s="8"/>
      <c r="Z1020" s="8" t="str" cm="1">
        <f t="array" ref="Z1020:AD1020">_xlfn.XLOOKUP(D1020,'Customer Details'!$A$1:$A$17,'Customer Details'!$B$1:$F$17,"No such customer",0,1)</f>
        <v>Reliance Industries Limited</v>
      </c>
      <c r="AA1020" s="8" t="str">
        <v>12020 Shamrock Rd., Suite 333</v>
      </c>
      <c r="AB1020" s="8" t="str">
        <v>Chestnut Ridge</v>
      </c>
      <c r="AC1020" s="8" t="str">
        <v>NY</v>
      </c>
      <c r="AD1020" s="8" t="str">
        <v>10977</v>
      </c>
    </row>
    <row r="1021" spans="1:30">
      <c r="A1021" s="8" t="s">
        <v>1010</v>
      </c>
      <c r="B1021" s="19">
        <v>42173</v>
      </c>
      <c r="C1021" s="8" t="s">
        <v>27</v>
      </c>
      <c r="D1021" s="8">
        <v>10011</v>
      </c>
      <c r="E1021" s="8" t="str">
        <f>VLOOKUP($D1021,'Customer Details'!$A$1:$F$17,4,FALSE)</f>
        <v>Olympia</v>
      </c>
      <c r="F1021" s="8" t="s">
        <v>605</v>
      </c>
      <c r="G1021" s="8">
        <v>1</v>
      </c>
      <c r="H1021" s="2" t="str">
        <f>VLOOKUP($D1021,'Customer Details'!$A$1:$F$17,MATCH('Order SUmmary'!H$2,'Customer Details'!$A$1:$F$1,0),0)</f>
        <v>Sonata Software</v>
      </c>
      <c r="I1021" s="2" t="str">
        <f>VLOOKUP($D1021,'Customer Details'!$A$1:$F$17,4,0)</f>
        <v>Olympia</v>
      </c>
      <c r="J1021" s="2" t="str">
        <f>VLOOKUP($D1021,'Customer Details'!$A$1:$F$17,6,0)</f>
        <v>98502</v>
      </c>
      <c r="K1021" s="8" t="str">
        <f>VLOOKUP(VLOOKUP(D1021,'Customer Details'!$A$1:$F$17,5,0),'Region INfo'!$A$1:$C$52,3,0)</f>
        <v xml:space="preserve">Pacific   </v>
      </c>
      <c r="L1021" s="8" t="str">
        <f>INDEX(Product_List,MATCH($F1021,'Product List'!$B$1:$B$299,0),MATCH('Order SUmmary'!L$2,'Product List'!$A$1:$E$1,0))</f>
        <v>Pyle PMP37LED</v>
      </c>
      <c r="M1021" s="8">
        <f>INDEX(Product_List,MATCH($F1021,'Product List'!$B$1:$B$299,0),MATCH('Order SUmmary'!M$2,'Product List'!$A$1:$E$1,0))</f>
        <v>2808</v>
      </c>
      <c r="N1021" s="8">
        <f>INDEX(Product_List,MATCH($F1021,'Product List'!$B$1:$B$299,0),MATCH('Order SUmmary'!N$2,'Product List'!$A$1:$E$1,0))</f>
        <v>1759</v>
      </c>
      <c r="O1021" s="8" t="str">
        <f>INDEX(Product_List,MATCH($F1021,'Product List'!$B$1:$B$299,0),MATCH('Order SUmmary'!O$2,'Product List'!$A$1:$E$1,0))</f>
        <v>Phones</v>
      </c>
      <c r="P1021" s="12">
        <f>HLOOKUP(C1021,'Commission Criteria'!$A$2:$I$4,3,FALSE)</f>
        <v>4</v>
      </c>
      <c r="Q1021" s="8">
        <f t="shared" si="46"/>
        <v>1759</v>
      </c>
      <c r="R1021" s="8">
        <f t="shared" si="47"/>
        <v>2808</v>
      </c>
      <c r="S1021" s="36">
        <f>VLOOKUP(R1021,'Commission Criteria'!$L$3:$M$11,2,TRUE)</f>
        <v>0.01</v>
      </c>
      <c r="T1021" s="36">
        <f>IF(P1021&lt;5,VLOOKUP(R1021,'Commission Criteria'!$L$3:$M$11,2,1),VLOOKUP('Order SUmmary'!R1021,'Commission Criteria'!$P$3:$Q$11,2,1))</f>
        <v>0.01</v>
      </c>
      <c r="U1021" s="36">
        <f>VLOOKUP(R1021,IF(P1021&lt;5,'Commission Criteria'!$L$3:$M$11,'Commission Criteria'!$P$3:$Q$11),2,1)</f>
        <v>0.01</v>
      </c>
      <c r="V1021" s="8" t="s">
        <v>43</v>
      </c>
      <c r="W1021" s="36">
        <f t="shared" ca="1" si="48"/>
        <v>0.01</v>
      </c>
      <c r="X1021" s="8" t="str">
        <f>_xlfn.XLOOKUP(F1021,'Product List'!$B$1:$B$299,'Product List'!$A$1:$A$299)</f>
        <v>Pyle PMP37LED</v>
      </c>
      <c r="Y1021" s="8"/>
      <c r="Z1021" s="8" t="str" cm="1">
        <f t="array" ref="Z1021:AD1021">_xlfn.XLOOKUP(D1021,'Customer Details'!$A$1:$A$17,'Customer Details'!$B$1:$F$17,"No such customer",0,1)</f>
        <v>Sonata Software</v>
      </c>
      <c r="AA1021" s="8" t="str">
        <v>1331 Kimberly Dr.</v>
      </c>
      <c r="AB1021" s="8" t="str">
        <v>Olympia</v>
      </c>
      <c r="AC1021" s="8" t="str">
        <v>WA</v>
      </c>
      <c r="AD1021" s="8" t="str">
        <v>98502</v>
      </c>
    </row>
    <row r="1022" spans="1:30">
      <c r="A1022" s="8" t="s">
        <v>1011</v>
      </c>
      <c r="B1022" s="19">
        <v>42173</v>
      </c>
      <c r="C1022" s="8" t="s">
        <v>33</v>
      </c>
      <c r="D1022" s="8">
        <v>10012</v>
      </c>
      <c r="E1022" s="8" t="str">
        <f>VLOOKUP($D1022,'Customer Details'!$A$1:$F$17,4,FALSE)</f>
        <v>Santa Barbara</v>
      </c>
      <c r="F1022" s="8" t="s">
        <v>510</v>
      </c>
      <c r="G1022" s="8">
        <v>1</v>
      </c>
      <c r="H1022" s="2" t="str">
        <f>VLOOKUP($D1022,'Customer Details'!$A$1:$F$17,MATCH('Order SUmmary'!H$2,'Customer Details'!$A$1:$F$1,0),0)</f>
        <v>Dynamatic Technologies Ltd.</v>
      </c>
      <c r="I1022" s="2" t="str">
        <f>VLOOKUP($D1022,'Customer Details'!$A$1:$F$17,4,0)</f>
        <v>Santa Barbara</v>
      </c>
      <c r="J1022" s="2" t="str">
        <f>VLOOKUP($D1022,'Customer Details'!$A$1:$F$17,6,0)</f>
        <v>93110</v>
      </c>
      <c r="K1022" s="8" t="str">
        <f>VLOOKUP(VLOOKUP(D1022,'Customer Details'!$A$1:$F$17,5,0),'Region INfo'!$A$1:$C$52,3,0)</f>
        <v xml:space="preserve">Pacific   </v>
      </c>
      <c r="L1022" s="8" t="str">
        <f>INDEX(Product_List,MATCH($F1022,'Product List'!$B$1:$B$299,0),MATCH('Order SUmmary'!L$2,'Product List'!$A$1:$E$1,0))</f>
        <v>Avery 507</v>
      </c>
      <c r="M1022" s="8">
        <f>INDEX(Product_List,MATCH($F1022,'Product List'!$B$1:$B$299,0),MATCH('Order SUmmary'!M$2,'Product List'!$A$1:$E$1,0))</f>
        <v>3473</v>
      </c>
      <c r="N1022" s="8">
        <f>INDEX(Product_List,MATCH($F1022,'Product List'!$B$1:$B$299,0),MATCH('Order SUmmary'!N$2,'Product List'!$A$1:$E$1,0))</f>
        <v>1493</v>
      </c>
      <c r="O1022" s="8" t="str">
        <f>INDEX(Product_List,MATCH($F1022,'Product List'!$B$1:$B$299,0),MATCH('Order SUmmary'!O$2,'Product List'!$A$1:$E$1,0))</f>
        <v>Labels</v>
      </c>
      <c r="P1022" s="12">
        <f>HLOOKUP(C1022,'Commission Criteria'!$A$2:$I$4,3,FALSE)</f>
        <v>1</v>
      </c>
      <c r="Q1022" s="8">
        <f t="shared" si="46"/>
        <v>1493</v>
      </c>
      <c r="R1022" s="8">
        <f t="shared" si="47"/>
        <v>3473</v>
      </c>
      <c r="S1022" s="36">
        <f>VLOOKUP(R1022,'Commission Criteria'!$L$3:$M$11,2,TRUE)</f>
        <v>0.01</v>
      </c>
      <c r="T1022" s="36">
        <f>IF(P1022&lt;5,VLOOKUP(R1022,'Commission Criteria'!$L$3:$M$11,2,1),VLOOKUP('Order SUmmary'!R1022,'Commission Criteria'!$P$3:$Q$11,2,1))</f>
        <v>0.01</v>
      </c>
      <c r="U1022" s="36">
        <f>VLOOKUP(R1022,IF(P1022&lt;5,'Commission Criteria'!$L$3:$M$11,'Commission Criteria'!$P$3:$Q$11),2,1)</f>
        <v>0.01</v>
      </c>
      <c r="V1022" s="8" t="s">
        <v>40</v>
      </c>
      <c r="W1022" s="36">
        <f t="shared" ca="1" si="48"/>
        <v>0</v>
      </c>
      <c r="X1022" s="8" t="str">
        <f>_xlfn.XLOOKUP(F1022,'Product List'!$B$1:$B$299,'Product List'!$A$1:$A$299)</f>
        <v>Avery 507</v>
      </c>
      <c r="Y1022" s="8"/>
      <c r="Z1022" s="8" t="str" cm="1">
        <f t="array" ref="Z1022:AD1022">_xlfn.XLOOKUP(D1022,'Customer Details'!$A$1:$A$17,'Customer Details'!$B$1:$F$17,"No such customer",0,1)</f>
        <v>Dynamatic Technologies Ltd.</v>
      </c>
      <c r="AA1022" s="8" t="str">
        <v>402 Pinkster Lane</v>
      </c>
      <c r="AB1022" s="8" t="str">
        <v>Santa Barbara</v>
      </c>
      <c r="AC1022" s="8" t="str">
        <v>CA</v>
      </c>
      <c r="AD1022" s="8" t="str">
        <v>93110</v>
      </c>
    </row>
    <row r="1023" spans="1:30">
      <c r="A1023" s="8" t="s">
        <v>1010</v>
      </c>
      <c r="B1023" s="19">
        <v>42173</v>
      </c>
      <c r="C1023" s="8" t="s">
        <v>46</v>
      </c>
      <c r="D1023" s="8">
        <v>10007</v>
      </c>
      <c r="E1023" s="8" t="str">
        <f>VLOOKUP($D1023,'Customer Details'!$A$1:$F$17,4,FALSE)</f>
        <v>Richmond</v>
      </c>
      <c r="F1023" s="8" t="s">
        <v>102</v>
      </c>
      <c r="G1023" s="8">
        <v>1</v>
      </c>
      <c r="H1023" s="2" t="str">
        <f>VLOOKUP($D1023,'Customer Details'!$A$1:$F$17,MATCH('Order SUmmary'!H$2,'Customer Details'!$A$1:$F$1,0),0)</f>
        <v>GHCL Ltd.</v>
      </c>
      <c r="I1023" s="2" t="str">
        <f>VLOOKUP($D1023,'Customer Details'!$A$1:$F$17,4,0)</f>
        <v>Richmond</v>
      </c>
      <c r="J1023" s="2" t="str">
        <f>VLOOKUP($D1023,'Customer Details'!$A$1:$F$17,6,0)</f>
        <v>94805</v>
      </c>
      <c r="K1023" s="8" t="str">
        <f>VLOOKUP(VLOOKUP(D1023,'Customer Details'!$A$1:$F$17,5,0),'Region INfo'!$A$1:$C$52,3,0)</f>
        <v xml:space="preserve">Pacific   </v>
      </c>
      <c r="L1023" s="8" t="str">
        <f>INDEX(Product_List,MATCH($F1023,'Product List'!$B$1:$B$299,0),MATCH('Order SUmmary'!L$2,'Product List'!$A$1:$E$1,0))</f>
        <v>Xerox 1997</v>
      </c>
      <c r="M1023" s="8">
        <f>INDEX(Product_List,MATCH($F1023,'Product List'!$B$1:$B$299,0),MATCH('Order SUmmary'!M$2,'Product List'!$A$1:$E$1,0))</f>
        <v>3844</v>
      </c>
      <c r="N1023" s="8">
        <f>INDEX(Product_List,MATCH($F1023,'Product List'!$B$1:$B$299,0),MATCH('Order SUmmary'!N$2,'Product List'!$A$1:$E$1,0))</f>
        <v>2157</v>
      </c>
      <c r="O1023" s="8" t="str">
        <f>INDEX(Product_List,MATCH($F1023,'Product List'!$B$1:$B$299,0),MATCH('Order SUmmary'!O$2,'Product List'!$A$1:$E$1,0))</f>
        <v>Paper</v>
      </c>
      <c r="P1023" s="12">
        <f>HLOOKUP(C1023,'Commission Criteria'!$A$2:$I$4,3,FALSE)</f>
        <v>8</v>
      </c>
      <c r="Q1023" s="8">
        <f t="shared" si="46"/>
        <v>2157</v>
      </c>
      <c r="R1023" s="8">
        <f t="shared" si="47"/>
        <v>3844</v>
      </c>
      <c r="S1023" s="36">
        <f>VLOOKUP(R1023,'Commission Criteria'!$L$3:$M$11,2,TRUE)</f>
        <v>0.01</v>
      </c>
      <c r="T1023" s="36">
        <f>IF(P1023&lt;5,VLOOKUP(R1023,'Commission Criteria'!$L$3:$M$11,2,1),VLOOKUP('Order SUmmary'!R1023,'Commission Criteria'!$P$3:$Q$11,2,1))</f>
        <v>0.02</v>
      </c>
      <c r="U1023" s="36">
        <f>VLOOKUP(R1023,IF(P1023&lt;5,'Commission Criteria'!$L$3:$M$11,'Commission Criteria'!$P$3:$Q$11),2,1)</f>
        <v>0.02</v>
      </c>
      <c r="V1023" s="8" t="s">
        <v>50</v>
      </c>
      <c r="W1023" s="36">
        <f t="shared" ca="1" si="48"/>
        <v>0</v>
      </c>
      <c r="X1023" s="8" t="str">
        <f>_xlfn.XLOOKUP(F1023,'Product List'!$B$1:$B$299,'Product List'!$A$1:$A$299)</f>
        <v>Xerox 1997</v>
      </c>
      <c r="Y1023" s="8"/>
      <c r="Z1023" s="8" t="str" cm="1">
        <f t="array" ref="Z1023:AD1023">_xlfn.XLOOKUP(D1023,'Customer Details'!$A$1:$A$17,'Customer Details'!$B$1:$F$17,"No such customer",0,1)</f>
        <v>GHCL Ltd.</v>
      </c>
      <c r="AA1023" s="8" t="str">
        <v>58 Clarence St</v>
      </c>
      <c r="AB1023" s="8" t="str">
        <v>Richmond</v>
      </c>
      <c r="AC1023" s="8" t="str">
        <v>CA</v>
      </c>
      <c r="AD1023" s="8" t="str">
        <v>94805</v>
      </c>
    </row>
    <row r="1024" spans="1:30">
      <c r="A1024" s="8" t="s">
        <v>1012</v>
      </c>
      <c r="B1024" s="19">
        <v>42173</v>
      </c>
      <c r="C1024" s="8" t="s">
        <v>66</v>
      </c>
      <c r="D1024" s="8">
        <v>10002</v>
      </c>
      <c r="E1024" s="8" t="str">
        <f>VLOOKUP($D1024,'Customer Details'!$A$1:$F$17,4,FALSE)</f>
        <v>Omaha</v>
      </c>
      <c r="F1024" s="8" t="s">
        <v>137</v>
      </c>
      <c r="G1024" s="8">
        <v>1</v>
      </c>
      <c r="H1024" s="2" t="str">
        <f>VLOOKUP($D1024,'Customer Details'!$A$1:$F$17,MATCH('Order SUmmary'!H$2,'Customer Details'!$A$1:$F$1,0),0)</f>
        <v>Elder Pharmaceuticals</v>
      </c>
      <c r="I1024" s="2" t="str">
        <f>VLOOKUP($D1024,'Customer Details'!$A$1:$F$17,4,0)</f>
        <v>Omaha</v>
      </c>
      <c r="J1024" s="2" t="str">
        <f>VLOOKUP($D1024,'Customer Details'!$A$1:$F$17,6,0)</f>
        <v>68127</v>
      </c>
      <c r="K1024" s="8" t="str">
        <f>VLOOKUP(VLOOKUP(D1024,'Customer Details'!$A$1:$F$17,5,0),'Region INfo'!$A$1:$C$52,3,0)</f>
        <v>Western</v>
      </c>
      <c r="L1024" s="8" t="str">
        <f>INDEX(Product_List,MATCH($F1024,'Product List'!$B$1:$B$299,0),MATCH('Order SUmmary'!L$2,'Product List'!$A$1:$E$1,0))</f>
        <v>Newell 35</v>
      </c>
      <c r="M1024" s="8">
        <f>INDEX(Product_List,MATCH($F1024,'Product List'!$B$1:$B$299,0),MATCH('Order SUmmary'!M$2,'Product List'!$A$1:$E$1,0))</f>
        <v>4209</v>
      </c>
      <c r="N1024" s="8">
        <f>INDEX(Product_List,MATCH($F1024,'Product List'!$B$1:$B$299,0),MATCH('Order SUmmary'!N$2,'Product List'!$A$1:$E$1,0))</f>
        <v>1692</v>
      </c>
      <c r="O1024" s="8" t="str">
        <f>INDEX(Product_List,MATCH($F1024,'Product List'!$B$1:$B$299,0),MATCH('Order SUmmary'!O$2,'Product List'!$A$1:$E$1,0))</f>
        <v>Art</v>
      </c>
      <c r="P1024" s="12">
        <f>HLOOKUP(C1024,'Commission Criteria'!$A$2:$I$4,3,FALSE)</f>
        <v>5</v>
      </c>
      <c r="Q1024" s="8">
        <f t="shared" si="46"/>
        <v>1692</v>
      </c>
      <c r="R1024" s="8">
        <f t="shared" si="47"/>
        <v>4209</v>
      </c>
      <c r="S1024" s="36">
        <f>VLOOKUP(R1024,'Commission Criteria'!$L$3:$M$11,2,TRUE)</f>
        <v>0.01</v>
      </c>
      <c r="T1024" s="36">
        <f>IF(P1024&lt;5,VLOOKUP(R1024,'Commission Criteria'!$L$3:$M$11,2,1),VLOOKUP('Order SUmmary'!R1024,'Commission Criteria'!$P$3:$Q$11,2,1))</f>
        <v>0.02</v>
      </c>
      <c r="U1024" s="36">
        <f>VLOOKUP(R1024,IF(P1024&lt;5,'Commission Criteria'!$L$3:$M$11,'Commission Criteria'!$P$3:$Q$11),2,1)</f>
        <v>0.02</v>
      </c>
      <c r="V1024" s="8" t="s">
        <v>29</v>
      </c>
      <c r="W1024" s="36">
        <f t="shared" ca="1" si="48"/>
        <v>0.04</v>
      </c>
      <c r="X1024" s="8" t="str">
        <f>_xlfn.XLOOKUP(F1024,'Product List'!$B$1:$B$299,'Product List'!$A$1:$A$299)</f>
        <v>Newell 35</v>
      </c>
      <c r="Y1024" s="8"/>
      <c r="Z1024" s="8" t="str" cm="1">
        <f t="array" ref="Z1024:AD1024">_xlfn.XLOOKUP(D1024,'Customer Details'!$A$1:$A$17,'Customer Details'!$B$1:$F$17,"No such customer",0,1)</f>
        <v>Elder Pharmaceuticals</v>
      </c>
      <c r="AA1024" s="8" t="str">
        <v>57 Neriba Cres</v>
      </c>
      <c r="AB1024" s="8" t="str">
        <v>Omaha</v>
      </c>
      <c r="AC1024" s="8" t="str">
        <v>NE</v>
      </c>
      <c r="AD1024" s="8" t="str">
        <v>68127</v>
      </c>
    </row>
    <row r="1025" spans="1:30">
      <c r="A1025" s="8" t="s">
        <v>1012</v>
      </c>
      <c r="B1025" s="19">
        <v>42173</v>
      </c>
      <c r="C1025" s="8" t="s">
        <v>46</v>
      </c>
      <c r="D1025" s="8">
        <v>10004</v>
      </c>
      <c r="E1025" s="8" t="str">
        <f>VLOOKUP($D1025,'Customer Details'!$A$1:$F$17,4,FALSE)</f>
        <v>New York</v>
      </c>
      <c r="F1025" s="8" t="s">
        <v>1013</v>
      </c>
      <c r="G1025" s="8">
        <v>2</v>
      </c>
      <c r="H1025" s="2" t="str">
        <f>VLOOKUP($D1025,'Customer Details'!$A$1:$F$17,MATCH('Order SUmmary'!H$2,'Customer Details'!$A$1:$F$1,0),0)</f>
        <v>Lupin Ltd.</v>
      </c>
      <c r="I1025" s="2" t="str">
        <f>VLOOKUP($D1025,'Customer Details'!$A$1:$F$17,4,0)</f>
        <v>New York</v>
      </c>
      <c r="J1025" s="2" t="str">
        <f>VLOOKUP($D1025,'Customer Details'!$A$1:$F$17,6,0)</f>
        <v>10019</v>
      </c>
      <c r="K1025" s="8" t="str">
        <f>VLOOKUP(VLOOKUP(D1025,'Customer Details'!$A$1:$F$17,5,0),'Region INfo'!$A$1:$C$52,3,0)</f>
        <v xml:space="preserve">Northern </v>
      </c>
      <c r="L1025" s="8" t="str">
        <f>INDEX(Product_List,MATCH($F1025,'Product List'!$B$1:$B$299,0),MATCH('Order SUmmary'!L$2,'Product List'!$A$1:$E$1,0))</f>
        <v>Avery 480</v>
      </c>
      <c r="M1025" s="8">
        <f>INDEX(Product_List,MATCH($F1025,'Product List'!$B$1:$B$299,0),MATCH('Order SUmmary'!M$2,'Product List'!$A$1:$E$1,0))</f>
        <v>4849</v>
      </c>
      <c r="N1025" s="8">
        <f>INDEX(Product_List,MATCH($F1025,'Product List'!$B$1:$B$299,0),MATCH('Order SUmmary'!N$2,'Product List'!$A$1:$E$1,0))</f>
        <v>2433</v>
      </c>
      <c r="O1025" s="8" t="str">
        <f>INDEX(Product_List,MATCH($F1025,'Product List'!$B$1:$B$299,0),MATCH('Order SUmmary'!O$2,'Product List'!$A$1:$E$1,0))</f>
        <v>Labels</v>
      </c>
      <c r="P1025" s="12">
        <f>HLOOKUP(C1025,'Commission Criteria'!$A$2:$I$4,3,FALSE)</f>
        <v>8</v>
      </c>
      <c r="Q1025" s="8">
        <f t="shared" si="46"/>
        <v>4866</v>
      </c>
      <c r="R1025" s="8">
        <f t="shared" si="47"/>
        <v>9698</v>
      </c>
      <c r="S1025" s="36">
        <f>VLOOKUP(R1025,'Commission Criteria'!$L$3:$M$11,2,TRUE)</f>
        <v>0.03</v>
      </c>
      <c r="T1025" s="36">
        <f>IF(P1025&lt;5,VLOOKUP(R1025,'Commission Criteria'!$L$3:$M$11,2,1),VLOOKUP('Order SUmmary'!R1025,'Commission Criteria'!$P$3:$Q$11,2,1))</f>
        <v>0.02</v>
      </c>
      <c r="U1025" s="36">
        <f>VLOOKUP(R1025,IF(P1025&lt;5,'Commission Criteria'!$L$3:$M$11,'Commission Criteria'!$P$3:$Q$11),2,1)</f>
        <v>0.02</v>
      </c>
      <c r="V1025" s="8" t="s">
        <v>35</v>
      </c>
      <c r="W1025" s="36">
        <f t="shared" ca="1" si="48"/>
        <v>0.05</v>
      </c>
      <c r="X1025" s="8" t="str">
        <f>_xlfn.XLOOKUP(F1025,'Product List'!$B$1:$B$299,'Product List'!$A$1:$A$299)</f>
        <v>Avery 480</v>
      </c>
      <c r="Y1025" s="8"/>
      <c r="Z1025" s="8" t="str" cm="1">
        <f t="array" ref="Z1025:AD1025">_xlfn.XLOOKUP(D1025,'Customer Details'!$A$1:$A$17,'Customer Details'!$B$1:$F$17,"No such customer",0,1)</f>
        <v>Lupin Ltd.</v>
      </c>
      <c r="AA1025" s="8" t="str">
        <v>Abbey Wood</v>
      </c>
      <c r="AB1025" s="8" t="str">
        <v>New York</v>
      </c>
      <c r="AC1025" s="8" t="str">
        <v>NY</v>
      </c>
      <c r="AD1025" s="8" t="str">
        <v>10019</v>
      </c>
    </row>
    <row r="1026" spans="1:30">
      <c r="A1026" s="8" t="s">
        <v>1014</v>
      </c>
      <c r="B1026" s="19">
        <v>42175</v>
      </c>
      <c r="C1026" s="8" t="s">
        <v>36</v>
      </c>
      <c r="D1026" s="8">
        <v>10012</v>
      </c>
      <c r="E1026" s="8" t="str">
        <f>VLOOKUP($D1026,'Customer Details'!$A$1:$F$17,4,FALSE)</f>
        <v>Santa Barbara</v>
      </c>
      <c r="F1026" s="8" t="s">
        <v>497</v>
      </c>
      <c r="G1026" s="8">
        <v>1</v>
      </c>
      <c r="H1026" s="2" t="str">
        <f>VLOOKUP($D1026,'Customer Details'!$A$1:$F$17,MATCH('Order SUmmary'!H$2,'Customer Details'!$A$1:$F$1,0),0)</f>
        <v>Dynamatic Technologies Ltd.</v>
      </c>
      <c r="I1026" s="2" t="str">
        <f>VLOOKUP($D1026,'Customer Details'!$A$1:$F$17,4,0)</f>
        <v>Santa Barbara</v>
      </c>
      <c r="J1026" s="2" t="str">
        <f>VLOOKUP($D1026,'Customer Details'!$A$1:$F$17,6,0)</f>
        <v>93110</v>
      </c>
      <c r="K1026" s="8" t="str">
        <f>VLOOKUP(VLOOKUP(D1026,'Customer Details'!$A$1:$F$17,5,0),'Region INfo'!$A$1:$C$52,3,0)</f>
        <v xml:space="preserve">Pacific   </v>
      </c>
      <c r="L1026" s="8" t="str">
        <f>INDEX(Product_List,MATCH($F1026,'Product List'!$B$1:$B$299,0),MATCH('Order SUmmary'!L$2,'Product List'!$A$1:$E$1,0))</f>
        <v>Xerox 232</v>
      </c>
      <c r="M1026" s="8">
        <f>INDEX(Product_List,MATCH($F1026,'Product List'!$B$1:$B$299,0),MATCH('Order SUmmary'!M$2,'Product List'!$A$1:$E$1,0))</f>
        <v>2814</v>
      </c>
      <c r="N1026" s="8">
        <f>INDEX(Product_List,MATCH($F1026,'Product List'!$B$1:$B$299,0),MATCH('Order SUmmary'!N$2,'Product List'!$A$1:$E$1,0))</f>
        <v>2437</v>
      </c>
      <c r="O1026" s="8" t="str">
        <f>INDEX(Product_List,MATCH($F1026,'Product List'!$B$1:$B$299,0),MATCH('Order SUmmary'!O$2,'Product List'!$A$1:$E$1,0))</f>
        <v>Paper</v>
      </c>
      <c r="P1026" s="12">
        <f>HLOOKUP(C1026,'Commission Criteria'!$A$2:$I$4,3,FALSE)</f>
        <v>6</v>
      </c>
      <c r="Q1026" s="8">
        <f t="shared" si="46"/>
        <v>2437</v>
      </c>
      <c r="R1026" s="8">
        <f t="shared" si="47"/>
        <v>2814</v>
      </c>
      <c r="S1026" s="36">
        <f>VLOOKUP(R1026,'Commission Criteria'!$L$3:$M$11,2,TRUE)</f>
        <v>0.01</v>
      </c>
      <c r="T1026" s="36">
        <f>IF(P1026&lt;5,VLOOKUP(R1026,'Commission Criteria'!$L$3:$M$11,2,1),VLOOKUP('Order SUmmary'!R1026,'Commission Criteria'!$P$3:$Q$11,2,1))</f>
        <v>0.02</v>
      </c>
      <c r="U1026" s="36">
        <f>VLOOKUP(R1026,IF(P1026&lt;5,'Commission Criteria'!$L$3:$M$11,'Commission Criteria'!$P$3:$Q$11),2,1)</f>
        <v>0.02</v>
      </c>
      <c r="V1026" s="8" t="s">
        <v>43</v>
      </c>
      <c r="W1026" s="36">
        <f t="shared" ca="1" si="48"/>
        <v>0.02</v>
      </c>
      <c r="X1026" s="8" t="str">
        <f>_xlfn.XLOOKUP(F1026,'Product List'!$B$1:$B$299,'Product List'!$A$1:$A$299)</f>
        <v>Xerox 232</v>
      </c>
      <c r="Y1026" s="8"/>
      <c r="Z1026" s="8" t="str" cm="1">
        <f t="array" ref="Z1026:AD1026">_xlfn.XLOOKUP(D1026,'Customer Details'!$A$1:$A$17,'Customer Details'!$B$1:$F$17,"No such customer",0,1)</f>
        <v>Dynamatic Technologies Ltd.</v>
      </c>
      <c r="AA1026" s="8" t="str">
        <v>402 Pinkster Lane</v>
      </c>
      <c r="AB1026" s="8" t="str">
        <v>Santa Barbara</v>
      </c>
      <c r="AC1026" s="8" t="str">
        <v>CA</v>
      </c>
      <c r="AD1026" s="8" t="str">
        <v>93110</v>
      </c>
    </row>
    <row r="1027" spans="1:30">
      <c r="A1027" s="8" t="s">
        <v>1014</v>
      </c>
      <c r="B1027" s="19">
        <v>42175</v>
      </c>
      <c r="C1027" s="8" t="s">
        <v>36</v>
      </c>
      <c r="D1027" s="8">
        <v>10008</v>
      </c>
      <c r="E1027" s="8" t="str">
        <f>VLOOKUP($D1027,'Customer Details'!$A$1:$F$17,4,FALSE)</f>
        <v>Chestnut Ridge</v>
      </c>
      <c r="F1027" s="8" t="s">
        <v>130</v>
      </c>
      <c r="G1027" s="8">
        <v>2</v>
      </c>
      <c r="H1027" s="2" t="str">
        <f>VLOOKUP($D1027,'Customer Details'!$A$1:$F$17,MATCH('Order SUmmary'!H$2,'Customer Details'!$A$1:$F$1,0),0)</f>
        <v>Reliance Industries Limited</v>
      </c>
      <c r="I1027" s="2" t="str">
        <f>VLOOKUP($D1027,'Customer Details'!$A$1:$F$17,4,0)</f>
        <v>Chestnut Ridge</v>
      </c>
      <c r="J1027" s="2" t="str">
        <f>VLOOKUP($D1027,'Customer Details'!$A$1:$F$17,6,0)</f>
        <v>10977</v>
      </c>
      <c r="K1027" s="8" t="str">
        <f>VLOOKUP(VLOOKUP(D1027,'Customer Details'!$A$1:$F$17,5,0),'Region INfo'!$A$1:$C$52,3,0)</f>
        <v xml:space="preserve">Northern </v>
      </c>
      <c r="L1027" s="8" t="str">
        <f>INDEX(Product_List,MATCH($F1027,'Product List'!$B$1:$B$299,0),MATCH('Order SUmmary'!L$2,'Product List'!$A$1:$E$1,0))</f>
        <v>Xerox 212</v>
      </c>
      <c r="M1027" s="8">
        <f>INDEX(Product_List,MATCH($F1027,'Product List'!$B$1:$B$299,0),MATCH('Order SUmmary'!M$2,'Product List'!$A$1:$E$1,0))</f>
        <v>4564</v>
      </c>
      <c r="N1027" s="8">
        <f>INDEX(Product_List,MATCH($F1027,'Product List'!$B$1:$B$299,0),MATCH('Order SUmmary'!N$2,'Product List'!$A$1:$E$1,0))</f>
        <v>1823</v>
      </c>
      <c r="O1027" s="8" t="str">
        <f>INDEX(Product_List,MATCH($F1027,'Product List'!$B$1:$B$299,0),MATCH('Order SUmmary'!O$2,'Product List'!$A$1:$E$1,0))</f>
        <v>Paper</v>
      </c>
      <c r="P1027" s="12">
        <f>HLOOKUP(C1027,'Commission Criteria'!$A$2:$I$4,3,FALSE)</f>
        <v>6</v>
      </c>
      <c r="Q1027" s="8">
        <f t="shared" si="46"/>
        <v>3646</v>
      </c>
      <c r="R1027" s="8">
        <f t="shared" si="47"/>
        <v>9128</v>
      </c>
      <c r="S1027" s="36">
        <f>VLOOKUP(R1027,'Commission Criteria'!$L$3:$M$11,2,TRUE)</f>
        <v>0.03</v>
      </c>
      <c r="T1027" s="36">
        <f>IF(P1027&lt;5,VLOOKUP(R1027,'Commission Criteria'!$L$3:$M$11,2,1),VLOOKUP('Order SUmmary'!R1027,'Commission Criteria'!$P$3:$Q$11,2,1))</f>
        <v>0.02</v>
      </c>
      <c r="U1027" s="36">
        <f>VLOOKUP(R1027,IF(P1027&lt;5,'Commission Criteria'!$L$3:$M$11,'Commission Criteria'!$P$3:$Q$11),2,1)</f>
        <v>0.02</v>
      </c>
      <c r="V1027" s="8" t="s">
        <v>50</v>
      </c>
      <c r="W1027" s="36">
        <f t="shared" ca="1" si="48"/>
        <v>0.03</v>
      </c>
      <c r="X1027" s="8" t="str">
        <f>_xlfn.XLOOKUP(F1027,'Product List'!$B$1:$B$299,'Product List'!$A$1:$A$299)</f>
        <v>Xerox 212</v>
      </c>
      <c r="Y1027" s="8"/>
      <c r="Z1027" s="8" t="str" cm="1">
        <f t="array" ref="Z1027:AD1027">_xlfn.XLOOKUP(D1027,'Customer Details'!$A$1:$A$17,'Customer Details'!$B$1:$F$17,"No such customer",0,1)</f>
        <v>Reliance Industries Limited</v>
      </c>
      <c r="AA1027" s="8" t="str">
        <v>12020 Shamrock Rd., Suite 333</v>
      </c>
      <c r="AB1027" s="8" t="str">
        <v>Chestnut Ridge</v>
      </c>
      <c r="AC1027" s="8" t="str">
        <v>NY</v>
      </c>
      <c r="AD1027" s="8" t="str">
        <v>10977</v>
      </c>
    </row>
    <row r="1028" spans="1:30">
      <c r="A1028" s="8" t="s">
        <v>1014</v>
      </c>
      <c r="B1028" s="19">
        <v>42175</v>
      </c>
      <c r="C1028" s="8" t="s">
        <v>66</v>
      </c>
      <c r="D1028" s="8">
        <v>10003</v>
      </c>
      <c r="E1028" s="8" t="str">
        <f>VLOOKUP($D1028,'Customer Details'!$A$1:$F$17,4,FALSE)</f>
        <v>Miami</v>
      </c>
      <c r="F1028" s="8" t="s">
        <v>497</v>
      </c>
      <c r="G1028" s="8">
        <v>6</v>
      </c>
      <c r="H1028" s="2" t="str">
        <f>VLOOKUP($D1028,'Customer Details'!$A$1:$F$17,MATCH('Order SUmmary'!H$2,'Customer Details'!$A$1:$F$1,0),0)</f>
        <v>Honeywell Automation</v>
      </c>
      <c r="I1028" s="2" t="str">
        <f>VLOOKUP($D1028,'Customer Details'!$A$1:$F$17,4,0)</f>
        <v>Miami</v>
      </c>
      <c r="J1028" s="2" t="str">
        <f>VLOOKUP($D1028,'Customer Details'!$A$1:$F$17,6,0)</f>
        <v>33732</v>
      </c>
      <c r="K1028" s="8" t="str">
        <f>VLOOKUP(VLOOKUP(D1028,'Customer Details'!$A$1:$F$17,5,0),'Region INfo'!$A$1:$C$52,3,0)</f>
        <v>Southern</v>
      </c>
      <c r="L1028" s="8" t="str">
        <f>INDEX(Product_List,MATCH($F1028,'Product List'!$B$1:$B$299,0),MATCH('Order SUmmary'!L$2,'Product List'!$A$1:$E$1,0))</f>
        <v>Xerox 232</v>
      </c>
      <c r="M1028" s="8">
        <f>INDEX(Product_List,MATCH($F1028,'Product List'!$B$1:$B$299,0),MATCH('Order SUmmary'!M$2,'Product List'!$A$1:$E$1,0))</f>
        <v>2814</v>
      </c>
      <c r="N1028" s="8">
        <f>INDEX(Product_List,MATCH($F1028,'Product List'!$B$1:$B$299,0),MATCH('Order SUmmary'!N$2,'Product List'!$A$1:$E$1,0))</f>
        <v>2437</v>
      </c>
      <c r="O1028" s="8" t="str">
        <f>INDEX(Product_List,MATCH($F1028,'Product List'!$B$1:$B$299,0),MATCH('Order SUmmary'!O$2,'Product List'!$A$1:$E$1,0))</f>
        <v>Paper</v>
      </c>
      <c r="P1028" s="12">
        <f>HLOOKUP(C1028,'Commission Criteria'!$A$2:$I$4,3,FALSE)</f>
        <v>5</v>
      </c>
      <c r="Q1028" s="8">
        <f t="shared" ref="Q1028:Q1091" si="49">N1028*G1028</f>
        <v>14622</v>
      </c>
      <c r="R1028" s="8">
        <f t="shared" ref="R1028:R1091" si="50">M1028*G1028</f>
        <v>16884</v>
      </c>
      <c r="S1028" s="36">
        <f>VLOOKUP(R1028,'Commission Criteria'!$L$3:$M$11,2,TRUE)</f>
        <v>0.03</v>
      </c>
      <c r="T1028" s="36">
        <f>IF(P1028&lt;5,VLOOKUP(R1028,'Commission Criteria'!$L$3:$M$11,2,1),VLOOKUP('Order SUmmary'!R1028,'Commission Criteria'!$P$3:$Q$11,2,1))</f>
        <v>0.02</v>
      </c>
      <c r="U1028" s="36">
        <f>VLOOKUP(R1028,IF(P1028&lt;5,'Commission Criteria'!$L$3:$M$11,'Commission Criteria'!$P$3:$Q$11),2,1)</f>
        <v>0.02</v>
      </c>
      <c r="V1028" s="8" t="s">
        <v>43</v>
      </c>
      <c r="W1028" s="36">
        <f t="shared" ref="W1028:W1091" ca="1" si="51">VLOOKUP(F1028,INDIRECT(V1028&amp;"!$A$1:$B$296"),2,0)</f>
        <v>0.02</v>
      </c>
      <c r="X1028" s="8" t="str">
        <f>_xlfn.XLOOKUP(F1028,'Product List'!$B$1:$B$299,'Product List'!$A$1:$A$299)</f>
        <v>Xerox 232</v>
      </c>
      <c r="Y1028" s="8"/>
      <c r="Z1028" s="8" t="str" cm="1">
        <f t="array" ref="Z1028:AD1028">_xlfn.XLOOKUP(D1028,'Customer Details'!$A$1:$A$17,'Customer Details'!$B$1:$F$17,"No such customer",0,1)</f>
        <v>Honeywell Automation</v>
      </c>
      <c r="AA1028" s="8" t="str">
        <v>1272 Harbor Road</v>
      </c>
      <c r="AB1028" s="8" t="str">
        <v>Miami</v>
      </c>
      <c r="AC1028" s="8" t="str">
        <v>FL</v>
      </c>
      <c r="AD1028" s="8" t="str">
        <v>33732</v>
      </c>
    </row>
    <row r="1029" spans="1:30">
      <c r="A1029" s="8" t="s">
        <v>1015</v>
      </c>
      <c r="B1029" s="19">
        <v>42178</v>
      </c>
      <c r="C1029" s="8" t="s">
        <v>27</v>
      </c>
      <c r="D1029" s="8">
        <v>10001</v>
      </c>
      <c r="E1029" s="8" t="str">
        <f>VLOOKUP($D1029,'Customer Details'!$A$1:$F$17,4,FALSE)</f>
        <v>New York</v>
      </c>
      <c r="F1029" s="8" t="s">
        <v>535</v>
      </c>
      <c r="G1029" s="8">
        <v>1</v>
      </c>
      <c r="H1029" s="2" t="str">
        <f>VLOOKUP($D1029,'Customer Details'!$A$1:$F$17,MATCH('Order SUmmary'!H$2,'Customer Details'!$A$1:$F$1,0),0)</f>
        <v>Chambal Fertilisers and Chemicals Ltd.</v>
      </c>
      <c r="I1029" s="2" t="str">
        <f>VLOOKUP($D1029,'Customer Details'!$A$1:$F$17,4,0)</f>
        <v>New York</v>
      </c>
      <c r="J1029" s="2" t="str">
        <f>VLOOKUP($D1029,'Customer Details'!$A$1:$F$17,6,0)</f>
        <v>10025</v>
      </c>
      <c r="K1029" s="8" t="str">
        <f>VLOOKUP(VLOOKUP(D1029,'Customer Details'!$A$1:$F$17,5,0),'Region INfo'!$A$1:$C$52,3,0)</f>
        <v xml:space="preserve">Northern </v>
      </c>
      <c r="L1029" s="8" t="str">
        <f>INDEX(Product_List,MATCH($F1029,'Product List'!$B$1:$B$299,0),MATCH('Order SUmmary'!L$2,'Product List'!$A$1:$E$1,0))</f>
        <v>Newell 325</v>
      </c>
      <c r="M1029" s="8">
        <f>INDEX(Product_List,MATCH($F1029,'Product List'!$B$1:$B$299,0),MATCH('Order SUmmary'!M$2,'Product List'!$A$1:$E$1,0))</f>
        <v>4420</v>
      </c>
      <c r="N1029" s="8">
        <f>INDEX(Product_List,MATCH($F1029,'Product List'!$B$1:$B$299,0),MATCH('Order SUmmary'!N$2,'Product List'!$A$1:$E$1,0))</f>
        <v>1797</v>
      </c>
      <c r="O1029" s="8" t="str">
        <f>INDEX(Product_List,MATCH($F1029,'Product List'!$B$1:$B$299,0),MATCH('Order SUmmary'!O$2,'Product List'!$A$1:$E$1,0))</f>
        <v>Art</v>
      </c>
      <c r="P1029" s="12">
        <f>HLOOKUP(C1029,'Commission Criteria'!$A$2:$I$4,3,FALSE)</f>
        <v>4</v>
      </c>
      <c r="Q1029" s="8">
        <f t="shared" si="49"/>
        <v>1797</v>
      </c>
      <c r="R1029" s="8">
        <f t="shared" si="50"/>
        <v>4420</v>
      </c>
      <c r="S1029" s="36">
        <f>VLOOKUP(R1029,'Commission Criteria'!$L$3:$M$11,2,TRUE)</f>
        <v>0.01</v>
      </c>
      <c r="T1029" s="36">
        <f>IF(P1029&lt;5,VLOOKUP(R1029,'Commission Criteria'!$L$3:$M$11,2,1),VLOOKUP('Order SUmmary'!R1029,'Commission Criteria'!$P$3:$Q$11,2,1))</f>
        <v>0.01</v>
      </c>
      <c r="U1029" s="36">
        <f>VLOOKUP(R1029,IF(P1029&lt;5,'Commission Criteria'!$L$3:$M$11,'Commission Criteria'!$P$3:$Q$11),2,1)</f>
        <v>0.01</v>
      </c>
      <c r="V1029" s="8" t="s">
        <v>43</v>
      </c>
      <c r="W1029" s="36">
        <f t="shared" ca="1" si="51"/>
        <v>0.05</v>
      </c>
      <c r="X1029" s="8" t="str">
        <f>_xlfn.XLOOKUP(F1029,'Product List'!$B$1:$B$299,'Product List'!$A$1:$A$299)</f>
        <v>Newell 325</v>
      </c>
      <c r="Y1029" s="8"/>
      <c r="Z1029" s="8" t="str" cm="1">
        <f t="array" ref="Z1029:AD1029">_xlfn.XLOOKUP(D1029,'Customer Details'!$A$1:$A$17,'Customer Details'!$B$1:$F$17,"No such customer",0,1)</f>
        <v>Chambal Fertilisers and Chemicals Ltd.</v>
      </c>
      <c r="AA1029" s="8" t="str">
        <v>4951 Indiana Ave.</v>
      </c>
      <c r="AB1029" s="8" t="str">
        <v>New York</v>
      </c>
      <c r="AC1029" s="8" t="str">
        <v>NY</v>
      </c>
      <c r="AD1029" s="8" t="str">
        <v>10025</v>
      </c>
    </row>
    <row r="1030" spans="1:30">
      <c r="A1030" s="8" t="s">
        <v>1015</v>
      </c>
      <c r="B1030" s="19">
        <v>42178</v>
      </c>
      <c r="C1030" s="8" t="s">
        <v>46</v>
      </c>
      <c r="D1030" s="8">
        <v>10011</v>
      </c>
      <c r="E1030" s="8" t="str">
        <f>VLOOKUP($D1030,'Customer Details'!$A$1:$F$17,4,FALSE)</f>
        <v>Olympia</v>
      </c>
      <c r="F1030" s="8" t="s">
        <v>610</v>
      </c>
      <c r="G1030" s="8">
        <v>1</v>
      </c>
      <c r="H1030" s="2" t="str">
        <f>VLOOKUP($D1030,'Customer Details'!$A$1:$F$17,MATCH('Order SUmmary'!H$2,'Customer Details'!$A$1:$F$1,0),0)</f>
        <v>Sonata Software</v>
      </c>
      <c r="I1030" s="2" t="str">
        <f>VLOOKUP($D1030,'Customer Details'!$A$1:$F$17,4,0)</f>
        <v>Olympia</v>
      </c>
      <c r="J1030" s="2" t="str">
        <f>VLOOKUP($D1030,'Customer Details'!$A$1:$F$17,6,0)</f>
        <v>98502</v>
      </c>
      <c r="K1030" s="8" t="str">
        <f>VLOOKUP(VLOOKUP(D1030,'Customer Details'!$A$1:$F$17,5,0),'Region INfo'!$A$1:$C$52,3,0)</f>
        <v xml:space="preserve">Pacific   </v>
      </c>
      <c r="L1030" s="8" t="str">
        <f>INDEX(Product_List,MATCH($F1030,'Product List'!$B$1:$B$299,0),MATCH('Order SUmmary'!L$2,'Product List'!$A$1:$E$1,0))</f>
        <v>Newell 311</v>
      </c>
      <c r="M1030" s="8">
        <f>INDEX(Product_List,MATCH($F1030,'Product List'!$B$1:$B$299,0),MATCH('Order SUmmary'!M$2,'Product List'!$A$1:$E$1,0))</f>
        <v>4689</v>
      </c>
      <c r="N1030" s="8">
        <f>INDEX(Product_List,MATCH($F1030,'Product List'!$B$1:$B$299,0),MATCH('Order SUmmary'!N$2,'Product List'!$A$1:$E$1,0))</f>
        <v>1796</v>
      </c>
      <c r="O1030" s="8" t="str">
        <f>INDEX(Product_List,MATCH($F1030,'Product List'!$B$1:$B$299,0),MATCH('Order SUmmary'!O$2,'Product List'!$A$1:$E$1,0))</f>
        <v>Art</v>
      </c>
      <c r="P1030" s="12">
        <f>HLOOKUP(C1030,'Commission Criteria'!$A$2:$I$4,3,FALSE)</f>
        <v>8</v>
      </c>
      <c r="Q1030" s="8">
        <f t="shared" si="49"/>
        <v>1796</v>
      </c>
      <c r="R1030" s="8">
        <f t="shared" si="50"/>
        <v>4689</v>
      </c>
      <c r="S1030" s="36">
        <f>VLOOKUP(R1030,'Commission Criteria'!$L$3:$M$11,2,TRUE)</f>
        <v>0.01</v>
      </c>
      <c r="T1030" s="36">
        <f>IF(P1030&lt;5,VLOOKUP(R1030,'Commission Criteria'!$L$3:$M$11,2,1),VLOOKUP('Order SUmmary'!R1030,'Commission Criteria'!$P$3:$Q$11,2,1))</f>
        <v>0.02</v>
      </c>
      <c r="U1030" s="36">
        <f>VLOOKUP(R1030,IF(P1030&lt;5,'Commission Criteria'!$L$3:$M$11,'Commission Criteria'!$P$3:$Q$11),2,1)</f>
        <v>0.02</v>
      </c>
      <c r="V1030" s="8" t="s">
        <v>50</v>
      </c>
      <c r="W1030" s="36">
        <f t="shared" ca="1" si="51"/>
        <v>0.01</v>
      </c>
      <c r="X1030" s="8" t="str">
        <f>_xlfn.XLOOKUP(F1030,'Product List'!$B$1:$B$299,'Product List'!$A$1:$A$299)</f>
        <v>Newell 311</v>
      </c>
      <c r="Y1030" s="8"/>
      <c r="Z1030" s="8" t="str" cm="1">
        <f t="array" ref="Z1030:AD1030">_xlfn.XLOOKUP(D1030,'Customer Details'!$A$1:$A$17,'Customer Details'!$B$1:$F$17,"No such customer",0,1)</f>
        <v>Sonata Software</v>
      </c>
      <c r="AA1030" s="8" t="str">
        <v>1331 Kimberly Dr.</v>
      </c>
      <c r="AB1030" s="8" t="str">
        <v>Olympia</v>
      </c>
      <c r="AC1030" s="8" t="str">
        <v>WA</v>
      </c>
      <c r="AD1030" s="8" t="str">
        <v>98502</v>
      </c>
    </row>
    <row r="1031" spans="1:30">
      <c r="A1031" s="8" t="s">
        <v>1016</v>
      </c>
      <c r="B1031" s="19">
        <v>42179</v>
      </c>
      <c r="C1031" s="8" t="s">
        <v>27</v>
      </c>
      <c r="D1031" s="8">
        <v>10003</v>
      </c>
      <c r="E1031" s="8" t="str">
        <f>VLOOKUP($D1031,'Customer Details'!$A$1:$F$17,4,FALSE)</f>
        <v>Miami</v>
      </c>
      <c r="F1031" s="8" t="s">
        <v>39</v>
      </c>
      <c r="G1031" s="8">
        <v>1</v>
      </c>
      <c r="H1031" s="2" t="str">
        <f>VLOOKUP($D1031,'Customer Details'!$A$1:$F$17,MATCH('Order SUmmary'!H$2,'Customer Details'!$A$1:$F$1,0),0)</f>
        <v>Honeywell Automation</v>
      </c>
      <c r="I1031" s="2" t="str">
        <f>VLOOKUP($D1031,'Customer Details'!$A$1:$F$17,4,0)</f>
        <v>Miami</v>
      </c>
      <c r="J1031" s="2" t="str">
        <f>VLOOKUP($D1031,'Customer Details'!$A$1:$F$17,6,0)</f>
        <v>33732</v>
      </c>
      <c r="K1031" s="8" t="str">
        <f>VLOOKUP(VLOOKUP(D1031,'Customer Details'!$A$1:$F$17,5,0),'Region INfo'!$A$1:$C$52,3,0)</f>
        <v>Southern</v>
      </c>
      <c r="L1031" s="8" t="str">
        <f>INDEX(Product_List,MATCH($F1031,'Product List'!$B$1:$B$299,0),MATCH('Order SUmmary'!L$2,'Product List'!$A$1:$E$1,0))</f>
        <v>Xerox 1890</v>
      </c>
      <c r="M1031" s="8">
        <f>INDEX(Product_List,MATCH($F1031,'Product List'!$B$1:$B$299,0),MATCH('Order SUmmary'!M$2,'Product List'!$A$1:$E$1,0))</f>
        <v>3878</v>
      </c>
      <c r="N1031" s="8">
        <f>INDEX(Product_List,MATCH($F1031,'Product List'!$B$1:$B$299,0),MATCH('Order SUmmary'!N$2,'Product List'!$A$1:$E$1,0))</f>
        <v>2236</v>
      </c>
      <c r="O1031" s="8" t="str">
        <f>INDEX(Product_List,MATCH($F1031,'Product List'!$B$1:$B$299,0),MATCH('Order SUmmary'!O$2,'Product List'!$A$1:$E$1,0))</f>
        <v>Paper</v>
      </c>
      <c r="P1031" s="12">
        <f>HLOOKUP(C1031,'Commission Criteria'!$A$2:$I$4,3,FALSE)</f>
        <v>4</v>
      </c>
      <c r="Q1031" s="8">
        <f t="shared" si="49"/>
        <v>2236</v>
      </c>
      <c r="R1031" s="8">
        <f t="shared" si="50"/>
        <v>3878</v>
      </c>
      <c r="S1031" s="36">
        <f>VLOOKUP(R1031,'Commission Criteria'!$L$3:$M$11,2,TRUE)</f>
        <v>0.01</v>
      </c>
      <c r="T1031" s="36">
        <f>IF(P1031&lt;5,VLOOKUP(R1031,'Commission Criteria'!$L$3:$M$11,2,1),VLOOKUP('Order SUmmary'!R1031,'Commission Criteria'!$P$3:$Q$11,2,1))</f>
        <v>0.01</v>
      </c>
      <c r="U1031" s="36">
        <f>VLOOKUP(R1031,IF(P1031&lt;5,'Commission Criteria'!$L$3:$M$11,'Commission Criteria'!$P$3:$Q$11),2,1)</f>
        <v>0.01</v>
      </c>
      <c r="V1031" s="8" t="s">
        <v>40</v>
      </c>
      <c r="W1031" s="36">
        <f t="shared" ca="1" si="51"/>
        <v>0.04</v>
      </c>
      <c r="X1031" s="8" t="str">
        <f>_xlfn.XLOOKUP(F1031,'Product List'!$B$1:$B$299,'Product List'!$A$1:$A$299)</f>
        <v>Xerox 1890</v>
      </c>
      <c r="Y1031" s="8"/>
      <c r="Z1031" s="8" t="str" cm="1">
        <f t="array" ref="Z1031:AD1031">_xlfn.XLOOKUP(D1031,'Customer Details'!$A$1:$A$17,'Customer Details'!$B$1:$F$17,"No such customer",0,1)</f>
        <v>Honeywell Automation</v>
      </c>
      <c r="AA1031" s="8" t="str">
        <v>1272 Harbor Road</v>
      </c>
      <c r="AB1031" s="8" t="str">
        <v>Miami</v>
      </c>
      <c r="AC1031" s="8" t="str">
        <v>FL</v>
      </c>
      <c r="AD1031" s="8" t="str">
        <v>33732</v>
      </c>
    </row>
    <row r="1032" spans="1:30">
      <c r="A1032" s="8" t="s">
        <v>1017</v>
      </c>
      <c r="B1032" s="19">
        <v>42179</v>
      </c>
      <c r="C1032" s="8" t="s">
        <v>66</v>
      </c>
      <c r="D1032" s="8">
        <v>10011</v>
      </c>
      <c r="E1032" s="8" t="str">
        <f>VLOOKUP($D1032,'Customer Details'!$A$1:$F$17,4,FALSE)</f>
        <v>Olympia</v>
      </c>
      <c r="F1032" s="8" t="s">
        <v>362</v>
      </c>
      <c r="G1032" s="8">
        <v>1</v>
      </c>
      <c r="H1032" s="2" t="str">
        <f>VLOOKUP($D1032,'Customer Details'!$A$1:$F$17,MATCH('Order SUmmary'!H$2,'Customer Details'!$A$1:$F$1,0),0)</f>
        <v>Sonata Software</v>
      </c>
      <c r="I1032" s="2" t="str">
        <f>VLOOKUP($D1032,'Customer Details'!$A$1:$F$17,4,0)</f>
        <v>Olympia</v>
      </c>
      <c r="J1032" s="2" t="str">
        <f>VLOOKUP($D1032,'Customer Details'!$A$1:$F$17,6,0)</f>
        <v>98502</v>
      </c>
      <c r="K1032" s="8" t="str">
        <f>VLOOKUP(VLOOKUP(D1032,'Customer Details'!$A$1:$F$17,5,0),'Region INfo'!$A$1:$C$52,3,0)</f>
        <v xml:space="preserve">Pacific   </v>
      </c>
      <c r="L1032" s="8" t="str">
        <f>INDEX(Product_List,MATCH($F1032,'Product List'!$B$1:$B$299,0),MATCH('Order SUmmary'!L$2,'Product List'!$A$1:$E$1,0))</f>
        <v>Avery 499</v>
      </c>
      <c r="M1032" s="8">
        <f>INDEX(Product_List,MATCH($F1032,'Product List'!$B$1:$B$299,0),MATCH('Order SUmmary'!M$2,'Product List'!$A$1:$E$1,0))</f>
        <v>4765</v>
      </c>
      <c r="N1032" s="8">
        <f>INDEX(Product_List,MATCH($F1032,'Product List'!$B$1:$B$299,0),MATCH('Order SUmmary'!N$2,'Product List'!$A$1:$E$1,0))</f>
        <v>1286</v>
      </c>
      <c r="O1032" s="8" t="str">
        <f>INDEX(Product_List,MATCH($F1032,'Product List'!$B$1:$B$299,0),MATCH('Order SUmmary'!O$2,'Product List'!$A$1:$E$1,0))</f>
        <v>Labels</v>
      </c>
      <c r="P1032" s="12">
        <f>HLOOKUP(C1032,'Commission Criteria'!$A$2:$I$4,3,FALSE)</f>
        <v>5</v>
      </c>
      <c r="Q1032" s="8">
        <f t="shared" si="49"/>
        <v>1286</v>
      </c>
      <c r="R1032" s="8">
        <f t="shared" si="50"/>
        <v>4765</v>
      </c>
      <c r="S1032" s="36">
        <f>VLOOKUP(R1032,'Commission Criteria'!$L$3:$M$11,2,TRUE)</f>
        <v>0.01</v>
      </c>
      <c r="T1032" s="36">
        <f>IF(P1032&lt;5,VLOOKUP(R1032,'Commission Criteria'!$L$3:$M$11,2,1),VLOOKUP('Order SUmmary'!R1032,'Commission Criteria'!$P$3:$Q$11,2,1))</f>
        <v>0.02</v>
      </c>
      <c r="U1032" s="36">
        <f>VLOOKUP(R1032,IF(P1032&lt;5,'Commission Criteria'!$L$3:$M$11,'Commission Criteria'!$P$3:$Q$11),2,1)</f>
        <v>0.02</v>
      </c>
      <c r="V1032" s="8" t="s">
        <v>40</v>
      </c>
      <c r="W1032" s="36">
        <f t="shared" ca="1" si="51"/>
        <v>0.04</v>
      </c>
      <c r="X1032" s="8" t="str">
        <f>_xlfn.XLOOKUP(F1032,'Product List'!$B$1:$B$299,'Product List'!$A$1:$A$299)</f>
        <v>Avery 499</v>
      </c>
      <c r="Y1032" s="8"/>
      <c r="Z1032" s="8" t="str" cm="1">
        <f t="array" ref="Z1032:AD1032">_xlfn.XLOOKUP(D1032,'Customer Details'!$A$1:$A$17,'Customer Details'!$B$1:$F$17,"No such customer",0,1)</f>
        <v>Sonata Software</v>
      </c>
      <c r="AA1032" s="8" t="str">
        <v>1331 Kimberly Dr.</v>
      </c>
      <c r="AB1032" s="8" t="str">
        <v>Olympia</v>
      </c>
      <c r="AC1032" s="8" t="str">
        <v>WA</v>
      </c>
      <c r="AD1032" s="8" t="str">
        <v>98502</v>
      </c>
    </row>
    <row r="1033" spans="1:30">
      <c r="A1033" s="8" t="s">
        <v>1018</v>
      </c>
      <c r="B1033" s="19">
        <v>42181</v>
      </c>
      <c r="C1033" s="8" t="s">
        <v>54</v>
      </c>
      <c r="D1033" s="8">
        <v>10010</v>
      </c>
      <c r="E1033" s="8" t="str">
        <f>VLOOKUP($D1033,'Customer Details'!$A$1:$F$17,4,FALSE)</f>
        <v>Tracy</v>
      </c>
      <c r="F1033" s="8" t="s">
        <v>174</v>
      </c>
      <c r="G1033" s="8">
        <v>1</v>
      </c>
      <c r="H1033" s="2" t="str">
        <f>VLOOKUP($D1033,'Customer Details'!$A$1:$F$17,MATCH('Order SUmmary'!H$2,'Customer Details'!$A$1:$F$1,0),0)</f>
        <v>Suzlon Energy Ltd.</v>
      </c>
      <c r="I1033" s="2" t="str">
        <f>VLOOKUP($D1033,'Customer Details'!$A$1:$F$17,4,0)</f>
        <v>Tracy</v>
      </c>
      <c r="J1033" s="2" t="str">
        <f>VLOOKUP($D1033,'Customer Details'!$A$1:$F$17,6,0)</f>
        <v>95376</v>
      </c>
      <c r="K1033" s="8" t="str">
        <f>VLOOKUP(VLOOKUP(D1033,'Customer Details'!$A$1:$F$17,5,0),'Region INfo'!$A$1:$C$52,3,0)</f>
        <v xml:space="preserve">Pacific   </v>
      </c>
      <c r="L1033" s="8" t="str">
        <f>INDEX(Product_List,MATCH($F1033,'Product List'!$B$1:$B$299,0),MATCH('Order SUmmary'!L$2,'Product List'!$A$1:$E$1,0))</f>
        <v>Staples</v>
      </c>
      <c r="M1033" s="8">
        <f>INDEX(Product_List,MATCH($F1033,'Product List'!$B$1:$B$299,0),MATCH('Order SUmmary'!M$2,'Product List'!$A$1:$E$1,0))</f>
        <v>2747</v>
      </c>
      <c r="N1033" s="8">
        <f>INDEX(Product_List,MATCH($F1033,'Product List'!$B$1:$B$299,0),MATCH('Order SUmmary'!N$2,'Product List'!$A$1:$E$1,0))</f>
        <v>2098</v>
      </c>
      <c r="O1033" s="8" t="str">
        <f>INDEX(Product_List,MATCH($F1033,'Product List'!$B$1:$B$299,0),MATCH('Order SUmmary'!O$2,'Product List'!$A$1:$E$1,0))</f>
        <v>Fasteners</v>
      </c>
      <c r="P1033" s="12">
        <f>HLOOKUP(C1033,'Commission Criteria'!$A$2:$I$4,3,FALSE)</f>
        <v>3</v>
      </c>
      <c r="Q1033" s="8">
        <f t="shared" si="49"/>
        <v>2098</v>
      </c>
      <c r="R1033" s="8">
        <f t="shared" si="50"/>
        <v>2747</v>
      </c>
      <c r="S1033" s="36">
        <f>VLOOKUP(R1033,'Commission Criteria'!$L$3:$M$11,2,TRUE)</f>
        <v>0.01</v>
      </c>
      <c r="T1033" s="36">
        <f>IF(P1033&lt;5,VLOOKUP(R1033,'Commission Criteria'!$L$3:$M$11,2,1),VLOOKUP('Order SUmmary'!R1033,'Commission Criteria'!$P$3:$Q$11,2,1))</f>
        <v>0.01</v>
      </c>
      <c r="U1033" s="36">
        <f>VLOOKUP(R1033,IF(P1033&lt;5,'Commission Criteria'!$L$3:$M$11,'Commission Criteria'!$P$3:$Q$11),2,1)</f>
        <v>0.01</v>
      </c>
      <c r="V1033" s="8" t="s">
        <v>35</v>
      </c>
      <c r="W1033" s="36">
        <f t="shared" ca="1" si="51"/>
        <v>0</v>
      </c>
      <c r="X1033" s="8" t="str">
        <f>_xlfn.XLOOKUP(F1033,'Product List'!$B$1:$B$299,'Product List'!$A$1:$A$299)</f>
        <v>Staples</v>
      </c>
      <c r="Y1033" s="8"/>
      <c r="Z1033" s="8" t="str" cm="1">
        <f t="array" ref="Z1033:AD1033">_xlfn.XLOOKUP(D1033,'Customer Details'!$A$1:$A$17,'Customer Details'!$B$1:$F$17,"No such customer",0,1)</f>
        <v>Suzlon Energy Ltd.</v>
      </c>
      <c r="AA1033" s="8" t="str">
        <v>501 Marsh Trail Circle</v>
      </c>
      <c r="AB1033" s="8" t="str">
        <v>Tracy</v>
      </c>
      <c r="AC1033" s="8" t="str">
        <v>CA</v>
      </c>
      <c r="AD1033" s="8" t="str">
        <v>95376</v>
      </c>
    </row>
    <row r="1034" spans="1:30">
      <c r="A1034" s="8" t="s">
        <v>1018</v>
      </c>
      <c r="B1034" s="19">
        <v>42181</v>
      </c>
      <c r="C1034" s="8" t="s">
        <v>27</v>
      </c>
      <c r="D1034" s="8">
        <v>10002</v>
      </c>
      <c r="E1034" s="8" t="str">
        <f>VLOOKUP($D1034,'Customer Details'!$A$1:$F$17,4,FALSE)</f>
        <v>Omaha</v>
      </c>
      <c r="F1034" s="8" t="s">
        <v>172</v>
      </c>
      <c r="G1034" s="8">
        <v>1</v>
      </c>
      <c r="H1034" s="2" t="str">
        <f>VLOOKUP($D1034,'Customer Details'!$A$1:$F$17,MATCH('Order SUmmary'!H$2,'Customer Details'!$A$1:$F$1,0),0)</f>
        <v>Elder Pharmaceuticals</v>
      </c>
      <c r="I1034" s="2" t="str">
        <f>VLOOKUP($D1034,'Customer Details'!$A$1:$F$17,4,0)</f>
        <v>Omaha</v>
      </c>
      <c r="J1034" s="2" t="str">
        <f>VLOOKUP($D1034,'Customer Details'!$A$1:$F$17,6,0)</f>
        <v>68127</v>
      </c>
      <c r="K1034" s="8" t="str">
        <f>VLOOKUP(VLOOKUP(D1034,'Customer Details'!$A$1:$F$17,5,0),'Region INfo'!$A$1:$C$52,3,0)</f>
        <v>Western</v>
      </c>
      <c r="L1034" s="8" t="str">
        <f>INDEX(Product_List,MATCH($F1034,'Product List'!$B$1:$B$299,0),MATCH('Order SUmmary'!L$2,'Product List'!$A$1:$E$1,0))</f>
        <v>Xerox 223</v>
      </c>
      <c r="M1034" s="8">
        <f>INDEX(Product_List,MATCH($F1034,'Product List'!$B$1:$B$299,0),MATCH('Order SUmmary'!M$2,'Product List'!$A$1:$E$1,0))</f>
        <v>4733</v>
      </c>
      <c r="N1034" s="8">
        <f>INDEX(Product_List,MATCH($F1034,'Product List'!$B$1:$B$299,0),MATCH('Order SUmmary'!N$2,'Product List'!$A$1:$E$1,0))</f>
        <v>1415</v>
      </c>
      <c r="O1034" s="8" t="str">
        <f>INDEX(Product_List,MATCH($F1034,'Product List'!$B$1:$B$299,0),MATCH('Order SUmmary'!O$2,'Product List'!$A$1:$E$1,0))</f>
        <v>Paper</v>
      </c>
      <c r="P1034" s="12">
        <f>HLOOKUP(C1034,'Commission Criteria'!$A$2:$I$4,3,FALSE)</f>
        <v>4</v>
      </c>
      <c r="Q1034" s="8">
        <f t="shared" si="49"/>
        <v>1415</v>
      </c>
      <c r="R1034" s="8">
        <f t="shared" si="50"/>
        <v>4733</v>
      </c>
      <c r="S1034" s="36">
        <f>VLOOKUP(R1034,'Commission Criteria'!$L$3:$M$11,2,TRUE)</f>
        <v>0.01</v>
      </c>
      <c r="T1034" s="36">
        <f>IF(P1034&lt;5,VLOOKUP(R1034,'Commission Criteria'!$L$3:$M$11,2,1),VLOOKUP('Order SUmmary'!R1034,'Commission Criteria'!$P$3:$Q$11,2,1))</f>
        <v>0.01</v>
      </c>
      <c r="U1034" s="36">
        <f>VLOOKUP(R1034,IF(P1034&lt;5,'Commission Criteria'!$L$3:$M$11,'Commission Criteria'!$P$3:$Q$11),2,1)</f>
        <v>0.01</v>
      </c>
      <c r="V1034" s="8" t="s">
        <v>35</v>
      </c>
      <c r="W1034" s="36">
        <f t="shared" ca="1" si="51"/>
        <v>0.04</v>
      </c>
      <c r="X1034" s="8" t="str">
        <f>_xlfn.XLOOKUP(F1034,'Product List'!$B$1:$B$299,'Product List'!$A$1:$A$299)</f>
        <v>Xerox 223</v>
      </c>
      <c r="Y1034" s="8"/>
      <c r="Z1034" s="8" t="str" cm="1">
        <f t="array" ref="Z1034:AD1034">_xlfn.XLOOKUP(D1034,'Customer Details'!$A$1:$A$17,'Customer Details'!$B$1:$F$17,"No such customer",0,1)</f>
        <v>Elder Pharmaceuticals</v>
      </c>
      <c r="AA1034" s="8" t="str">
        <v>57 Neriba Cres</v>
      </c>
      <c r="AB1034" s="8" t="str">
        <v>Omaha</v>
      </c>
      <c r="AC1034" s="8" t="str">
        <v>NE</v>
      </c>
      <c r="AD1034" s="8" t="str">
        <v>68127</v>
      </c>
    </row>
    <row r="1035" spans="1:30">
      <c r="A1035" s="8" t="s">
        <v>1019</v>
      </c>
      <c r="B1035" s="19">
        <v>42181</v>
      </c>
      <c r="C1035" s="8" t="s">
        <v>51</v>
      </c>
      <c r="D1035" s="8">
        <v>10012</v>
      </c>
      <c r="E1035" s="8" t="str">
        <f>VLOOKUP($D1035,'Customer Details'!$A$1:$F$17,4,FALSE)</f>
        <v>Santa Barbara</v>
      </c>
      <c r="F1035" s="8" t="s">
        <v>112</v>
      </c>
      <c r="G1035" s="8">
        <v>1</v>
      </c>
      <c r="H1035" s="2" t="str">
        <f>VLOOKUP($D1035,'Customer Details'!$A$1:$F$17,MATCH('Order SUmmary'!H$2,'Customer Details'!$A$1:$F$1,0),0)</f>
        <v>Dynamatic Technologies Ltd.</v>
      </c>
      <c r="I1035" s="2" t="str">
        <f>VLOOKUP($D1035,'Customer Details'!$A$1:$F$17,4,0)</f>
        <v>Santa Barbara</v>
      </c>
      <c r="J1035" s="2" t="str">
        <f>VLOOKUP($D1035,'Customer Details'!$A$1:$F$17,6,0)</f>
        <v>93110</v>
      </c>
      <c r="K1035" s="8" t="str">
        <f>VLOOKUP(VLOOKUP(D1035,'Customer Details'!$A$1:$F$17,5,0),'Region INfo'!$A$1:$C$52,3,0)</f>
        <v xml:space="preserve">Pacific   </v>
      </c>
      <c r="L1035" s="8" t="str">
        <f>INDEX(Product_List,MATCH($F1035,'Product List'!$B$1:$B$299,0),MATCH('Order SUmmary'!L$2,'Product List'!$A$1:$E$1,0))</f>
        <v>Newell 317</v>
      </c>
      <c r="M1035" s="8">
        <f>INDEX(Product_List,MATCH($F1035,'Product List'!$B$1:$B$299,0),MATCH('Order SUmmary'!M$2,'Product List'!$A$1:$E$1,0))</f>
        <v>4891</v>
      </c>
      <c r="N1035" s="8">
        <f>INDEX(Product_List,MATCH($F1035,'Product List'!$B$1:$B$299,0),MATCH('Order SUmmary'!N$2,'Product List'!$A$1:$E$1,0))</f>
        <v>1745</v>
      </c>
      <c r="O1035" s="8" t="str">
        <f>INDEX(Product_List,MATCH($F1035,'Product List'!$B$1:$B$299,0),MATCH('Order SUmmary'!O$2,'Product List'!$A$1:$E$1,0))</f>
        <v>Art</v>
      </c>
      <c r="P1035" s="12">
        <f>HLOOKUP(C1035,'Commission Criteria'!$A$2:$I$4,3,FALSE)</f>
        <v>10</v>
      </c>
      <c r="Q1035" s="8">
        <f t="shared" si="49"/>
        <v>1745</v>
      </c>
      <c r="R1035" s="8">
        <f t="shared" si="50"/>
        <v>4891</v>
      </c>
      <c r="S1035" s="36">
        <f>VLOOKUP(R1035,'Commission Criteria'!$L$3:$M$11,2,TRUE)</f>
        <v>0.01</v>
      </c>
      <c r="T1035" s="36">
        <f>IF(P1035&lt;5,VLOOKUP(R1035,'Commission Criteria'!$L$3:$M$11,2,1),VLOOKUP('Order SUmmary'!R1035,'Commission Criteria'!$P$3:$Q$11,2,1))</f>
        <v>0.02</v>
      </c>
      <c r="U1035" s="36">
        <f>VLOOKUP(R1035,IF(P1035&lt;5,'Commission Criteria'!$L$3:$M$11,'Commission Criteria'!$P$3:$Q$11),2,1)</f>
        <v>0.02</v>
      </c>
      <c r="V1035" s="8" t="s">
        <v>40</v>
      </c>
      <c r="W1035" s="36">
        <f t="shared" ca="1" si="51"/>
        <v>0</v>
      </c>
      <c r="X1035" s="8" t="str">
        <f>_xlfn.XLOOKUP(F1035,'Product List'!$B$1:$B$299,'Product List'!$A$1:$A$299)</f>
        <v>Newell 317</v>
      </c>
      <c r="Y1035" s="8"/>
      <c r="Z1035" s="8" t="str" cm="1">
        <f t="array" ref="Z1035:AD1035">_xlfn.XLOOKUP(D1035,'Customer Details'!$A$1:$A$17,'Customer Details'!$B$1:$F$17,"No such customer",0,1)</f>
        <v>Dynamatic Technologies Ltd.</v>
      </c>
      <c r="AA1035" s="8" t="str">
        <v>402 Pinkster Lane</v>
      </c>
      <c r="AB1035" s="8" t="str">
        <v>Santa Barbara</v>
      </c>
      <c r="AC1035" s="8" t="str">
        <v>CA</v>
      </c>
      <c r="AD1035" s="8" t="str">
        <v>93110</v>
      </c>
    </row>
    <row r="1036" spans="1:30">
      <c r="A1036" s="8" t="s">
        <v>1020</v>
      </c>
      <c r="B1036" s="19">
        <v>42181</v>
      </c>
      <c r="C1036" s="8" t="s">
        <v>46</v>
      </c>
      <c r="D1036" s="8">
        <v>10008</v>
      </c>
      <c r="E1036" s="8" t="str">
        <f>VLOOKUP($D1036,'Customer Details'!$A$1:$F$17,4,FALSE)</f>
        <v>Chestnut Ridge</v>
      </c>
      <c r="F1036" s="8" t="s">
        <v>277</v>
      </c>
      <c r="G1036" s="8">
        <v>2</v>
      </c>
      <c r="H1036" s="2" t="str">
        <f>VLOOKUP($D1036,'Customer Details'!$A$1:$F$17,MATCH('Order SUmmary'!H$2,'Customer Details'!$A$1:$F$1,0),0)</f>
        <v>Reliance Industries Limited</v>
      </c>
      <c r="I1036" s="2" t="str">
        <f>VLOOKUP($D1036,'Customer Details'!$A$1:$F$17,4,0)</f>
        <v>Chestnut Ridge</v>
      </c>
      <c r="J1036" s="2" t="str">
        <f>VLOOKUP($D1036,'Customer Details'!$A$1:$F$17,6,0)</f>
        <v>10977</v>
      </c>
      <c r="K1036" s="8" t="str">
        <f>VLOOKUP(VLOOKUP(D1036,'Customer Details'!$A$1:$F$17,5,0),'Region INfo'!$A$1:$C$52,3,0)</f>
        <v xml:space="preserve">Northern </v>
      </c>
      <c r="L1036" s="8" t="str">
        <f>INDEX(Product_List,MATCH($F1036,'Product List'!$B$1:$B$299,0),MATCH('Order SUmmary'!L$2,'Product List'!$A$1:$E$1,0))</f>
        <v>Xerox 1946</v>
      </c>
      <c r="M1036" s="8">
        <f>INDEX(Product_List,MATCH($F1036,'Product List'!$B$1:$B$299,0),MATCH('Order SUmmary'!M$2,'Product List'!$A$1:$E$1,0))</f>
        <v>2576</v>
      </c>
      <c r="N1036" s="8">
        <f>INDEX(Product_List,MATCH($F1036,'Product List'!$B$1:$B$299,0),MATCH('Order SUmmary'!N$2,'Product List'!$A$1:$E$1,0))</f>
        <v>1826</v>
      </c>
      <c r="O1036" s="8" t="str">
        <f>INDEX(Product_List,MATCH($F1036,'Product List'!$B$1:$B$299,0),MATCH('Order SUmmary'!O$2,'Product List'!$A$1:$E$1,0))</f>
        <v>Paper</v>
      </c>
      <c r="P1036" s="12">
        <f>HLOOKUP(C1036,'Commission Criteria'!$A$2:$I$4,3,FALSE)</f>
        <v>8</v>
      </c>
      <c r="Q1036" s="8">
        <f t="shared" si="49"/>
        <v>3652</v>
      </c>
      <c r="R1036" s="8">
        <f t="shared" si="50"/>
        <v>5152</v>
      </c>
      <c r="S1036" s="36">
        <f>VLOOKUP(R1036,'Commission Criteria'!$L$3:$M$11,2,TRUE)</f>
        <v>0.03</v>
      </c>
      <c r="T1036" s="36">
        <f>IF(P1036&lt;5,VLOOKUP(R1036,'Commission Criteria'!$L$3:$M$11,2,1),VLOOKUP('Order SUmmary'!R1036,'Commission Criteria'!$P$3:$Q$11,2,1))</f>
        <v>0.02</v>
      </c>
      <c r="U1036" s="36">
        <f>VLOOKUP(R1036,IF(P1036&lt;5,'Commission Criteria'!$L$3:$M$11,'Commission Criteria'!$P$3:$Q$11),2,1)</f>
        <v>0.02</v>
      </c>
      <c r="V1036" s="8" t="s">
        <v>29</v>
      </c>
      <c r="W1036" s="36">
        <f t="shared" ca="1" si="51"/>
        <v>0.04</v>
      </c>
      <c r="X1036" s="8" t="str">
        <f>_xlfn.XLOOKUP(F1036,'Product List'!$B$1:$B$299,'Product List'!$A$1:$A$299)</f>
        <v>Xerox 1946</v>
      </c>
      <c r="Y1036" s="8"/>
      <c r="Z1036" s="8" t="str" cm="1">
        <f t="array" ref="Z1036:AD1036">_xlfn.XLOOKUP(D1036,'Customer Details'!$A$1:$A$17,'Customer Details'!$B$1:$F$17,"No such customer",0,1)</f>
        <v>Reliance Industries Limited</v>
      </c>
      <c r="AA1036" s="8" t="str">
        <v>12020 Shamrock Rd., Suite 333</v>
      </c>
      <c r="AB1036" s="8" t="str">
        <v>Chestnut Ridge</v>
      </c>
      <c r="AC1036" s="8" t="str">
        <v>NY</v>
      </c>
      <c r="AD1036" s="8" t="str">
        <v>10977</v>
      </c>
    </row>
    <row r="1037" spans="1:30">
      <c r="A1037" s="8" t="s">
        <v>1020</v>
      </c>
      <c r="B1037" s="19">
        <v>42181</v>
      </c>
      <c r="C1037" s="8" t="s">
        <v>54</v>
      </c>
      <c r="D1037" s="8">
        <v>10012</v>
      </c>
      <c r="E1037" s="8" t="str">
        <f>VLOOKUP($D1037,'Customer Details'!$A$1:$F$17,4,FALSE)</f>
        <v>Santa Barbara</v>
      </c>
      <c r="F1037" s="8" t="s">
        <v>368</v>
      </c>
      <c r="G1037" s="8">
        <v>3</v>
      </c>
      <c r="H1037" s="2" t="str">
        <f>VLOOKUP($D1037,'Customer Details'!$A$1:$F$17,MATCH('Order SUmmary'!H$2,'Customer Details'!$A$1:$F$1,0),0)</f>
        <v>Dynamatic Technologies Ltd.</v>
      </c>
      <c r="I1037" s="2" t="str">
        <f>VLOOKUP($D1037,'Customer Details'!$A$1:$F$17,4,0)</f>
        <v>Santa Barbara</v>
      </c>
      <c r="J1037" s="2" t="str">
        <f>VLOOKUP($D1037,'Customer Details'!$A$1:$F$17,6,0)</f>
        <v>93110</v>
      </c>
      <c r="K1037" s="8" t="str">
        <f>VLOOKUP(VLOOKUP(D1037,'Customer Details'!$A$1:$F$17,5,0),'Region INfo'!$A$1:$C$52,3,0)</f>
        <v xml:space="preserve">Pacific   </v>
      </c>
      <c r="L1037" s="8" t="str">
        <f>INDEX(Product_List,MATCH($F1037,'Product List'!$B$1:$B$299,0),MATCH('Order SUmmary'!L$2,'Product List'!$A$1:$E$1,0))</f>
        <v>Xerox 1978</v>
      </c>
      <c r="M1037" s="8">
        <f>INDEX(Product_List,MATCH($F1037,'Product List'!$B$1:$B$299,0),MATCH('Order SUmmary'!M$2,'Product List'!$A$1:$E$1,0))</f>
        <v>4757</v>
      </c>
      <c r="N1037" s="8">
        <f>INDEX(Product_List,MATCH($F1037,'Product List'!$B$1:$B$299,0),MATCH('Order SUmmary'!N$2,'Product List'!$A$1:$E$1,0))</f>
        <v>1534</v>
      </c>
      <c r="O1037" s="8" t="str">
        <f>INDEX(Product_List,MATCH($F1037,'Product List'!$B$1:$B$299,0),MATCH('Order SUmmary'!O$2,'Product List'!$A$1:$E$1,0))</f>
        <v>Paper</v>
      </c>
      <c r="P1037" s="12">
        <f>HLOOKUP(C1037,'Commission Criteria'!$A$2:$I$4,3,FALSE)</f>
        <v>3</v>
      </c>
      <c r="Q1037" s="8">
        <f t="shared" si="49"/>
        <v>4602</v>
      </c>
      <c r="R1037" s="8">
        <f t="shared" si="50"/>
        <v>14271</v>
      </c>
      <c r="S1037" s="36">
        <f>VLOOKUP(R1037,'Commission Criteria'!$L$3:$M$11,2,TRUE)</f>
        <v>0.03</v>
      </c>
      <c r="T1037" s="36">
        <f>IF(P1037&lt;5,VLOOKUP(R1037,'Commission Criteria'!$L$3:$M$11,2,1),VLOOKUP('Order SUmmary'!R1037,'Commission Criteria'!$P$3:$Q$11,2,1))</f>
        <v>0.03</v>
      </c>
      <c r="U1037" s="36">
        <f>VLOOKUP(R1037,IF(P1037&lt;5,'Commission Criteria'!$L$3:$M$11,'Commission Criteria'!$P$3:$Q$11),2,1)</f>
        <v>0.03</v>
      </c>
      <c r="V1037" s="8" t="s">
        <v>29</v>
      </c>
      <c r="W1037" s="36">
        <f t="shared" ca="1" si="51"/>
        <v>0</v>
      </c>
      <c r="X1037" s="8" t="str">
        <f>_xlfn.XLOOKUP(F1037,'Product List'!$B$1:$B$299,'Product List'!$A$1:$A$299)</f>
        <v>Xerox 1978</v>
      </c>
      <c r="Y1037" s="8"/>
      <c r="Z1037" s="8" t="str" cm="1">
        <f t="array" ref="Z1037:AD1037">_xlfn.XLOOKUP(D1037,'Customer Details'!$A$1:$A$17,'Customer Details'!$B$1:$F$17,"No such customer",0,1)</f>
        <v>Dynamatic Technologies Ltd.</v>
      </c>
      <c r="AA1037" s="8" t="str">
        <v>402 Pinkster Lane</v>
      </c>
      <c r="AB1037" s="8" t="str">
        <v>Santa Barbara</v>
      </c>
      <c r="AC1037" s="8" t="str">
        <v>CA</v>
      </c>
      <c r="AD1037" s="8" t="str">
        <v>93110</v>
      </c>
    </row>
    <row r="1038" spans="1:30">
      <c r="A1038" s="8" t="s">
        <v>1021</v>
      </c>
      <c r="B1038" s="19">
        <v>42184</v>
      </c>
      <c r="C1038" s="8" t="s">
        <v>33</v>
      </c>
      <c r="D1038" s="8">
        <v>10004</v>
      </c>
      <c r="E1038" s="8" t="str">
        <f>VLOOKUP($D1038,'Customer Details'!$A$1:$F$17,4,FALSE)</f>
        <v>New York</v>
      </c>
      <c r="F1038" s="8" t="s">
        <v>672</v>
      </c>
      <c r="G1038" s="8">
        <v>2</v>
      </c>
      <c r="H1038" s="2" t="str">
        <f>VLOOKUP($D1038,'Customer Details'!$A$1:$F$17,MATCH('Order SUmmary'!H$2,'Customer Details'!$A$1:$F$1,0),0)</f>
        <v>Lupin Ltd.</v>
      </c>
      <c r="I1038" s="2" t="str">
        <f>VLOOKUP($D1038,'Customer Details'!$A$1:$F$17,4,0)</f>
        <v>New York</v>
      </c>
      <c r="J1038" s="2" t="str">
        <f>VLOOKUP($D1038,'Customer Details'!$A$1:$F$17,6,0)</f>
        <v>10019</v>
      </c>
      <c r="K1038" s="8" t="str">
        <f>VLOOKUP(VLOOKUP(D1038,'Customer Details'!$A$1:$F$17,5,0),'Region INfo'!$A$1:$C$52,3,0)</f>
        <v xml:space="preserve">Northern </v>
      </c>
      <c r="L1038" s="8" t="str">
        <f>INDEX(Product_List,MATCH($F1038,'Product List'!$B$1:$B$299,0),MATCH('Order SUmmary'!L$2,'Product List'!$A$1:$E$1,0))</f>
        <v>Newell 319</v>
      </c>
      <c r="M1038" s="8">
        <f>INDEX(Product_List,MATCH($F1038,'Product List'!$B$1:$B$299,0),MATCH('Order SUmmary'!M$2,'Product List'!$A$1:$E$1,0))</f>
        <v>2867</v>
      </c>
      <c r="N1038" s="8">
        <f>INDEX(Product_List,MATCH($F1038,'Product List'!$B$1:$B$299,0),MATCH('Order SUmmary'!N$2,'Product List'!$A$1:$E$1,0))</f>
        <v>2295</v>
      </c>
      <c r="O1038" s="8" t="str">
        <f>INDEX(Product_List,MATCH($F1038,'Product List'!$B$1:$B$299,0),MATCH('Order SUmmary'!O$2,'Product List'!$A$1:$E$1,0))</f>
        <v>Art</v>
      </c>
      <c r="P1038" s="12">
        <f>HLOOKUP(C1038,'Commission Criteria'!$A$2:$I$4,3,FALSE)</f>
        <v>1</v>
      </c>
      <c r="Q1038" s="8">
        <f t="shared" si="49"/>
        <v>4590</v>
      </c>
      <c r="R1038" s="8">
        <f t="shared" si="50"/>
        <v>5734</v>
      </c>
      <c r="S1038" s="36">
        <f>VLOOKUP(R1038,'Commission Criteria'!$L$3:$M$11,2,TRUE)</f>
        <v>0.03</v>
      </c>
      <c r="T1038" s="36">
        <f>IF(P1038&lt;5,VLOOKUP(R1038,'Commission Criteria'!$L$3:$M$11,2,1),VLOOKUP('Order SUmmary'!R1038,'Commission Criteria'!$P$3:$Q$11,2,1))</f>
        <v>0.03</v>
      </c>
      <c r="U1038" s="36">
        <f>VLOOKUP(R1038,IF(P1038&lt;5,'Commission Criteria'!$L$3:$M$11,'Commission Criteria'!$P$3:$Q$11),2,1)</f>
        <v>0.03</v>
      </c>
      <c r="V1038" s="8" t="s">
        <v>35</v>
      </c>
      <c r="W1038" s="36">
        <f t="shared" ca="1" si="51"/>
        <v>0</v>
      </c>
      <c r="X1038" s="8" t="str">
        <f>_xlfn.XLOOKUP(F1038,'Product List'!$B$1:$B$299,'Product List'!$A$1:$A$299)</f>
        <v>Newell 319</v>
      </c>
      <c r="Y1038" s="8"/>
      <c r="Z1038" s="8" t="str" cm="1">
        <f t="array" ref="Z1038:AD1038">_xlfn.XLOOKUP(D1038,'Customer Details'!$A$1:$A$17,'Customer Details'!$B$1:$F$17,"No such customer",0,1)</f>
        <v>Lupin Ltd.</v>
      </c>
      <c r="AA1038" s="8" t="str">
        <v>Abbey Wood</v>
      </c>
      <c r="AB1038" s="8" t="str">
        <v>New York</v>
      </c>
      <c r="AC1038" s="8" t="str">
        <v>NY</v>
      </c>
      <c r="AD1038" s="8" t="str">
        <v>10019</v>
      </c>
    </row>
    <row r="1039" spans="1:30">
      <c r="A1039" s="8" t="s">
        <v>1022</v>
      </c>
      <c r="B1039" s="19">
        <v>42185</v>
      </c>
      <c r="C1039" s="8" t="s">
        <v>44</v>
      </c>
      <c r="D1039" s="8">
        <v>10009</v>
      </c>
      <c r="E1039" s="8" t="str">
        <f>VLOOKUP($D1039,'Customer Details'!$A$1:$F$17,4,FALSE)</f>
        <v>Salt Lake City</v>
      </c>
      <c r="F1039" s="8" t="s">
        <v>188</v>
      </c>
      <c r="G1039" s="8">
        <v>2</v>
      </c>
      <c r="H1039" s="2" t="str">
        <f>VLOOKUP($D1039,'Customer Details'!$A$1:$F$17,MATCH('Order SUmmary'!H$2,'Customer Details'!$A$1:$F$1,0),0)</f>
        <v>Godfrey Philips India Ltd.</v>
      </c>
      <c r="I1039" s="2" t="str">
        <f>VLOOKUP($D1039,'Customer Details'!$A$1:$F$17,4,0)</f>
        <v>Salt Lake City</v>
      </c>
      <c r="J1039" s="2" t="str">
        <f>VLOOKUP($D1039,'Customer Details'!$A$1:$F$17,6,0)</f>
        <v>84118</v>
      </c>
      <c r="K1039" s="8" t="str">
        <f>VLOOKUP(VLOOKUP(D1039,'Customer Details'!$A$1:$F$17,5,0),'Region INfo'!$A$1:$C$52,3,0)</f>
        <v xml:space="preserve">Pacific   </v>
      </c>
      <c r="L1039" s="8" t="str">
        <f>INDEX(Product_List,MATCH($F1039,'Product List'!$B$1:$B$299,0),MATCH('Order SUmmary'!L$2,'Product List'!$A$1:$E$1,0))</f>
        <v>Xerox 1953</v>
      </c>
      <c r="M1039" s="8">
        <f>INDEX(Product_List,MATCH($F1039,'Product List'!$B$1:$B$299,0),MATCH('Order SUmmary'!M$2,'Product List'!$A$1:$E$1,0))</f>
        <v>2579</v>
      </c>
      <c r="N1039" s="8">
        <f>INDEX(Product_List,MATCH($F1039,'Product List'!$B$1:$B$299,0),MATCH('Order SUmmary'!N$2,'Product List'!$A$1:$E$1,0))</f>
        <v>1455</v>
      </c>
      <c r="O1039" s="8" t="str">
        <f>INDEX(Product_List,MATCH($F1039,'Product List'!$B$1:$B$299,0),MATCH('Order SUmmary'!O$2,'Product List'!$A$1:$E$1,0))</f>
        <v>Paper</v>
      </c>
      <c r="P1039" s="12">
        <f>HLOOKUP(C1039,'Commission Criteria'!$A$2:$I$4,3,FALSE)</f>
        <v>4</v>
      </c>
      <c r="Q1039" s="8">
        <f t="shared" si="49"/>
        <v>2910</v>
      </c>
      <c r="R1039" s="8">
        <f t="shared" si="50"/>
        <v>5158</v>
      </c>
      <c r="S1039" s="36">
        <f>VLOOKUP(R1039,'Commission Criteria'!$L$3:$M$11,2,TRUE)</f>
        <v>0.03</v>
      </c>
      <c r="T1039" s="36">
        <f>IF(P1039&lt;5,VLOOKUP(R1039,'Commission Criteria'!$L$3:$M$11,2,1),VLOOKUP('Order SUmmary'!R1039,'Commission Criteria'!$P$3:$Q$11,2,1))</f>
        <v>0.03</v>
      </c>
      <c r="U1039" s="36">
        <f>VLOOKUP(R1039,IF(P1039&lt;5,'Commission Criteria'!$L$3:$M$11,'Commission Criteria'!$P$3:$Q$11),2,1)</f>
        <v>0.03</v>
      </c>
      <c r="V1039" s="8" t="s">
        <v>43</v>
      </c>
      <c r="W1039" s="36">
        <f t="shared" ca="1" si="51"/>
        <v>0.04</v>
      </c>
      <c r="X1039" s="8" t="str">
        <f>_xlfn.XLOOKUP(F1039,'Product List'!$B$1:$B$299,'Product List'!$A$1:$A$299)</f>
        <v>Xerox 1953</v>
      </c>
      <c r="Y1039" s="8"/>
      <c r="Z1039" s="8" t="str" cm="1">
        <f t="array" ref="Z1039:AD1039">_xlfn.XLOOKUP(D1039,'Customer Details'!$A$1:$A$17,'Customer Details'!$B$1:$F$17,"No such customer",0,1)</f>
        <v>Godfrey Philips India Ltd.</v>
      </c>
      <c r="AA1039" s="8" t="str">
        <v>20501 Ania Ave #2</v>
      </c>
      <c r="AB1039" s="8" t="str">
        <v>Salt Lake City</v>
      </c>
      <c r="AC1039" s="8" t="str">
        <v>UT</v>
      </c>
      <c r="AD1039" s="8" t="str">
        <v>84118</v>
      </c>
    </row>
    <row r="1040" spans="1:30">
      <c r="A1040" s="8" t="s">
        <v>1023</v>
      </c>
      <c r="B1040" s="19">
        <v>42185</v>
      </c>
      <c r="C1040" s="8" t="s">
        <v>33</v>
      </c>
      <c r="D1040" s="8">
        <v>10013</v>
      </c>
      <c r="E1040" s="8" t="str">
        <f>VLOOKUP($D1040,'Customer Details'!$A$1:$F$17,4,FALSE)</f>
        <v>Naugatuck</v>
      </c>
      <c r="F1040" s="8" t="s">
        <v>710</v>
      </c>
      <c r="G1040" s="8">
        <v>2</v>
      </c>
      <c r="H1040" s="2" t="str">
        <f>VLOOKUP($D1040,'Customer Details'!$A$1:$F$17,MATCH('Order SUmmary'!H$2,'Customer Details'!$A$1:$F$1,0),0)</f>
        <v>GMR Infrastructure Ltd.</v>
      </c>
      <c r="I1040" s="2" t="str">
        <f>VLOOKUP($D1040,'Customer Details'!$A$1:$F$17,4,0)</f>
        <v>Naugatuck</v>
      </c>
      <c r="J1040" s="2" t="str">
        <f>VLOOKUP($D1040,'Customer Details'!$A$1:$F$17,6,0)</f>
        <v>06770</v>
      </c>
      <c r="K1040" s="8" t="str">
        <f>VLOOKUP(VLOOKUP(D1040,'Customer Details'!$A$1:$F$17,5,0),'Region INfo'!$A$1:$C$52,3,0)</f>
        <v xml:space="preserve">Northern </v>
      </c>
      <c r="L1040" s="8" t="str">
        <f>INDEX(Product_List,MATCH($F1040,'Product List'!$B$1:$B$299,0),MATCH('Order SUmmary'!L$2,'Product List'!$A$1:$E$1,0))</f>
        <v>Xerox 195</v>
      </c>
      <c r="M1040" s="8">
        <f>INDEX(Product_List,MATCH($F1040,'Product List'!$B$1:$B$299,0),MATCH('Order SUmmary'!M$2,'Product List'!$A$1:$E$1,0))</f>
        <v>4531</v>
      </c>
      <c r="N1040" s="8">
        <f>INDEX(Product_List,MATCH($F1040,'Product List'!$B$1:$B$299,0),MATCH('Order SUmmary'!N$2,'Product List'!$A$1:$E$1,0))</f>
        <v>1566</v>
      </c>
      <c r="O1040" s="8" t="str">
        <f>INDEX(Product_List,MATCH($F1040,'Product List'!$B$1:$B$299,0),MATCH('Order SUmmary'!O$2,'Product List'!$A$1:$E$1,0))</f>
        <v>Paper</v>
      </c>
      <c r="P1040" s="12">
        <f>HLOOKUP(C1040,'Commission Criteria'!$A$2:$I$4,3,FALSE)</f>
        <v>1</v>
      </c>
      <c r="Q1040" s="8">
        <f t="shared" si="49"/>
        <v>3132</v>
      </c>
      <c r="R1040" s="8">
        <f t="shared" si="50"/>
        <v>9062</v>
      </c>
      <c r="S1040" s="36">
        <f>VLOOKUP(R1040,'Commission Criteria'!$L$3:$M$11,2,TRUE)</f>
        <v>0.03</v>
      </c>
      <c r="T1040" s="36">
        <f>IF(P1040&lt;5,VLOOKUP(R1040,'Commission Criteria'!$L$3:$M$11,2,1),VLOOKUP('Order SUmmary'!R1040,'Commission Criteria'!$P$3:$Q$11,2,1))</f>
        <v>0.03</v>
      </c>
      <c r="U1040" s="36">
        <f>VLOOKUP(R1040,IF(P1040&lt;5,'Commission Criteria'!$L$3:$M$11,'Commission Criteria'!$P$3:$Q$11),2,1)</f>
        <v>0.03</v>
      </c>
      <c r="V1040" s="8" t="s">
        <v>35</v>
      </c>
      <c r="W1040" s="36">
        <f t="shared" ca="1" si="51"/>
        <v>0.03</v>
      </c>
      <c r="X1040" s="8" t="str">
        <f>_xlfn.XLOOKUP(F1040,'Product List'!$B$1:$B$299,'Product List'!$A$1:$A$299)</f>
        <v>Xerox 195</v>
      </c>
      <c r="Y1040" s="8"/>
      <c r="Z1040" s="8" t="str" cm="1">
        <f t="array" ref="Z1040:AD1040">_xlfn.XLOOKUP(D1040,'Customer Details'!$A$1:$A$17,'Customer Details'!$B$1:$F$17,"No such customer",0,1)</f>
        <v>GMR Infrastructure Ltd.</v>
      </c>
      <c r="AA1040" s="8" t="str">
        <v>P.O. Box 4421</v>
      </c>
      <c r="AB1040" s="8" t="str">
        <v>Naugatuck</v>
      </c>
      <c r="AC1040" s="8" t="str">
        <v>CT</v>
      </c>
      <c r="AD1040" s="8" t="str">
        <v>06770</v>
      </c>
    </row>
    <row r="1041" spans="1:30">
      <c r="A1041" s="8" t="s">
        <v>1024</v>
      </c>
      <c r="B1041" s="19">
        <v>42185</v>
      </c>
      <c r="C1041" s="8" t="s">
        <v>27</v>
      </c>
      <c r="D1041" s="8">
        <v>10007</v>
      </c>
      <c r="E1041" s="8" t="str">
        <f>VLOOKUP($D1041,'Customer Details'!$A$1:$F$17,4,FALSE)</f>
        <v>Richmond</v>
      </c>
      <c r="F1041" s="8" t="s">
        <v>594</v>
      </c>
      <c r="G1041" s="8">
        <v>3</v>
      </c>
      <c r="H1041" s="2" t="str">
        <f>VLOOKUP($D1041,'Customer Details'!$A$1:$F$17,MATCH('Order SUmmary'!H$2,'Customer Details'!$A$1:$F$1,0),0)</f>
        <v>GHCL Ltd.</v>
      </c>
      <c r="I1041" s="2" t="str">
        <f>VLOOKUP($D1041,'Customer Details'!$A$1:$F$17,4,0)</f>
        <v>Richmond</v>
      </c>
      <c r="J1041" s="2" t="str">
        <f>VLOOKUP($D1041,'Customer Details'!$A$1:$F$17,6,0)</f>
        <v>94805</v>
      </c>
      <c r="K1041" s="8" t="str">
        <f>VLOOKUP(VLOOKUP(D1041,'Customer Details'!$A$1:$F$17,5,0),'Region INfo'!$A$1:$C$52,3,0)</f>
        <v xml:space="preserve">Pacific   </v>
      </c>
      <c r="L1041" s="8" t="str">
        <f>INDEX(Product_List,MATCH($F1041,'Product List'!$B$1:$B$299,0),MATCH('Order SUmmary'!L$2,'Product List'!$A$1:$E$1,0))</f>
        <v>Xerox 217</v>
      </c>
      <c r="M1041" s="8">
        <f>INDEX(Product_List,MATCH($F1041,'Product List'!$B$1:$B$299,0),MATCH('Order SUmmary'!M$2,'Product List'!$A$1:$E$1,0))</f>
        <v>3574</v>
      </c>
      <c r="N1041" s="8">
        <f>INDEX(Product_List,MATCH($F1041,'Product List'!$B$1:$B$299,0),MATCH('Order SUmmary'!N$2,'Product List'!$A$1:$E$1,0))</f>
        <v>1747</v>
      </c>
      <c r="O1041" s="8" t="str">
        <f>INDEX(Product_List,MATCH($F1041,'Product List'!$B$1:$B$299,0),MATCH('Order SUmmary'!O$2,'Product List'!$A$1:$E$1,0))</f>
        <v>Paper</v>
      </c>
      <c r="P1041" s="12">
        <f>HLOOKUP(C1041,'Commission Criteria'!$A$2:$I$4,3,FALSE)</f>
        <v>4</v>
      </c>
      <c r="Q1041" s="8">
        <f t="shared" si="49"/>
        <v>5241</v>
      </c>
      <c r="R1041" s="8">
        <f t="shared" si="50"/>
        <v>10722</v>
      </c>
      <c r="S1041" s="36">
        <f>VLOOKUP(R1041,'Commission Criteria'!$L$3:$M$11,2,TRUE)</f>
        <v>0.03</v>
      </c>
      <c r="T1041" s="36">
        <f>IF(P1041&lt;5,VLOOKUP(R1041,'Commission Criteria'!$L$3:$M$11,2,1),VLOOKUP('Order SUmmary'!R1041,'Commission Criteria'!$P$3:$Q$11,2,1))</f>
        <v>0.03</v>
      </c>
      <c r="U1041" s="36">
        <f>VLOOKUP(R1041,IF(P1041&lt;5,'Commission Criteria'!$L$3:$M$11,'Commission Criteria'!$P$3:$Q$11),2,1)</f>
        <v>0.03</v>
      </c>
      <c r="V1041" s="8" t="s">
        <v>50</v>
      </c>
      <c r="W1041" s="36">
        <f t="shared" ca="1" si="51"/>
        <v>0.05</v>
      </c>
      <c r="X1041" s="8" t="str">
        <f>_xlfn.XLOOKUP(F1041,'Product List'!$B$1:$B$299,'Product List'!$A$1:$A$299)</f>
        <v>Xerox 217</v>
      </c>
      <c r="Y1041" s="8"/>
      <c r="Z1041" s="8" t="str" cm="1">
        <f t="array" ref="Z1041:AD1041">_xlfn.XLOOKUP(D1041,'Customer Details'!$A$1:$A$17,'Customer Details'!$B$1:$F$17,"No such customer",0,1)</f>
        <v>GHCL Ltd.</v>
      </c>
      <c r="AA1041" s="8" t="str">
        <v>58 Clarence St</v>
      </c>
      <c r="AB1041" s="8" t="str">
        <v>Richmond</v>
      </c>
      <c r="AC1041" s="8" t="str">
        <v>CA</v>
      </c>
      <c r="AD1041" s="8" t="str">
        <v>94805</v>
      </c>
    </row>
    <row r="1042" spans="1:30">
      <c r="A1042" s="8" t="s">
        <v>1025</v>
      </c>
      <c r="B1042" s="19">
        <v>42186</v>
      </c>
      <c r="C1042" s="8" t="s">
        <v>27</v>
      </c>
      <c r="D1042" s="8">
        <v>10012</v>
      </c>
      <c r="E1042" s="8" t="str">
        <f>VLOOKUP($D1042,'Customer Details'!$A$1:$F$17,4,FALSE)</f>
        <v>Santa Barbara</v>
      </c>
      <c r="F1042" s="8" t="s">
        <v>65</v>
      </c>
      <c r="G1042" s="8">
        <v>1</v>
      </c>
      <c r="H1042" s="2" t="str">
        <f>VLOOKUP($D1042,'Customer Details'!$A$1:$F$17,MATCH('Order SUmmary'!H$2,'Customer Details'!$A$1:$F$1,0),0)</f>
        <v>Dynamatic Technologies Ltd.</v>
      </c>
      <c r="I1042" s="2" t="str">
        <f>VLOOKUP($D1042,'Customer Details'!$A$1:$F$17,4,0)</f>
        <v>Santa Barbara</v>
      </c>
      <c r="J1042" s="2" t="str">
        <f>VLOOKUP($D1042,'Customer Details'!$A$1:$F$17,6,0)</f>
        <v>93110</v>
      </c>
      <c r="K1042" s="8" t="str">
        <f>VLOOKUP(VLOOKUP(D1042,'Customer Details'!$A$1:$F$17,5,0),'Region INfo'!$A$1:$C$52,3,0)</f>
        <v xml:space="preserve">Pacific   </v>
      </c>
      <c r="L1042" s="8" t="str">
        <f>INDEX(Product_List,MATCH($F1042,'Product List'!$B$1:$B$299,0),MATCH('Order SUmmary'!L$2,'Product List'!$A$1:$E$1,0))</f>
        <v>Xerox 1963</v>
      </c>
      <c r="M1042" s="8">
        <f>INDEX(Product_List,MATCH($F1042,'Product List'!$B$1:$B$299,0),MATCH('Order SUmmary'!M$2,'Product List'!$A$1:$E$1,0))</f>
        <v>3339</v>
      </c>
      <c r="N1042" s="8">
        <f>INDEX(Product_List,MATCH($F1042,'Product List'!$B$1:$B$299,0),MATCH('Order SUmmary'!N$2,'Product List'!$A$1:$E$1,0))</f>
        <v>2274</v>
      </c>
      <c r="O1042" s="8" t="str">
        <f>INDEX(Product_List,MATCH($F1042,'Product List'!$B$1:$B$299,0),MATCH('Order SUmmary'!O$2,'Product List'!$A$1:$E$1,0))</f>
        <v>Paper</v>
      </c>
      <c r="P1042" s="12">
        <f>HLOOKUP(C1042,'Commission Criteria'!$A$2:$I$4,3,FALSE)</f>
        <v>4</v>
      </c>
      <c r="Q1042" s="8">
        <f t="shared" si="49"/>
        <v>2274</v>
      </c>
      <c r="R1042" s="8">
        <f t="shared" si="50"/>
        <v>3339</v>
      </c>
      <c r="S1042" s="36">
        <f>VLOOKUP(R1042,'Commission Criteria'!$L$3:$M$11,2,TRUE)</f>
        <v>0.01</v>
      </c>
      <c r="T1042" s="36">
        <f>IF(P1042&lt;5,VLOOKUP(R1042,'Commission Criteria'!$L$3:$M$11,2,1),VLOOKUP('Order SUmmary'!R1042,'Commission Criteria'!$P$3:$Q$11,2,1))</f>
        <v>0.01</v>
      </c>
      <c r="U1042" s="36">
        <f>VLOOKUP(R1042,IF(P1042&lt;5,'Commission Criteria'!$L$3:$M$11,'Commission Criteria'!$P$3:$Q$11),2,1)</f>
        <v>0.01</v>
      </c>
      <c r="V1042" s="8" t="s">
        <v>35</v>
      </c>
      <c r="W1042" s="36">
        <f t="shared" ca="1" si="51"/>
        <v>0</v>
      </c>
      <c r="X1042" s="8" t="str">
        <f>_xlfn.XLOOKUP(F1042,'Product List'!$B$1:$B$299,'Product List'!$A$1:$A$299)</f>
        <v>Xerox 1963</v>
      </c>
      <c r="Y1042" s="8"/>
      <c r="Z1042" s="8" t="str" cm="1">
        <f t="array" ref="Z1042:AD1042">_xlfn.XLOOKUP(D1042,'Customer Details'!$A$1:$A$17,'Customer Details'!$B$1:$F$17,"No such customer",0,1)</f>
        <v>Dynamatic Technologies Ltd.</v>
      </c>
      <c r="AA1042" s="8" t="str">
        <v>402 Pinkster Lane</v>
      </c>
      <c r="AB1042" s="8" t="str">
        <v>Santa Barbara</v>
      </c>
      <c r="AC1042" s="8" t="str">
        <v>CA</v>
      </c>
      <c r="AD1042" s="8" t="str">
        <v>93110</v>
      </c>
    </row>
    <row r="1043" spans="1:30">
      <c r="A1043" s="8" t="s">
        <v>1025</v>
      </c>
      <c r="B1043" s="19">
        <v>42186</v>
      </c>
      <c r="C1043" s="8" t="s">
        <v>27</v>
      </c>
      <c r="D1043" s="8">
        <v>10005</v>
      </c>
      <c r="E1043" s="8" t="str">
        <f>VLOOKUP($D1043,'Customer Details'!$A$1:$F$17,4,FALSE)</f>
        <v>Goleta</v>
      </c>
      <c r="F1043" s="8" t="s">
        <v>502</v>
      </c>
      <c r="G1043" s="8">
        <v>2</v>
      </c>
      <c r="H1043" s="2" t="str">
        <f>VLOOKUP($D1043,'Customer Details'!$A$1:$F$17,MATCH('Order SUmmary'!H$2,'Customer Details'!$A$1:$F$1,0),0)</f>
        <v>Fortis Healthcare Ltd.</v>
      </c>
      <c r="I1043" s="2" t="str">
        <f>VLOOKUP($D1043,'Customer Details'!$A$1:$F$17,4,0)</f>
        <v>Goleta</v>
      </c>
      <c r="J1043" s="2" t="str">
        <f>VLOOKUP($D1043,'Customer Details'!$A$1:$F$17,6,0)</f>
        <v>93117</v>
      </c>
      <c r="K1043" s="8" t="str">
        <f>VLOOKUP(VLOOKUP(D1043,'Customer Details'!$A$1:$F$17,5,0),'Region INfo'!$A$1:$C$52,3,0)</f>
        <v xml:space="preserve">Pacific   </v>
      </c>
      <c r="L1043" s="8" t="str">
        <f>INDEX(Product_List,MATCH($F1043,'Product List'!$B$1:$B$299,0),MATCH('Order SUmmary'!L$2,'Product List'!$A$1:$E$1,0))</f>
        <v>Xerox 1896</v>
      </c>
      <c r="M1043" s="8">
        <f>INDEX(Product_List,MATCH($F1043,'Product List'!$B$1:$B$299,0),MATCH('Order SUmmary'!M$2,'Product List'!$A$1:$E$1,0))</f>
        <v>4239</v>
      </c>
      <c r="N1043" s="8">
        <f>INDEX(Product_List,MATCH($F1043,'Product List'!$B$1:$B$299,0),MATCH('Order SUmmary'!N$2,'Product List'!$A$1:$E$1,0))</f>
        <v>2267</v>
      </c>
      <c r="O1043" s="8" t="str">
        <f>INDEX(Product_List,MATCH($F1043,'Product List'!$B$1:$B$299,0),MATCH('Order SUmmary'!O$2,'Product List'!$A$1:$E$1,0))</f>
        <v>Paper</v>
      </c>
      <c r="P1043" s="12">
        <f>HLOOKUP(C1043,'Commission Criteria'!$A$2:$I$4,3,FALSE)</f>
        <v>4</v>
      </c>
      <c r="Q1043" s="8">
        <f t="shared" si="49"/>
        <v>4534</v>
      </c>
      <c r="R1043" s="8">
        <f t="shared" si="50"/>
        <v>8478</v>
      </c>
      <c r="S1043" s="36">
        <f>VLOOKUP(R1043,'Commission Criteria'!$L$3:$M$11,2,TRUE)</f>
        <v>0.03</v>
      </c>
      <c r="T1043" s="36">
        <f>IF(P1043&lt;5,VLOOKUP(R1043,'Commission Criteria'!$L$3:$M$11,2,1),VLOOKUP('Order SUmmary'!R1043,'Commission Criteria'!$P$3:$Q$11,2,1))</f>
        <v>0.03</v>
      </c>
      <c r="U1043" s="36">
        <f>VLOOKUP(R1043,IF(P1043&lt;5,'Commission Criteria'!$L$3:$M$11,'Commission Criteria'!$P$3:$Q$11),2,1)</f>
        <v>0.03</v>
      </c>
      <c r="V1043" s="8" t="s">
        <v>40</v>
      </c>
      <c r="W1043" s="36">
        <f t="shared" ca="1" si="51"/>
        <v>0.05</v>
      </c>
      <c r="X1043" s="8" t="str">
        <f>_xlfn.XLOOKUP(F1043,'Product List'!$B$1:$B$299,'Product List'!$A$1:$A$299)</f>
        <v>Xerox 1896</v>
      </c>
      <c r="Y1043" s="8"/>
      <c r="Z1043" s="8" t="str" cm="1">
        <f t="array" ref="Z1043:AD1043">_xlfn.XLOOKUP(D1043,'Customer Details'!$A$1:$A$17,'Customer Details'!$B$1:$F$17,"No such customer",0,1)</f>
        <v>Fortis Healthcare Ltd.</v>
      </c>
      <c r="AA1043" s="8" t="str">
        <v>14 Elsworthy Terrace</v>
      </c>
      <c r="AB1043" s="8" t="str">
        <v>Goleta</v>
      </c>
      <c r="AC1043" s="8" t="str">
        <v>CA</v>
      </c>
      <c r="AD1043" s="8" t="str">
        <v>93117</v>
      </c>
    </row>
    <row r="1044" spans="1:30">
      <c r="A1044" s="8" t="s">
        <v>1025</v>
      </c>
      <c r="B1044" s="19">
        <v>42186</v>
      </c>
      <c r="C1044" s="8" t="s">
        <v>36</v>
      </c>
      <c r="D1044" s="8">
        <v>10005</v>
      </c>
      <c r="E1044" s="8" t="str">
        <f>VLOOKUP($D1044,'Customer Details'!$A$1:$F$17,4,FALSE)</f>
        <v>Goleta</v>
      </c>
      <c r="F1044" s="8" t="s">
        <v>1026</v>
      </c>
      <c r="G1044" s="8">
        <v>3</v>
      </c>
      <c r="H1044" s="2" t="str">
        <f>VLOOKUP($D1044,'Customer Details'!$A$1:$F$17,MATCH('Order SUmmary'!H$2,'Customer Details'!$A$1:$F$1,0),0)</f>
        <v>Fortis Healthcare Ltd.</v>
      </c>
      <c r="I1044" s="2" t="str">
        <f>VLOOKUP($D1044,'Customer Details'!$A$1:$F$17,4,0)</f>
        <v>Goleta</v>
      </c>
      <c r="J1044" s="2" t="str">
        <f>VLOOKUP($D1044,'Customer Details'!$A$1:$F$17,6,0)</f>
        <v>93117</v>
      </c>
      <c r="K1044" s="8" t="str">
        <f>VLOOKUP(VLOOKUP(D1044,'Customer Details'!$A$1:$F$17,5,0),'Region INfo'!$A$1:$C$52,3,0)</f>
        <v xml:space="preserve">Pacific   </v>
      </c>
      <c r="L1044" s="8" t="str">
        <f>INDEX(Product_List,MATCH($F1044,'Product List'!$B$1:$B$299,0),MATCH('Order SUmmary'!L$2,'Product List'!$A$1:$E$1,0))</f>
        <v>Xerox 2000</v>
      </c>
      <c r="M1044" s="8">
        <f>INDEX(Product_List,MATCH($F1044,'Product List'!$B$1:$B$299,0),MATCH('Order SUmmary'!M$2,'Product List'!$A$1:$E$1,0))</f>
        <v>4948</v>
      </c>
      <c r="N1044" s="8">
        <f>INDEX(Product_List,MATCH($F1044,'Product List'!$B$1:$B$299,0),MATCH('Order SUmmary'!N$2,'Product List'!$A$1:$E$1,0))</f>
        <v>1972</v>
      </c>
      <c r="O1044" s="8" t="str">
        <f>INDEX(Product_List,MATCH($F1044,'Product List'!$B$1:$B$299,0),MATCH('Order SUmmary'!O$2,'Product List'!$A$1:$E$1,0))</f>
        <v>Paper</v>
      </c>
      <c r="P1044" s="12">
        <f>HLOOKUP(C1044,'Commission Criteria'!$A$2:$I$4,3,FALSE)</f>
        <v>6</v>
      </c>
      <c r="Q1044" s="8">
        <f t="shared" si="49"/>
        <v>5916</v>
      </c>
      <c r="R1044" s="8">
        <f t="shared" si="50"/>
        <v>14844</v>
      </c>
      <c r="S1044" s="36">
        <f>VLOOKUP(R1044,'Commission Criteria'!$L$3:$M$11,2,TRUE)</f>
        <v>0.03</v>
      </c>
      <c r="T1044" s="36">
        <f>IF(P1044&lt;5,VLOOKUP(R1044,'Commission Criteria'!$L$3:$M$11,2,1),VLOOKUP('Order SUmmary'!R1044,'Commission Criteria'!$P$3:$Q$11,2,1))</f>
        <v>0.02</v>
      </c>
      <c r="U1044" s="36">
        <f>VLOOKUP(R1044,IF(P1044&lt;5,'Commission Criteria'!$L$3:$M$11,'Commission Criteria'!$P$3:$Q$11),2,1)</f>
        <v>0.02</v>
      </c>
      <c r="V1044" s="8" t="s">
        <v>29</v>
      </c>
      <c r="W1044" s="36">
        <f t="shared" ca="1" si="51"/>
        <v>0.05</v>
      </c>
      <c r="X1044" s="8" t="str">
        <f>_xlfn.XLOOKUP(F1044,'Product List'!$B$1:$B$299,'Product List'!$A$1:$A$299)</f>
        <v>Xerox 2000</v>
      </c>
      <c r="Y1044" s="8"/>
      <c r="Z1044" s="8" t="str" cm="1">
        <f t="array" ref="Z1044:AD1044">_xlfn.XLOOKUP(D1044,'Customer Details'!$A$1:$A$17,'Customer Details'!$B$1:$F$17,"No such customer",0,1)</f>
        <v>Fortis Healthcare Ltd.</v>
      </c>
      <c r="AA1044" s="8" t="str">
        <v>14 Elsworthy Terrace</v>
      </c>
      <c r="AB1044" s="8" t="str">
        <v>Goleta</v>
      </c>
      <c r="AC1044" s="8" t="str">
        <v>CA</v>
      </c>
      <c r="AD1044" s="8" t="str">
        <v>93117</v>
      </c>
    </row>
    <row r="1045" spans="1:30">
      <c r="A1045" s="8" t="s">
        <v>1027</v>
      </c>
      <c r="B1045" s="19">
        <v>42188</v>
      </c>
      <c r="C1045" s="8" t="s">
        <v>36</v>
      </c>
      <c r="D1045" s="8">
        <v>10005</v>
      </c>
      <c r="E1045" s="8" t="str">
        <f>VLOOKUP($D1045,'Customer Details'!$A$1:$F$17,4,FALSE)</f>
        <v>Goleta</v>
      </c>
      <c r="F1045" s="8" t="s">
        <v>434</v>
      </c>
      <c r="G1045" s="8">
        <v>1</v>
      </c>
      <c r="H1045" s="2" t="str">
        <f>VLOOKUP($D1045,'Customer Details'!$A$1:$F$17,MATCH('Order SUmmary'!H$2,'Customer Details'!$A$1:$F$1,0),0)</f>
        <v>Fortis Healthcare Ltd.</v>
      </c>
      <c r="I1045" s="2" t="str">
        <f>VLOOKUP($D1045,'Customer Details'!$A$1:$F$17,4,0)</f>
        <v>Goleta</v>
      </c>
      <c r="J1045" s="2" t="str">
        <f>VLOOKUP($D1045,'Customer Details'!$A$1:$F$17,6,0)</f>
        <v>93117</v>
      </c>
      <c r="K1045" s="8" t="str">
        <f>VLOOKUP(VLOOKUP(D1045,'Customer Details'!$A$1:$F$17,5,0),'Region INfo'!$A$1:$C$52,3,0)</f>
        <v xml:space="preserve">Pacific   </v>
      </c>
      <c r="L1045" s="8" t="str">
        <f>INDEX(Product_List,MATCH($F1045,'Product List'!$B$1:$B$299,0),MATCH('Order SUmmary'!L$2,'Product List'!$A$1:$E$1,0))</f>
        <v>Xerox 1952</v>
      </c>
      <c r="M1045" s="8">
        <f>INDEX(Product_List,MATCH($F1045,'Product List'!$B$1:$B$299,0),MATCH('Order SUmmary'!M$2,'Product List'!$A$1:$E$1,0))</f>
        <v>2996</v>
      </c>
      <c r="N1045" s="8">
        <f>INDEX(Product_List,MATCH($F1045,'Product List'!$B$1:$B$299,0),MATCH('Order SUmmary'!N$2,'Product List'!$A$1:$E$1,0))</f>
        <v>1641</v>
      </c>
      <c r="O1045" s="8" t="str">
        <f>INDEX(Product_List,MATCH($F1045,'Product List'!$B$1:$B$299,0),MATCH('Order SUmmary'!O$2,'Product List'!$A$1:$E$1,0))</f>
        <v>Paper</v>
      </c>
      <c r="P1045" s="12">
        <f>HLOOKUP(C1045,'Commission Criteria'!$A$2:$I$4,3,FALSE)</f>
        <v>6</v>
      </c>
      <c r="Q1045" s="8">
        <f t="shared" si="49"/>
        <v>1641</v>
      </c>
      <c r="R1045" s="8">
        <f t="shared" si="50"/>
        <v>2996</v>
      </c>
      <c r="S1045" s="36">
        <f>VLOOKUP(R1045,'Commission Criteria'!$L$3:$M$11,2,TRUE)</f>
        <v>0.01</v>
      </c>
      <c r="T1045" s="36">
        <f>IF(P1045&lt;5,VLOOKUP(R1045,'Commission Criteria'!$L$3:$M$11,2,1),VLOOKUP('Order SUmmary'!R1045,'Commission Criteria'!$P$3:$Q$11,2,1))</f>
        <v>0.02</v>
      </c>
      <c r="U1045" s="36">
        <f>VLOOKUP(R1045,IF(P1045&lt;5,'Commission Criteria'!$L$3:$M$11,'Commission Criteria'!$P$3:$Q$11),2,1)</f>
        <v>0.02</v>
      </c>
      <c r="V1045" s="8" t="s">
        <v>32</v>
      </c>
      <c r="W1045" s="36">
        <f t="shared" ca="1" si="51"/>
        <v>0.01</v>
      </c>
      <c r="X1045" s="8" t="str">
        <f>_xlfn.XLOOKUP(F1045,'Product List'!$B$1:$B$299,'Product List'!$A$1:$A$299)</f>
        <v>Xerox 1952</v>
      </c>
      <c r="Y1045" s="8"/>
      <c r="Z1045" s="8" t="str" cm="1">
        <f t="array" ref="Z1045:AD1045">_xlfn.XLOOKUP(D1045,'Customer Details'!$A$1:$A$17,'Customer Details'!$B$1:$F$17,"No such customer",0,1)</f>
        <v>Fortis Healthcare Ltd.</v>
      </c>
      <c r="AA1045" s="8" t="str">
        <v>14 Elsworthy Terrace</v>
      </c>
      <c r="AB1045" s="8" t="str">
        <v>Goleta</v>
      </c>
      <c r="AC1045" s="8" t="str">
        <v>CA</v>
      </c>
      <c r="AD1045" s="8" t="str">
        <v>93117</v>
      </c>
    </row>
    <row r="1046" spans="1:30">
      <c r="A1046" s="8" t="s">
        <v>1028</v>
      </c>
      <c r="B1046" s="19">
        <v>42189</v>
      </c>
      <c r="C1046" s="8" t="s">
        <v>27</v>
      </c>
      <c r="D1046" s="8">
        <v>10008</v>
      </c>
      <c r="E1046" s="8" t="str">
        <f>VLOOKUP($D1046,'Customer Details'!$A$1:$F$17,4,FALSE)</f>
        <v>Chestnut Ridge</v>
      </c>
      <c r="F1046" s="8" t="s">
        <v>168</v>
      </c>
      <c r="G1046" s="8">
        <v>3</v>
      </c>
      <c r="H1046" s="2" t="str">
        <f>VLOOKUP($D1046,'Customer Details'!$A$1:$F$17,MATCH('Order SUmmary'!H$2,'Customer Details'!$A$1:$F$1,0),0)</f>
        <v>Reliance Industries Limited</v>
      </c>
      <c r="I1046" s="2" t="str">
        <f>VLOOKUP($D1046,'Customer Details'!$A$1:$F$17,4,0)</f>
        <v>Chestnut Ridge</v>
      </c>
      <c r="J1046" s="2" t="str">
        <f>VLOOKUP($D1046,'Customer Details'!$A$1:$F$17,6,0)</f>
        <v>10977</v>
      </c>
      <c r="K1046" s="8" t="str">
        <f>VLOOKUP(VLOOKUP(D1046,'Customer Details'!$A$1:$F$17,5,0),'Region INfo'!$A$1:$C$52,3,0)</f>
        <v xml:space="preserve">Northern </v>
      </c>
      <c r="L1046" s="8" t="str">
        <f>INDEX(Product_List,MATCH($F1046,'Product List'!$B$1:$B$299,0),MATCH('Order SUmmary'!L$2,'Product List'!$A$1:$E$1,0))</f>
        <v>Newell 334</v>
      </c>
      <c r="M1046" s="8">
        <f>INDEX(Product_List,MATCH($F1046,'Product List'!$B$1:$B$299,0),MATCH('Order SUmmary'!M$2,'Product List'!$A$1:$E$1,0))</f>
        <v>4589</v>
      </c>
      <c r="N1046" s="8">
        <f>INDEX(Product_List,MATCH($F1046,'Product List'!$B$1:$B$299,0),MATCH('Order SUmmary'!N$2,'Product List'!$A$1:$E$1,0))</f>
        <v>1478</v>
      </c>
      <c r="O1046" s="8" t="str">
        <f>INDEX(Product_List,MATCH($F1046,'Product List'!$B$1:$B$299,0),MATCH('Order SUmmary'!O$2,'Product List'!$A$1:$E$1,0))</f>
        <v>Art</v>
      </c>
      <c r="P1046" s="12">
        <f>HLOOKUP(C1046,'Commission Criteria'!$A$2:$I$4,3,FALSE)</f>
        <v>4</v>
      </c>
      <c r="Q1046" s="8">
        <f t="shared" si="49"/>
        <v>4434</v>
      </c>
      <c r="R1046" s="8">
        <f t="shared" si="50"/>
        <v>13767</v>
      </c>
      <c r="S1046" s="36">
        <f>VLOOKUP(R1046,'Commission Criteria'!$L$3:$M$11,2,TRUE)</f>
        <v>0.03</v>
      </c>
      <c r="T1046" s="36">
        <f>IF(P1046&lt;5,VLOOKUP(R1046,'Commission Criteria'!$L$3:$M$11,2,1),VLOOKUP('Order SUmmary'!R1046,'Commission Criteria'!$P$3:$Q$11,2,1))</f>
        <v>0.03</v>
      </c>
      <c r="U1046" s="36">
        <f>VLOOKUP(R1046,IF(P1046&lt;5,'Commission Criteria'!$L$3:$M$11,'Commission Criteria'!$P$3:$Q$11),2,1)</f>
        <v>0.03</v>
      </c>
      <c r="V1046" s="8" t="s">
        <v>50</v>
      </c>
      <c r="W1046" s="36">
        <f t="shared" ca="1" si="51"/>
        <v>0.04</v>
      </c>
      <c r="X1046" s="8" t="str">
        <f>_xlfn.XLOOKUP(F1046,'Product List'!$B$1:$B$299,'Product List'!$A$1:$A$299)</f>
        <v>Newell 334</v>
      </c>
      <c r="Y1046" s="8"/>
      <c r="Z1046" s="8" t="str" cm="1">
        <f t="array" ref="Z1046:AD1046">_xlfn.XLOOKUP(D1046,'Customer Details'!$A$1:$A$17,'Customer Details'!$B$1:$F$17,"No such customer",0,1)</f>
        <v>Reliance Industries Limited</v>
      </c>
      <c r="AA1046" s="8" t="str">
        <v>12020 Shamrock Rd., Suite 333</v>
      </c>
      <c r="AB1046" s="8" t="str">
        <v>Chestnut Ridge</v>
      </c>
      <c r="AC1046" s="8" t="str">
        <v>NY</v>
      </c>
      <c r="AD1046" s="8" t="str">
        <v>10977</v>
      </c>
    </row>
    <row r="1047" spans="1:30">
      <c r="A1047" s="8" t="s">
        <v>1029</v>
      </c>
      <c r="B1047" s="19">
        <v>42190</v>
      </c>
      <c r="C1047" s="8" t="s">
        <v>36</v>
      </c>
      <c r="D1047" s="8">
        <v>10001</v>
      </c>
      <c r="E1047" s="8" t="str">
        <f>VLOOKUP($D1047,'Customer Details'!$A$1:$F$17,4,FALSE)</f>
        <v>New York</v>
      </c>
      <c r="F1047" s="8" t="s">
        <v>302</v>
      </c>
      <c r="G1047" s="8">
        <v>1</v>
      </c>
      <c r="H1047" s="2" t="str">
        <f>VLOOKUP($D1047,'Customer Details'!$A$1:$F$17,MATCH('Order SUmmary'!H$2,'Customer Details'!$A$1:$F$1,0),0)</f>
        <v>Chambal Fertilisers and Chemicals Ltd.</v>
      </c>
      <c r="I1047" s="2" t="str">
        <f>VLOOKUP($D1047,'Customer Details'!$A$1:$F$17,4,0)</f>
        <v>New York</v>
      </c>
      <c r="J1047" s="2" t="str">
        <f>VLOOKUP($D1047,'Customer Details'!$A$1:$F$17,6,0)</f>
        <v>10025</v>
      </c>
      <c r="K1047" s="8" t="str">
        <f>VLOOKUP(VLOOKUP(D1047,'Customer Details'!$A$1:$F$17,5,0),'Region INfo'!$A$1:$C$52,3,0)</f>
        <v xml:space="preserve">Northern </v>
      </c>
      <c r="L1047" s="8" t="str">
        <f>INDEX(Product_List,MATCH($F1047,'Product List'!$B$1:$B$299,0),MATCH('Order SUmmary'!L$2,'Product List'!$A$1:$E$1,0))</f>
        <v>Xerox 190</v>
      </c>
      <c r="M1047" s="8">
        <f>INDEX(Product_List,MATCH($F1047,'Product List'!$B$1:$B$299,0),MATCH('Order SUmmary'!M$2,'Product List'!$A$1:$E$1,0))</f>
        <v>2614</v>
      </c>
      <c r="N1047" s="8">
        <f>INDEX(Product_List,MATCH($F1047,'Product List'!$B$1:$B$299,0),MATCH('Order SUmmary'!N$2,'Product List'!$A$1:$E$1,0))</f>
        <v>2329</v>
      </c>
      <c r="O1047" s="8" t="str">
        <f>INDEX(Product_List,MATCH($F1047,'Product List'!$B$1:$B$299,0),MATCH('Order SUmmary'!O$2,'Product List'!$A$1:$E$1,0))</f>
        <v>Paper</v>
      </c>
      <c r="P1047" s="12">
        <f>HLOOKUP(C1047,'Commission Criteria'!$A$2:$I$4,3,FALSE)</f>
        <v>6</v>
      </c>
      <c r="Q1047" s="8">
        <f t="shared" si="49"/>
        <v>2329</v>
      </c>
      <c r="R1047" s="8">
        <f t="shared" si="50"/>
        <v>2614</v>
      </c>
      <c r="S1047" s="36">
        <f>VLOOKUP(R1047,'Commission Criteria'!$L$3:$M$11,2,TRUE)</f>
        <v>0.01</v>
      </c>
      <c r="T1047" s="36">
        <f>IF(P1047&lt;5,VLOOKUP(R1047,'Commission Criteria'!$L$3:$M$11,2,1),VLOOKUP('Order SUmmary'!R1047,'Commission Criteria'!$P$3:$Q$11,2,1))</f>
        <v>0.02</v>
      </c>
      <c r="U1047" s="36">
        <f>VLOOKUP(R1047,IF(P1047&lt;5,'Commission Criteria'!$L$3:$M$11,'Commission Criteria'!$P$3:$Q$11),2,1)</f>
        <v>0.02</v>
      </c>
      <c r="V1047" s="8" t="s">
        <v>29</v>
      </c>
      <c r="W1047" s="36">
        <f t="shared" ca="1" si="51"/>
        <v>0</v>
      </c>
      <c r="X1047" s="8" t="str">
        <f>_xlfn.XLOOKUP(F1047,'Product List'!$B$1:$B$299,'Product List'!$A$1:$A$299)</f>
        <v>Xerox 190</v>
      </c>
      <c r="Y1047" s="8"/>
      <c r="Z1047" s="8" t="str" cm="1">
        <f t="array" ref="Z1047:AD1047">_xlfn.XLOOKUP(D1047,'Customer Details'!$A$1:$A$17,'Customer Details'!$B$1:$F$17,"No such customer",0,1)</f>
        <v>Chambal Fertilisers and Chemicals Ltd.</v>
      </c>
      <c r="AA1047" s="8" t="str">
        <v>4951 Indiana Ave.</v>
      </c>
      <c r="AB1047" s="8" t="str">
        <v>New York</v>
      </c>
      <c r="AC1047" s="8" t="str">
        <v>NY</v>
      </c>
      <c r="AD1047" s="8" t="str">
        <v>10025</v>
      </c>
    </row>
    <row r="1048" spans="1:30">
      <c r="A1048" s="8" t="s">
        <v>1029</v>
      </c>
      <c r="B1048" s="19">
        <v>42190</v>
      </c>
      <c r="C1048" s="8" t="s">
        <v>46</v>
      </c>
      <c r="D1048" s="8">
        <v>10002</v>
      </c>
      <c r="E1048" s="8" t="str">
        <f>VLOOKUP($D1048,'Customer Details'!$A$1:$F$17,4,FALSE)</f>
        <v>Omaha</v>
      </c>
      <c r="F1048" s="8" t="s">
        <v>71</v>
      </c>
      <c r="G1048" s="8">
        <v>1</v>
      </c>
      <c r="H1048" s="2" t="str">
        <f>VLOOKUP($D1048,'Customer Details'!$A$1:$F$17,MATCH('Order SUmmary'!H$2,'Customer Details'!$A$1:$F$1,0),0)</f>
        <v>Elder Pharmaceuticals</v>
      </c>
      <c r="I1048" s="2" t="str">
        <f>VLOOKUP($D1048,'Customer Details'!$A$1:$F$17,4,0)</f>
        <v>Omaha</v>
      </c>
      <c r="J1048" s="2" t="str">
        <f>VLOOKUP($D1048,'Customer Details'!$A$1:$F$17,6,0)</f>
        <v>68127</v>
      </c>
      <c r="K1048" s="8" t="str">
        <f>VLOOKUP(VLOOKUP(D1048,'Customer Details'!$A$1:$F$17,5,0),'Region INfo'!$A$1:$C$52,3,0)</f>
        <v>Western</v>
      </c>
      <c r="L1048" s="8" t="str">
        <f>INDEX(Product_List,MATCH($F1048,'Product List'!$B$1:$B$299,0),MATCH('Order SUmmary'!L$2,'Product List'!$A$1:$E$1,0))</f>
        <v>GE 30522EE2</v>
      </c>
      <c r="M1048" s="8">
        <f>INDEX(Product_List,MATCH($F1048,'Product List'!$B$1:$B$299,0),MATCH('Order SUmmary'!M$2,'Product List'!$A$1:$E$1,0))</f>
        <v>3055</v>
      </c>
      <c r="N1048" s="8">
        <f>INDEX(Product_List,MATCH($F1048,'Product List'!$B$1:$B$299,0),MATCH('Order SUmmary'!N$2,'Product List'!$A$1:$E$1,0))</f>
        <v>2269</v>
      </c>
      <c r="O1048" s="8" t="str">
        <f>INDEX(Product_List,MATCH($F1048,'Product List'!$B$1:$B$299,0),MATCH('Order SUmmary'!O$2,'Product List'!$A$1:$E$1,0))</f>
        <v>Phones</v>
      </c>
      <c r="P1048" s="12">
        <f>HLOOKUP(C1048,'Commission Criteria'!$A$2:$I$4,3,FALSE)</f>
        <v>8</v>
      </c>
      <c r="Q1048" s="8">
        <f t="shared" si="49"/>
        <v>2269</v>
      </c>
      <c r="R1048" s="8">
        <f t="shared" si="50"/>
        <v>3055</v>
      </c>
      <c r="S1048" s="36">
        <f>VLOOKUP(R1048,'Commission Criteria'!$L$3:$M$11,2,TRUE)</f>
        <v>0.01</v>
      </c>
      <c r="T1048" s="36">
        <f>IF(P1048&lt;5,VLOOKUP(R1048,'Commission Criteria'!$L$3:$M$11,2,1),VLOOKUP('Order SUmmary'!R1048,'Commission Criteria'!$P$3:$Q$11,2,1))</f>
        <v>0.02</v>
      </c>
      <c r="U1048" s="36">
        <f>VLOOKUP(R1048,IF(P1048&lt;5,'Commission Criteria'!$L$3:$M$11,'Commission Criteria'!$P$3:$Q$11),2,1)</f>
        <v>0.02</v>
      </c>
      <c r="V1048" s="8" t="s">
        <v>32</v>
      </c>
      <c r="W1048" s="36">
        <f t="shared" ca="1" si="51"/>
        <v>0.02</v>
      </c>
      <c r="X1048" s="8" t="str">
        <f>_xlfn.XLOOKUP(F1048,'Product List'!$B$1:$B$299,'Product List'!$A$1:$A$299)</f>
        <v>GE 30522EE2</v>
      </c>
      <c r="Y1048" s="8"/>
      <c r="Z1048" s="8" t="str" cm="1">
        <f t="array" ref="Z1048:AD1048">_xlfn.XLOOKUP(D1048,'Customer Details'!$A$1:$A$17,'Customer Details'!$B$1:$F$17,"No such customer",0,1)</f>
        <v>Elder Pharmaceuticals</v>
      </c>
      <c r="AA1048" s="8" t="str">
        <v>57 Neriba Cres</v>
      </c>
      <c r="AB1048" s="8" t="str">
        <v>Omaha</v>
      </c>
      <c r="AC1048" s="8" t="str">
        <v>NE</v>
      </c>
      <c r="AD1048" s="8" t="str">
        <v>68127</v>
      </c>
    </row>
    <row r="1049" spans="1:30">
      <c r="A1049" s="8" t="s">
        <v>1029</v>
      </c>
      <c r="B1049" s="19">
        <v>42190</v>
      </c>
      <c r="C1049" s="8" t="s">
        <v>27</v>
      </c>
      <c r="D1049" s="8">
        <v>10007</v>
      </c>
      <c r="E1049" s="8" t="str">
        <f>VLOOKUP($D1049,'Customer Details'!$A$1:$F$17,4,FALSE)</f>
        <v>Richmond</v>
      </c>
      <c r="F1049" s="8" t="s">
        <v>86</v>
      </c>
      <c r="G1049" s="8">
        <v>2</v>
      </c>
      <c r="H1049" s="2" t="str">
        <f>VLOOKUP($D1049,'Customer Details'!$A$1:$F$17,MATCH('Order SUmmary'!H$2,'Customer Details'!$A$1:$F$1,0),0)</f>
        <v>GHCL Ltd.</v>
      </c>
      <c r="I1049" s="2" t="str">
        <f>VLOOKUP($D1049,'Customer Details'!$A$1:$F$17,4,0)</f>
        <v>Richmond</v>
      </c>
      <c r="J1049" s="2" t="str">
        <f>VLOOKUP($D1049,'Customer Details'!$A$1:$F$17,6,0)</f>
        <v>94805</v>
      </c>
      <c r="K1049" s="8" t="str">
        <f>VLOOKUP(VLOOKUP(D1049,'Customer Details'!$A$1:$F$17,5,0),'Region INfo'!$A$1:$C$52,3,0)</f>
        <v xml:space="preserve">Pacific   </v>
      </c>
      <c r="L1049" s="8" t="str">
        <f>INDEX(Product_List,MATCH($F1049,'Product List'!$B$1:$B$299,0),MATCH('Order SUmmary'!L$2,'Product List'!$A$1:$E$1,0))</f>
        <v>Newell 316</v>
      </c>
      <c r="M1049" s="8">
        <f>INDEX(Product_List,MATCH($F1049,'Product List'!$B$1:$B$299,0),MATCH('Order SUmmary'!M$2,'Product List'!$A$1:$E$1,0))</f>
        <v>2958</v>
      </c>
      <c r="N1049" s="8">
        <f>INDEX(Product_List,MATCH($F1049,'Product List'!$B$1:$B$299,0),MATCH('Order SUmmary'!N$2,'Product List'!$A$1:$E$1,0))</f>
        <v>1678</v>
      </c>
      <c r="O1049" s="8" t="str">
        <f>INDEX(Product_List,MATCH($F1049,'Product List'!$B$1:$B$299,0),MATCH('Order SUmmary'!O$2,'Product List'!$A$1:$E$1,0))</f>
        <v>Art</v>
      </c>
      <c r="P1049" s="12">
        <f>HLOOKUP(C1049,'Commission Criteria'!$A$2:$I$4,3,FALSE)</f>
        <v>4</v>
      </c>
      <c r="Q1049" s="8">
        <f t="shared" si="49"/>
        <v>3356</v>
      </c>
      <c r="R1049" s="8">
        <f t="shared" si="50"/>
        <v>5916</v>
      </c>
      <c r="S1049" s="36">
        <f>VLOOKUP(R1049,'Commission Criteria'!$L$3:$M$11,2,TRUE)</f>
        <v>0.03</v>
      </c>
      <c r="T1049" s="36">
        <f>IF(P1049&lt;5,VLOOKUP(R1049,'Commission Criteria'!$L$3:$M$11,2,1),VLOOKUP('Order SUmmary'!R1049,'Commission Criteria'!$P$3:$Q$11,2,1))</f>
        <v>0.03</v>
      </c>
      <c r="U1049" s="36">
        <f>VLOOKUP(R1049,IF(P1049&lt;5,'Commission Criteria'!$L$3:$M$11,'Commission Criteria'!$P$3:$Q$11),2,1)</f>
        <v>0.03</v>
      </c>
      <c r="V1049" s="8" t="s">
        <v>32</v>
      </c>
      <c r="W1049" s="36">
        <f t="shared" ca="1" si="51"/>
        <v>0.03</v>
      </c>
      <c r="X1049" s="8" t="str">
        <f>_xlfn.XLOOKUP(F1049,'Product List'!$B$1:$B$299,'Product List'!$A$1:$A$299)</f>
        <v>Newell 316</v>
      </c>
      <c r="Y1049" s="8"/>
      <c r="Z1049" s="8" t="str" cm="1">
        <f t="array" ref="Z1049:AD1049">_xlfn.XLOOKUP(D1049,'Customer Details'!$A$1:$A$17,'Customer Details'!$B$1:$F$17,"No such customer",0,1)</f>
        <v>GHCL Ltd.</v>
      </c>
      <c r="AA1049" s="8" t="str">
        <v>58 Clarence St</v>
      </c>
      <c r="AB1049" s="8" t="str">
        <v>Richmond</v>
      </c>
      <c r="AC1049" s="8" t="str">
        <v>CA</v>
      </c>
      <c r="AD1049" s="8" t="str">
        <v>94805</v>
      </c>
    </row>
    <row r="1050" spans="1:30">
      <c r="A1050" s="8" t="s">
        <v>1030</v>
      </c>
      <c r="B1050" s="19">
        <v>42192</v>
      </c>
      <c r="C1050" s="8" t="s">
        <v>66</v>
      </c>
      <c r="D1050" s="8">
        <v>10003</v>
      </c>
      <c r="E1050" s="8" t="str">
        <f>VLOOKUP($D1050,'Customer Details'!$A$1:$F$17,4,FALSE)</f>
        <v>Miami</v>
      </c>
      <c r="F1050" s="8" t="s">
        <v>256</v>
      </c>
      <c r="G1050" s="8">
        <v>1</v>
      </c>
      <c r="H1050" s="2" t="str">
        <f>VLOOKUP($D1050,'Customer Details'!$A$1:$F$17,MATCH('Order SUmmary'!H$2,'Customer Details'!$A$1:$F$1,0),0)</f>
        <v>Honeywell Automation</v>
      </c>
      <c r="I1050" s="2" t="str">
        <f>VLOOKUP($D1050,'Customer Details'!$A$1:$F$17,4,0)</f>
        <v>Miami</v>
      </c>
      <c r="J1050" s="2" t="str">
        <f>VLOOKUP($D1050,'Customer Details'!$A$1:$F$17,6,0)</f>
        <v>33732</v>
      </c>
      <c r="K1050" s="8" t="str">
        <f>VLOOKUP(VLOOKUP(D1050,'Customer Details'!$A$1:$F$17,5,0),'Region INfo'!$A$1:$C$52,3,0)</f>
        <v>Southern</v>
      </c>
      <c r="L1050" s="8" t="str">
        <f>INDEX(Product_List,MATCH($F1050,'Product List'!$B$1:$B$299,0),MATCH('Order SUmmary'!L$2,'Product List'!$A$1:$E$1,0))</f>
        <v>Newell 313</v>
      </c>
      <c r="M1050" s="8">
        <f>INDEX(Product_List,MATCH($F1050,'Product List'!$B$1:$B$299,0),MATCH('Order SUmmary'!M$2,'Product List'!$A$1:$E$1,0))</f>
        <v>2517</v>
      </c>
      <c r="N1050" s="8">
        <f>INDEX(Product_List,MATCH($F1050,'Product List'!$B$1:$B$299,0),MATCH('Order SUmmary'!N$2,'Product List'!$A$1:$E$1,0))</f>
        <v>2149</v>
      </c>
      <c r="O1050" s="8" t="str">
        <f>INDEX(Product_List,MATCH($F1050,'Product List'!$B$1:$B$299,0),MATCH('Order SUmmary'!O$2,'Product List'!$A$1:$E$1,0))</f>
        <v>Art</v>
      </c>
      <c r="P1050" s="12">
        <f>HLOOKUP(C1050,'Commission Criteria'!$A$2:$I$4,3,FALSE)</f>
        <v>5</v>
      </c>
      <c r="Q1050" s="8">
        <f t="shared" si="49"/>
        <v>2149</v>
      </c>
      <c r="R1050" s="8">
        <f t="shared" si="50"/>
        <v>2517</v>
      </c>
      <c r="S1050" s="36">
        <f>VLOOKUP(R1050,'Commission Criteria'!$L$3:$M$11,2,TRUE)</f>
        <v>0.01</v>
      </c>
      <c r="T1050" s="36">
        <f>IF(P1050&lt;5,VLOOKUP(R1050,'Commission Criteria'!$L$3:$M$11,2,1),VLOOKUP('Order SUmmary'!R1050,'Commission Criteria'!$P$3:$Q$11,2,1))</f>
        <v>0.02</v>
      </c>
      <c r="U1050" s="36">
        <f>VLOOKUP(R1050,IF(P1050&lt;5,'Commission Criteria'!$L$3:$M$11,'Commission Criteria'!$P$3:$Q$11),2,1)</f>
        <v>0.02</v>
      </c>
      <c r="V1050" s="8" t="s">
        <v>35</v>
      </c>
      <c r="W1050" s="36">
        <f t="shared" ca="1" si="51"/>
        <v>0.04</v>
      </c>
      <c r="X1050" s="8" t="str">
        <f>_xlfn.XLOOKUP(F1050,'Product List'!$B$1:$B$299,'Product List'!$A$1:$A$299)</f>
        <v>Newell 313</v>
      </c>
      <c r="Y1050" s="8"/>
      <c r="Z1050" s="8" t="str" cm="1">
        <f t="array" ref="Z1050:AD1050">_xlfn.XLOOKUP(D1050,'Customer Details'!$A$1:$A$17,'Customer Details'!$B$1:$F$17,"No such customer",0,1)</f>
        <v>Honeywell Automation</v>
      </c>
      <c r="AA1050" s="8" t="str">
        <v>1272 Harbor Road</v>
      </c>
      <c r="AB1050" s="8" t="str">
        <v>Miami</v>
      </c>
      <c r="AC1050" s="8" t="str">
        <v>FL</v>
      </c>
      <c r="AD1050" s="8" t="str">
        <v>33732</v>
      </c>
    </row>
    <row r="1051" spans="1:30">
      <c r="A1051" s="8" t="s">
        <v>1031</v>
      </c>
      <c r="B1051" s="19">
        <v>42192</v>
      </c>
      <c r="C1051" s="8" t="s">
        <v>33</v>
      </c>
      <c r="D1051" s="8">
        <v>10006</v>
      </c>
      <c r="E1051" s="8" t="str">
        <f>VLOOKUP($D1051,'Customer Details'!$A$1:$F$17,4,FALSE)</f>
        <v>Midland</v>
      </c>
      <c r="F1051" s="8" t="s">
        <v>182</v>
      </c>
      <c r="G1051" s="8">
        <v>3</v>
      </c>
      <c r="H1051" s="2" t="str">
        <f>VLOOKUP($D1051,'Customer Details'!$A$1:$F$17,MATCH('Order SUmmary'!H$2,'Customer Details'!$A$1:$F$1,0),0)</f>
        <v>Supreme Ind</v>
      </c>
      <c r="I1051" s="2" t="str">
        <f>VLOOKUP($D1051,'Customer Details'!$A$1:$F$17,4,0)</f>
        <v>Midland</v>
      </c>
      <c r="J1051" s="2" t="str">
        <f>VLOOKUP($D1051,'Customer Details'!$A$1:$F$17,6,0)</f>
        <v>79706</v>
      </c>
      <c r="K1051" s="8" t="str">
        <f>VLOOKUP(VLOOKUP(D1051,'Customer Details'!$A$1:$F$17,5,0),'Region INfo'!$A$1:$C$52,3,0)</f>
        <v>Western</v>
      </c>
      <c r="L1051" s="8" t="str">
        <f>INDEX(Product_List,MATCH($F1051,'Product List'!$B$1:$B$299,0),MATCH('Order SUmmary'!L$2,'Product List'!$A$1:$E$1,0))</f>
        <v>Newell 351</v>
      </c>
      <c r="M1051" s="8">
        <f>INDEX(Product_List,MATCH($F1051,'Product List'!$B$1:$B$299,0),MATCH('Order SUmmary'!M$2,'Product List'!$A$1:$E$1,0))</f>
        <v>2850</v>
      </c>
      <c r="N1051" s="8">
        <f>INDEX(Product_List,MATCH($F1051,'Product List'!$B$1:$B$299,0),MATCH('Order SUmmary'!N$2,'Product List'!$A$1:$E$1,0))</f>
        <v>2007</v>
      </c>
      <c r="O1051" s="8" t="str">
        <f>INDEX(Product_List,MATCH($F1051,'Product List'!$B$1:$B$299,0),MATCH('Order SUmmary'!O$2,'Product List'!$A$1:$E$1,0))</f>
        <v>Art</v>
      </c>
      <c r="P1051" s="12">
        <f>HLOOKUP(C1051,'Commission Criteria'!$A$2:$I$4,3,FALSE)</f>
        <v>1</v>
      </c>
      <c r="Q1051" s="8">
        <f t="shared" si="49"/>
        <v>6021</v>
      </c>
      <c r="R1051" s="8">
        <f t="shared" si="50"/>
        <v>8550</v>
      </c>
      <c r="S1051" s="36">
        <f>VLOOKUP(R1051,'Commission Criteria'!$L$3:$M$11,2,TRUE)</f>
        <v>0.03</v>
      </c>
      <c r="T1051" s="36">
        <f>IF(P1051&lt;5,VLOOKUP(R1051,'Commission Criteria'!$L$3:$M$11,2,1),VLOOKUP('Order SUmmary'!R1051,'Commission Criteria'!$P$3:$Q$11,2,1))</f>
        <v>0.03</v>
      </c>
      <c r="U1051" s="36">
        <f>VLOOKUP(R1051,IF(P1051&lt;5,'Commission Criteria'!$L$3:$M$11,'Commission Criteria'!$P$3:$Q$11),2,1)</f>
        <v>0.03</v>
      </c>
      <c r="V1051" s="8" t="s">
        <v>29</v>
      </c>
      <c r="W1051" s="36">
        <f t="shared" ca="1" si="51"/>
        <v>0.04</v>
      </c>
      <c r="X1051" s="8" t="str">
        <f>_xlfn.XLOOKUP(F1051,'Product List'!$B$1:$B$299,'Product List'!$A$1:$A$299)</f>
        <v>Newell 351</v>
      </c>
      <c r="Y1051" s="8"/>
      <c r="Z1051" s="8" t="str" cm="1">
        <f t="array" ref="Z1051:AD1051">_xlfn.XLOOKUP(D1051,'Customer Details'!$A$1:$A$17,'Customer Details'!$B$1:$F$17,"No such customer",0,1)</f>
        <v>Supreme Ind</v>
      </c>
      <c r="AA1051" s="8" t="str">
        <v>P.O. Box 1367</v>
      </c>
      <c r="AB1051" s="8" t="str">
        <v>Midland</v>
      </c>
      <c r="AC1051" s="8" t="str">
        <v>TX</v>
      </c>
      <c r="AD1051" s="8" t="str">
        <v>79706</v>
      </c>
    </row>
    <row r="1052" spans="1:30">
      <c r="A1052" s="8" t="s">
        <v>1030</v>
      </c>
      <c r="B1052" s="19">
        <v>42192</v>
      </c>
      <c r="C1052" s="8" t="s">
        <v>36</v>
      </c>
      <c r="D1052" s="8">
        <v>10002</v>
      </c>
      <c r="E1052" s="8" t="str">
        <f>VLOOKUP($D1052,'Customer Details'!$A$1:$F$17,4,FALSE)</f>
        <v>Omaha</v>
      </c>
      <c r="F1052" s="8" t="s">
        <v>203</v>
      </c>
      <c r="G1052" s="8">
        <v>3</v>
      </c>
      <c r="H1052" s="2" t="str">
        <f>VLOOKUP($D1052,'Customer Details'!$A$1:$F$17,MATCH('Order SUmmary'!H$2,'Customer Details'!$A$1:$F$1,0),0)</f>
        <v>Elder Pharmaceuticals</v>
      </c>
      <c r="I1052" s="2" t="str">
        <f>VLOOKUP($D1052,'Customer Details'!$A$1:$F$17,4,0)</f>
        <v>Omaha</v>
      </c>
      <c r="J1052" s="2" t="str">
        <f>VLOOKUP($D1052,'Customer Details'!$A$1:$F$17,6,0)</f>
        <v>68127</v>
      </c>
      <c r="K1052" s="8" t="str">
        <f>VLOOKUP(VLOOKUP(D1052,'Customer Details'!$A$1:$F$17,5,0),'Region INfo'!$A$1:$C$52,3,0)</f>
        <v>Western</v>
      </c>
      <c r="L1052" s="8" t="str">
        <f>INDEX(Product_List,MATCH($F1052,'Product List'!$B$1:$B$299,0),MATCH('Order SUmmary'!L$2,'Product List'!$A$1:$E$1,0))</f>
        <v>Xerox 1957</v>
      </c>
      <c r="M1052" s="8">
        <f>INDEX(Product_List,MATCH($F1052,'Product List'!$B$1:$B$299,0),MATCH('Order SUmmary'!M$2,'Product List'!$A$1:$E$1,0))</f>
        <v>4398</v>
      </c>
      <c r="N1052" s="8">
        <f>INDEX(Product_List,MATCH($F1052,'Product List'!$B$1:$B$299,0),MATCH('Order SUmmary'!N$2,'Product List'!$A$1:$E$1,0))</f>
        <v>1800</v>
      </c>
      <c r="O1052" s="8" t="str">
        <f>INDEX(Product_List,MATCH($F1052,'Product List'!$B$1:$B$299,0),MATCH('Order SUmmary'!O$2,'Product List'!$A$1:$E$1,0))</f>
        <v>Paper</v>
      </c>
      <c r="P1052" s="12">
        <f>HLOOKUP(C1052,'Commission Criteria'!$A$2:$I$4,3,FALSE)</f>
        <v>6</v>
      </c>
      <c r="Q1052" s="8">
        <f t="shared" si="49"/>
        <v>5400</v>
      </c>
      <c r="R1052" s="8">
        <f t="shared" si="50"/>
        <v>13194</v>
      </c>
      <c r="S1052" s="36">
        <f>VLOOKUP(R1052,'Commission Criteria'!$L$3:$M$11,2,TRUE)</f>
        <v>0.03</v>
      </c>
      <c r="T1052" s="36">
        <f>IF(P1052&lt;5,VLOOKUP(R1052,'Commission Criteria'!$L$3:$M$11,2,1),VLOOKUP('Order SUmmary'!R1052,'Commission Criteria'!$P$3:$Q$11,2,1))</f>
        <v>0.02</v>
      </c>
      <c r="U1052" s="36">
        <f>VLOOKUP(R1052,IF(P1052&lt;5,'Commission Criteria'!$L$3:$M$11,'Commission Criteria'!$P$3:$Q$11),2,1)</f>
        <v>0.02</v>
      </c>
      <c r="V1052" s="8" t="s">
        <v>50</v>
      </c>
      <c r="W1052" s="36">
        <f t="shared" ca="1" si="51"/>
        <v>0.05</v>
      </c>
      <c r="X1052" s="8" t="str">
        <f>_xlfn.XLOOKUP(F1052,'Product List'!$B$1:$B$299,'Product List'!$A$1:$A$299)</f>
        <v>Xerox 1957</v>
      </c>
      <c r="Y1052" s="8"/>
      <c r="Z1052" s="8" t="str" cm="1">
        <f t="array" ref="Z1052:AD1052">_xlfn.XLOOKUP(D1052,'Customer Details'!$A$1:$A$17,'Customer Details'!$B$1:$F$17,"No such customer",0,1)</f>
        <v>Elder Pharmaceuticals</v>
      </c>
      <c r="AA1052" s="8" t="str">
        <v>57 Neriba Cres</v>
      </c>
      <c r="AB1052" s="8" t="str">
        <v>Omaha</v>
      </c>
      <c r="AC1052" s="8" t="str">
        <v>NE</v>
      </c>
      <c r="AD1052" s="8" t="str">
        <v>68127</v>
      </c>
    </row>
    <row r="1053" spans="1:30">
      <c r="A1053" s="8" t="s">
        <v>1030</v>
      </c>
      <c r="B1053" s="19">
        <v>42192</v>
      </c>
      <c r="C1053" s="8" t="s">
        <v>54</v>
      </c>
      <c r="D1053" s="8">
        <v>10014</v>
      </c>
      <c r="E1053" s="8" t="str">
        <f>VLOOKUP($D1053,'Customer Details'!$A$1:$F$17,4,FALSE)</f>
        <v>Honolulu</v>
      </c>
      <c r="F1053" s="8" t="s">
        <v>877</v>
      </c>
      <c r="G1053" s="8">
        <v>3</v>
      </c>
      <c r="H1053" s="2" t="str">
        <f>VLOOKUP($D1053,'Customer Details'!$A$1:$F$17,MATCH('Order SUmmary'!H$2,'Customer Details'!$A$1:$F$1,0),0)</f>
        <v>Hindusthan National Glass &amp; Industries Ltd.</v>
      </c>
      <c r="I1053" s="2" t="str">
        <f>VLOOKUP($D1053,'Customer Details'!$A$1:$F$17,4,0)</f>
        <v>Honolulu</v>
      </c>
      <c r="J1053" s="2" t="str">
        <f>VLOOKUP($D1053,'Customer Details'!$A$1:$F$17,6,0)</f>
        <v>96825</v>
      </c>
      <c r="K1053" s="8" t="str">
        <f>VLOOKUP(VLOOKUP(D1053,'Customer Details'!$A$1:$F$17,5,0),'Region INfo'!$A$1:$C$52,3,0)</f>
        <v xml:space="preserve">Pacific   </v>
      </c>
      <c r="L1053" s="8" t="str">
        <f>INDEX(Product_List,MATCH($F1053,'Product List'!$B$1:$B$299,0),MATCH('Order SUmmary'!L$2,'Product List'!$A$1:$E$1,0))</f>
        <v>Avery 484</v>
      </c>
      <c r="M1053" s="8">
        <f>INDEX(Product_List,MATCH($F1053,'Product List'!$B$1:$B$299,0),MATCH('Order SUmmary'!M$2,'Product List'!$A$1:$E$1,0))</f>
        <v>4548</v>
      </c>
      <c r="N1053" s="8">
        <f>INDEX(Product_List,MATCH($F1053,'Product List'!$B$1:$B$299,0),MATCH('Order SUmmary'!N$2,'Product List'!$A$1:$E$1,0))</f>
        <v>1983</v>
      </c>
      <c r="O1053" s="8" t="str">
        <f>INDEX(Product_List,MATCH($F1053,'Product List'!$B$1:$B$299,0),MATCH('Order SUmmary'!O$2,'Product List'!$A$1:$E$1,0))</f>
        <v>Labels</v>
      </c>
      <c r="P1053" s="12">
        <f>HLOOKUP(C1053,'Commission Criteria'!$A$2:$I$4,3,FALSE)</f>
        <v>3</v>
      </c>
      <c r="Q1053" s="8">
        <f t="shared" si="49"/>
        <v>5949</v>
      </c>
      <c r="R1053" s="8">
        <f t="shared" si="50"/>
        <v>13644</v>
      </c>
      <c r="S1053" s="36">
        <f>VLOOKUP(R1053,'Commission Criteria'!$L$3:$M$11,2,TRUE)</f>
        <v>0.03</v>
      </c>
      <c r="T1053" s="36">
        <f>IF(P1053&lt;5,VLOOKUP(R1053,'Commission Criteria'!$L$3:$M$11,2,1),VLOOKUP('Order SUmmary'!R1053,'Commission Criteria'!$P$3:$Q$11,2,1))</f>
        <v>0.03</v>
      </c>
      <c r="U1053" s="36">
        <f>VLOOKUP(R1053,IF(P1053&lt;5,'Commission Criteria'!$L$3:$M$11,'Commission Criteria'!$P$3:$Q$11),2,1)</f>
        <v>0.03</v>
      </c>
      <c r="V1053" s="8" t="s">
        <v>35</v>
      </c>
      <c r="W1053" s="36">
        <f t="shared" ca="1" si="51"/>
        <v>0.02</v>
      </c>
      <c r="X1053" s="8" t="str">
        <f>_xlfn.XLOOKUP(F1053,'Product List'!$B$1:$B$299,'Product List'!$A$1:$A$299)</f>
        <v>Avery 484</v>
      </c>
      <c r="Y1053" s="8"/>
      <c r="Z1053" s="8" t="str" cm="1">
        <f t="array" ref="Z1053:AD1053">_xlfn.XLOOKUP(D1053,'Customer Details'!$A$1:$A$17,'Customer Details'!$B$1:$F$17,"No such customer",0,1)</f>
        <v>Hindusthan National Glass &amp; Industries Ltd.</v>
      </c>
      <c r="AA1053" s="8" t="str">
        <v>11 Cathy St.</v>
      </c>
      <c r="AB1053" s="8" t="str">
        <v>Honolulu</v>
      </c>
      <c r="AC1053" s="8" t="str">
        <v>HI</v>
      </c>
      <c r="AD1053" s="8" t="str">
        <v>96825</v>
      </c>
    </row>
    <row r="1054" spans="1:30">
      <c r="A1054" s="8" t="s">
        <v>1032</v>
      </c>
      <c r="B1054" s="19">
        <v>42193</v>
      </c>
      <c r="C1054" s="8" t="s">
        <v>54</v>
      </c>
      <c r="D1054" s="8">
        <v>10006</v>
      </c>
      <c r="E1054" s="8" t="str">
        <f>VLOOKUP($D1054,'Customer Details'!$A$1:$F$17,4,FALSE)</f>
        <v>Midland</v>
      </c>
      <c r="F1054" s="8" t="s">
        <v>356</v>
      </c>
      <c r="G1054" s="8">
        <v>1</v>
      </c>
      <c r="H1054" s="2" t="str">
        <f>VLOOKUP($D1054,'Customer Details'!$A$1:$F$17,MATCH('Order SUmmary'!H$2,'Customer Details'!$A$1:$F$1,0),0)</f>
        <v>Supreme Ind</v>
      </c>
      <c r="I1054" s="2" t="str">
        <f>VLOOKUP($D1054,'Customer Details'!$A$1:$F$17,4,0)</f>
        <v>Midland</v>
      </c>
      <c r="J1054" s="2" t="str">
        <f>VLOOKUP($D1054,'Customer Details'!$A$1:$F$17,6,0)</f>
        <v>79706</v>
      </c>
      <c r="K1054" s="8" t="str">
        <f>VLOOKUP(VLOOKUP(D1054,'Customer Details'!$A$1:$F$17,5,0),'Region INfo'!$A$1:$C$52,3,0)</f>
        <v>Western</v>
      </c>
      <c r="L1054" s="8" t="str">
        <f>INDEX(Product_List,MATCH($F1054,'Product List'!$B$1:$B$299,0),MATCH('Order SUmmary'!L$2,'Product List'!$A$1:$E$1,0))</f>
        <v>Newell 32</v>
      </c>
      <c r="M1054" s="8">
        <f>INDEX(Product_List,MATCH($F1054,'Product List'!$B$1:$B$299,0),MATCH('Order SUmmary'!M$2,'Product List'!$A$1:$E$1,0))</f>
        <v>4051</v>
      </c>
      <c r="N1054" s="8">
        <f>INDEX(Product_List,MATCH($F1054,'Product List'!$B$1:$B$299,0),MATCH('Order SUmmary'!N$2,'Product List'!$A$1:$E$1,0))</f>
        <v>1962</v>
      </c>
      <c r="O1054" s="8" t="str">
        <f>INDEX(Product_List,MATCH($F1054,'Product List'!$B$1:$B$299,0),MATCH('Order SUmmary'!O$2,'Product List'!$A$1:$E$1,0))</f>
        <v>Art</v>
      </c>
      <c r="P1054" s="12">
        <f>HLOOKUP(C1054,'Commission Criteria'!$A$2:$I$4,3,FALSE)</f>
        <v>3</v>
      </c>
      <c r="Q1054" s="8">
        <f t="shared" si="49"/>
        <v>1962</v>
      </c>
      <c r="R1054" s="8">
        <f t="shared" si="50"/>
        <v>4051</v>
      </c>
      <c r="S1054" s="36">
        <f>VLOOKUP(R1054,'Commission Criteria'!$L$3:$M$11,2,TRUE)</f>
        <v>0.01</v>
      </c>
      <c r="T1054" s="36">
        <f>IF(P1054&lt;5,VLOOKUP(R1054,'Commission Criteria'!$L$3:$M$11,2,1),VLOOKUP('Order SUmmary'!R1054,'Commission Criteria'!$P$3:$Q$11,2,1))</f>
        <v>0.01</v>
      </c>
      <c r="U1054" s="36">
        <f>VLOOKUP(R1054,IF(P1054&lt;5,'Commission Criteria'!$L$3:$M$11,'Commission Criteria'!$P$3:$Q$11),2,1)</f>
        <v>0.01</v>
      </c>
      <c r="V1054" s="8" t="s">
        <v>43</v>
      </c>
      <c r="W1054" s="36">
        <f t="shared" ca="1" si="51"/>
        <v>0.03</v>
      </c>
      <c r="X1054" s="8" t="str">
        <f>_xlfn.XLOOKUP(F1054,'Product List'!$B$1:$B$299,'Product List'!$A$1:$A$299)</f>
        <v>Newell 32</v>
      </c>
      <c r="Y1054" s="8"/>
      <c r="Z1054" s="8" t="str" cm="1">
        <f t="array" ref="Z1054:AD1054">_xlfn.XLOOKUP(D1054,'Customer Details'!$A$1:$A$17,'Customer Details'!$B$1:$F$17,"No such customer",0,1)</f>
        <v>Supreme Ind</v>
      </c>
      <c r="AA1054" s="8" t="str">
        <v>P.O. Box 1367</v>
      </c>
      <c r="AB1054" s="8" t="str">
        <v>Midland</v>
      </c>
      <c r="AC1054" s="8" t="str">
        <v>TX</v>
      </c>
      <c r="AD1054" s="8" t="str">
        <v>79706</v>
      </c>
    </row>
    <row r="1055" spans="1:30">
      <c r="A1055" s="8" t="s">
        <v>1033</v>
      </c>
      <c r="B1055" s="19">
        <v>42196</v>
      </c>
      <c r="C1055" s="8" t="s">
        <v>66</v>
      </c>
      <c r="D1055" s="8">
        <v>10009</v>
      </c>
      <c r="E1055" s="8" t="str">
        <f>VLOOKUP($D1055,'Customer Details'!$A$1:$F$17,4,FALSE)</f>
        <v>Salt Lake City</v>
      </c>
      <c r="F1055" s="8" t="s">
        <v>135</v>
      </c>
      <c r="G1055" s="8">
        <v>1</v>
      </c>
      <c r="H1055" s="2" t="str">
        <f>VLOOKUP($D1055,'Customer Details'!$A$1:$F$17,MATCH('Order SUmmary'!H$2,'Customer Details'!$A$1:$F$1,0),0)</f>
        <v>Godfrey Philips India Ltd.</v>
      </c>
      <c r="I1055" s="2" t="str">
        <f>VLOOKUP($D1055,'Customer Details'!$A$1:$F$17,4,0)</f>
        <v>Salt Lake City</v>
      </c>
      <c r="J1055" s="2" t="str">
        <f>VLOOKUP($D1055,'Customer Details'!$A$1:$F$17,6,0)</f>
        <v>84118</v>
      </c>
      <c r="K1055" s="8" t="str">
        <f>VLOOKUP(VLOOKUP(D1055,'Customer Details'!$A$1:$F$17,5,0),'Region INfo'!$A$1:$C$52,3,0)</f>
        <v xml:space="preserve">Pacific   </v>
      </c>
      <c r="L1055" s="8" t="str">
        <f>INDEX(Product_List,MATCH($F1055,'Product List'!$B$1:$B$299,0),MATCH('Order SUmmary'!L$2,'Product List'!$A$1:$E$1,0))</f>
        <v>Xerox 1939</v>
      </c>
      <c r="M1055" s="8">
        <f>INDEX(Product_List,MATCH($F1055,'Product List'!$B$1:$B$299,0),MATCH('Order SUmmary'!M$2,'Product List'!$A$1:$E$1,0))</f>
        <v>3408</v>
      </c>
      <c r="N1055" s="8">
        <f>INDEX(Product_List,MATCH($F1055,'Product List'!$B$1:$B$299,0),MATCH('Order SUmmary'!N$2,'Product List'!$A$1:$E$1,0))</f>
        <v>2467</v>
      </c>
      <c r="O1055" s="8" t="str">
        <f>INDEX(Product_List,MATCH($F1055,'Product List'!$B$1:$B$299,0),MATCH('Order SUmmary'!O$2,'Product List'!$A$1:$E$1,0))</f>
        <v>Paper</v>
      </c>
      <c r="P1055" s="12">
        <f>HLOOKUP(C1055,'Commission Criteria'!$A$2:$I$4,3,FALSE)</f>
        <v>5</v>
      </c>
      <c r="Q1055" s="8">
        <f t="shared" si="49"/>
        <v>2467</v>
      </c>
      <c r="R1055" s="8">
        <f t="shared" si="50"/>
        <v>3408</v>
      </c>
      <c r="S1055" s="36">
        <f>VLOOKUP(R1055,'Commission Criteria'!$L$3:$M$11,2,TRUE)</f>
        <v>0.01</v>
      </c>
      <c r="T1055" s="36">
        <f>IF(P1055&lt;5,VLOOKUP(R1055,'Commission Criteria'!$L$3:$M$11,2,1),VLOOKUP('Order SUmmary'!R1055,'Commission Criteria'!$P$3:$Q$11,2,1))</f>
        <v>0.02</v>
      </c>
      <c r="U1055" s="36">
        <f>VLOOKUP(R1055,IF(P1055&lt;5,'Commission Criteria'!$L$3:$M$11,'Commission Criteria'!$P$3:$Q$11),2,1)</f>
        <v>0.02</v>
      </c>
      <c r="V1055" s="8" t="s">
        <v>40</v>
      </c>
      <c r="W1055" s="36">
        <f t="shared" ca="1" si="51"/>
        <v>0.01</v>
      </c>
      <c r="X1055" s="8" t="str">
        <f>_xlfn.XLOOKUP(F1055,'Product List'!$B$1:$B$299,'Product List'!$A$1:$A$299)</f>
        <v>Xerox 1939</v>
      </c>
      <c r="Y1055" s="8"/>
      <c r="Z1055" s="8" t="str" cm="1">
        <f t="array" ref="Z1055:AD1055">_xlfn.XLOOKUP(D1055,'Customer Details'!$A$1:$A$17,'Customer Details'!$B$1:$F$17,"No such customer",0,1)</f>
        <v>Godfrey Philips India Ltd.</v>
      </c>
      <c r="AA1055" s="8" t="str">
        <v>20501 Ania Ave #2</v>
      </c>
      <c r="AB1055" s="8" t="str">
        <v>Salt Lake City</v>
      </c>
      <c r="AC1055" s="8" t="str">
        <v>UT</v>
      </c>
      <c r="AD1055" s="8" t="str">
        <v>84118</v>
      </c>
    </row>
    <row r="1056" spans="1:30">
      <c r="A1056" s="8" t="s">
        <v>1033</v>
      </c>
      <c r="B1056" s="19">
        <v>42196</v>
      </c>
      <c r="C1056" s="8" t="s">
        <v>44</v>
      </c>
      <c r="D1056" s="8">
        <v>10012</v>
      </c>
      <c r="E1056" s="8" t="str">
        <f>VLOOKUP($D1056,'Customer Details'!$A$1:$F$17,4,FALSE)</f>
        <v>Santa Barbara</v>
      </c>
      <c r="F1056" s="8" t="s">
        <v>847</v>
      </c>
      <c r="G1056" s="8">
        <v>3</v>
      </c>
      <c r="H1056" s="2" t="str">
        <f>VLOOKUP($D1056,'Customer Details'!$A$1:$F$17,MATCH('Order SUmmary'!H$2,'Customer Details'!$A$1:$F$1,0),0)</f>
        <v>Dynamatic Technologies Ltd.</v>
      </c>
      <c r="I1056" s="2" t="str">
        <f>VLOOKUP($D1056,'Customer Details'!$A$1:$F$17,4,0)</f>
        <v>Santa Barbara</v>
      </c>
      <c r="J1056" s="2" t="str">
        <f>VLOOKUP($D1056,'Customer Details'!$A$1:$F$17,6,0)</f>
        <v>93110</v>
      </c>
      <c r="K1056" s="8" t="str">
        <f>VLOOKUP(VLOOKUP(D1056,'Customer Details'!$A$1:$F$17,5,0),'Region INfo'!$A$1:$C$52,3,0)</f>
        <v xml:space="preserve">Pacific   </v>
      </c>
      <c r="L1056" s="8" t="str">
        <f>INDEX(Product_List,MATCH($F1056,'Product List'!$B$1:$B$299,0),MATCH('Order SUmmary'!L$2,'Product List'!$A$1:$E$1,0))</f>
        <v>Xerox 1941</v>
      </c>
      <c r="M1056" s="8">
        <f>INDEX(Product_List,MATCH($F1056,'Product List'!$B$1:$B$299,0),MATCH('Order SUmmary'!M$2,'Product List'!$A$1:$E$1,0))</f>
        <v>2647</v>
      </c>
      <c r="N1056" s="8">
        <f>INDEX(Product_List,MATCH($F1056,'Product List'!$B$1:$B$299,0),MATCH('Order SUmmary'!N$2,'Product List'!$A$1:$E$1,0))</f>
        <v>1539</v>
      </c>
      <c r="O1056" s="8" t="str">
        <f>INDEX(Product_List,MATCH($F1056,'Product List'!$B$1:$B$299,0),MATCH('Order SUmmary'!O$2,'Product List'!$A$1:$E$1,0))</f>
        <v>Paper</v>
      </c>
      <c r="P1056" s="12">
        <f>HLOOKUP(C1056,'Commission Criteria'!$A$2:$I$4,3,FALSE)</f>
        <v>4</v>
      </c>
      <c r="Q1056" s="8">
        <f t="shared" si="49"/>
        <v>4617</v>
      </c>
      <c r="R1056" s="8">
        <f t="shared" si="50"/>
        <v>7941</v>
      </c>
      <c r="S1056" s="36">
        <f>VLOOKUP(R1056,'Commission Criteria'!$L$3:$M$11,2,TRUE)</f>
        <v>0.03</v>
      </c>
      <c r="T1056" s="36">
        <f>IF(P1056&lt;5,VLOOKUP(R1056,'Commission Criteria'!$L$3:$M$11,2,1),VLOOKUP('Order SUmmary'!R1056,'Commission Criteria'!$P$3:$Q$11,2,1))</f>
        <v>0.03</v>
      </c>
      <c r="U1056" s="36">
        <f>VLOOKUP(R1056,IF(P1056&lt;5,'Commission Criteria'!$L$3:$M$11,'Commission Criteria'!$P$3:$Q$11),2,1)</f>
        <v>0.03</v>
      </c>
      <c r="V1056" s="8" t="s">
        <v>50</v>
      </c>
      <c r="W1056" s="36">
        <f t="shared" ca="1" si="51"/>
        <v>0</v>
      </c>
      <c r="X1056" s="8" t="str">
        <f>_xlfn.XLOOKUP(F1056,'Product List'!$B$1:$B$299,'Product List'!$A$1:$A$299)</f>
        <v>Xerox 1941</v>
      </c>
      <c r="Y1056" s="8"/>
      <c r="Z1056" s="8" t="str" cm="1">
        <f t="array" ref="Z1056:AD1056">_xlfn.XLOOKUP(D1056,'Customer Details'!$A$1:$A$17,'Customer Details'!$B$1:$F$17,"No such customer",0,1)</f>
        <v>Dynamatic Technologies Ltd.</v>
      </c>
      <c r="AA1056" s="8" t="str">
        <v>402 Pinkster Lane</v>
      </c>
      <c r="AB1056" s="8" t="str">
        <v>Santa Barbara</v>
      </c>
      <c r="AC1056" s="8" t="str">
        <v>CA</v>
      </c>
      <c r="AD1056" s="8" t="str">
        <v>93110</v>
      </c>
    </row>
    <row r="1057" spans="1:30">
      <c r="A1057" s="8" t="s">
        <v>1033</v>
      </c>
      <c r="B1057" s="19">
        <v>42196</v>
      </c>
      <c r="C1057" s="8" t="s">
        <v>51</v>
      </c>
      <c r="D1057" s="8">
        <v>10010</v>
      </c>
      <c r="E1057" s="8" t="str">
        <f>VLOOKUP($D1057,'Customer Details'!$A$1:$F$17,4,FALSE)</f>
        <v>Tracy</v>
      </c>
      <c r="F1057" s="8" t="s">
        <v>102</v>
      </c>
      <c r="G1057" s="8">
        <v>3</v>
      </c>
      <c r="H1057" s="2" t="str">
        <f>VLOOKUP($D1057,'Customer Details'!$A$1:$F$17,MATCH('Order SUmmary'!H$2,'Customer Details'!$A$1:$F$1,0),0)</f>
        <v>Suzlon Energy Ltd.</v>
      </c>
      <c r="I1057" s="2" t="str">
        <f>VLOOKUP($D1057,'Customer Details'!$A$1:$F$17,4,0)</f>
        <v>Tracy</v>
      </c>
      <c r="J1057" s="2" t="str">
        <f>VLOOKUP($D1057,'Customer Details'!$A$1:$F$17,6,0)</f>
        <v>95376</v>
      </c>
      <c r="K1057" s="8" t="str">
        <f>VLOOKUP(VLOOKUP(D1057,'Customer Details'!$A$1:$F$17,5,0),'Region INfo'!$A$1:$C$52,3,0)</f>
        <v xml:space="preserve">Pacific   </v>
      </c>
      <c r="L1057" s="8" t="str">
        <f>INDEX(Product_List,MATCH($F1057,'Product List'!$B$1:$B$299,0),MATCH('Order SUmmary'!L$2,'Product List'!$A$1:$E$1,0))</f>
        <v>Xerox 1997</v>
      </c>
      <c r="M1057" s="8">
        <f>INDEX(Product_List,MATCH($F1057,'Product List'!$B$1:$B$299,0),MATCH('Order SUmmary'!M$2,'Product List'!$A$1:$E$1,0))</f>
        <v>3844</v>
      </c>
      <c r="N1057" s="8">
        <f>INDEX(Product_List,MATCH($F1057,'Product List'!$B$1:$B$299,0),MATCH('Order SUmmary'!N$2,'Product List'!$A$1:$E$1,0))</f>
        <v>2157</v>
      </c>
      <c r="O1057" s="8" t="str">
        <f>INDEX(Product_List,MATCH($F1057,'Product List'!$B$1:$B$299,0),MATCH('Order SUmmary'!O$2,'Product List'!$A$1:$E$1,0))</f>
        <v>Paper</v>
      </c>
      <c r="P1057" s="12">
        <f>HLOOKUP(C1057,'Commission Criteria'!$A$2:$I$4,3,FALSE)</f>
        <v>10</v>
      </c>
      <c r="Q1057" s="8">
        <f t="shared" si="49"/>
        <v>6471</v>
      </c>
      <c r="R1057" s="8">
        <f t="shared" si="50"/>
        <v>11532</v>
      </c>
      <c r="S1057" s="36">
        <f>VLOOKUP(R1057,'Commission Criteria'!$L$3:$M$11,2,TRUE)</f>
        <v>0.03</v>
      </c>
      <c r="T1057" s="36">
        <f>IF(P1057&lt;5,VLOOKUP(R1057,'Commission Criteria'!$L$3:$M$11,2,1),VLOOKUP('Order SUmmary'!R1057,'Commission Criteria'!$P$3:$Q$11,2,1))</f>
        <v>0.02</v>
      </c>
      <c r="U1057" s="36">
        <f>VLOOKUP(R1057,IF(P1057&lt;5,'Commission Criteria'!$L$3:$M$11,'Commission Criteria'!$P$3:$Q$11),2,1)</f>
        <v>0.02</v>
      </c>
      <c r="V1057" s="8" t="s">
        <v>50</v>
      </c>
      <c r="W1057" s="36">
        <f t="shared" ca="1" si="51"/>
        <v>0</v>
      </c>
      <c r="X1057" s="8" t="str">
        <f>_xlfn.XLOOKUP(F1057,'Product List'!$B$1:$B$299,'Product List'!$A$1:$A$299)</f>
        <v>Xerox 1997</v>
      </c>
      <c r="Y1057" s="8"/>
      <c r="Z1057" s="8" t="str" cm="1">
        <f t="array" ref="Z1057:AD1057">_xlfn.XLOOKUP(D1057,'Customer Details'!$A$1:$A$17,'Customer Details'!$B$1:$F$17,"No such customer",0,1)</f>
        <v>Suzlon Energy Ltd.</v>
      </c>
      <c r="AA1057" s="8" t="str">
        <v>501 Marsh Trail Circle</v>
      </c>
      <c r="AB1057" s="8" t="str">
        <v>Tracy</v>
      </c>
      <c r="AC1057" s="8" t="str">
        <v>CA</v>
      </c>
      <c r="AD1057" s="8" t="str">
        <v>95376</v>
      </c>
    </row>
    <row r="1058" spans="1:30">
      <c r="A1058" s="8" t="s">
        <v>1034</v>
      </c>
      <c r="B1058" s="19">
        <v>42196</v>
      </c>
      <c r="C1058" s="8" t="s">
        <v>54</v>
      </c>
      <c r="D1058" s="8">
        <v>10015</v>
      </c>
      <c r="E1058" s="8" t="str">
        <f>VLOOKUP($D1058,'Customer Details'!$A$1:$F$17,4,FALSE)</f>
        <v>South Windsor</v>
      </c>
      <c r="F1058" s="8" t="s">
        <v>1026</v>
      </c>
      <c r="G1058" s="8">
        <v>3</v>
      </c>
      <c r="H1058" s="2" t="str">
        <f>VLOOKUP($D1058,'Customer Details'!$A$1:$F$17,MATCH('Order SUmmary'!H$2,'Customer Details'!$A$1:$F$1,0),0)</f>
        <v>Punj Lloyd Ltd.</v>
      </c>
      <c r="I1058" s="2" t="str">
        <f>VLOOKUP($D1058,'Customer Details'!$A$1:$F$17,4,0)</f>
        <v>South Windsor</v>
      </c>
      <c r="J1058" s="2" t="str">
        <f>VLOOKUP($D1058,'Customer Details'!$A$1:$F$17,6,0)</f>
        <v>06074</v>
      </c>
      <c r="K1058" s="8" t="str">
        <f>VLOOKUP(VLOOKUP(D1058,'Customer Details'!$A$1:$F$17,5,0),'Region INfo'!$A$1:$C$52,3,0)</f>
        <v xml:space="preserve">Northern </v>
      </c>
      <c r="L1058" s="8" t="str">
        <f>INDEX(Product_List,MATCH($F1058,'Product List'!$B$1:$B$299,0),MATCH('Order SUmmary'!L$2,'Product List'!$A$1:$E$1,0))</f>
        <v>Xerox 2000</v>
      </c>
      <c r="M1058" s="8">
        <f>INDEX(Product_List,MATCH($F1058,'Product List'!$B$1:$B$299,0),MATCH('Order SUmmary'!M$2,'Product List'!$A$1:$E$1,0))</f>
        <v>4948</v>
      </c>
      <c r="N1058" s="8">
        <f>INDEX(Product_List,MATCH($F1058,'Product List'!$B$1:$B$299,0),MATCH('Order SUmmary'!N$2,'Product List'!$A$1:$E$1,0))</f>
        <v>1972</v>
      </c>
      <c r="O1058" s="8" t="str">
        <f>INDEX(Product_List,MATCH($F1058,'Product List'!$B$1:$B$299,0),MATCH('Order SUmmary'!O$2,'Product List'!$A$1:$E$1,0))</f>
        <v>Paper</v>
      </c>
      <c r="P1058" s="12">
        <f>HLOOKUP(C1058,'Commission Criteria'!$A$2:$I$4,3,FALSE)</f>
        <v>3</v>
      </c>
      <c r="Q1058" s="8">
        <f t="shared" si="49"/>
        <v>5916</v>
      </c>
      <c r="R1058" s="8">
        <f t="shared" si="50"/>
        <v>14844</v>
      </c>
      <c r="S1058" s="36">
        <f>VLOOKUP(R1058,'Commission Criteria'!$L$3:$M$11,2,TRUE)</f>
        <v>0.03</v>
      </c>
      <c r="T1058" s="36">
        <f>IF(P1058&lt;5,VLOOKUP(R1058,'Commission Criteria'!$L$3:$M$11,2,1),VLOOKUP('Order SUmmary'!R1058,'Commission Criteria'!$P$3:$Q$11,2,1))</f>
        <v>0.03</v>
      </c>
      <c r="U1058" s="36">
        <f>VLOOKUP(R1058,IF(P1058&lt;5,'Commission Criteria'!$L$3:$M$11,'Commission Criteria'!$P$3:$Q$11),2,1)</f>
        <v>0.03</v>
      </c>
      <c r="V1058" s="8" t="s">
        <v>32</v>
      </c>
      <c r="W1058" s="36">
        <f t="shared" ca="1" si="51"/>
        <v>0.05</v>
      </c>
      <c r="X1058" s="8" t="str">
        <f>_xlfn.XLOOKUP(F1058,'Product List'!$B$1:$B$299,'Product List'!$A$1:$A$299)</f>
        <v>Xerox 2000</v>
      </c>
      <c r="Y1058" s="8"/>
      <c r="Z1058" s="8" t="str" cm="1">
        <f t="array" ref="Z1058:AD1058">_xlfn.XLOOKUP(D1058,'Customer Details'!$A$1:$A$17,'Customer Details'!$B$1:$F$17,"No such customer",0,1)</f>
        <v>Punj Lloyd Ltd.</v>
      </c>
      <c r="AA1058" s="8" t="str">
        <v>Box 3263</v>
      </c>
      <c r="AB1058" s="8" t="str">
        <v>South Windsor</v>
      </c>
      <c r="AC1058" s="8" t="str">
        <v>CT</v>
      </c>
      <c r="AD1058" s="8" t="str">
        <v>06074</v>
      </c>
    </row>
    <row r="1059" spans="1:30">
      <c r="A1059" s="8" t="s">
        <v>1035</v>
      </c>
      <c r="B1059" s="19">
        <v>42196</v>
      </c>
      <c r="C1059" s="8" t="s">
        <v>44</v>
      </c>
      <c r="D1059" s="8">
        <v>10010</v>
      </c>
      <c r="E1059" s="8" t="str">
        <f>VLOOKUP($D1059,'Customer Details'!$A$1:$F$17,4,FALSE)</f>
        <v>Tracy</v>
      </c>
      <c r="F1059" s="8" t="s">
        <v>83</v>
      </c>
      <c r="G1059" s="8">
        <v>12</v>
      </c>
      <c r="H1059" s="2" t="str">
        <f>VLOOKUP($D1059,'Customer Details'!$A$1:$F$17,MATCH('Order SUmmary'!H$2,'Customer Details'!$A$1:$F$1,0),0)</f>
        <v>Suzlon Energy Ltd.</v>
      </c>
      <c r="I1059" s="2" t="str">
        <f>VLOOKUP($D1059,'Customer Details'!$A$1:$F$17,4,0)</f>
        <v>Tracy</v>
      </c>
      <c r="J1059" s="2" t="str">
        <f>VLOOKUP($D1059,'Customer Details'!$A$1:$F$17,6,0)</f>
        <v>95376</v>
      </c>
      <c r="K1059" s="8" t="str">
        <f>VLOOKUP(VLOOKUP(D1059,'Customer Details'!$A$1:$F$17,5,0),'Region INfo'!$A$1:$C$52,3,0)</f>
        <v xml:space="preserve">Pacific   </v>
      </c>
      <c r="L1059" s="8" t="str">
        <f>INDEX(Product_List,MATCH($F1059,'Product List'!$B$1:$B$299,0),MATCH('Order SUmmary'!L$2,'Product List'!$A$1:$E$1,0))</f>
        <v>Xerox 211</v>
      </c>
      <c r="M1059" s="8">
        <f>INDEX(Product_List,MATCH($F1059,'Product List'!$B$1:$B$299,0),MATCH('Order SUmmary'!M$2,'Product List'!$A$1:$E$1,0))</f>
        <v>4291</v>
      </c>
      <c r="N1059" s="8">
        <f>INDEX(Product_List,MATCH($F1059,'Product List'!$B$1:$B$299,0),MATCH('Order SUmmary'!N$2,'Product List'!$A$1:$E$1,0))</f>
        <v>2021</v>
      </c>
      <c r="O1059" s="8" t="str">
        <f>INDEX(Product_List,MATCH($F1059,'Product List'!$B$1:$B$299,0),MATCH('Order SUmmary'!O$2,'Product List'!$A$1:$E$1,0))</f>
        <v>Paper</v>
      </c>
      <c r="P1059" s="12">
        <f>HLOOKUP(C1059,'Commission Criteria'!$A$2:$I$4,3,FALSE)</f>
        <v>4</v>
      </c>
      <c r="Q1059" s="8">
        <f t="shared" si="49"/>
        <v>24252</v>
      </c>
      <c r="R1059" s="8">
        <f t="shared" si="50"/>
        <v>51492</v>
      </c>
      <c r="S1059" s="36">
        <f>VLOOKUP(R1059,'Commission Criteria'!$L$3:$M$11,2,TRUE)</f>
        <v>0.05</v>
      </c>
      <c r="T1059" s="36">
        <f>IF(P1059&lt;5,VLOOKUP(R1059,'Commission Criteria'!$L$3:$M$11,2,1),VLOOKUP('Order SUmmary'!R1059,'Commission Criteria'!$P$3:$Q$11,2,1))</f>
        <v>0.05</v>
      </c>
      <c r="U1059" s="36">
        <f>VLOOKUP(R1059,IF(P1059&lt;5,'Commission Criteria'!$L$3:$M$11,'Commission Criteria'!$P$3:$Q$11),2,1)</f>
        <v>0.05</v>
      </c>
      <c r="V1059" s="8" t="s">
        <v>40</v>
      </c>
      <c r="W1059" s="36">
        <f t="shared" ca="1" si="51"/>
        <v>0.01</v>
      </c>
      <c r="X1059" s="8" t="str">
        <f>_xlfn.XLOOKUP(F1059,'Product List'!$B$1:$B$299,'Product List'!$A$1:$A$299)</f>
        <v>Xerox 211</v>
      </c>
      <c r="Y1059" s="8"/>
      <c r="Z1059" s="8" t="str" cm="1">
        <f t="array" ref="Z1059:AD1059">_xlfn.XLOOKUP(D1059,'Customer Details'!$A$1:$A$17,'Customer Details'!$B$1:$F$17,"No such customer",0,1)</f>
        <v>Suzlon Energy Ltd.</v>
      </c>
      <c r="AA1059" s="8" t="str">
        <v>501 Marsh Trail Circle</v>
      </c>
      <c r="AB1059" s="8" t="str">
        <v>Tracy</v>
      </c>
      <c r="AC1059" s="8" t="str">
        <v>CA</v>
      </c>
      <c r="AD1059" s="8" t="str">
        <v>95376</v>
      </c>
    </row>
    <row r="1060" spans="1:30">
      <c r="A1060" s="8" t="s">
        <v>1036</v>
      </c>
      <c r="B1060" s="19">
        <v>42199</v>
      </c>
      <c r="C1060" s="8" t="s">
        <v>46</v>
      </c>
      <c r="D1060" s="8">
        <v>10010</v>
      </c>
      <c r="E1060" s="8" t="str">
        <f>VLOOKUP($D1060,'Customer Details'!$A$1:$F$17,4,FALSE)</f>
        <v>Tracy</v>
      </c>
      <c r="F1060" s="8" t="s">
        <v>445</v>
      </c>
      <c r="G1060" s="8">
        <v>1</v>
      </c>
      <c r="H1060" s="2" t="str">
        <f>VLOOKUP($D1060,'Customer Details'!$A$1:$F$17,MATCH('Order SUmmary'!H$2,'Customer Details'!$A$1:$F$1,0),0)</f>
        <v>Suzlon Energy Ltd.</v>
      </c>
      <c r="I1060" s="2" t="str">
        <f>VLOOKUP($D1060,'Customer Details'!$A$1:$F$17,4,0)</f>
        <v>Tracy</v>
      </c>
      <c r="J1060" s="2" t="str">
        <f>VLOOKUP($D1060,'Customer Details'!$A$1:$F$17,6,0)</f>
        <v>95376</v>
      </c>
      <c r="K1060" s="8" t="str">
        <f>VLOOKUP(VLOOKUP(D1060,'Customer Details'!$A$1:$F$17,5,0),'Region INfo'!$A$1:$C$52,3,0)</f>
        <v xml:space="preserve">Pacific   </v>
      </c>
      <c r="L1060" s="8" t="str">
        <f>INDEX(Product_List,MATCH($F1060,'Product List'!$B$1:$B$299,0),MATCH('Order SUmmary'!L$2,'Product List'!$A$1:$E$1,0))</f>
        <v>Xerox 1882</v>
      </c>
      <c r="M1060" s="8">
        <f>INDEX(Product_List,MATCH($F1060,'Product List'!$B$1:$B$299,0),MATCH('Order SUmmary'!M$2,'Product List'!$A$1:$E$1,0))</f>
        <v>4206</v>
      </c>
      <c r="N1060" s="8">
        <f>INDEX(Product_List,MATCH($F1060,'Product List'!$B$1:$B$299,0),MATCH('Order SUmmary'!N$2,'Product List'!$A$1:$E$1,0))</f>
        <v>1201</v>
      </c>
      <c r="O1060" s="8" t="str">
        <f>INDEX(Product_List,MATCH($F1060,'Product List'!$B$1:$B$299,0),MATCH('Order SUmmary'!O$2,'Product List'!$A$1:$E$1,0))</f>
        <v>Paper</v>
      </c>
      <c r="P1060" s="12">
        <f>HLOOKUP(C1060,'Commission Criteria'!$A$2:$I$4,3,FALSE)</f>
        <v>8</v>
      </c>
      <c r="Q1060" s="8">
        <f t="shared" si="49"/>
        <v>1201</v>
      </c>
      <c r="R1060" s="8">
        <f t="shared" si="50"/>
        <v>4206</v>
      </c>
      <c r="S1060" s="36">
        <f>VLOOKUP(R1060,'Commission Criteria'!$L$3:$M$11,2,TRUE)</f>
        <v>0.01</v>
      </c>
      <c r="T1060" s="36">
        <f>IF(P1060&lt;5,VLOOKUP(R1060,'Commission Criteria'!$L$3:$M$11,2,1),VLOOKUP('Order SUmmary'!R1060,'Commission Criteria'!$P$3:$Q$11,2,1))</f>
        <v>0.02</v>
      </c>
      <c r="U1060" s="36">
        <f>VLOOKUP(R1060,IF(P1060&lt;5,'Commission Criteria'!$L$3:$M$11,'Commission Criteria'!$P$3:$Q$11),2,1)</f>
        <v>0.02</v>
      </c>
      <c r="V1060" s="8" t="s">
        <v>43</v>
      </c>
      <c r="W1060" s="36">
        <f t="shared" ca="1" si="51"/>
        <v>0</v>
      </c>
      <c r="X1060" s="8" t="str">
        <f>_xlfn.XLOOKUP(F1060,'Product List'!$B$1:$B$299,'Product List'!$A$1:$A$299)</f>
        <v>Xerox 1882</v>
      </c>
      <c r="Y1060" s="8"/>
      <c r="Z1060" s="8" t="str" cm="1">
        <f t="array" ref="Z1060:AD1060">_xlfn.XLOOKUP(D1060,'Customer Details'!$A$1:$A$17,'Customer Details'!$B$1:$F$17,"No such customer",0,1)</f>
        <v>Suzlon Energy Ltd.</v>
      </c>
      <c r="AA1060" s="8" t="str">
        <v>501 Marsh Trail Circle</v>
      </c>
      <c r="AB1060" s="8" t="str">
        <v>Tracy</v>
      </c>
      <c r="AC1060" s="8" t="str">
        <v>CA</v>
      </c>
      <c r="AD1060" s="8" t="str">
        <v>95376</v>
      </c>
    </row>
    <row r="1061" spans="1:30">
      <c r="A1061" s="8" t="s">
        <v>1037</v>
      </c>
      <c r="B1061" s="19">
        <v>42200</v>
      </c>
      <c r="C1061" s="8" t="s">
        <v>51</v>
      </c>
      <c r="D1061" s="8">
        <v>10012</v>
      </c>
      <c r="E1061" s="8" t="str">
        <f>VLOOKUP($D1061,'Customer Details'!$A$1:$F$17,4,FALSE)</f>
        <v>Santa Barbara</v>
      </c>
      <c r="F1061" s="8" t="s">
        <v>729</v>
      </c>
      <c r="G1061" s="8">
        <v>2</v>
      </c>
      <c r="H1061" s="2" t="str">
        <f>VLOOKUP($D1061,'Customer Details'!$A$1:$F$17,MATCH('Order SUmmary'!H$2,'Customer Details'!$A$1:$F$1,0),0)</f>
        <v>Dynamatic Technologies Ltd.</v>
      </c>
      <c r="I1061" s="2" t="str">
        <f>VLOOKUP($D1061,'Customer Details'!$A$1:$F$17,4,0)</f>
        <v>Santa Barbara</v>
      </c>
      <c r="J1061" s="2" t="str">
        <f>VLOOKUP($D1061,'Customer Details'!$A$1:$F$17,6,0)</f>
        <v>93110</v>
      </c>
      <c r="K1061" s="8" t="str">
        <f>VLOOKUP(VLOOKUP(D1061,'Customer Details'!$A$1:$F$17,5,0),'Region INfo'!$A$1:$C$52,3,0)</f>
        <v xml:space="preserve">Pacific   </v>
      </c>
      <c r="L1061" s="8" t="str">
        <f>INDEX(Product_List,MATCH($F1061,'Product List'!$B$1:$B$299,0),MATCH('Order SUmmary'!L$2,'Product List'!$A$1:$E$1,0))</f>
        <v>Newell 324</v>
      </c>
      <c r="M1061" s="8">
        <f>INDEX(Product_List,MATCH($F1061,'Product List'!$B$1:$B$299,0),MATCH('Order SUmmary'!M$2,'Product List'!$A$1:$E$1,0))</f>
        <v>3859</v>
      </c>
      <c r="N1061" s="8">
        <f>INDEX(Product_List,MATCH($F1061,'Product List'!$B$1:$B$299,0),MATCH('Order SUmmary'!N$2,'Product List'!$A$1:$E$1,0))</f>
        <v>1465</v>
      </c>
      <c r="O1061" s="8" t="str">
        <f>INDEX(Product_List,MATCH($F1061,'Product List'!$B$1:$B$299,0),MATCH('Order SUmmary'!O$2,'Product List'!$A$1:$E$1,0))</f>
        <v>Art</v>
      </c>
      <c r="P1061" s="12">
        <f>HLOOKUP(C1061,'Commission Criteria'!$A$2:$I$4,3,FALSE)</f>
        <v>10</v>
      </c>
      <c r="Q1061" s="8">
        <f t="shared" si="49"/>
        <v>2930</v>
      </c>
      <c r="R1061" s="8">
        <f t="shared" si="50"/>
        <v>7718</v>
      </c>
      <c r="S1061" s="36">
        <f>VLOOKUP(R1061,'Commission Criteria'!$L$3:$M$11,2,TRUE)</f>
        <v>0.03</v>
      </c>
      <c r="T1061" s="36">
        <f>IF(P1061&lt;5,VLOOKUP(R1061,'Commission Criteria'!$L$3:$M$11,2,1),VLOOKUP('Order SUmmary'!R1061,'Commission Criteria'!$P$3:$Q$11,2,1))</f>
        <v>0.02</v>
      </c>
      <c r="U1061" s="36">
        <f>VLOOKUP(R1061,IF(P1061&lt;5,'Commission Criteria'!$L$3:$M$11,'Commission Criteria'!$P$3:$Q$11),2,1)</f>
        <v>0.02</v>
      </c>
      <c r="V1061" s="8" t="s">
        <v>40</v>
      </c>
      <c r="W1061" s="36">
        <f t="shared" ca="1" si="51"/>
        <v>0.05</v>
      </c>
      <c r="X1061" s="8" t="str">
        <f>_xlfn.XLOOKUP(F1061,'Product List'!$B$1:$B$299,'Product List'!$A$1:$A$299)</f>
        <v>Newell 324</v>
      </c>
      <c r="Y1061" s="8"/>
      <c r="Z1061" s="8" t="str" cm="1">
        <f t="array" ref="Z1061:AD1061">_xlfn.XLOOKUP(D1061,'Customer Details'!$A$1:$A$17,'Customer Details'!$B$1:$F$17,"No such customer",0,1)</f>
        <v>Dynamatic Technologies Ltd.</v>
      </c>
      <c r="AA1061" s="8" t="str">
        <v>402 Pinkster Lane</v>
      </c>
      <c r="AB1061" s="8" t="str">
        <v>Santa Barbara</v>
      </c>
      <c r="AC1061" s="8" t="str">
        <v>CA</v>
      </c>
      <c r="AD1061" s="8" t="str">
        <v>93110</v>
      </c>
    </row>
    <row r="1062" spans="1:30">
      <c r="A1062" s="8" t="s">
        <v>1037</v>
      </c>
      <c r="B1062" s="19">
        <v>42200</v>
      </c>
      <c r="C1062" s="8" t="s">
        <v>27</v>
      </c>
      <c r="D1062" s="8">
        <v>10007</v>
      </c>
      <c r="E1062" s="8" t="str">
        <f>VLOOKUP($D1062,'Customer Details'!$A$1:$F$17,4,FALSE)</f>
        <v>Richmond</v>
      </c>
      <c r="F1062" s="8" t="s">
        <v>451</v>
      </c>
      <c r="G1062" s="8">
        <v>2</v>
      </c>
      <c r="H1062" s="2" t="str">
        <f>VLOOKUP($D1062,'Customer Details'!$A$1:$F$17,MATCH('Order SUmmary'!H$2,'Customer Details'!$A$1:$F$1,0),0)</f>
        <v>GHCL Ltd.</v>
      </c>
      <c r="I1062" s="2" t="str">
        <f>VLOOKUP($D1062,'Customer Details'!$A$1:$F$17,4,0)</f>
        <v>Richmond</v>
      </c>
      <c r="J1062" s="2" t="str">
        <f>VLOOKUP($D1062,'Customer Details'!$A$1:$F$17,6,0)</f>
        <v>94805</v>
      </c>
      <c r="K1062" s="8" t="str">
        <f>VLOOKUP(VLOOKUP(D1062,'Customer Details'!$A$1:$F$17,5,0),'Region INfo'!$A$1:$C$52,3,0)</f>
        <v xml:space="preserve">Pacific   </v>
      </c>
      <c r="L1062" s="8" t="str">
        <f>INDEX(Product_List,MATCH($F1062,'Product List'!$B$1:$B$299,0),MATCH('Order SUmmary'!L$2,'Product List'!$A$1:$E$1,0))</f>
        <v>Xerox 1903</v>
      </c>
      <c r="M1062" s="8">
        <f>INDEX(Product_List,MATCH($F1062,'Product List'!$B$1:$B$299,0),MATCH('Order SUmmary'!M$2,'Product List'!$A$1:$E$1,0))</f>
        <v>4758</v>
      </c>
      <c r="N1062" s="8">
        <f>INDEX(Product_List,MATCH($F1062,'Product List'!$B$1:$B$299,0),MATCH('Order SUmmary'!N$2,'Product List'!$A$1:$E$1,0))</f>
        <v>1946</v>
      </c>
      <c r="O1062" s="8" t="str">
        <f>INDEX(Product_List,MATCH($F1062,'Product List'!$B$1:$B$299,0),MATCH('Order SUmmary'!O$2,'Product List'!$A$1:$E$1,0))</f>
        <v>Paper</v>
      </c>
      <c r="P1062" s="12">
        <f>HLOOKUP(C1062,'Commission Criteria'!$A$2:$I$4,3,FALSE)</f>
        <v>4</v>
      </c>
      <c r="Q1062" s="8">
        <f t="shared" si="49"/>
        <v>3892</v>
      </c>
      <c r="R1062" s="8">
        <f t="shared" si="50"/>
        <v>9516</v>
      </c>
      <c r="S1062" s="36">
        <f>VLOOKUP(R1062,'Commission Criteria'!$L$3:$M$11,2,TRUE)</f>
        <v>0.03</v>
      </c>
      <c r="T1062" s="36">
        <f>IF(P1062&lt;5,VLOOKUP(R1062,'Commission Criteria'!$L$3:$M$11,2,1),VLOOKUP('Order SUmmary'!R1062,'Commission Criteria'!$P$3:$Q$11,2,1))</f>
        <v>0.03</v>
      </c>
      <c r="U1062" s="36">
        <f>VLOOKUP(R1062,IF(P1062&lt;5,'Commission Criteria'!$L$3:$M$11,'Commission Criteria'!$P$3:$Q$11),2,1)</f>
        <v>0.03</v>
      </c>
      <c r="V1062" s="8" t="s">
        <v>40</v>
      </c>
      <c r="W1062" s="36">
        <f t="shared" ca="1" si="51"/>
        <v>0.02</v>
      </c>
      <c r="X1062" s="8" t="str">
        <f>_xlfn.XLOOKUP(F1062,'Product List'!$B$1:$B$299,'Product List'!$A$1:$A$299)</f>
        <v>Xerox 1903</v>
      </c>
      <c r="Y1062" s="8"/>
      <c r="Z1062" s="8" t="str" cm="1">
        <f t="array" ref="Z1062:AD1062">_xlfn.XLOOKUP(D1062,'Customer Details'!$A$1:$A$17,'Customer Details'!$B$1:$F$17,"No such customer",0,1)</f>
        <v>GHCL Ltd.</v>
      </c>
      <c r="AA1062" s="8" t="str">
        <v>58 Clarence St</v>
      </c>
      <c r="AB1062" s="8" t="str">
        <v>Richmond</v>
      </c>
      <c r="AC1062" s="8" t="str">
        <v>CA</v>
      </c>
      <c r="AD1062" s="8" t="str">
        <v>94805</v>
      </c>
    </row>
    <row r="1063" spans="1:30">
      <c r="A1063" s="8" t="s">
        <v>1037</v>
      </c>
      <c r="B1063" s="19">
        <v>42200</v>
      </c>
      <c r="C1063" s="8" t="s">
        <v>66</v>
      </c>
      <c r="D1063" s="8">
        <v>10005</v>
      </c>
      <c r="E1063" s="8" t="str">
        <f>VLOOKUP($D1063,'Customer Details'!$A$1:$F$17,4,FALSE)</f>
        <v>Goleta</v>
      </c>
      <c r="F1063" s="8" t="s">
        <v>223</v>
      </c>
      <c r="G1063" s="8">
        <v>3</v>
      </c>
      <c r="H1063" s="2" t="str">
        <f>VLOOKUP($D1063,'Customer Details'!$A$1:$F$17,MATCH('Order SUmmary'!H$2,'Customer Details'!$A$1:$F$1,0),0)</f>
        <v>Fortis Healthcare Ltd.</v>
      </c>
      <c r="I1063" s="2" t="str">
        <f>VLOOKUP($D1063,'Customer Details'!$A$1:$F$17,4,0)</f>
        <v>Goleta</v>
      </c>
      <c r="J1063" s="2" t="str">
        <f>VLOOKUP($D1063,'Customer Details'!$A$1:$F$17,6,0)</f>
        <v>93117</v>
      </c>
      <c r="K1063" s="8" t="str">
        <f>VLOOKUP(VLOOKUP(D1063,'Customer Details'!$A$1:$F$17,5,0),'Region INfo'!$A$1:$C$52,3,0)</f>
        <v xml:space="preserve">Pacific   </v>
      </c>
      <c r="L1063" s="8" t="str">
        <f>INDEX(Product_List,MATCH($F1063,'Product List'!$B$1:$B$299,0),MATCH('Order SUmmary'!L$2,'Product List'!$A$1:$E$1,0))</f>
        <v>Avery 513</v>
      </c>
      <c r="M1063" s="8">
        <f>INDEX(Product_List,MATCH($F1063,'Product List'!$B$1:$B$299,0),MATCH('Order SUmmary'!M$2,'Product List'!$A$1:$E$1,0))</f>
        <v>3579</v>
      </c>
      <c r="N1063" s="8">
        <f>INDEX(Product_List,MATCH($F1063,'Product List'!$B$1:$B$299,0),MATCH('Order SUmmary'!N$2,'Product List'!$A$1:$E$1,0))</f>
        <v>1579</v>
      </c>
      <c r="O1063" s="8" t="str">
        <f>INDEX(Product_List,MATCH($F1063,'Product List'!$B$1:$B$299,0),MATCH('Order SUmmary'!O$2,'Product List'!$A$1:$E$1,0))</f>
        <v>Labels</v>
      </c>
      <c r="P1063" s="12">
        <f>HLOOKUP(C1063,'Commission Criteria'!$A$2:$I$4,3,FALSE)</f>
        <v>5</v>
      </c>
      <c r="Q1063" s="8">
        <f t="shared" si="49"/>
        <v>4737</v>
      </c>
      <c r="R1063" s="8">
        <f t="shared" si="50"/>
        <v>10737</v>
      </c>
      <c r="S1063" s="36">
        <f>VLOOKUP(R1063,'Commission Criteria'!$L$3:$M$11,2,TRUE)</f>
        <v>0.03</v>
      </c>
      <c r="T1063" s="36">
        <f>IF(P1063&lt;5,VLOOKUP(R1063,'Commission Criteria'!$L$3:$M$11,2,1),VLOOKUP('Order SUmmary'!R1063,'Commission Criteria'!$P$3:$Q$11,2,1))</f>
        <v>0.02</v>
      </c>
      <c r="U1063" s="36">
        <f>VLOOKUP(R1063,IF(P1063&lt;5,'Commission Criteria'!$L$3:$M$11,'Commission Criteria'!$P$3:$Q$11),2,1)</f>
        <v>0.02</v>
      </c>
      <c r="V1063" s="8" t="s">
        <v>50</v>
      </c>
      <c r="W1063" s="36">
        <f t="shared" ca="1" si="51"/>
        <v>0.02</v>
      </c>
      <c r="X1063" s="8" t="str">
        <f>_xlfn.XLOOKUP(F1063,'Product List'!$B$1:$B$299,'Product List'!$A$1:$A$299)</f>
        <v>Avery 513</v>
      </c>
      <c r="Y1063" s="8"/>
      <c r="Z1063" s="8" t="str" cm="1">
        <f t="array" ref="Z1063:AD1063">_xlfn.XLOOKUP(D1063,'Customer Details'!$A$1:$A$17,'Customer Details'!$B$1:$F$17,"No such customer",0,1)</f>
        <v>Fortis Healthcare Ltd.</v>
      </c>
      <c r="AA1063" s="8" t="str">
        <v>14 Elsworthy Terrace</v>
      </c>
      <c r="AB1063" s="8" t="str">
        <v>Goleta</v>
      </c>
      <c r="AC1063" s="8" t="str">
        <v>CA</v>
      </c>
      <c r="AD1063" s="8" t="str">
        <v>93117</v>
      </c>
    </row>
    <row r="1064" spans="1:30">
      <c r="A1064" s="8" t="s">
        <v>1038</v>
      </c>
      <c r="B1064" s="19">
        <v>42201</v>
      </c>
      <c r="C1064" s="8" t="s">
        <v>66</v>
      </c>
      <c r="D1064" s="8">
        <v>10012</v>
      </c>
      <c r="E1064" s="8" t="str">
        <f>VLOOKUP($D1064,'Customer Details'!$A$1:$F$17,4,FALSE)</f>
        <v>Santa Barbara</v>
      </c>
      <c r="F1064" s="8" t="s">
        <v>114</v>
      </c>
      <c r="G1064" s="8">
        <v>3</v>
      </c>
      <c r="H1064" s="2" t="str">
        <f>VLOOKUP($D1064,'Customer Details'!$A$1:$F$17,MATCH('Order SUmmary'!H$2,'Customer Details'!$A$1:$F$1,0),0)</f>
        <v>Dynamatic Technologies Ltd.</v>
      </c>
      <c r="I1064" s="2" t="str">
        <f>VLOOKUP($D1064,'Customer Details'!$A$1:$F$17,4,0)</f>
        <v>Santa Barbara</v>
      </c>
      <c r="J1064" s="2" t="str">
        <f>VLOOKUP($D1064,'Customer Details'!$A$1:$F$17,6,0)</f>
        <v>93110</v>
      </c>
      <c r="K1064" s="8" t="str">
        <f>VLOOKUP(VLOOKUP(D1064,'Customer Details'!$A$1:$F$17,5,0),'Region INfo'!$A$1:$C$52,3,0)</f>
        <v xml:space="preserve">Pacific   </v>
      </c>
      <c r="L1064" s="8" t="str">
        <f>INDEX(Product_List,MATCH($F1064,'Product List'!$B$1:$B$299,0),MATCH('Order SUmmary'!L$2,'Product List'!$A$1:$E$1,0))</f>
        <v>Xerox 1910</v>
      </c>
      <c r="M1064" s="8">
        <f>INDEX(Product_List,MATCH($F1064,'Product List'!$B$1:$B$299,0),MATCH('Order SUmmary'!M$2,'Product List'!$A$1:$E$1,0))</f>
        <v>2588</v>
      </c>
      <c r="N1064" s="8">
        <f>INDEX(Product_List,MATCH($F1064,'Product List'!$B$1:$B$299,0),MATCH('Order SUmmary'!N$2,'Product List'!$A$1:$E$1,0))</f>
        <v>2069</v>
      </c>
      <c r="O1064" s="8" t="str">
        <f>INDEX(Product_List,MATCH($F1064,'Product List'!$B$1:$B$299,0),MATCH('Order SUmmary'!O$2,'Product List'!$A$1:$E$1,0))</f>
        <v>Paper</v>
      </c>
      <c r="P1064" s="12">
        <f>HLOOKUP(C1064,'Commission Criteria'!$A$2:$I$4,3,FALSE)</f>
        <v>5</v>
      </c>
      <c r="Q1064" s="8">
        <f t="shared" si="49"/>
        <v>6207</v>
      </c>
      <c r="R1064" s="8">
        <f t="shared" si="50"/>
        <v>7764</v>
      </c>
      <c r="S1064" s="36">
        <f>VLOOKUP(R1064,'Commission Criteria'!$L$3:$M$11,2,TRUE)</f>
        <v>0.03</v>
      </c>
      <c r="T1064" s="36">
        <f>IF(P1064&lt;5,VLOOKUP(R1064,'Commission Criteria'!$L$3:$M$11,2,1),VLOOKUP('Order SUmmary'!R1064,'Commission Criteria'!$P$3:$Q$11,2,1))</f>
        <v>0.02</v>
      </c>
      <c r="U1064" s="36">
        <f>VLOOKUP(R1064,IF(P1064&lt;5,'Commission Criteria'!$L$3:$M$11,'Commission Criteria'!$P$3:$Q$11),2,1)</f>
        <v>0.02</v>
      </c>
      <c r="V1064" s="8" t="s">
        <v>50</v>
      </c>
      <c r="W1064" s="36">
        <f t="shared" ca="1" si="51"/>
        <v>0.04</v>
      </c>
      <c r="X1064" s="8" t="str">
        <f>_xlfn.XLOOKUP(F1064,'Product List'!$B$1:$B$299,'Product List'!$A$1:$A$299)</f>
        <v>Xerox 1910</v>
      </c>
      <c r="Y1064" s="8"/>
      <c r="Z1064" s="8" t="str" cm="1">
        <f t="array" ref="Z1064:AD1064">_xlfn.XLOOKUP(D1064,'Customer Details'!$A$1:$A$17,'Customer Details'!$B$1:$F$17,"No such customer",0,1)</f>
        <v>Dynamatic Technologies Ltd.</v>
      </c>
      <c r="AA1064" s="8" t="str">
        <v>402 Pinkster Lane</v>
      </c>
      <c r="AB1064" s="8" t="str">
        <v>Santa Barbara</v>
      </c>
      <c r="AC1064" s="8" t="str">
        <v>CA</v>
      </c>
      <c r="AD1064" s="8" t="str">
        <v>93110</v>
      </c>
    </row>
    <row r="1065" spans="1:30">
      <c r="A1065" s="8" t="s">
        <v>1039</v>
      </c>
      <c r="B1065" s="19">
        <v>42205</v>
      </c>
      <c r="C1065" s="8" t="s">
        <v>27</v>
      </c>
      <c r="D1065" s="8">
        <v>10015</v>
      </c>
      <c r="E1065" s="8" t="str">
        <f>VLOOKUP($D1065,'Customer Details'!$A$1:$F$17,4,FALSE)</f>
        <v>South Windsor</v>
      </c>
      <c r="F1065" s="8" t="s">
        <v>776</v>
      </c>
      <c r="G1065" s="8">
        <v>1</v>
      </c>
      <c r="H1065" s="2" t="str">
        <f>VLOOKUP($D1065,'Customer Details'!$A$1:$F$17,MATCH('Order SUmmary'!H$2,'Customer Details'!$A$1:$F$1,0),0)</f>
        <v>Punj Lloyd Ltd.</v>
      </c>
      <c r="I1065" s="2" t="str">
        <f>VLOOKUP($D1065,'Customer Details'!$A$1:$F$17,4,0)</f>
        <v>South Windsor</v>
      </c>
      <c r="J1065" s="2" t="str">
        <f>VLOOKUP($D1065,'Customer Details'!$A$1:$F$17,6,0)</f>
        <v>06074</v>
      </c>
      <c r="K1065" s="8" t="str">
        <f>VLOOKUP(VLOOKUP(D1065,'Customer Details'!$A$1:$F$17,5,0),'Region INfo'!$A$1:$C$52,3,0)</f>
        <v xml:space="preserve">Northern </v>
      </c>
      <c r="L1065" s="8" t="str">
        <f>INDEX(Product_List,MATCH($F1065,'Product List'!$B$1:$B$299,0),MATCH('Order SUmmary'!L$2,'Product List'!$A$1:$E$1,0))</f>
        <v>Newell 347</v>
      </c>
      <c r="M1065" s="8">
        <f>INDEX(Product_List,MATCH($F1065,'Product List'!$B$1:$B$299,0),MATCH('Order SUmmary'!M$2,'Product List'!$A$1:$E$1,0))</f>
        <v>2856</v>
      </c>
      <c r="N1065" s="8">
        <f>INDEX(Product_List,MATCH($F1065,'Product List'!$B$1:$B$299,0),MATCH('Order SUmmary'!N$2,'Product List'!$A$1:$E$1,0))</f>
        <v>1236</v>
      </c>
      <c r="O1065" s="8" t="str">
        <f>INDEX(Product_List,MATCH($F1065,'Product List'!$B$1:$B$299,0),MATCH('Order SUmmary'!O$2,'Product List'!$A$1:$E$1,0))</f>
        <v>Art</v>
      </c>
      <c r="P1065" s="12">
        <f>HLOOKUP(C1065,'Commission Criteria'!$A$2:$I$4,3,FALSE)</f>
        <v>4</v>
      </c>
      <c r="Q1065" s="8">
        <f t="shared" si="49"/>
        <v>1236</v>
      </c>
      <c r="R1065" s="8">
        <f t="shared" si="50"/>
        <v>2856</v>
      </c>
      <c r="S1065" s="36">
        <f>VLOOKUP(R1065,'Commission Criteria'!$L$3:$M$11,2,TRUE)</f>
        <v>0.01</v>
      </c>
      <c r="T1065" s="36">
        <f>IF(P1065&lt;5,VLOOKUP(R1065,'Commission Criteria'!$L$3:$M$11,2,1),VLOOKUP('Order SUmmary'!R1065,'Commission Criteria'!$P$3:$Q$11,2,1))</f>
        <v>0.01</v>
      </c>
      <c r="U1065" s="36">
        <f>VLOOKUP(R1065,IF(P1065&lt;5,'Commission Criteria'!$L$3:$M$11,'Commission Criteria'!$P$3:$Q$11),2,1)</f>
        <v>0.01</v>
      </c>
      <c r="V1065" s="8" t="s">
        <v>43</v>
      </c>
      <c r="W1065" s="36">
        <f t="shared" ca="1" si="51"/>
        <v>0.01</v>
      </c>
      <c r="X1065" s="8" t="str">
        <f>_xlfn.XLOOKUP(F1065,'Product List'!$B$1:$B$299,'Product List'!$A$1:$A$299)</f>
        <v>Newell 347</v>
      </c>
      <c r="Y1065" s="8"/>
      <c r="Z1065" s="8" t="str" cm="1">
        <f t="array" ref="Z1065:AD1065">_xlfn.XLOOKUP(D1065,'Customer Details'!$A$1:$A$17,'Customer Details'!$B$1:$F$17,"No such customer",0,1)</f>
        <v>Punj Lloyd Ltd.</v>
      </c>
      <c r="AA1065" s="8" t="str">
        <v>Box 3263</v>
      </c>
      <c r="AB1065" s="8" t="str">
        <v>South Windsor</v>
      </c>
      <c r="AC1065" s="8" t="str">
        <v>CT</v>
      </c>
      <c r="AD1065" s="8" t="str">
        <v>06074</v>
      </c>
    </row>
    <row r="1066" spans="1:30">
      <c r="A1066" s="8" t="s">
        <v>1040</v>
      </c>
      <c r="B1066" s="19">
        <v>42205</v>
      </c>
      <c r="C1066" s="8" t="s">
        <v>44</v>
      </c>
      <c r="D1066" s="8">
        <v>10010</v>
      </c>
      <c r="E1066" s="8" t="str">
        <f>VLOOKUP($D1066,'Customer Details'!$A$1:$F$17,4,FALSE)</f>
        <v>Tracy</v>
      </c>
      <c r="F1066" s="8" t="s">
        <v>329</v>
      </c>
      <c r="G1066" s="8">
        <v>1</v>
      </c>
      <c r="H1066" s="2" t="str">
        <f>VLOOKUP($D1066,'Customer Details'!$A$1:$F$17,MATCH('Order SUmmary'!H$2,'Customer Details'!$A$1:$F$1,0),0)</f>
        <v>Suzlon Energy Ltd.</v>
      </c>
      <c r="I1066" s="2" t="str">
        <f>VLOOKUP($D1066,'Customer Details'!$A$1:$F$17,4,0)</f>
        <v>Tracy</v>
      </c>
      <c r="J1066" s="2" t="str">
        <f>VLOOKUP($D1066,'Customer Details'!$A$1:$F$17,6,0)</f>
        <v>95376</v>
      </c>
      <c r="K1066" s="8" t="str">
        <f>VLOOKUP(VLOOKUP(D1066,'Customer Details'!$A$1:$F$17,5,0),'Region INfo'!$A$1:$C$52,3,0)</f>
        <v xml:space="preserve">Pacific   </v>
      </c>
      <c r="L1066" s="8" t="str">
        <f>INDEX(Product_List,MATCH($F1066,'Product List'!$B$1:$B$299,0),MATCH('Order SUmmary'!L$2,'Product List'!$A$1:$E$1,0))</f>
        <v>Xerox 1991</v>
      </c>
      <c r="M1066" s="8">
        <f>INDEX(Product_List,MATCH($F1066,'Product List'!$B$1:$B$299,0),MATCH('Order SUmmary'!M$2,'Product List'!$A$1:$E$1,0))</f>
        <v>3634</v>
      </c>
      <c r="N1066" s="8">
        <f>INDEX(Product_List,MATCH($F1066,'Product List'!$B$1:$B$299,0),MATCH('Order SUmmary'!N$2,'Product List'!$A$1:$E$1,0))</f>
        <v>1487</v>
      </c>
      <c r="O1066" s="8" t="str">
        <f>INDEX(Product_List,MATCH($F1066,'Product List'!$B$1:$B$299,0),MATCH('Order SUmmary'!O$2,'Product List'!$A$1:$E$1,0))</f>
        <v>Paper</v>
      </c>
      <c r="P1066" s="12">
        <f>HLOOKUP(C1066,'Commission Criteria'!$A$2:$I$4,3,FALSE)</f>
        <v>4</v>
      </c>
      <c r="Q1066" s="8">
        <f t="shared" si="49"/>
        <v>1487</v>
      </c>
      <c r="R1066" s="8">
        <f t="shared" si="50"/>
        <v>3634</v>
      </c>
      <c r="S1066" s="36">
        <f>VLOOKUP(R1066,'Commission Criteria'!$L$3:$M$11,2,TRUE)</f>
        <v>0.01</v>
      </c>
      <c r="T1066" s="36">
        <f>IF(P1066&lt;5,VLOOKUP(R1066,'Commission Criteria'!$L$3:$M$11,2,1),VLOOKUP('Order SUmmary'!R1066,'Commission Criteria'!$P$3:$Q$11,2,1))</f>
        <v>0.01</v>
      </c>
      <c r="U1066" s="36">
        <f>VLOOKUP(R1066,IF(P1066&lt;5,'Commission Criteria'!$L$3:$M$11,'Commission Criteria'!$P$3:$Q$11),2,1)</f>
        <v>0.01</v>
      </c>
      <c r="V1066" s="8" t="s">
        <v>32</v>
      </c>
      <c r="W1066" s="36">
        <f t="shared" ca="1" si="51"/>
        <v>0.05</v>
      </c>
      <c r="X1066" s="8" t="str">
        <f>_xlfn.XLOOKUP(F1066,'Product List'!$B$1:$B$299,'Product List'!$A$1:$A$299)</f>
        <v>Xerox 1991</v>
      </c>
      <c r="Y1066" s="8"/>
      <c r="Z1066" s="8" t="str" cm="1">
        <f t="array" ref="Z1066:AD1066">_xlfn.XLOOKUP(D1066,'Customer Details'!$A$1:$A$17,'Customer Details'!$B$1:$F$17,"No such customer",0,1)</f>
        <v>Suzlon Energy Ltd.</v>
      </c>
      <c r="AA1066" s="8" t="str">
        <v>501 Marsh Trail Circle</v>
      </c>
      <c r="AB1066" s="8" t="str">
        <v>Tracy</v>
      </c>
      <c r="AC1066" s="8" t="str">
        <v>CA</v>
      </c>
      <c r="AD1066" s="8" t="str">
        <v>95376</v>
      </c>
    </row>
    <row r="1067" spans="1:30">
      <c r="A1067" s="8" t="s">
        <v>1039</v>
      </c>
      <c r="B1067" s="19">
        <v>42205</v>
      </c>
      <c r="C1067" s="8" t="s">
        <v>46</v>
      </c>
      <c r="D1067" s="8">
        <v>10008</v>
      </c>
      <c r="E1067" s="8" t="str">
        <f>VLOOKUP($D1067,'Customer Details'!$A$1:$F$17,4,FALSE)</f>
        <v>Chestnut Ridge</v>
      </c>
      <c r="F1067" s="8" t="s">
        <v>408</v>
      </c>
      <c r="G1067" s="8">
        <v>2</v>
      </c>
      <c r="H1067" s="2" t="str">
        <f>VLOOKUP($D1067,'Customer Details'!$A$1:$F$17,MATCH('Order SUmmary'!H$2,'Customer Details'!$A$1:$F$1,0),0)</f>
        <v>Reliance Industries Limited</v>
      </c>
      <c r="I1067" s="2" t="str">
        <f>VLOOKUP($D1067,'Customer Details'!$A$1:$F$17,4,0)</f>
        <v>Chestnut Ridge</v>
      </c>
      <c r="J1067" s="2" t="str">
        <f>VLOOKUP($D1067,'Customer Details'!$A$1:$F$17,6,0)</f>
        <v>10977</v>
      </c>
      <c r="K1067" s="8" t="str">
        <f>VLOOKUP(VLOOKUP(D1067,'Customer Details'!$A$1:$F$17,5,0),'Region INfo'!$A$1:$C$52,3,0)</f>
        <v xml:space="preserve">Northern </v>
      </c>
      <c r="L1067" s="8" t="str">
        <f>INDEX(Product_List,MATCH($F1067,'Product List'!$B$1:$B$299,0),MATCH('Order SUmmary'!L$2,'Product List'!$A$1:$E$1,0))</f>
        <v>Xerox 1955</v>
      </c>
      <c r="M1067" s="8">
        <f>INDEX(Product_List,MATCH($F1067,'Product List'!$B$1:$B$299,0),MATCH('Order SUmmary'!M$2,'Product List'!$A$1:$E$1,0))</f>
        <v>2580</v>
      </c>
      <c r="N1067" s="8">
        <f>INDEX(Product_List,MATCH($F1067,'Product List'!$B$1:$B$299,0),MATCH('Order SUmmary'!N$2,'Product List'!$A$1:$E$1,0))</f>
        <v>1518</v>
      </c>
      <c r="O1067" s="8" t="str">
        <f>INDEX(Product_List,MATCH($F1067,'Product List'!$B$1:$B$299,0),MATCH('Order SUmmary'!O$2,'Product List'!$A$1:$E$1,0))</f>
        <v>Paper</v>
      </c>
      <c r="P1067" s="12">
        <f>HLOOKUP(C1067,'Commission Criteria'!$A$2:$I$4,3,FALSE)</f>
        <v>8</v>
      </c>
      <c r="Q1067" s="8">
        <f t="shared" si="49"/>
        <v>3036</v>
      </c>
      <c r="R1067" s="8">
        <f t="shared" si="50"/>
        <v>5160</v>
      </c>
      <c r="S1067" s="36">
        <f>VLOOKUP(R1067,'Commission Criteria'!$L$3:$M$11,2,TRUE)</f>
        <v>0.03</v>
      </c>
      <c r="T1067" s="36">
        <f>IF(P1067&lt;5,VLOOKUP(R1067,'Commission Criteria'!$L$3:$M$11,2,1),VLOOKUP('Order SUmmary'!R1067,'Commission Criteria'!$P$3:$Q$11,2,1))</f>
        <v>0.02</v>
      </c>
      <c r="U1067" s="36">
        <f>VLOOKUP(R1067,IF(P1067&lt;5,'Commission Criteria'!$L$3:$M$11,'Commission Criteria'!$P$3:$Q$11),2,1)</f>
        <v>0.02</v>
      </c>
      <c r="V1067" s="8" t="s">
        <v>43</v>
      </c>
      <c r="W1067" s="36">
        <f t="shared" ca="1" si="51"/>
        <v>0.05</v>
      </c>
      <c r="X1067" s="8" t="str">
        <f>_xlfn.XLOOKUP(F1067,'Product List'!$B$1:$B$299,'Product List'!$A$1:$A$299)</f>
        <v>Xerox 1955</v>
      </c>
      <c r="Y1067" s="8"/>
      <c r="Z1067" s="8" t="str" cm="1">
        <f t="array" ref="Z1067:AD1067">_xlfn.XLOOKUP(D1067,'Customer Details'!$A$1:$A$17,'Customer Details'!$B$1:$F$17,"No such customer",0,1)</f>
        <v>Reliance Industries Limited</v>
      </c>
      <c r="AA1067" s="8" t="str">
        <v>12020 Shamrock Rd., Suite 333</v>
      </c>
      <c r="AB1067" s="8" t="str">
        <v>Chestnut Ridge</v>
      </c>
      <c r="AC1067" s="8" t="str">
        <v>NY</v>
      </c>
      <c r="AD1067" s="8" t="str">
        <v>10977</v>
      </c>
    </row>
    <row r="1068" spans="1:30">
      <c r="A1068" s="8" t="s">
        <v>1041</v>
      </c>
      <c r="B1068" s="19">
        <v>42207</v>
      </c>
      <c r="C1068" s="8" t="s">
        <v>51</v>
      </c>
      <c r="D1068" s="8">
        <v>10002</v>
      </c>
      <c r="E1068" s="8" t="str">
        <f>VLOOKUP($D1068,'Customer Details'!$A$1:$F$17,4,FALSE)</f>
        <v>Omaha</v>
      </c>
      <c r="F1068" s="8" t="s">
        <v>178</v>
      </c>
      <c r="G1068" s="8">
        <v>1</v>
      </c>
      <c r="H1068" s="2" t="str">
        <f>VLOOKUP($D1068,'Customer Details'!$A$1:$F$17,MATCH('Order SUmmary'!H$2,'Customer Details'!$A$1:$F$1,0),0)</f>
        <v>Elder Pharmaceuticals</v>
      </c>
      <c r="I1068" s="2" t="str">
        <f>VLOOKUP($D1068,'Customer Details'!$A$1:$F$17,4,0)</f>
        <v>Omaha</v>
      </c>
      <c r="J1068" s="2" t="str">
        <f>VLOOKUP($D1068,'Customer Details'!$A$1:$F$17,6,0)</f>
        <v>68127</v>
      </c>
      <c r="K1068" s="8" t="str">
        <f>VLOOKUP(VLOOKUP(D1068,'Customer Details'!$A$1:$F$17,5,0),'Region INfo'!$A$1:$C$52,3,0)</f>
        <v>Western</v>
      </c>
      <c r="L1068" s="8" t="str">
        <f>INDEX(Product_List,MATCH($F1068,'Product List'!$B$1:$B$299,0),MATCH('Order SUmmary'!L$2,'Product List'!$A$1:$E$1,0))</f>
        <v>Xerox 1912</v>
      </c>
      <c r="M1068" s="8">
        <f>INDEX(Product_List,MATCH($F1068,'Product List'!$B$1:$B$299,0),MATCH('Order SUmmary'!M$2,'Product List'!$A$1:$E$1,0))</f>
        <v>2803</v>
      </c>
      <c r="N1068" s="8">
        <f>INDEX(Product_List,MATCH($F1068,'Product List'!$B$1:$B$299,0),MATCH('Order SUmmary'!N$2,'Product List'!$A$1:$E$1,0))</f>
        <v>1344</v>
      </c>
      <c r="O1068" s="8" t="str">
        <f>INDEX(Product_List,MATCH($F1068,'Product List'!$B$1:$B$299,0),MATCH('Order SUmmary'!O$2,'Product List'!$A$1:$E$1,0))</f>
        <v>Paper</v>
      </c>
      <c r="P1068" s="12">
        <f>HLOOKUP(C1068,'Commission Criteria'!$A$2:$I$4,3,FALSE)</f>
        <v>10</v>
      </c>
      <c r="Q1068" s="8">
        <f t="shared" si="49"/>
        <v>1344</v>
      </c>
      <c r="R1068" s="8">
        <f t="shared" si="50"/>
        <v>2803</v>
      </c>
      <c r="S1068" s="36">
        <f>VLOOKUP(R1068,'Commission Criteria'!$L$3:$M$11,2,TRUE)</f>
        <v>0.01</v>
      </c>
      <c r="T1068" s="36">
        <f>IF(P1068&lt;5,VLOOKUP(R1068,'Commission Criteria'!$L$3:$M$11,2,1),VLOOKUP('Order SUmmary'!R1068,'Commission Criteria'!$P$3:$Q$11,2,1))</f>
        <v>0.02</v>
      </c>
      <c r="U1068" s="36">
        <f>VLOOKUP(R1068,IF(P1068&lt;5,'Commission Criteria'!$L$3:$M$11,'Commission Criteria'!$P$3:$Q$11),2,1)</f>
        <v>0.02</v>
      </c>
      <c r="V1068" s="8" t="s">
        <v>40</v>
      </c>
      <c r="W1068" s="36">
        <f t="shared" ca="1" si="51"/>
        <v>0.05</v>
      </c>
      <c r="X1068" s="8" t="str">
        <f>_xlfn.XLOOKUP(F1068,'Product List'!$B$1:$B$299,'Product List'!$A$1:$A$299)</f>
        <v>Xerox 1912</v>
      </c>
      <c r="Y1068" s="8"/>
      <c r="Z1068" s="8" t="str" cm="1">
        <f t="array" ref="Z1068:AD1068">_xlfn.XLOOKUP(D1068,'Customer Details'!$A$1:$A$17,'Customer Details'!$B$1:$F$17,"No such customer",0,1)</f>
        <v>Elder Pharmaceuticals</v>
      </c>
      <c r="AA1068" s="8" t="str">
        <v>57 Neriba Cres</v>
      </c>
      <c r="AB1068" s="8" t="str">
        <v>Omaha</v>
      </c>
      <c r="AC1068" s="8" t="str">
        <v>NE</v>
      </c>
      <c r="AD1068" s="8" t="str">
        <v>68127</v>
      </c>
    </row>
    <row r="1069" spans="1:30">
      <c r="A1069" s="8" t="s">
        <v>1041</v>
      </c>
      <c r="B1069" s="19">
        <v>42207</v>
      </c>
      <c r="C1069" s="8" t="s">
        <v>44</v>
      </c>
      <c r="D1069" s="8">
        <v>10006</v>
      </c>
      <c r="E1069" s="8" t="str">
        <f>VLOOKUP($D1069,'Customer Details'!$A$1:$F$17,4,FALSE)</f>
        <v>Midland</v>
      </c>
      <c r="F1069" s="8" t="s">
        <v>195</v>
      </c>
      <c r="G1069" s="8">
        <v>1</v>
      </c>
      <c r="H1069" s="2" t="str">
        <f>VLOOKUP($D1069,'Customer Details'!$A$1:$F$17,MATCH('Order SUmmary'!H$2,'Customer Details'!$A$1:$F$1,0),0)</f>
        <v>Supreme Ind</v>
      </c>
      <c r="I1069" s="2" t="str">
        <f>VLOOKUP($D1069,'Customer Details'!$A$1:$F$17,4,0)</f>
        <v>Midland</v>
      </c>
      <c r="J1069" s="2" t="str">
        <f>VLOOKUP($D1069,'Customer Details'!$A$1:$F$17,6,0)</f>
        <v>79706</v>
      </c>
      <c r="K1069" s="8" t="str">
        <f>VLOOKUP(VLOOKUP(D1069,'Customer Details'!$A$1:$F$17,5,0),'Region INfo'!$A$1:$C$52,3,0)</f>
        <v>Western</v>
      </c>
      <c r="L1069" s="8" t="str">
        <f>INDEX(Product_List,MATCH($F1069,'Product List'!$B$1:$B$299,0),MATCH('Order SUmmary'!L$2,'Product List'!$A$1:$E$1,0))</f>
        <v>Newell 335</v>
      </c>
      <c r="M1069" s="8">
        <f>INDEX(Product_List,MATCH($F1069,'Product List'!$B$1:$B$299,0),MATCH('Order SUmmary'!M$2,'Product List'!$A$1:$E$1,0))</f>
        <v>3467</v>
      </c>
      <c r="N1069" s="8">
        <f>INDEX(Product_List,MATCH($F1069,'Product List'!$B$1:$B$299,0),MATCH('Order SUmmary'!N$2,'Product List'!$A$1:$E$1,0))</f>
        <v>1230</v>
      </c>
      <c r="O1069" s="8" t="str">
        <f>INDEX(Product_List,MATCH($F1069,'Product List'!$B$1:$B$299,0),MATCH('Order SUmmary'!O$2,'Product List'!$A$1:$E$1,0))</f>
        <v>Art</v>
      </c>
      <c r="P1069" s="12">
        <f>HLOOKUP(C1069,'Commission Criteria'!$A$2:$I$4,3,FALSE)</f>
        <v>4</v>
      </c>
      <c r="Q1069" s="8">
        <f t="shared" si="49"/>
        <v>1230</v>
      </c>
      <c r="R1069" s="8">
        <f t="shared" si="50"/>
        <v>3467</v>
      </c>
      <c r="S1069" s="36">
        <f>VLOOKUP(R1069,'Commission Criteria'!$L$3:$M$11,2,TRUE)</f>
        <v>0.01</v>
      </c>
      <c r="T1069" s="36">
        <f>IF(P1069&lt;5,VLOOKUP(R1069,'Commission Criteria'!$L$3:$M$11,2,1),VLOOKUP('Order SUmmary'!R1069,'Commission Criteria'!$P$3:$Q$11,2,1))</f>
        <v>0.01</v>
      </c>
      <c r="U1069" s="36">
        <f>VLOOKUP(R1069,IF(P1069&lt;5,'Commission Criteria'!$L$3:$M$11,'Commission Criteria'!$P$3:$Q$11),2,1)</f>
        <v>0.01</v>
      </c>
      <c r="V1069" s="8" t="s">
        <v>32</v>
      </c>
      <c r="W1069" s="36">
        <f t="shared" ca="1" si="51"/>
        <v>0.02</v>
      </c>
      <c r="X1069" s="8" t="str">
        <f>_xlfn.XLOOKUP(F1069,'Product List'!$B$1:$B$299,'Product List'!$A$1:$A$299)</f>
        <v>Newell 335</v>
      </c>
      <c r="Y1069" s="8"/>
      <c r="Z1069" s="8" t="str" cm="1">
        <f t="array" ref="Z1069:AD1069">_xlfn.XLOOKUP(D1069,'Customer Details'!$A$1:$A$17,'Customer Details'!$B$1:$F$17,"No such customer",0,1)</f>
        <v>Supreme Ind</v>
      </c>
      <c r="AA1069" s="8" t="str">
        <v>P.O. Box 1367</v>
      </c>
      <c r="AB1069" s="8" t="str">
        <v>Midland</v>
      </c>
      <c r="AC1069" s="8" t="str">
        <v>TX</v>
      </c>
      <c r="AD1069" s="8" t="str">
        <v>79706</v>
      </c>
    </row>
    <row r="1070" spans="1:30">
      <c r="A1070" s="8" t="s">
        <v>1042</v>
      </c>
      <c r="B1070" s="19">
        <v>42208</v>
      </c>
      <c r="C1070" s="8" t="s">
        <v>66</v>
      </c>
      <c r="D1070" s="8">
        <v>10013</v>
      </c>
      <c r="E1070" s="8" t="str">
        <f>VLOOKUP($D1070,'Customer Details'!$A$1:$F$17,4,FALSE)</f>
        <v>Naugatuck</v>
      </c>
      <c r="F1070" s="8" t="s">
        <v>810</v>
      </c>
      <c r="G1070" s="8">
        <v>1</v>
      </c>
      <c r="H1070" s="2" t="str">
        <f>VLOOKUP($D1070,'Customer Details'!$A$1:$F$17,MATCH('Order SUmmary'!H$2,'Customer Details'!$A$1:$F$1,0),0)</f>
        <v>GMR Infrastructure Ltd.</v>
      </c>
      <c r="I1070" s="2" t="str">
        <f>VLOOKUP($D1070,'Customer Details'!$A$1:$F$17,4,0)</f>
        <v>Naugatuck</v>
      </c>
      <c r="J1070" s="2" t="str">
        <f>VLOOKUP($D1070,'Customer Details'!$A$1:$F$17,6,0)</f>
        <v>06770</v>
      </c>
      <c r="K1070" s="8" t="str">
        <f>VLOOKUP(VLOOKUP(D1070,'Customer Details'!$A$1:$F$17,5,0),'Region INfo'!$A$1:$C$52,3,0)</f>
        <v xml:space="preserve">Northern </v>
      </c>
      <c r="L1070" s="8" t="str">
        <f>INDEX(Product_List,MATCH($F1070,'Product List'!$B$1:$B$299,0),MATCH('Order SUmmary'!L$2,'Product List'!$A$1:$E$1,0))</f>
        <v>Newell 345</v>
      </c>
      <c r="M1070" s="8">
        <f>INDEX(Product_List,MATCH($F1070,'Product List'!$B$1:$B$299,0),MATCH('Order SUmmary'!M$2,'Product List'!$A$1:$E$1,0))</f>
        <v>4606</v>
      </c>
      <c r="N1070" s="8">
        <f>INDEX(Product_List,MATCH($F1070,'Product List'!$B$1:$B$299,0),MATCH('Order SUmmary'!N$2,'Product List'!$A$1:$E$1,0))</f>
        <v>1568</v>
      </c>
      <c r="O1070" s="8" t="str">
        <f>INDEX(Product_List,MATCH($F1070,'Product List'!$B$1:$B$299,0),MATCH('Order SUmmary'!O$2,'Product List'!$A$1:$E$1,0))</f>
        <v>Art</v>
      </c>
      <c r="P1070" s="12">
        <f>HLOOKUP(C1070,'Commission Criteria'!$A$2:$I$4,3,FALSE)</f>
        <v>5</v>
      </c>
      <c r="Q1070" s="8">
        <f t="shared" si="49"/>
        <v>1568</v>
      </c>
      <c r="R1070" s="8">
        <f t="shared" si="50"/>
        <v>4606</v>
      </c>
      <c r="S1070" s="36">
        <f>VLOOKUP(R1070,'Commission Criteria'!$L$3:$M$11,2,TRUE)</f>
        <v>0.01</v>
      </c>
      <c r="T1070" s="36">
        <f>IF(P1070&lt;5,VLOOKUP(R1070,'Commission Criteria'!$L$3:$M$11,2,1),VLOOKUP('Order SUmmary'!R1070,'Commission Criteria'!$P$3:$Q$11,2,1))</f>
        <v>0.02</v>
      </c>
      <c r="U1070" s="36">
        <f>VLOOKUP(R1070,IF(P1070&lt;5,'Commission Criteria'!$L$3:$M$11,'Commission Criteria'!$P$3:$Q$11),2,1)</f>
        <v>0.02</v>
      </c>
      <c r="V1070" s="8" t="s">
        <v>35</v>
      </c>
      <c r="W1070" s="36">
        <f t="shared" ca="1" si="51"/>
        <v>0.04</v>
      </c>
      <c r="X1070" s="8" t="str">
        <f>_xlfn.XLOOKUP(F1070,'Product List'!$B$1:$B$299,'Product List'!$A$1:$A$299)</f>
        <v>Newell 345</v>
      </c>
      <c r="Y1070" s="8"/>
      <c r="Z1070" s="8" t="str" cm="1">
        <f t="array" ref="Z1070:AD1070">_xlfn.XLOOKUP(D1070,'Customer Details'!$A$1:$A$17,'Customer Details'!$B$1:$F$17,"No such customer",0,1)</f>
        <v>GMR Infrastructure Ltd.</v>
      </c>
      <c r="AA1070" s="8" t="str">
        <v>P.O. Box 4421</v>
      </c>
      <c r="AB1070" s="8" t="str">
        <v>Naugatuck</v>
      </c>
      <c r="AC1070" s="8" t="str">
        <v>CT</v>
      </c>
      <c r="AD1070" s="8" t="str">
        <v>06770</v>
      </c>
    </row>
    <row r="1071" spans="1:30">
      <c r="A1071" s="8" t="s">
        <v>1043</v>
      </c>
      <c r="B1071" s="19">
        <v>42211</v>
      </c>
      <c r="C1071" s="8" t="s">
        <v>36</v>
      </c>
      <c r="D1071" s="8">
        <v>10010</v>
      </c>
      <c r="E1071" s="8" t="str">
        <f>VLOOKUP($D1071,'Customer Details'!$A$1:$F$17,4,FALSE)</f>
        <v>Tracy</v>
      </c>
      <c r="F1071" s="8" t="s">
        <v>545</v>
      </c>
      <c r="G1071" s="8">
        <v>2</v>
      </c>
      <c r="H1071" s="2" t="str">
        <f>VLOOKUP($D1071,'Customer Details'!$A$1:$F$17,MATCH('Order SUmmary'!H$2,'Customer Details'!$A$1:$F$1,0),0)</f>
        <v>Suzlon Energy Ltd.</v>
      </c>
      <c r="I1071" s="2" t="str">
        <f>VLOOKUP($D1071,'Customer Details'!$A$1:$F$17,4,0)</f>
        <v>Tracy</v>
      </c>
      <c r="J1071" s="2" t="str">
        <f>VLOOKUP($D1071,'Customer Details'!$A$1:$F$17,6,0)</f>
        <v>95376</v>
      </c>
      <c r="K1071" s="8" t="str">
        <f>VLOOKUP(VLOOKUP(D1071,'Customer Details'!$A$1:$F$17,5,0),'Region INfo'!$A$1:$C$52,3,0)</f>
        <v xml:space="preserve">Pacific   </v>
      </c>
      <c r="L1071" s="8" t="str">
        <f>INDEX(Product_List,MATCH($F1071,'Product List'!$B$1:$B$299,0),MATCH('Order SUmmary'!L$2,'Product List'!$A$1:$E$1,0))</f>
        <v>Xerox 227</v>
      </c>
      <c r="M1071" s="8">
        <f>INDEX(Product_List,MATCH($F1071,'Product List'!$B$1:$B$299,0),MATCH('Order SUmmary'!M$2,'Product List'!$A$1:$E$1,0))</f>
        <v>3827</v>
      </c>
      <c r="N1071" s="8">
        <f>INDEX(Product_List,MATCH($F1071,'Product List'!$B$1:$B$299,0),MATCH('Order SUmmary'!N$2,'Product List'!$A$1:$E$1,0))</f>
        <v>2424</v>
      </c>
      <c r="O1071" s="8" t="str">
        <f>INDEX(Product_List,MATCH($F1071,'Product List'!$B$1:$B$299,0),MATCH('Order SUmmary'!O$2,'Product List'!$A$1:$E$1,0))</f>
        <v>Paper</v>
      </c>
      <c r="P1071" s="12">
        <f>HLOOKUP(C1071,'Commission Criteria'!$A$2:$I$4,3,FALSE)</f>
        <v>6</v>
      </c>
      <c r="Q1071" s="8">
        <f t="shared" si="49"/>
        <v>4848</v>
      </c>
      <c r="R1071" s="8">
        <f t="shared" si="50"/>
        <v>7654</v>
      </c>
      <c r="S1071" s="36">
        <f>VLOOKUP(R1071,'Commission Criteria'!$L$3:$M$11,2,TRUE)</f>
        <v>0.03</v>
      </c>
      <c r="T1071" s="36">
        <f>IF(P1071&lt;5,VLOOKUP(R1071,'Commission Criteria'!$L$3:$M$11,2,1),VLOOKUP('Order SUmmary'!R1071,'Commission Criteria'!$P$3:$Q$11,2,1))</f>
        <v>0.02</v>
      </c>
      <c r="U1071" s="36">
        <f>VLOOKUP(R1071,IF(P1071&lt;5,'Commission Criteria'!$L$3:$M$11,'Commission Criteria'!$P$3:$Q$11),2,1)</f>
        <v>0.02</v>
      </c>
      <c r="V1071" s="8" t="s">
        <v>50</v>
      </c>
      <c r="W1071" s="36">
        <f t="shared" ca="1" si="51"/>
        <v>0</v>
      </c>
      <c r="X1071" s="8" t="str">
        <f>_xlfn.XLOOKUP(F1071,'Product List'!$B$1:$B$299,'Product List'!$A$1:$A$299)</f>
        <v>Xerox 227</v>
      </c>
      <c r="Y1071" s="8"/>
      <c r="Z1071" s="8" t="str" cm="1">
        <f t="array" ref="Z1071:AD1071">_xlfn.XLOOKUP(D1071,'Customer Details'!$A$1:$A$17,'Customer Details'!$B$1:$F$17,"No such customer",0,1)</f>
        <v>Suzlon Energy Ltd.</v>
      </c>
      <c r="AA1071" s="8" t="str">
        <v>501 Marsh Trail Circle</v>
      </c>
      <c r="AB1071" s="8" t="str">
        <v>Tracy</v>
      </c>
      <c r="AC1071" s="8" t="str">
        <v>CA</v>
      </c>
      <c r="AD1071" s="8" t="str">
        <v>95376</v>
      </c>
    </row>
    <row r="1072" spans="1:30">
      <c r="A1072" s="8" t="s">
        <v>1044</v>
      </c>
      <c r="B1072" s="19">
        <v>42212</v>
      </c>
      <c r="C1072" s="8" t="s">
        <v>44</v>
      </c>
      <c r="D1072" s="8">
        <v>10009</v>
      </c>
      <c r="E1072" s="8" t="str">
        <f>VLOOKUP($D1072,'Customer Details'!$A$1:$F$17,4,FALSE)</f>
        <v>Salt Lake City</v>
      </c>
      <c r="F1072" s="8" t="s">
        <v>180</v>
      </c>
      <c r="G1072" s="8">
        <v>1</v>
      </c>
      <c r="H1072" s="2" t="str">
        <f>VLOOKUP($D1072,'Customer Details'!$A$1:$F$17,MATCH('Order SUmmary'!H$2,'Customer Details'!$A$1:$F$1,0),0)</f>
        <v>Godfrey Philips India Ltd.</v>
      </c>
      <c r="I1072" s="2" t="str">
        <f>VLOOKUP($D1072,'Customer Details'!$A$1:$F$17,4,0)</f>
        <v>Salt Lake City</v>
      </c>
      <c r="J1072" s="2" t="str">
        <f>VLOOKUP($D1072,'Customer Details'!$A$1:$F$17,6,0)</f>
        <v>84118</v>
      </c>
      <c r="K1072" s="8" t="str">
        <f>VLOOKUP(VLOOKUP(D1072,'Customer Details'!$A$1:$F$17,5,0),'Region INfo'!$A$1:$C$52,3,0)</f>
        <v xml:space="preserve">Pacific   </v>
      </c>
      <c r="L1072" s="8" t="str">
        <f>INDEX(Product_List,MATCH($F1072,'Product List'!$B$1:$B$299,0),MATCH('Order SUmmary'!L$2,'Product List'!$A$1:$E$1,0))</f>
        <v>Avery 497</v>
      </c>
      <c r="M1072" s="8">
        <f>INDEX(Product_List,MATCH($F1072,'Product List'!$B$1:$B$299,0),MATCH('Order SUmmary'!M$2,'Product List'!$A$1:$E$1,0))</f>
        <v>4711</v>
      </c>
      <c r="N1072" s="8">
        <f>INDEX(Product_List,MATCH($F1072,'Product List'!$B$1:$B$299,0),MATCH('Order SUmmary'!N$2,'Product List'!$A$1:$E$1,0))</f>
        <v>2288</v>
      </c>
      <c r="O1072" s="8" t="str">
        <f>INDEX(Product_List,MATCH($F1072,'Product List'!$B$1:$B$299,0),MATCH('Order SUmmary'!O$2,'Product List'!$A$1:$E$1,0))</f>
        <v>Labels</v>
      </c>
      <c r="P1072" s="12">
        <f>HLOOKUP(C1072,'Commission Criteria'!$A$2:$I$4,3,FALSE)</f>
        <v>4</v>
      </c>
      <c r="Q1072" s="8">
        <f t="shared" si="49"/>
        <v>2288</v>
      </c>
      <c r="R1072" s="8">
        <f t="shared" si="50"/>
        <v>4711</v>
      </c>
      <c r="S1072" s="36">
        <f>VLOOKUP(R1072,'Commission Criteria'!$L$3:$M$11,2,TRUE)</f>
        <v>0.01</v>
      </c>
      <c r="T1072" s="36">
        <f>IF(P1072&lt;5,VLOOKUP(R1072,'Commission Criteria'!$L$3:$M$11,2,1),VLOOKUP('Order SUmmary'!R1072,'Commission Criteria'!$P$3:$Q$11,2,1))</f>
        <v>0.01</v>
      </c>
      <c r="U1072" s="36">
        <f>VLOOKUP(R1072,IF(P1072&lt;5,'Commission Criteria'!$L$3:$M$11,'Commission Criteria'!$P$3:$Q$11),2,1)</f>
        <v>0.01</v>
      </c>
      <c r="V1072" s="8" t="s">
        <v>35</v>
      </c>
      <c r="W1072" s="36">
        <f t="shared" ca="1" si="51"/>
        <v>0.04</v>
      </c>
      <c r="X1072" s="8" t="str">
        <f>_xlfn.XLOOKUP(F1072,'Product List'!$B$1:$B$299,'Product List'!$A$1:$A$299)</f>
        <v>Avery 497</v>
      </c>
      <c r="Y1072" s="8"/>
      <c r="Z1072" s="8" t="str" cm="1">
        <f t="array" ref="Z1072:AD1072">_xlfn.XLOOKUP(D1072,'Customer Details'!$A$1:$A$17,'Customer Details'!$B$1:$F$17,"No such customer",0,1)</f>
        <v>Godfrey Philips India Ltd.</v>
      </c>
      <c r="AA1072" s="8" t="str">
        <v>20501 Ania Ave #2</v>
      </c>
      <c r="AB1072" s="8" t="str">
        <v>Salt Lake City</v>
      </c>
      <c r="AC1072" s="8" t="str">
        <v>UT</v>
      </c>
      <c r="AD1072" s="8" t="str">
        <v>84118</v>
      </c>
    </row>
    <row r="1073" spans="1:30">
      <c r="A1073" s="8" t="s">
        <v>1045</v>
      </c>
      <c r="B1073" s="19">
        <v>42213</v>
      </c>
      <c r="C1073" s="8" t="s">
        <v>51</v>
      </c>
      <c r="D1073" s="8">
        <v>10011</v>
      </c>
      <c r="E1073" s="8" t="str">
        <f>VLOOKUP($D1073,'Customer Details'!$A$1:$F$17,4,FALSE)</f>
        <v>Olympia</v>
      </c>
      <c r="F1073" s="8" t="s">
        <v>67</v>
      </c>
      <c r="G1073" s="8">
        <v>1</v>
      </c>
      <c r="H1073" s="2" t="str">
        <f>VLOOKUP($D1073,'Customer Details'!$A$1:$F$17,MATCH('Order SUmmary'!H$2,'Customer Details'!$A$1:$F$1,0),0)</f>
        <v>Sonata Software</v>
      </c>
      <c r="I1073" s="2" t="str">
        <f>VLOOKUP($D1073,'Customer Details'!$A$1:$F$17,4,0)</f>
        <v>Olympia</v>
      </c>
      <c r="J1073" s="2" t="str">
        <f>VLOOKUP($D1073,'Customer Details'!$A$1:$F$17,6,0)</f>
        <v>98502</v>
      </c>
      <c r="K1073" s="8" t="str">
        <f>VLOOKUP(VLOOKUP(D1073,'Customer Details'!$A$1:$F$17,5,0),'Region INfo'!$A$1:$C$52,3,0)</f>
        <v xml:space="preserve">Pacific   </v>
      </c>
      <c r="L1073" s="8" t="str">
        <f>INDEX(Product_List,MATCH($F1073,'Product List'!$B$1:$B$299,0),MATCH('Order SUmmary'!L$2,'Product List'!$A$1:$E$1,0))</f>
        <v>Xerox 1927</v>
      </c>
      <c r="M1073" s="8">
        <f>INDEX(Product_List,MATCH($F1073,'Product List'!$B$1:$B$299,0),MATCH('Order SUmmary'!M$2,'Product List'!$A$1:$E$1,0))</f>
        <v>4392</v>
      </c>
      <c r="N1073" s="8">
        <f>INDEX(Product_List,MATCH($F1073,'Product List'!$B$1:$B$299,0),MATCH('Order SUmmary'!N$2,'Product List'!$A$1:$E$1,0))</f>
        <v>1542</v>
      </c>
      <c r="O1073" s="8" t="str">
        <f>INDEX(Product_List,MATCH($F1073,'Product List'!$B$1:$B$299,0),MATCH('Order SUmmary'!O$2,'Product List'!$A$1:$E$1,0))</f>
        <v>Paper</v>
      </c>
      <c r="P1073" s="12">
        <f>HLOOKUP(C1073,'Commission Criteria'!$A$2:$I$4,3,FALSE)</f>
        <v>10</v>
      </c>
      <c r="Q1073" s="8">
        <f t="shared" si="49"/>
        <v>1542</v>
      </c>
      <c r="R1073" s="8">
        <f t="shared" si="50"/>
        <v>4392</v>
      </c>
      <c r="S1073" s="36">
        <f>VLOOKUP(R1073,'Commission Criteria'!$L$3:$M$11,2,TRUE)</f>
        <v>0.01</v>
      </c>
      <c r="T1073" s="36">
        <f>IF(P1073&lt;5,VLOOKUP(R1073,'Commission Criteria'!$L$3:$M$11,2,1),VLOOKUP('Order SUmmary'!R1073,'Commission Criteria'!$P$3:$Q$11,2,1))</f>
        <v>0.02</v>
      </c>
      <c r="U1073" s="36">
        <f>VLOOKUP(R1073,IF(P1073&lt;5,'Commission Criteria'!$L$3:$M$11,'Commission Criteria'!$P$3:$Q$11),2,1)</f>
        <v>0.02</v>
      </c>
      <c r="V1073" s="8" t="s">
        <v>43</v>
      </c>
      <c r="W1073" s="36">
        <f t="shared" ca="1" si="51"/>
        <v>0.03</v>
      </c>
      <c r="X1073" s="8" t="str">
        <f>_xlfn.XLOOKUP(F1073,'Product List'!$B$1:$B$299,'Product List'!$A$1:$A$299)</f>
        <v>Xerox 1927</v>
      </c>
      <c r="Y1073" s="8"/>
      <c r="Z1073" s="8" t="str" cm="1">
        <f t="array" ref="Z1073:AD1073">_xlfn.XLOOKUP(D1073,'Customer Details'!$A$1:$A$17,'Customer Details'!$B$1:$F$17,"No such customer",0,1)</f>
        <v>Sonata Software</v>
      </c>
      <c r="AA1073" s="8" t="str">
        <v>1331 Kimberly Dr.</v>
      </c>
      <c r="AB1073" s="8" t="str">
        <v>Olympia</v>
      </c>
      <c r="AC1073" s="8" t="str">
        <v>WA</v>
      </c>
      <c r="AD1073" s="8" t="str">
        <v>98502</v>
      </c>
    </row>
    <row r="1074" spans="1:30">
      <c r="A1074" s="8" t="s">
        <v>1045</v>
      </c>
      <c r="B1074" s="19">
        <v>42213</v>
      </c>
      <c r="C1074" s="8" t="s">
        <v>33</v>
      </c>
      <c r="D1074" s="8">
        <v>10008</v>
      </c>
      <c r="E1074" s="8" t="str">
        <f>VLOOKUP($D1074,'Customer Details'!$A$1:$F$17,4,FALSE)</f>
        <v>Chestnut Ridge</v>
      </c>
      <c r="F1074" s="8" t="s">
        <v>93</v>
      </c>
      <c r="G1074" s="8">
        <v>13</v>
      </c>
      <c r="H1074" s="2" t="str">
        <f>VLOOKUP($D1074,'Customer Details'!$A$1:$F$17,MATCH('Order SUmmary'!H$2,'Customer Details'!$A$1:$F$1,0),0)</f>
        <v>Reliance Industries Limited</v>
      </c>
      <c r="I1074" s="2" t="str">
        <f>VLOOKUP($D1074,'Customer Details'!$A$1:$F$17,4,0)</f>
        <v>Chestnut Ridge</v>
      </c>
      <c r="J1074" s="2" t="str">
        <f>VLOOKUP($D1074,'Customer Details'!$A$1:$F$17,6,0)</f>
        <v>10977</v>
      </c>
      <c r="K1074" s="8" t="str">
        <f>VLOOKUP(VLOOKUP(D1074,'Customer Details'!$A$1:$F$17,5,0),'Region INfo'!$A$1:$C$52,3,0)</f>
        <v xml:space="preserve">Northern </v>
      </c>
      <c r="L1074" s="8" t="str">
        <f>INDEX(Product_List,MATCH($F1074,'Product List'!$B$1:$B$299,0),MATCH('Order SUmmary'!L$2,'Product List'!$A$1:$E$1,0))</f>
        <v>Xerox 1943</v>
      </c>
      <c r="M1074" s="8">
        <f>INDEX(Product_List,MATCH($F1074,'Product List'!$B$1:$B$299,0),MATCH('Order SUmmary'!M$2,'Product List'!$A$1:$E$1,0))</f>
        <v>2529</v>
      </c>
      <c r="N1074" s="8">
        <f>INDEX(Product_List,MATCH($F1074,'Product List'!$B$1:$B$299,0),MATCH('Order SUmmary'!N$2,'Product List'!$A$1:$E$1,0))</f>
        <v>1630</v>
      </c>
      <c r="O1074" s="8" t="str">
        <f>INDEX(Product_List,MATCH($F1074,'Product List'!$B$1:$B$299,0),MATCH('Order SUmmary'!O$2,'Product List'!$A$1:$E$1,0))</f>
        <v>Paper</v>
      </c>
      <c r="P1074" s="12">
        <f>HLOOKUP(C1074,'Commission Criteria'!$A$2:$I$4,3,FALSE)</f>
        <v>1</v>
      </c>
      <c r="Q1074" s="8">
        <f t="shared" si="49"/>
        <v>21190</v>
      </c>
      <c r="R1074" s="8">
        <f t="shared" si="50"/>
        <v>32877</v>
      </c>
      <c r="S1074" s="36">
        <f>VLOOKUP(R1074,'Commission Criteria'!$L$3:$M$11,2,TRUE)</f>
        <v>0.05</v>
      </c>
      <c r="T1074" s="36">
        <f>IF(P1074&lt;5,VLOOKUP(R1074,'Commission Criteria'!$L$3:$M$11,2,1),VLOOKUP('Order SUmmary'!R1074,'Commission Criteria'!$P$3:$Q$11,2,1))</f>
        <v>0.05</v>
      </c>
      <c r="U1074" s="36">
        <f>VLOOKUP(R1074,IF(P1074&lt;5,'Commission Criteria'!$L$3:$M$11,'Commission Criteria'!$P$3:$Q$11),2,1)</f>
        <v>0.05</v>
      </c>
      <c r="V1074" s="8" t="s">
        <v>40</v>
      </c>
      <c r="W1074" s="36">
        <f t="shared" ca="1" si="51"/>
        <v>0.03</v>
      </c>
      <c r="X1074" s="8" t="str">
        <f>_xlfn.XLOOKUP(F1074,'Product List'!$B$1:$B$299,'Product List'!$A$1:$A$299)</f>
        <v>Xerox 1943</v>
      </c>
      <c r="Y1074" s="8"/>
      <c r="Z1074" s="8" t="str" cm="1">
        <f t="array" ref="Z1074:AD1074">_xlfn.XLOOKUP(D1074,'Customer Details'!$A$1:$A$17,'Customer Details'!$B$1:$F$17,"No such customer",0,1)</f>
        <v>Reliance Industries Limited</v>
      </c>
      <c r="AA1074" s="8" t="str">
        <v>12020 Shamrock Rd., Suite 333</v>
      </c>
      <c r="AB1074" s="8" t="str">
        <v>Chestnut Ridge</v>
      </c>
      <c r="AC1074" s="8" t="str">
        <v>NY</v>
      </c>
      <c r="AD1074" s="8" t="str">
        <v>10977</v>
      </c>
    </row>
    <row r="1075" spans="1:30">
      <c r="A1075" s="8" t="s">
        <v>1046</v>
      </c>
      <c r="B1075" s="19">
        <v>42214</v>
      </c>
      <c r="C1075" s="8" t="s">
        <v>66</v>
      </c>
      <c r="D1075" s="8">
        <v>10001</v>
      </c>
      <c r="E1075" s="8" t="str">
        <f>VLOOKUP($D1075,'Customer Details'!$A$1:$F$17,4,FALSE)</f>
        <v>New York</v>
      </c>
      <c r="F1075" s="8" t="s">
        <v>428</v>
      </c>
      <c r="G1075" s="8">
        <v>1</v>
      </c>
      <c r="H1075" s="2" t="str">
        <f>VLOOKUP($D1075,'Customer Details'!$A$1:$F$17,MATCH('Order SUmmary'!H$2,'Customer Details'!$A$1:$F$1,0),0)</f>
        <v>Chambal Fertilisers and Chemicals Ltd.</v>
      </c>
      <c r="I1075" s="2" t="str">
        <f>VLOOKUP($D1075,'Customer Details'!$A$1:$F$17,4,0)</f>
        <v>New York</v>
      </c>
      <c r="J1075" s="2" t="str">
        <f>VLOOKUP($D1075,'Customer Details'!$A$1:$F$17,6,0)</f>
        <v>10025</v>
      </c>
      <c r="K1075" s="8" t="str">
        <f>VLOOKUP(VLOOKUP(D1075,'Customer Details'!$A$1:$F$17,5,0),'Region INfo'!$A$1:$C$52,3,0)</f>
        <v xml:space="preserve">Northern </v>
      </c>
      <c r="L1075" s="8" t="str">
        <f>INDEX(Product_List,MATCH($F1075,'Product List'!$B$1:$B$299,0),MATCH('Order SUmmary'!L$2,'Product List'!$A$1:$E$1,0))</f>
        <v>Avery 516</v>
      </c>
      <c r="M1075" s="8">
        <f>INDEX(Product_List,MATCH($F1075,'Product List'!$B$1:$B$299,0),MATCH('Order SUmmary'!M$2,'Product List'!$A$1:$E$1,0))</f>
        <v>3253</v>
      </c>
      <c r="N1075" s="8">
        <f>INDEX(Product_List,MATCH($F1075,'Product List'!$B$1:$B$299,0),MATCH('Order SUmmary'!N$2,'Product List'!$A$1:$E$1,0))</f>
        <v>2137</v>
      </c>
      <c r="O1075" s="8" t="str">
        <f>INDEX(Product_List,MATCH($F1075,'Product List'!$B$1:$B$299,0),MATCH('Order SUmmary'!O$2,'Product List'!$A$1:$E$1,0))</f>
        <v>Labels</v>
      </c>
      <c r="P1075" s="12">
        <f>HLOOKUP(C1075,'Commission Criteria'!$A$2:$I$4,3,FALSE)</f>
        <v>5</v>
      </c>
      <c r="Q1075" s="8">
        <f t="shared" si="49"/>
        <v>2137</v>
      </c>
      <c r="R1075" s="8">
        <f t="shared" si="50"/>
        <v>3253</v>
      </c>
      <c r="S1075" s="36">
        <f>VLOOKUP(R1075,'Commission Criteria'!$L$3:$M$11,2,TRUE)</f>
        <v>0.01</v>
      </c>
      <c r="T1075" s="36">
        <f>IF(P1075&lt;5,VLOOKUP(R1075,'Commission Criteria'!$L$3:$M$11,2,1),VLOOKUP('Order SUmmary'!R1075,'Commission Criteria'!$P$3:$Q$11,2,1))</f>
        <v>0.02</v>
      </c>
      <c r="U1075" s="36">
        <f>VLOOKUP(R1075,IF(P1075&lt;5,'Commission Criteria'!$L$3:$M$11,'Commission Criteria'!$P$3:$Q$11),2,1)</f>
        <v>0.02</v>
      </c>
      <c r="V1075" s="8" t="s">
        <v>43</v>
      </c>
      <c r="W1075" s="36">
        <f t="shared" ca="1" si="51"/>
        <v>0.03</v>
      </c>
      <c r="X1075" s="8" t="str">
        <f>_xlfn.XLOOKUP(F1075,'Product List'!$B$1:$B$299,'Product List'!$A$1:$A$299)</f>
        <v>Avery 516</v>
      </c>
      <c r="Y1075" s="8"/>
      <c r="Z1075" s="8" t="str" cm="1">
        <f t="array" ref="Z1075:AD1075">_xlfn.XLOOKUP(D1075,'Customer Details'!$A$1:$A$17,'Customer Details'!$B$1:$F$17,"No such customer",0,1)</f>
        <v>Chambal Fertilisers and Chemicals Ltd.</v>
      </c>
      <c r="AA1075" s="8" t="str">
        <v>4951 Indiana Ave.</v>
      </c>
      <c r="AB1075" s="8" t="str">
        <v>New York</v>
      </c>
      <c r="AC1075" s="8" t="str">
        <v>NY</v>
      </c>
      <c r="AD1075" s="8" t="str">
        <v>10025</v>
      </c>
    </row>
    <row r="1076" spans="1:30">
      <c r="A1076" s="8" t="s">
        <v>1047</v>
      </c>
      <c r="B1076" s="19">
        <v>42214</v>
      </c>
      <c r="C1076" s="8" t="s">
        <v>33</v>
      </c>
      <c r="D1076" s="8">
        <v>10006</v>
      </c>
      <c r="E1076" s="8" t="str">
        <f>VLOOKUP($D1076,'Customer Details'!$A$1:$F$17,4,FALSE)</f>
        <v>Midland</v>
      </c>
      <c r="F1076" s="8" t="s">
        <v>510</v>
      </c>
      <c r="G1076" s="8">
        <v>1</v>
      </c>
      <c r="H1076" s="2" t="str">
        <f>VLOOKUP($D1076,'Customer Details'!$A$1:$F$17,MATCH('Order SUmmary'!H$2,'Customer Details'!$A$1:$F$1,0),0)</f>
        <v>Supreme Ind</v>
      </c>
      <c r="I1076" s="2" t="str">
        <f>VLOOKUP($D1076,'Customer Details'!$A$1:$F$17,4,0)</f>
        <v>Midland</v>
      </c>
      <c r="J1076" s="2" t="str">
        <f>VLOOKUP($D1076,'Customer Details'!$A$1:$F$17,6,0)</f>
        <v>79706</v>
      </c>
      <c r="K1076" s="8" t="str">
        <f>VLOOKUP(VLOOKUP(D1076,'Customer Details'!$A$1:$F$17,5,0),'Region INfo'!$A$1:$C$52,3,0)</f>
        <v>Western</v>
      </c>
      <c r="L1076" s="8" t="str">
        <f>INDEX(Product_List,MATCH($F1076,'Product List'!$B$1:$B$299,0),MATCH('Order SUmmary'!L$2,'Product List'!$A$1:$E$1,0))</f>
        <v>Avery 507</v>
      </c>
      <c r="M1076" s="8">
        <f>INDEX(Product_List,MATCH($F1076,'Product List'!$B$1:$B$299,0),MATCH('Order SUmmary'!M$2,'Product List'!$A$1:$E$1,0))</f>
        <v>3473</v>
      </c>
      <c r="N1076" s="8">
        <f>INDEX(Product_List,MATCH($F1076,'Product List'!$B$1:$B$299,0),MATCH('Order SUmmary'!N$2,'Product List'!$A$1:$E$1,0))</f>
        <v>1493</v>
      </c>
      <c r="O1076" s="8" t="str">
        <f>INDEX(Product_List,MATCH($F1076,'Product List'!$B$1:$B$299,0),MATCH('Order SUmmary'!O$2,'Product List'!$A$1:$E$1,0))</f>
        <v>Labels</v>
      </c>
      <c r="P1076" s="12">
        <f>HLOOKUP(C1076,'Commission Criteria'!$A$2:$I$4,3,FALSE)</f>
        <v>1</v>
      </c>
      <c r="Q1076" s="8">
        <f t="shared" si="49"/>
        <v>1493</v>
      </c>
      <c r="R1076" s="8">
        <f t="shared" si="50"/>
        <v>3473</v>
      </c>
      <c r="S1076" s="36">
        <f>VLOOKUP(R1076,'Commission Criteria'!$L$3:$M$11,2,TRUE)</f>
        <v>0.01</v>
      </c>
      <c r="T1076" s="36">
        <f>IF(P1076&lt;5,VLOOKUP(R1076,'Commission Criteria'!$L$3:$M$11,2,1),VLOOKUP('Order SUmmary'!R1076,'Commission Criteria'!$P$3:$Q$11,2,1))</f>
        <v>0.01</v>
      </c>
      <c r="U1076" s="36">
        <f>VLOOKUP(R1076,IF(P1076&lt;5,'Commission Criteria'!$L$3:$M$11,'Commission Criteria'!$P$3:$Q$11),2,1)</f>
        <v>0.01</v>
      </c>
      <c r="V1076" s="8" t="s">
        <v>32</v>
      </c>
      <c r="W1076" s="36">
        <f t="shared" ca="1" si="51"/>
        <v>0.04</v>
      </c>
      <c r="X1076" s="8" t="str">
        <f>_xlfn.XLOOKUP(F1076,'Product List'!$B$1:$B$299,'Product List'!$A$1:$A$299)</f>
        <v>Avery 507</v>
      </c>
      <c r="Y1076" s="8"/>
      <c r="Z1076" s="8" t="str" cm="1">
        <f t="array" ref="Z1076:AD1076">_xlfn.XLOOKUP(D1076,'Customer Details'!$A$1:$A$17,'Customer Details'!$B$1:$F$17,"No such customer",0,1)</f>
        <v>Supreme Ind</v>
      </c>
      <c r="AA1076" s="8" t="str">
        <v>P.O. Box 1367</v>
      </c>
      <c r="AB1076" s="8" t="str">
        <v>Midland</v>
      </c>
      <c r="AC1076" s="8" t="str">
        <v>TX</v>
      </c>
      <c r="AD1076" s="8" t="str">
        <v>79706</v>
      </c>
    </row>
    <row r="1077" spans="1:30">
      <c r="A1077" s="8" t="s">
        <v>1046</v>
      </c>
      <c r="B1077" s="19">
        <v>42214</v>
      </c>
      <c r="C1077" s="8" t="s">
        <v>27</v>
      </c>
      <c r="D1077" s="8">
        <v>10005</v>
      </c>
      <c r="E1077" s="8" t="str">
        <f>VLOOKUP($D1077,'Customer Details'!$A$1:$F$17,4,FALSE)</f>
        <v>Goleta</v>
      </c>
      <c r="F1077" s="8" t="s">
        <v>1048</v>
      </c>
      <c r="G1077" s="8">
        <v>2</v>
      </c>
      <c r="H1077" s="2" t="str">
        <f>VLOOKUP($D1077,'Customer Details'!$A$1:$F$17,MATCH('Order SUmmary'!H$2,'Customer Details'!$A$1:$F$1,0),0)</f>
        <v>Fortis Healthcare Ltd.</v>
      </c>
      <c r="I1077" s="2" t="str">
        <f>VLOOKUP($D1077,'Customer Details'!$A$1:$F$17,4,0)</f>
        <v>Goleta</v>
      </c>
      <c r="J1077" s="2" t="str">
        <f>VLOOKUP($D1077,'Customer Details'!$A$1:$F$17,6,0)</f>
        <v>93117</v>
      </c>
      <c r="K1077" s="8" t="str">
        <f>VLOOKUP(VLOOKUP(D1077,'Customer Details'!$A$1:$F$17,5,0),'Region INfo'!$A$1:$C$52,3,0)</f>
        <v xml:space="preserve">Pacific   </v>
      </c>
      <c r="L1077" s="8" t="str">
        <f>INDEX(Product_List,MATCH($F1077,'Product List'!$B$1:$B$299,0),MATCH('Order SUmmary'!L$2,'Product List'!$A$1:$E$1,0))</f>
        <v>LG G3</v>
      </c>
      <c r="M1077" s="8">
        <f>INDEX(Product_List,MATCH($F1077,'Product List'!$B$1:$B$299,0),MATCH('Order SUmmary'!M$2,'Product List'!$A$1:$E$1,0))</f>
        <v>4799</v>
      </c>
      <c r="N1077" s="8">
        <f>INDEX(Product_List,MATCH($F1077,'Product List'!$B$1:$B$299,0),MATCH('Order SUmmary'!N$2,'Product List'!$A$1:$E$1,0))</f>
        <v>1978</v>
      </c>
      <c r="O1077" s="8" t="str">
        <f>INDEX(Product_List,MATCH($F1077,'Product List'!$B$1:$B$299,0),MATCH('Order SUmmary'!O$2,'Product List'!$A$1:$E$1,0))</f>
        <v>Phones</v>
      </c>
      <c r="P1077" s="12">
        <f>HLOOKUP(C1077,'Commission Criteria'!$A$2:$I$4,3,FALSE)</f>
        <v>4</v>
      </c>
      <c r="Q1077" s="8">
        <f t="shared" si="49"/>
        <v>3956</v>
      </c>
      <c r="R1077" s="8">
        <f t="shared" si="50"/>
        <v>9598</v>
      </c>
      <c r="S1077" s="36">
        <f>VLOOKUP(R1077,'Commission Criteria'!$L$3:$M$11,2,TRUE)</f>
        <v>0.03</v>
      </c>
      <c r="T1077" s="36">
        <f>IF(P1077&lt;5,VLOOKUP(R1077,'Commission Criteria'!$L$3:$M$11,2,1),VLOOKUP('Order SUmmary'!R1077,'Commission Criteria'!$P$3:$Q$11,2,1))</f>
        <v>0.03</v>
      </c>
      <c r="U1077" s="36">
        <f>VLOOKUP(R1077,IF(P1077&lt;5,'Commission Criteria'!$L$3:$M$11,'Commission Criteria'!$P$3:$Q$11),2,1)</f>
        <v>0.03</v>
      </c>
      <c r="V1077" s="8" t="s">
        <v>32</v>
      </c>
      <c r="W1077" s="36">
        <f t="shared" ca="1" si="51"/>
        <v>0.03</v>
      </c>
      <c r="X1077" s="8" t="str">
        <f>_xlfn.XLOOKUP(F1077,'Product List'!$B$1:$B$299,'Product List'!$A$1:$A$299)</f>
        <v>LG G3</v>
      </c>
      <c r="Y1077" s="8"/>
      <c r="Z1077" s="8" t="str" cm="1">
        <f t="array" ref="Z1077:AD1077">_xlfn.XLOOKUP(D1077,'Customer Details'!$A$1:$A$17,'Customer Details'!$B$1:$F$17,"No such customer",0,1)</f>
        <v>Fortis Healthcare Ltd.</v>
      </c>
      <c r="AA1077" s="8" t="str">
        <v>14 Elsworthy Terrace</v>
      </c>
      <c r="AB1077" s="8" t="str">
        <v>Goleta</v>
      </c>
      <c r="AC1077" s="8" t="str">
        <v>CA</v>
      </c>
      <c r="AD1077" s="8" t="str">
        <v>93117</v>
      </c>
    </row>
    <row r="1078" spans="1:30">
      <c r="A1078" s="8" t="s">
        <v>1049</v>
      </c>
      <c r="B1078" s="19">
        <v>42215</v>
      </c>
      <c r="C1078" s="8" t="s">
        <v>44</v>
      </c>
      <c r="D1078" s="8">
        <v>10009</v>
      </c>
      <c r="E1078" s="8" t="str">
        <f>VLOOKUP($D1078,'Customer Details'!$A$1:$F$17,4,FALSE)</f>
        <v>Salt Lake City</v>
      </c>
      <c r="F1078" s="8" t="s">
        <v>213</v>
      </c>
      <c r="G1078" s="8">
        <v>1</v>
      </c>
      <c r="H1078" s="2" t="str">
        <f>VLOOKUP($D1078,'Customer Details'!$A$1:$F$17,MATCH('Order SUmmary'!H$2,'Customer Details'!$A$1:$F$1,0),0)</f>
        <v>Godfrey Philips India Ltd.</v>
      </c>
      <c r="I1078" s="2" t="str">
        <f>VLOOKUP($D1078,'Customer Details'!$A$1:$F$17,4,0)</f>
        <v>Salt Lake City</v>
      </c>
      <c r="J1078" s="2" t="str">
        <f>VLOOKUP($D1078,'Customer Details'!$A$1:$F$17,6,0)</f>
        <v>84118</v>
      </c>
      <c r="K1078" s="8" t="str">
        <f>VLOOKUP(VLOOKUP(D1078,'Customer Details'!$A$1:$F$17,5,0),'Region INfo'!$A$1:$C$52,3,0)</f>
        <v xml:space="preserve">Pacific   </v>
      </c>
      <c r="L1078" s="8" t="str">
        <f>INDEX(Product_List,MATCH($F1078,'Product List'!$B$1:$B$299,0),MATCH('Order SUmmary'!L$2,'Product List'!$A$1:$E$1,0))</f>
        <v>Cisco SPA301</v>
      </c>
      <c r="M1078" s="8">
        <f>INDEX(Product_List,MATCH($F1078,'Product List'!$B$1:$B$299,0),MATCH('Order SUmmary'!M$2,'Product List'!$A$1:$E$1,0))</f>
        <v>2921</v>
      </c>
      <c r="N1078" s="8">
        <f>INDEX(Product_List,MATCH($F1078,'Product List'!$B$1:$B$299,0),MATCH('Order SUmmary'!N$2,'Product List'!$A$1:$E$1,0))</f>
        <v>1786</v>
      </c>
      <c r="O1078" s="8" t="str">
        <f>INDEX(Product_List,MATCH($F1078,'Product List'!$B$1:$B$299,0),MATCH('Order SUmmary'!O$2,'Product List'!$A$1:$E$1,0))</f>
        <v>Phones</v>
      </c>
      <c r="P1078" s="12">
        <f>HLOOKUP(C1078,'Commission Criteria'!$A$2:$I$4,3,FALSE)</f>
        <v>4</v>
      </c>
      <c r="Q1078" s="8">
        <f t="shared" si="49"/>
        <v>1786</v>
      </c>
      <c r="R1078" s="8">
        <f t="shared" si="50"/>
        <v>2921</v>
      </c>
      <c r="S1078" s="36">
        <f>VLOOKUP(R1078,'Commission Criteria'!$L$3:$M$11,2,TRUE)</f>
        <v>0.01</v>
      </c>
      <c r="T1078" s="36">
        <f>IF(P1078&lt;5,VLOOKUP(R1078,'Commission Criteria'!$L$3:$M$11,2,1),VLOOKUP('Order SUmmary'!R1078,'Commission Criteria'!$P$3:$Q$11,2,1))</f>
        <v>0.01</v>
      </c>
      <c r="U1078" s="36">
        <f>VLOOKUP(R1078,IF(P1078&lt;5,'Commission Criteria'!$L$3:$M$11,'Commission Criteria'!$P$3:$Q$11),2,1)</f>
        <v>0.01</v>
      </c>
      <c r="V1078" s="8" t="s">
        <v>35</v>
      </c>
      <c r="W1078" s="36">
        <f t="shared" ca="1" si="51"/>
        <v>0.04</v>
      </c>
      <c r="X1078" s="8" t="str">
        <f>_xlfn.XLOOKUP(F1078,'Product List'!$B$1:$B$299,'Product List'!$A$1:$A$299)</f>
        <v>Cisco SPA301</v>
      </c>
      <c r="Y1078" s="8"/>
      <c r="Z1078" s="8" t="str" cm="1">
        <f t="array" ref="Z1078:AD1078">_xlfn.XLOOKUP(D1078,'Customer Details'!$A$1:$A$17,'Customer Details'!$B$1:$F$17,"No such customer",0,1)</f>
        <v>Godfrey Philips India Ltd.</v>
      </c>
      <c r="AA1078" s="8" t="str">
        <v>20501 Ania Ave #2</v>
      </c>
      <c r="AB1078" s="8" t="str">
        <v>Salt Lake City</v>
      </c>
      <c r="AC1078" s="8" t="str">
        <v>UT</v>
      </c>
      <c r="AD1078" s="8" t="str">
        <v>84118</v>
      </c>
    </row>
    <row r="1079" spans="1:30">
      <c r="A1079" s="8" t="s">
        <v>1050</v>
      </c>
      <c r="B1079" s="19">
        <v>42215</v>
      </c>
      <c r="C1079" s="8" t="s">
        <v>66</v>
      </c>
      <c r="D1079" s="8">
        <v>10009</v>
      </c>
      <c r="E1079" s="8" t="str">
        <f>VLOOKUP($D1079,'Customer Details'!$A$1:$F$17,4,FALSE)</f>
        <v>Salt Lake City</v>
      </c>
      <c r="F1079" s="8" t="s">
        <v>333</v>
      </c>
      <c r="G1079" s="8">
        <v>1</v>
      </c>
      <c r="H1079" s="2" t="str">
        <f>VLOOKUP($D1079,'Customer Details'!$A$1:$F$17,MATCH('Order SUmmary'!H$2,'Customer Details'!$A$1:$F$1,0),0)</f>
        <v>Godfrey Philips India Ltd.</v>
      </c>
      <c r="I1079" s="2" t="str">
        <f>VLOOKUP($D1079,'Customer Details'!$A$1:$F$17,4,0)</f>
        <v>Salt Lake City</v>
      </c>
      <c r="J1079" s="2" t="str">
        <f>VLOOKUP($D1079,'Customer Details'!$A$1:$F$17,6,0)</f>
        <v>84118</v>
      </c>
      <c r="K1079" s="8" t="str">
        <f>VLOOKUP(VLOOKUP(D1079,'Customer Details'!$A$1:$F$17,5,0),'Region INfo'!$A$1:$C$52,3,0)</f>
        <v xml:space="preserve">Pacific   </v>
      </c>
      <c r="L1079" s="8" t="str">
        <f>INDEX(Product_List,MATCH($F1079,'Product List'!$B$1:$B$299,0),MATCH('Order SUmmary'!L$2,'Product List'!$A$1:$E$1,0))</f>
        <v>Xerox 1881</v>
      </c>
      <c r="M1079" s="8">
        <f>INDEX(Product_List,MATCH($F1079,'Product List'!$B$1:$B$299,0),MATCH('Order SUmmary'!M$2,'Product List'!$A$1:$E$1,0))</f>
        <v>3330</v>
      </c>
      <c r="N1079" s="8">
        <f>INDEX(Product_List,MATCH($F1079,'Product List'!$B$1:$B$299,0),MATCH('Order SUmmary'!N$2,'Product List'!$A$1:$E$1,0))</f>
        <v>1819</v>
      </c>
      <c r="O1079" s="8" t="str">
        <f>INDEX(Product_List,MATCH($F1079,'Product List'!$B$1:$B$299,0),MATCH('Order SUmmary'!O$2,'Product List'!$A$1:$E$1,0))</f>
        <v>Paper</v>
      </c>
      <c r="P1079" s="12">
        <f>HLOOKUP(C1079,'Commission Criteria'!$A$2:$I$4,3,FALSE)</f>
        <v>5</v>
      </c>
      <c r="Q1079" s="8">
        <f t="shared" si="49"/>
        <v>1819</v>
      </c>
      <c r="R1079" s="8">
        <f t="shared" si="50"/>
        <v>3330</v>
      </c>
      <c r="S1079" s="36">
        <f>VLOOKUP(R1079,'Commission Criteria'!$L$3:$M$11,2,TRUE)</f>
        <v>0.01</v>
      </c>
      <c r="T1079" s="36">
        <f>IF(P1079&lt;5,VLOOKUP(R1079,'Commission Criteria'!$L$3:$M$11,2,1),VLOOKUP('Order SUmmary'!R1079,'Commission Criteria'!$P$3:$Q$11,2,1))</f>
        <v>0.02</v>
      </c>
      <c r="U1079" s="36">
        <f>VLOOKUP(R1079,IF(P1079&lt;5,'Commission Criteria'!$L$3:$M$11,'Commission Criteria'!$P$3:$Q$11),2,1)</f>
        <v>0.02</v>
      </c>
      <c r="V1079" s="8" t="s">
        <v>40</v>
      </c>
      <c r="W1079" s="36">
        <f t="shared" ca="1" si="51"/>
        <v>0.03</v>
      </c>
      <c r="X1079" s="8" t="str">
        <f>_xlfn.XLOOKUP(F1079,'Product List'!$B$1:$B$299,'Product List'!$A$1:$A$299)</f>
        <v>Xerox 1881</v>
      </c>
      <c r="Y1079" s="8"/>
      <c r="Z1079" s="8" t="str" cm="1">
        <f t="array" ref="Z1079:AD1079">_xlfn.XLOOKUP(D1079,'Customer Details'!$A$1:$A$17,'Customer Details'!$B$1:$F$17,"No such customer",0,1)</f>
        <v>Godfrey Philips India Ltd.</v>
      </c>
      <c r="AA1079" s="8" t="str">
        <v>20501 Ania Ave #2</v>
      </c>
      <c r="AB1079" s="8" t="str">
        <v>Salt Lake City</v>
      </c>
      <c r="AC1079" s="8" t="str">
        <v>UT</v>
      </c>
      <c r="AD1079" s="8" t="str">
        <v>84118</v>
      </c>
    </row>
    <row r="1080" spans="1:30">
      <c r="A1080" s="8" t="s">
        <v>1050</v>
      </c>
      <c r="B1080" s="19">
        <v>42215</v>
      </c>
      <c r="C1080" s="8" t="s">
        <v>44</v>
      </c>
      <c r="D1080" s="8">
        <v>10005</v>
      </c>
      <c r="E1080" s="8" t="str">
        <f>VLOOKUP($D1080,'Customer Details'!$A$1:$F$17,4,FALSE)</f>
        <v>Goleta</v>
      </c>
      <c r="F1080" s="8" t="s">
        <v>42</v>
      </c>
      <c r="G1080" s="8">
        <v>2</v>
      </c>
      <c r="H1080" s="2" t="str">
        <f>VLOOKUP($D1080,'Customer Details'!$A$1:$F$17,MATCH('Order SUmmary'!H$2,'Customer Details'!$A$1:$F$1,0),0)</f>
        <v>Fortis Healthcare Ltd.</v>
      </c>
      <c r="I1080" s="2" t="str">
        <f>VLOOKUP($D1080,'Customer Details'!$A$1:$F$17,4,0)</f>
        <v>Goleta</v>
      </c>
      <c r="J1080" s="2" t="str">
        <f>VLOOKUP($D1080,'Customer Details'!$A$1:$F$17,6,0)</f>
        <v>93117</v>
      </c>
      <c r="K1080" s="8" t="str">
        <f>VLOOKUP(VLOOKUP(D1080,'Customer Details'!$A$1:$F$17,5,0),'Region INfo'!$A$1:$C$52,3,0)</f>
        <v xml:space="preserve">Pacific   </v>
      </c>
      <c r="L1080" s="8" t="str">
        <f>INDEX(Product_List,MATCH($F1080,'Product List'!$B$1:$B$299,0),MATCH('Order SUmmary'!L$2,'Product List'!$A$1:$E$1,0))</f>
        <v>Staple magnet</v>
      </c>
      <c r="M1080" s="8">
        <f>INDEX(Product_List,MATCH($F1080,'Product List'!$B$1:$B$299,0),MATCH('Order SUmmary'!M$2,'Product List'!$A$1:$E$1,0))</f>
        <v>3993</v>
      </c>
      <c r="N1080" s="8">
        <f>INDEX(Product_List,MATCH($F1080,'Product List'!$B$1:$B$299,0),MATCH('Order SUmmary'!N$2,'Product List'!$A$1:$E$1,0))</f>
        <v>1338</v>
      </c>
      <c r="O1080" s="8" t="str">
        <f>INDEX(Product_List,MATCH($F1080,'Product List'!$B$1:$B$299,0),MATCH('Order SUmmary'!O$2,'Product List'!$A$1:$E$1,0))</f>
        <v>Storage</v>
      </c>
      <c r="P1080" s="12">
        <f>HLOOKUP(C1080,'Commission Criteria'!$A$2:$I$4,3,FALSE)</f>
        <v>4</v>
      </c>
      <c r="Q1080" s="8">
        <f t="shared" si="49"/>
        <v>2676</v>
      </c>
      <c r="R1080" s="8">
        <f t="shared" si="50"/>
        <v>7986</v>
      </c>
      <c r="S1080" s="36">
        <f>VLOOKUP(R1080,'Commission Criteria'!$L$3:$M$11,2,TRUE)</f>
        <v>0.03</v>
      </c>
      <c r="T1080" s="36">
        <f>IF(P1080&lt;5,VLOOKUP(R1080,'Commission Criteria'!$L$3:$M$11,2,1),VLOOKUP('Order SUmmary'!R1080,'Commission Criteria'!$P$3:$Q$11,2,1))</f>
        <v>0.03</v>
      </c>
      <c r="U1080" s="36">
        <f>VLOOKUP(R1080,IF(P1080&lt;5,'Commission Criteria'!$L$3:$M$11,'Commission Criteria'!$P$3:$Q$11),2,1)</f>
        <v>0.03</v>
      </c>
      <c r="V1080" s="8" t="s">
        <v>50</v>
      </c>
      <c r="W1080" s="36">
        <f t="shared" ca="1" si="51"/>
        <v>0.05</v>
      </c>
      <c r="X1080" s="8" t="str">
        <f>_xlfn.XLOOKUP(F1080,'Product List'!$B$1:$B$299,'Product List'!$A$1:$A$299)</f>
        <v>Staple magnet</v>
      </c>
      <c r="Y1080" s="8"/>
      <c r="Z1080" s="8" t="str" cm="1">
        <f t="array" ref="Z1080:AD1080">_xlfn.XLOOKUP(D1080,'Customer Details'!$A$1:$A$17,'Customer Details'!$B$1:$F$17,"No such customer",0,1)</f>
        <v>Fortis Healthcare Ltd.</v>
      </c>
      <c r="AA1080" s="8" t="str">
        <v>14 Elsworthy Terrace</v>
      </c>
      <c r="AB1080" s="8" t="str">
        <v>Goleta</v>
      </c>
      <c r="AC1080" s="8" t="str">
        <v>CA</v>
      </c>
      <c r="AD1080" s="8" t="str">
        <v>93117</v>
      </c>
    </row>
    <row r="1081" spans="1:30">
      <c r="A1081" s="8" t="s">
        <v>1051</v>
      </c>
      <c r="B1081" s="19">
        <v>42218</v>
      </c>
      <c r="C1081" s="8" t="s">
        <v>27</v>
      </c>
      <c r="D1081" s="8">
        <v>10013</v>
      </c>
      <c r="E1081" s="8" t="str">
        <f>VLOOKUP($D1081,'Customer Details'!$A$1:$F$17,4,FALSE)</f>
        <v>Naugatuck</v>
      </c>
      <c r="F1081" s="8" t="s">
        <v>145</v>
      </c>
      <c r="G1081" s="8">
        <v>1</v>
      </c>
      <c r="H1081" s="2" t="str">
        <f>VLOOKUP($D1081,'Customer Details'!$A$1:$F$17,MATCH('Order SUmmary'!H$2,'Customer Details'!$A$1:$F$1,0),0)</f>
        <v>GMR Infrastructure Ltd.</v>
      </c>
      <c r="I1081" s="2" t="str">
        <f>VLOOKUP($D1081,'Customer Details'!$A$1:$F$17,4,0)</f>
        <v>Naugatuck</v>
      </c>
      <c r="J1081" s="2" t="str">
        <f>VLOOKUP($D1081,'Customer Details'!$A$1:$F$17,6,0)</f>
        <v>06770</v>
      </c>
      <c r="K1081" s="8" t="str">
        <f>VLOOKUP(VLOOKUP(D1081,'Customer Details'!$A$1:$F$17,5,0),'Region INfo'!$A$1:$C$52,3,0)</f>
        <v xml:space="preserve">Northern </v>
      </c>
      <c r="L1081" s="8" t="str">
        <f>INDEX(Product_List,MATCH($F1081,'Product List'!$B$1:$B$299,0),MATCH('Order SUmmary'!L$2,'Product List'!$A$1:$E$1,0))</f>
        <v>Xerox 1913</v>
      </c>
      <c r="M1081" s="8">
        <f>INDEX(Product_List,MATCH($F1081,'Product List'!$B$1:$B$299,0),MATCH('Order SUmmary'!M$2,'Product List'!$A$1:$E$1,0))</f>
        <v>2547</v>
      </c>
      <c r="N1081" s="8">
        <f>INDEX(Product_List,MATCH($F1081,'Product List'!$B$1:$B$299,0),MATCH('Order SUmmary'!N$2,'Product List'!$A$1:$E$1,0))</f>
        <v>1419</v>
      </c>
      <c r="O1081" s="8" t="str">
        <f>INDEX(Product_List,MATCH($F1081,'Product List'!$B$1:$B$299,0),MATCH('Order SUmmary'!O$2,'Product List'!$A$1:$E$1,0))</f>
        <v>Paper</v>
      </c>
      <c r="P1081" s="12">
        <f>HLOOKUP(C1081,'Commission Criteria'!$A$2:$I$4,3,FALSE)</f>
        <v>4</v>
      </c>
      <c r="Q1081" s="8">
        <f t="shared" si="49"/>
        <v>1419</v>
      </c>
      <c r="R1081" s="8">
        <f t="shared" si="50"/>
        <v>2547</v>
      </c>
      <c r="S1081" s="36">
        <f>VLOOKUP(R1081,'Commission Criteria'!$L$3:$M$11,2,TRUE)</f>
        <v>0.01</v>
      </c>
      <c r="T1081" s="36">
        <f>IF(P1081&lt;5,VLOOKUP(R1081,'Commission Criteria'!$L$3:$M$11,2,1),VLOOKUP('Order SUmmary'!R1081,'Commission Criteria'!$P$3:$Q$11,2,1))</f>
        <v>0.01</v>
      </c>
      <c r="U1081" s="36">
        <f>VLOOKUP(R1081,IF(P1081&lt;5,'Commission Criteria'!$L$3:$M$11,'Commission Criteria'!$P$3:$Q$11),2,1)</f>
        <v>0.01</v>
      </c>
      <c r="V1081" s="8" t="s">
        <v>43</v>
      </c>
      <c r="W1081" s="36">
        <f t="shared" ca="1" si="51"/>
        <v>0.04</v>
      </c>
      <c r="X1081" s="8" t="str">
        <f>_xlfn.XLOOKUP(F1081,'Product List'!$B$1:$B$299,'Product List'!$A$1:$A$299)</f>
        <v>Xerox 1913</v>
      </c>
      <c r="Y1081" s="8"/>
      <c r="Z1081" s="8" t="str" cm="1">
        <f t="array" ref="Z1081:AD1081">_xlfn.XLOOKUP(D1081,'Customer Details'!$A$1:$A$17,'Customer Details'!$B$1:$F$17,"No such customer",0,1)</f>
        <v>GMR Infrastructure Ltd.</v>
      </c>
      <c r="AA1081" s="8" t="str">
        <v>P.O. Box 4421</v>
      </c>
      <c r="AB1081" s="8" t="str">
        <v>Naugatuck</v>
      </c>
      <c r="AC1081" s="8" t="str">
        <v>CT</v>
      </c>
      <c r="AD1081" s="8" t="str">
        <v>06770</v>
      </c>
    </row>
    <row r="1082" spans="1:30">
      <c r="A1082" s="8" t="s">
        <v>1052</v>
      </c>
      <c r="B1082" s="19">
        <v>42218</v>
      </c>
      <c r="C1082" s="8" t="s">
        <v>33</v>
      </c>
      <c r="D1082" s="8">
        <v>10015</v>
      </c>
      <c r="E1082" s="8" t="str">
        <f>VLOOKUP($D1082,'Customer Details'!$A$1:$F$17,4,FALSE)</f>
        <v>South Windsor</v>
      </c>
      <c r="F1082" s="8" t="s">
        <v>174</v>
      </c>
      <c r="G1082" s="8">
        <v>1</v>
      </c>
      <c r="H1082" s="2" t="str">
        <f>VLOOKUP($D1082,'Customer Details'!$A$1:$F$17,MATCH('Order SUmmary'!H$2,'Customer Details'!$A$1:$F$1,0),0)</f>
        <v>Punj Lloyd Ltd.</v>
      </c>
      <c r="I1082" s="2" t="str">
        <f>VLOOKUP($D1082,'Customer Details'!$A$1:$F$17,4,0)</f>
        <v>South Windsor</v>
      </c>
      <c r="J1082" s="2" t="str">
        <f>VLOOKUP($D1082,'Customer Details'!$A$1:$F$17,6,0)</f>
        <v>06074</v>
      </c>
      <c r="K1082" s="8" t="str">
        <f>VLOOKUP(VLOOKUP(D1082,'Customer Details'!$A$1:$F$17,5,0),'Region INfo'!$A$1:$C$52,3,0)</f>
        <v xml:space="preserve">Northern </v>
      </c>
      <c r="L1082" s="8" t="str">
        <f>INDEX(Product_List,MATCH($F1082,'Product List'!$B$1:$B$299,0),MATCH('Order SUmmary'!L$2,'Product List'!$A$1:$E$1,0))</f>
        <v>Staples</v>
      </c>
      <c r="M1082" s="8">
        <f>INDEX(Product_List,MATCH($F1082,'Product List'!$B$1:$B$299,0),MATCH('Order SUmmary'!M$2,'Product List'!$A$1:$E$1,0))</f>
        <v>2747</v>
      </c>
      <c r="N1082" s="8">
        <f>INDEX(Product_List,MATCH($F1082,'Product List'!$B$1:$B$299,0),MATCH('Order SUmmary'!N$2,'Product List'!$A$1:$E$1,0))</f>
        <v>2098</v>
      </c>
      <c r="O1082" s="8" t="str">
        <f>INDEX(Product_List,MATCH($F1082,'Product List'!$B$1:$B$299,0),MATCH('Order SUmmary'!O$2,'Product List'!$A$1:$E$1,0))</f>
        <v>Fasteners</v>
      </c>
      <c r="P1082" s="12">
        <f>HLOOKUP(C1082,'Commission Criteria'!$A$2:$I$4,3,FALSE)</f>
        <v>1</v>
      </c>
      <c r="Q1082" s="8">
        <f t="shared" si="49"/>
        <v>2098</v>
      </c>
      <c r="R1082" s="8">
        <f t="shared" si="50"/>
        <v>2747</v>
      </c>
      <c r="S1082" s="36">
        <f>VLOOKUP(R1082,'Commission Criteria'!$L$3:$M$11,2,TRUE)</f>
        <v>0.01</v>
      </c>
      <c r="T1082" s="36">
        <f>IF(P1082&lt;5,VLOOKUP(R1082,'Commission Criteria'!$L$3:$M$11,2,1),VLOOKUP('Order SUmmary'!R1082,'Commission Criteria'!$P$3:$Q$11,2,1))</f>
        <v>0.01</v>
      </c>
      <c r="U1082" s="36">
        <f>VLOOKUP(R1082,IF(P1082&lt;5,'Commission Criteria'!$L$3:$M$11,'Commission Criteria'!$P$3:$Q$11),2,1)</f>
        <v>0.01</v>
      </c>
      <c r="V1082" s="8" t="s">
        <v>43</v>
      </c>
      <c r="W1082" s="36">
        <f t="shared" ca="1" si="51"/>
        <v>0.02</v>
      </c>
      <c r="X1082" s="8" t="str">
        <f>_xlfn.XLOOKUP(F1082,'Product List'!$B$1:$B$299,'Product List'!$A$1:$A$299)</f>
        <v>Staples</v>
      </c>
      <c r="Y1082" s="8"/>
      <c r="Z1082" s="8" t="str" cm="1">
        <f t="array" ref="Z1082:AD1082">_xlfn.XLOOKUP(D1082,'Customer Details'!$A$1:$A$17,'Customer Details'!$B$1:$F$17,"No such customer",0,1)</f>
        <v>Punj Lloyd Ltd.</v>
      </c>
      <c r="AA1082" s="8" t="str">
        <v>Box 3263</v>
      </c>
      <c r="AB1082" s="8" t="str">
        <v>South Windsor</v>
      </c>
      <c r="AC1082" s="8" t="str">
        <v>CT</v>
      </c>
      <c r="AD1082" s="8" t="str">
        <v>06074</v>
      </c>
    </row>
    <row r="1083" spans="1:30">
      <c r="A1083" s="8" t="s">
        <v>1051</v>
      </c>
      <c r="B1083" s="19">
        <v>42218</v>
      </c>
      <c r="C1083" s="8" t="s">
        <v>36</v>
      </c>
      <c r="D1083" s="8">
        <v>10011</v>
      </c>
      <c r="E1083" s="8" t="str">
        <f>VLOOKUP($D1083,'Customer Details'!$A$1:$F$17,4,FALSE)</f>
        <v>Olympia</v>
      </c>
      <c r="F1083" s="8" t="s">
        <v>472</v>
      </c>
      <c r="G1083" s="8">
        <v>1</v>
      </c>
      <c r="H1083" s="2" t="str">
        <f>VLOOKUP($D1083,'Customer Details'!$A$1:$F$17,MATCH('Order SUmmary'!H$2,'Customer Details'!$A$1:$F$1,0),0)</f>
        <v>Sonata Software</v>
      </c>
      <c r="I1083" s="2" t="str">
        <f>VLOOKUP($D1083,'Customer Details'!$A$1:$F$17,4,0)</f>
        <v>Olympia</v>
      </c>
      <c r="J1083" s="2" t="str">
        <f>VLOOKUP($D1083,'Customer Details'!$A$1:$F$17,6,0)</f>
        <v>98502</v>
      </c>
      <c r="K1083" s="8" t="str">
        <f>VLOOKUP(VLOOKUP(D1083,'Customer Details'!$A$1:$F$17,5,0),'Region INfo'!$A$1:$C$52,3,0)</f>
        <v xml:space="preserve">Pacific   </v>
      </c>
      <c r="L1083" s="8" t="str">
        <f>INDEX(Product_List,MATCH($F1083,'Product List'!$B$1:$B$299,0),MATCH('Order SUmmary'!L$2,'Product List'!$A$1:$E$1,0))</f>
        <v>Avery 488</v>
      </c>
      <c r="M1083" s="8">
        <f>INDEX(Product_List,MATCH($F1083,'Product List'!$B$1:$B$299,0),MATCH('Order SUmmary'!M$2,'Product List'!$A$1:$E$1,0))</f>
        <v>3663</v>
      </c>
      <c r="N1083" s="8">
        <f>INDEX(Product_List,MATCH($F1083,'Product List'!$B$1:$B$299,0),MATCH('Order SUmmary'!N$2,'Product List'!$A$1:$E$1,0))</f>
        <v>1550</v>
      </c>
      <c r="O1083" s="8" t="str">
        <f>INDEX(Product_List,MATCH($F1083,'Product List'!$B$1:$B$299,0),MATCH('Order SUmmary'!O$2,'Product List'!$A$1:$E$1,0))</f>
        <v>Labels</v>
      </c>
      <c r="P1083" s="12">
        <f>HLOOKUP(C1083,'Commission Criteria'!$A$2:$I$4,3,FALSE)</f>
        <v>6</v>
      </c>
      <c r="Q1083" s="8">
        <f t="shared" si="49"/>
        <v>1550</v>
      </c>
      <c r="R1083" s="8">
        <f t="shared" si="50"/>
        <v>3663</v>
      </c>
      <c r="S1083" s="36">
        <f>VLOOKUP(R1083,'Commission Criteria'!$L$3:$M$11,2,TRUE)</f>
        <v>0.01</v>
      </c>
      <c r="T1083" s="36">
        <f>IF(P1083&lt;5,VLOOKUP(R1083,'Commission Criteria'!$L$3:$M$11,2,1),VLOOKUP('Order SUmmary'!R1083,'Commission Criteria'!$P$3:$Q$11,2,1))</f>
        <v>0.02</v>
      </c>
      <c r="U1083" s="36">
        <f>VLOOKUP(R1083,IF(P1083&lt;5,'Commission Criteria'!$L$3:$M$11,'Commission Criteria'!$P$3:$Q$11),2,1)</f>
        <v>0.02</v>
      </c>
      <c r="V1083" s="8" t="s">
        <v>29</v>
      </c>
      <c r="W1083" s="36">
        <f t="shared" ca="1" si="51"/>
        <v>0.02</v>
      </c>
      <c r="X1083" s="8" t="str">
        <f>_xlfn.XLOOKUP(F1083,'Product List'!$B$1:$B$299,'Product List'!$A$1:$A$299)</f>
        <v>Avery 488</v>
      </c>
      <c r="Y1083" s="8"/>
      <c r="Z1083" s="8" t="str" cm="1">
        <f t="array" ref="Z1083:AD1083">_xlfn.XLOOKUP(D1083,'Customer Details'!$A$1:$A$17,'Customer Details'!$B$1:$F$17,"No such customer",0,1)</f>
        <v>Sonata Software</v>
      </c>
      <c r="AA1083" s="8" t="str">
        <v>1331 Kimberly Dr.</v>
      </c>
      <c r="AB1083" s="8" t="str">
        <v>Olympia</v>
      </c>
      <c r="AC1083" s="8" t="str">
        <v>WA</v>
      </c>
      <c r="AD1083" s="8" t="str">
        <v>98502</v>
      </c>
    </row>
    <row r="1084" spans="1:30">
      <c r="A1084" s="8" t="s">
        <v>1051</v>
      </c>
      <c r="B1084" s="19">
        <v>42218</v>
      </c>
      <c r="C1084" s="8" t="s">
        <v>51</v>
      </c>
      <c r="D1084" s="8">
        <v>10004</v>
      </c>
      <c r="E1084" s="8" t="str">
        <f>VLOOKUP($D1084,'Customer Details'!$A$1:$F$17,4,FALSE)</f>
        <v>New York</v>
      </c>
      <c r="F1084" s="8" t="s">
        <v>670</v>
      </c>
      <c r="G1084" s="8">
        <v>2</v>
      </c>
      <c r="H1084" s="2" t="str">
        <f>VLOOKUP($D1084,'Customer Details'!$A$1:$F$17,MATCH('Order SUmmary'!H$2,'Customer Details'!$A$1:$F$1,0),0)</f>
        <v>Lupin Ltd.</v>
      </c>
      <c r="I1084" s="2" t="str">
        <f>VLOOKUP($D1084,'Customer Details'!$A$1:$F$17,4,0)</f>
        <v>New York</v>
      </c>
      <c r="J1084" s="2" t="str">
        <f>VLOOKUP($D1084,'Customer Details'!$A$1:$F$17,6,0)</f>
        <v>10019</v>
      </c>
      <c r="K1084" s="8" t="str">
        <f>VLOOKUP(VLOOKUP(D1084,'Customer Details'!$A$1:$F$17,5,0),'Region INfo'!$A$1:$C$52,3,0)</f>
        <v xml:space="preserve">Northern </v>
      </c>
      <c r="L1084" s="8" t="str">
        <f>INDEX(Product_List,MATCH($F1084,'Product List'!$B$1:$B$299,0),MATCH('Order SUmmary'!L$2,'Product List'!$A$1:$E$1,0))</f>
        <v>Avery 506</v>
      </c>
      <c r="M1084" s="8">
        <f>INDEX(Product_List,MATCH($F1084,'Product List'!$B$1:$B$299,0),MATCH('Order SUmmary'!M$2,'Product List'!$A$1:$E$1,0))</f>
        <v>4006</v>
      </c>
      <c r="N1084" s="8">
        <f>INDEX(Product_List,MATCH($F1084,'Product List'!$B$1:$B$299,0),MATCH('Order SUmmary'!N$2,'Product List'!$A$1:$E$1,0))</f>
        <v>1320</v>
      </c>
      <c r="O1084" s="8" t="str">
        <f>INDEX(Product_List,MATCH($F1084,'Product List'!$B$1:$B$299,0),MATCH('Order SUmmary'!O$2,'Product List'!$A$1:$E$1,0))</f>
        <v>Labels</v>
      </c>
      <c r="P1084" s="12">
        <f>HLOOKUP(C1084,'Commission Criteria'!$A$2:$I$4,3,FALSE)</f>
        <v>10</v>
      </c>
      <c r="Q1084" s="8">
        <f t="shared" si="49"/>
        <v>2640</v>
      </c>
      <c r="R1084" s="8">
        <f t="shared" si="50"/>
        <v>8012</v>
      </c>
      <c r="S1084" s="36">
        <f>VLOOKUP(R1084,'Commission Criteria'!$L$3:$M$11,2,TRUE)</f>
        <v>0.03</v>
      </c>
      <c r="T1084" s="36">
        <f>IF(P1084&lt;5,VLOOKUP(R1084,'Commission Criteria'!$L$3:$M$11,2,1),VLOOKUP('Order SUmmary'!R1084,'Commission Criteria'!$P$3:$Q$11,2,1))</f>
        <v>0.02</v>
      </c>
      <c r="U1084" s="36">
        <f>VLOOKUP(R1084,IF(P1084&lt;5,'Commission Criteria'!$L$3:$M$11,'Commission Criteria'!$P$3:$Q$11),2,1)</f>
        <v>0.02</v>
      </c>
      <c r="V1084" s="8" t="s">
        <v>29</v>
      </c>
      <c r="W1084" s="36">
        <f t="shared" ca="1" si="51"/>
        <v>0.04</v>
      </c>
      <c r="X1084" s="8" t="str">
        <f>_xlfn.XLOOKUP(F1084,'Product List'!$B$1:$B$299,'Product List'!$A$1:$A$299)</f>
        <v>Avery 506</v>
      </c>
      <c r="Y1084" s="8"/>
      <c r="Z1084" s="8" t="str" cm="1">
        <f t="array" ref="Z1084:AD1084">_xlfn.XLOOKUP(D1084,'Customer Details'!$A$1:$A$17,'Customer Details'!$B$1:$F$17,"No such customer",0,1)</f>
        <v>Lupin Ltd.</v>
      </c>
      <c r="AA1084" s="8" t="str">
        <v>Abbey Wood</v>
      </c>
      <c r="AB1084" s="8" t="str">
        <v>New York</v>
      </c>
      <c r="AC1084" s="8" t="str">
        <v>NY</v>
      </c>
      <c r="AD1084" s="8" t="str">
        <v>10019</v>
      </c>
    </row>
    <row r="1085" spans="1:30">
      <c r="A1085" s="8" t="s">
        <v>1053</v>
      </c>
      <c r="B1085" s="19">
        <v>42219</v>
      </c>
      <c r="C1085" s="8" t="s">
        <v>66</v>
      </c>
      <c r="D1085" s="8">
        <v>10012</v>
      </c>
      <c r="E1085" s="8" t="str">
        <f>VLOOKUP($D1085,'Customer Details'!$A$1:$F$17,4,FALSE)</f>
        <v>Santa Barbara</v>
      </c>
      <c r="F1085" s="8" t="s">
        <v>584</v>
      </c>
      <c r="G1085" s="8">
        <v>2</v>
      </c>
      <c r="H1085" s="2" t="str">
        <f>VLOOKUP($D1085,'Customer Details'!$A$1:$F$17,MATCH('Order SUmmary'!H$2,'Customer Details'!$A$1:$F$1,0),0)</f>
        <v>Dynamatic Technologies Ltd.</v>
      </c>
      <c r="I1085" s="2" t="str">
        <f>VLOOKUP($D1085,'Customer Details'!$A$1:$F$17,4,0)</f>
        <v>Santa Barbara</v>
      </c>
      <c r="J1085" s="2" t="str">
        <f>VLOOKUP($D1085,'Customer Details'!$A$1:$F$17,6,0)</f>
        <v>93110</v>
      </c>
      <c r="K1085" s="8" t="str">
        <f>VLOOKUP(VLOOKUP(D1085,'Customer Details'!$A$1:$F$17,5,0),'Region INfo'!$A$1:$C$52,3,0)</f>
        <v xml:space="preserve">Pacific   </v>
      </c>
      <c r="L1085" s="8" t="str">
        <f>INDEX(Product_List,MATCH($F1085,'Product List'!$B$1:$B$299,0),MATCH('Order SUmmary'!L$2,'Product List'!$A$1:$E$1,0))</f>
        <v>Xerox 1894</v>
      </c>
      <c r="M1085" s="8">
        <f>INDEX(Product_List,MATCH($F1085,'Product List'!$B$1:$B$299,0),MATCH('Order SUmmary'!M$2,'Product List'!$A$1:$E$1,0))</f>
        <v>4369</v>
      </c>
      <c r="N1085" s="8">
        <f>INDEX(Product_List,MATCH($F1085,'Product List'!$B$1:$B$299,0),MATCH('Order SUmmary'!N$2,'Product List'!$A$1:$E$1,0))</f>
        <v>1245</v>
      </c>
      <c r="O1085" s="8" t="str">
        <f>INDEX(Product_List,MATCH($F1085,'Product List'!$B$1:$B$299,0),MATCH('Order SUmmary'!O$2,'Product List'!$A$1:$E$1,0))</f>
        <v>Paper</v>
      </c>
      <c r="P1085" s="12">
        <f>HLOOKUP(C1085,'Commission Criteria'!$A$2:$I$4,3,FALSE)</f>
        <v>5</v>
      </c>
      <c r="Q1085" s="8">
        <f t="shared" si="49"/>
        <v>2490</v>
      </c>
      <c r="R1085" s="8">
        <f t="shared" si="50"/>
        <v>8738</v>
      </c>
      <c r="S1085" s="36">
        <f>VLOOKUP(R1085,'Commission Criteria'!$L$3:$M$11,2,TRUE)</f>
        <v>0.03</v>
      </c>
      <c r="T1085" s="36">
        <f>IF(P1085&lt;5,VLOOKUP(R1085,'Commission Criteria'!$L$3:$M$11,2,1),VLOOKUP('Order SUmmary'!R1085,'Commission Criteria'!$P$3:$Q$11,2,1))</f>
        <v>0.02</v>
      </c>
      <c r="U1085" s="36">
        <f>VLOOKUP(R1085,IF(P1085&lt;5,'Commission Criteria'!$L$3:$M$11,'Commission Criteria'!$P$3:$Q$11),2,1)</f>
        <v>0.02</v>
      </c>
      <c r="V1085" s="8" t="s">
        <v>35</v>
      </c>
      <c r="W1085" s="36">
        <f t="shared" ca="1" si="51"/>
        <v>0.02</v>
      </c>
      <c r="X1085" s="8" t="str">
        <f>_xlfn.XLOOKUP(F1085,'Product List'!$B$1:$B$299,'Product List'!$A$1:$A$299)</f>
        <v>Xerox 1894</v>
      </c>
      <c r="Y1085" s="8"/>
      <c r="Z1085" s="8" t="str" cm="1">
        <f t="array" ref="Z1085:AD1085">_xlfn.XLOOKUP(D1085,'Customer Details'!$A$1:$A$17,'Customer Details'!$B$1:$F$17,"No such customer",0,1)</f>
        <v>Dynamatic Technologies Ltd.</v>
      </c>
      <c r="AA1085" s="8" t="str">
        <v>402 Pinkster Lane</v>
      </c>
      <c r="AB1085" s="8" t="str">
        <v>Santa Barbara</v>
      </c>
      <c r="AC1085" s="8" t="str">
        <v>CA</v>
      </c>
      <c r="AD1085" s="8" t="str">
        <v>93110</v>
      </c>
    </row>
    <row r="1086" spans="1:30">
      <c r="A1086" s="8" t="s">
        <v>1053</v>
      </c>
      <c r="B1086" s="19">
        <v>42219</v>
      </c>
      <c r="C1086" s="8" t="s">
        <v>44</v>
      </c>
      <c r="D1086" s="8">
        <v>10003</v>
      </c>
      <c r="E1086" s="8" t="str">
        <f>VLOOKUP($D1086,'Customer Details'!$A$1:$F$17,4,FALSE)</f>
        <v>Miami</v>
      </c>
      <c r="F1086" s="8" t="s">
        <v>395</v>
      </c>
      <c r="G1086" s="8">
        <v>3</v>
      </c>
      <c r="H1086" s="2" t="str">
        <f>VLOOKUP($D1086,'Customer Details'!$A$1:$F$17,MATCH('Order SUmmary'!H$2,'Customer Details'!$A$1:$F$1,0),0)</f>
        <v>Honeywell Automation</v>
      </c>
      <c r="I1086" s="2" t="str">
        <f>VLOOKUP($D1086,'Customer Details'!$A$1:$F$17,4,0)</f>
        <v>Miami</v>
      </c>
      <c r="J1086" s="2" t="str">
        <f>VLOOKUP($D1086,'Customer Details'!$A$1:$F$17,6,0)</f>
        <v>33732</v>
      </c>
      <c r="K1086" s="8" t="str">
        <f>VLOOKUP(VLOOKUP(D1086,'Customer Details'!$A$1:$F$17,5,0),'Region INfo'!$A$1:$C$52,3,0)</f>
        <v>Southern</v>
      </c>
      <c r="L1086" s="8" t="str">
        <f>INDEX(Product_List,MATCH($F1086,'Product List'!$B$1:$B$299,0),MATCH('Order SUmmary'!L$2,'Product List'!$A$1:$E$1,0))</f>
        <v>Xerox 1883</v>
      </c>
      <c r="M1086" s="8">
        <f>INDEX(Product_List,MATCH($F1086,'Product List'!$B$1:$B$299,0),MATCH('Order SUmmary'!M$2,'Product List'!$A$1:$E$1,0))</f>
        <v>3112</v>
      </c>
      <c r="N1086" s="8">
        <f>INDEX(Product_List,MATCH($F1086,'Product List'!$B$1:$B$299,0),MATCH('Order SUmmary'!N$2,'Product List'!$A$1:$E$1,0))</f>
        <v>1766</v>
      </c>
      <c r="O1086" s="8" t="str">
        <f>INDEX(Product_List,MATCH($F1086,'Product List'!$B$1:$B$299,0),MATCH('Order SUmmary'!O$2,'Product List'!$A$1:$E$1,0))</f>
        <v>Paper</v>
      </c>
      <c r="P1086" s="12">
        <f>HLOOKUP(C1086,'Commission Criteria'!$A$2:$I$4,3,FALSE)</f>
        <v>4</v>
      </c>
      <c r="Q1086" s="8">
        <f t="shared" si="49"/>
        <v>5298</v>
      </c>
      <c r="R1086" s="8">
        <f t="shared" si="50"/>
        <v>9336</v>
      </c>
      <c r="S1086" s="36">
        <f>VLOOKUP(R1086,'Commission Criteria'!$L$3:$M$11,2,TRUE)</f>
        <v>0.03</v>
      </c>
      <c r="T1086" s="36">
        <f>IF(P1086&lt;5,VLOOKUP(R1086,'Commission Criteria'!$L$3:$M$11,2,1),VLOOKUP('Order SUmmary'!R1086,'Commission Criteria'!$P$3:$Q$11,2,1))</f>
        <v>0.03</v>
      </c>
      <c r="U1086" s="36">
        <f>VLOOKUP(R1086,IF(P1086&lt;5,'Commission Criteria'!$L$3:$M$11,'Commission Criteria'!$P$3:$Q$11),2,1)</f>
        <v>0.03</v>
      </c>
      <c r="V1086" s="8" t="s">
        <v>50</v>
      </c>
      <c r="W1086" s="36">
        <f t="shared" ca="1" si="51"/>
        <v>0.05</v>
      </c>
      <c r="X1086" s="8" t="str">
        <f>_xlfn.XLOOKUP(F1086,'Product List'!$B$1:$B$299,'Product List'!$A$1:$A$299)</f>
        <v>Xerox 1883</v>
      </c>
      <c r="Y1086" s="8"/>
      <c r="Z1086" s="8" t="str" cm="1">
        <f t="array" ref="Z1086:AD1086">_xlfn.XLOOKUP(D1086,'Customer Details'!$A$1:$A$17,'Customer Details'!$B$1:$F$17,"No such customer",0,1)</f>
        <v>Honeywell Automation</v>
      </c>
      <c r="AA1086" s="8" t="str">
        <v>1272 Harbor Road</v>
      </c>
      <c r="AB1086" s="8" t="str">
        <v>Miami</v>
      </c>
      <c r="AC1086" s="8" t="str">
        <v>FL</v>
      </c>
      <c r="AD1086" s="8" t="str">
        <v>33732</v>
      </c>
    </row>
    <row r="1087" spans="1:30">
      <c r="A1087" s="8" t="s">
        <v>1054</v>
      </c>
      <c r="B1087" s="19">
        <v>42221</v>
      </c>
      <c r="C1087" s="8" t="s">
        <v>46</v>
      </c>
      <c r="D1087" s="8">
        <v>10012</v>
      </c>
      <c r="E1087" s="8" t="str">
        <f>VLOOKUP($D1087,'Customer Details'!$A$1:$F$17,4,FALSE)</f>
        <v>Santa Barbara</v>
      </c>
      <c r="F1087" s="8" t="s">
        <v>247</v>
      </c>
      <c r="G1087" s="8">
        <v>1</v>
      </c>
      <c r="H1087" s="2" t="str">
        <f>VLOOKUP($D1087,'Customer Details'!$A$1:$F$17,MATCH('Order SUmmary'!H$2,'Customer Details'!$A$1:$F$1,0),0)</f>
        <v>Dynamatic Technologies Ltd.</v>
      </c>
      <c r="I1087" s="2" t="str">
        <f>VLOOKUP($D1087,'Customer Details'!$A$1:$F$17,4,0)</f>
        <v>Santa Barbara</v>
      </c>
      <c r="J1087" s="2" t="str">
        <f>VLOOKUP($D1087,'Customer Details'!$A$1:$F$17,6,0)</f>
        <v>93110</v>
      </c>
      <c r="K1087" s="8" t="str">
        <f>VLOOKUP(VLOOKUP(D1087,'Customer Details'!$A$1:$F$17,5,0),'Region INfo'!$A$1:$C$52,3,0)</f>
        <v xml:space="preserve">Pacific   </v>
      </c>
      <c r="L1087" s="8" t="str">
        <f>INDEX(Product_List,MATCH($F1087,'Product List'!$B$1:$B$299,0),MATCH('Order SUmmary'!L$2,'Product List'!$A$1:$E$1,0))</f>
        <v>Newell 329</v>
      </c>
      <c r="M1087" s="8">
        <f>INDEX(Product_List,MATCH($F1087,'Product List'!$B$1:$B$299,0),MATCH('Order SUmmary'!M$2,'Product List'!$A$1:$E$1,0))</f>
        <v>2787</v>
      </c>
      <c r="N1087" s="8">
        <f>INDEX(Product_List,MATCH($F1087,'Product List'!$B$1:$B$299,0),MATCH('Order SUmmary'!N$2,'Product List'!$A$1:$E$1,0))</f>
        <v>1470</v>
      </c>
      <c r="O1087" s="8" t="str">
        <f>INDEX(Product_List,MATCH($F1087,'Product List'!$B$1:$B$299,0),MATCH('Order SUmmary'!O$2,'Product List'!$A$1:$E$1,0))</f>
        <v>Art</v>
      </c>
      <c r="P1087" s="12">
        <f>HLOOKUP(C1087,'Commission Criteria'!$A$2:$I$4,3,FALSE)</f>
        <v>8</v>
      </c>
      <c r="Q1087" s="8">
        <f t="shared" si="49"/>
        <v>1470</v>
      </c>
      <c r="R1087" s="8">
        <f t="shared" si="50"/>
        <v>2787</v>
      </c>
      <c r="S1087" s="36">
        <f>VLOOKUP(R1087,'Commission Criteria'!$L$3:$M$11,2,TRUE)</f>
        <v>0.01</v>
      </c>
      <c r="T1087" s="36">
        <f>IF(P1087&lt;5,VLOOKUP(R1087,'Commission Criteria'!$L$3:$M$11,2,1),VLOOKUP('Order SUmmary'!R1087,'Commission Criteria'!$P$3:$Q$11,2,1))</f>
        <v>0.02</v>
      </c>
      <c r="U1087" s="36">
        <f>VLOOKUP(R1087,IF(P1087&lt;5,'Commission Criteria'!$L$3:$M$11,'Commission Criteria'!$P$3:$Q$11),2,1)</f>
        <v>0.02</v>
      </c>
      <c r="V1087" s="8" t="s">
        <v>40</v>
      </c>
      <c r="W1087" s="36">
        <f t="shared" ca="1" si="51"/>
        <v>0</v>
      </c>
      <c r="X1087" s="8" t="str">
        <f>_xlfn.XLOOKUP(F1087,'Product List'!$B$1:$B$299,'Product List'!$A$1:$A$299)</f>
        <v>Newell 329</v>
      </c>
      <c r="Y1087" s="8"/>
      <c r="Z1087" s="8" t="str" cm="1">
        <f t="array" ref="Z1087:AD1087">_xlfn.XLOOKUP(D1087,'Customer Details'!$A$1:$A$17,'Customer Details'!$B$1:$F$17,"No such customer",0,1)</f>
        <v>Dynamatic Technologies Ltd.</v>
      </c>
      <c r="AA1087" s="8" t="str">
        <v>402 Pinkster Lane</v>
      </c>
      <c r="AB1087" s="8" t="str">
        <v>Santa Barbara</v>
      </c>
      <c r="AC1087" s="8" t="str">
        <v>CA</v>
      </c>
      <c r="AD1087" s="8" t="str">
        <v>93110</v>
      </c>
    </row>
    <row r="1088" spans="1:30">
      <c r="A1088" s="8" t="s">
        <v>1055</v>
      </c>
      <c r="B1088" s="19">
        <v>42221</v>
      </c>
      <c r="C1088" s="8" t="s">
        <v>27</v>
      </c>
      <c r="D1088" s="8">
        <v>10006</v>
      </c>
      <c r="E1088" s="8" t="str">
        <f>VLOOKUP($D1088,'Customer Details'!$A$1:$F$17,4,FALSE)</f>
        <v>Midland</v>
      </c>
      <c r="F1088" s="8" t="s">
        <v>672</v>
      </c>
      <c r="G1088" s="8">
        <v>1</v>
      </c>
      <c r="H1088" s="2" t="str">
        <f>VLOOKUP($D1088,'Customer Details'!$A$1:$F$17,MATCH('Order SUmmary'!H$2,'Customer Details'!$A$1:$F$1,0),0)</f>
        <v>Supreme Ind</v>
      </c>
      <c r="I1088" s="2" t="str">
        <f>VLOOKUP($D1088,'Customer Details'!$A$1:$F$17,4,0)</f>
        <v>Midland</v>
      </c>
      <c r="J1088" s="2" t="str">
        <f>VLOOKUP($D1088,'Customer Details'!$A$1:$F$17,6,0)</f>
        <v>79706</v>
      </c>
      <c r="K1088" s="8" t="str">
        <f>VLOOKUP(VLOOKUP(D1088,'Customer Details'!$A$1:$F$17,5,0),'Region INfo'!$A$1:$C$52,3,0)</f>
        <v>Western</v>
      </c>
      <c r="L1088" s="8" t="str">
        <f>INDEX(Product_List,MATCH($F1088,'Product List'!$B$1:$B$299,0),MATCH('Order SUmmary'!L$2,'Product List'!$A$1:$E$1,0))</f>
        <v>Newell 319</v>
      </c>
      <c r="M1088" s="8">
        <f>INDEX(Product_List,MATCH($F1088,'Product List'!$B$1:$B$299,0),MATCH('Order SUmmary'!M$2,'Product List'!$A$1:$E$1,0))</f>
        <v>2867</v>
      </c>
      <c r="N1088" s="8">
        <f>INDEX(Product_List,MATCH($F1088,'Product List'!$B$1:$B$299,0),MATCH('Order SUmmary'!N$2,'Product List'!$A$1:$E$1,0))</f>
        <v>2295</v>
      </c>
      <c r="O1088" s="8" t="str">
        <f>INDEX(Product_List,MATCH($F1088,'Product List'!$B$1:$B$299,0),MATCH('Order SUmmary'!O$2,'Product List'!$A$1:$E$1,0))</f>
        <v>Art</v>
      </c>
      <c r="P1088" s="12">
        <f>HLOOKUP(C1088,'Commission Criteria'!$A$2:$I$4,3,FALSE)</f>
        <v>4</v>
      </c>
      <c r="Q1088" s="8">
        <f t="shared" si="49"/>
        <v>2295</v>
      </c>
      <c r="R1088" s="8">
        <f t="shared" si="50"/>
        <v>2867</v>
      </c>
      <c r="S1088" s="36">
        <f>VLOOKUP(R1088,'Commission Criteria'!$L$3:$M$11,2,TRUE)</f>
        <v>0.01</v>
      </c>
      <c r="T1088" s="36">
        <f>IF(P1088&lt;5,VLOOKUP(R1088,'Commission Criteria'!$L$3:$M$11,2,1),VLOOKUP('Order SUmmary'!R1088,'Commission Criteria'!$P$3:$Q$11,2,1))</f>
        <v>0.01</v>
      </c>
      <c r="U1088" s="36">
        <f>VLOOKUP(R1088,IF(P1088&lt;5,'Commission Criteria'!$L$3:$M$11,'Commission Criteria'!$P$3:$Q$11),2,1)</f>
        <v>0.01</v>
      </c>
      <c r="V1088" s="8" t="s">
        <v>32</v>
      </c>
      <c r="W1088" s="36">
        <f t="shared" ca="1" si="51"/>
        <v>0.02</v>
      </c>
      <c r="X1088" s="8" t="str">
        <f>_xlfn.XLOOKUP(F1088,'Product List'!$B$1:$B$299,'Product List'!$A$1:$A$299)</f>
        <v>Newell 319</v>
      </c>
      <c r="Y1088" s="8"/>
      <c r="Z1088" s="8" t="str" cm="1">
        <f t="array" ref="Z1088:AD1088">_xlfn.XLOOKUP(D1088,'Customer Details'!$A$1:$A$17,'Customer Details'!$B$1:$F$17,"No such customer",0,1)</f>
        <v>Supreme Ind</v>
      </c>
      <c r="AA1088" s="8" t="str">
        <v>P.O. Box 1367</v>
      </c>
      <c r="AB1088" s="8" t="str">
        <v>Midland</v>
      </c>
      <c r="AC1088" s="8" t="str">
        <v>TX</v>
      </c>
      <c r="AD1088" s="8" t="str">
        <v>79706</v>
      </c>
    </row>
    <row r="1089" spans="1:30">
      <c r="A1089" s="8" t="s">
        <v>1056</v>
      </c>
      <c r="B1089" s="19">
        <v>42222</v>
      </c>
      <c r="C1089" s="8" t="s">
        <v>44</v>
      </c>
      <c r="D1089" s="8">
        <v>10012</v>
      </c>
      <c r="E1089" s="8" t="str">
        <f>VLOOKUP($D1089,'Customer Details'!$A$1:$F$17,4,FALSE)</f>
        <v>Santa Barbara</v>
      </c>
      <c r="F1089" s="8" t="s">
        <v>358</v>
      </c>
      <c r="G1089" s="8">
        <v>2</v>
      </c>
      <c r="H1089" s="2" t="str">
        <f>VLOOKUP($D1089,'Customer Details'!$A$1:$F$17,MATCH('Order SUmmary'!H$2,'Customer Details'!$A$1:$F$1,0),0)</f>
        <v>Dynamatic Technologies Ltd.</v>
      </c>
      <c r="I1089" s="2" t="str">
        <f>VLOOKUP($D1089,'Customer Details'!$A$1:$F$17,4,0)</f>
        <v>Santa Barbara</v>
      </c>
      <c r="J1089" s="2" t="str">
        <f>VLOOKUP($D1089,'Customer Details'!$A$1:$F$17,6,0)</f>
        <v>93110</v>
      </c>
      <c r="K1089" s="8" t="str">
        <f>VLOOKUP(VLOOKUP(D1089,'Customer Details'!$A$1:$F$17,5,0),'Region INfo'!$A$1:$C$52,3,0)</f>
        <v xml:space="preserve">Pacific   </v>
      </c>
      <c r="L1089" s="8" t="str">
        <f>INDEX(Product_List,MATCH($F1089,'Product List'!$B$1:$B$299,0),MATCH('Order SUmmary'!L$2,'Product List'!$A$1:$E$1,0))</f>
        <v>Xerox 1962</v>
      </c>
      <c r="M1089" s="8">
        <f>INDEX(Product_List,MATCH($F1089,'Product List'!$B$1:$B$299,0),MATCH('Order SUmmary'!M$2,'Product List'!$A$1:$E$1,0))</f>
        <v>3573</v>
      </c>
      <c r="N1089" s="8">
        <f>INDEX(Product_List,MATCH($F1089,'Product List'!$B$1:$B$299,0),MATCH('Order SUmmary'!N$2,'Product List'!$A$1:$E$1,0))</f>
        <v>1857</v>
      </c>
      <c r="O1089" s="8" t="str">
        <f>INDEX(Product_List,MATCH($F1089,'Product List'!$B$1:$B$299,0),MATCH('Order SUmmary'!O$2,'Product List'!$A$1:$E$1,0))</f>
        <v>Paper</v>
      </c>
      <c r="P1089" s="12">
        <f>HLOOKUP(C1089,'Commission Criteria'!$A$2:$I$4,3,FALSE)</f>
        <v>4</v>
      </c>
      <c r="Q1089" s="8">
        <f t="shared" si="49"/>
        <v>3714</v>
      </c>
      <c r="R1089" s="8">
        <f t="shared" si="50"/>
        <v>7146</v>
      </c>
      <c r="S1089" s="36">
        <f>VLOOKUP(R1089,'Commission Criteria'!$L$3:$M$11,2,TRUE)</f>
        <v>0.03</v>
      </c>
      <c r="T1089" s="36">
        <f>IF(P1089&lt;5,VLOOKUP(R1089,'Commission Criteria'!$L$3:$M$11,2,1),VLOOKUP('Order SUmmary'!R1089,'Commission Criteria'!$P$3:$Q$11,2,1))</f>
        <v>0.03</v>
      </c>
      <c r="U1089" s="36">
        <f>VLOOKUP(R1089,IF(P1089&lt;5,'Commission Criteria'!$L$3:$M$11,'Commission Criteria'!$P$3:$Q$11),2,1)</f>
        <v>0.03</v>
      </c>
      <c r="V1089" s="8" t="s">
        <v>50</v>
      </c>
      <c r="W1089" s="36">
        <f t="shared" ca="1" si="51"/>
        <v>0.02</v>
      </c>
      <c r="X1089" s="8" t="str">
        <f>_xlfn.XLOOKUP(F1089,'Product List'!$B$1:$B$299,'Product List'!$A$1:$A$299)</f>
        <v>Xerox 1962</v>
      </c>
      <c r="Y1089" s="8"/>
      <c r="Z1089" s="8" t="str" cm="1">
        <f t="array" ref="Z1089:AD1089">_xlfn.XLOOKUP(D1089,'Customer Details'!$A$1:$A$17,'Customer Details'!$B$1:$F$17,"No such customer",0,1)</f>
        <v>Dynamatic Technologies Ltd.</v>
      </c>
      <c r="AA1089" s="8" t="str">
        <v>402 Pinkster Lane</v>
      </c>
      <c r="AB1089" s="8" t="str">
        <v>Santa Barbara</v>
      </c>
      <c r="AC1089" s="8" t="str">
        <v>CA</v>
      </c>
      <c r="AD1089" s="8" t="str">
        <v>93110</v>
      </c>
    </row>
    <row r="1090" spans="1:30">
      <c r="A1090" s="8" t="s">
        <v>1057</v>
      </c>
      <c r="B1090" s="19">
        <v>42223</v>
      </c>
      <c r="C1090" s="8" t="s">
        <v>66</v>
      </c>
      <c r="D1090" s="8">
        <v>10008</v>
      </c>
      <c r="E1090" s="8" t="str">
        <f>VLOOKUP($D1090,'Customer Details'!$A$1:$F$17,4,FALSE)</f>
        <v>Chestnut Ridge</v>
      </c>
      <c r="F1090" s="8" t="s">
        <v>1013</v>
      </c>
      <c r="G1090" s="8">
        <v>1</v>
      </c>
      <c r="H1090" s="2" t="str">
        <f>VLOOKUP($D1090,'Customer Details'!$A$1:$F$17,MATCH('Order SUmmary'!H$2,'Customer Details'!$A$1:$F$1,0),0)</f>
        <v>Reliance Industries Limited</v>
      </c>
      <c r="I1090" s="2" t="str">
        <f>VLOOKUP($D1090,'Customer Details'!$A$1:$F$17,4,0)</f>
        <v>Chestnut Ridge</v>
      </c>
      <c r="J1090" s="2" t="str">
        <f>VLOOKUP($D1090,'Customer Details'!$A$1:$F$17,6,0)</f>
        <v>10977</v>
      </c>
      <c r="K1090" s="8" t="str">
        <f>VLOOKUP(VLOOKUP(D1090,'Customer Details'!$A$1:$F$17,5,0),'Region INfo'!$A$1:$C$52,3,0)</f>
        <v xml:space="preserve">Northern </v>
      </c>
      <c r="L1090" s="8" t="str">
        <f>INDEX(Product_List,MATCH($F1090,'Product List'!$B$1:$B$299,0),MATCH('Order SUmmary'!L$2,'Product List'!$A$1:$E$1,0))</f>
        <v>Avery 480</v>
      </c>
      <c r="M1090" s="8">
        <f>INDEX(Product_List,MATCH($F1090,'Product List'!$B$1:$B$299,0),MATCH('Order SUmmary'!M$2,'Product List'!$A$1:$E$1,0))</f>
        <v>4849</v>
      </c>
      <c r="N1090" s="8">
        <f>INDEX(Product_List,MATCH($F1090,'Product List'!$B$1:$B$299,0),MATCH('Order SUmmary'!N$2,'Product List'!$A$1:$E$1,0))</f>
        <v>2433</v>
      </c>
      <c r="O1090" s="8" t="str">
        <f>INDEX(Product_List,MATCH($F1090,'Product List'!$B$1:$B$299,0),MATCH('Order SUmmary'!O$2,'Product List'!$A$1:$E$1,0))</f>
        <v>Labels</v>
      </c>
      <c r="P1090" s="12">
        <f>HLOOKUP(C1090,'Commission Criteria'!$A$2:$I$4,3,FALSE)</f>
        <v>5</v>
      </c>
      <c r="Q1090" s="8">
        <f t="shared" si="49"/>
        <v>2433</v>
      </c>
      <c r="R1090" s="8">
        <f t="shared" si="50"/>
        <v>4849</v>
      </c>
      <c r="S1090" s="36">
        <f>VLOOKUP(R1090,'Commission Criteria'!$L$3:$M$11,2,TRUE)</f>
        <v>0.01</v>
      </c>
      <c r="T1090" s="36">
        <f>IF(P1090&lt;5,VLOOKUP(R1090,'Commission Criteria'!$L$3:$M$11,2,1),VLOOKUP('Order SUmmary'!R1090,'Commission Criteria'!$P$3:$Q$11,2,1))</f>
        <v>0.02</v>
      </c>
      <c r="U1090" s="36">
        <f>VLOOKUP(R1090,IF(P1090&lt;5,'Commission Criteria'!$L$3:$M$11,'Commission Criteria'!$P$3:$Q$11),2,1)</f>
        <v>0.02</v>
      </c>
      <c r="V1090" s="8" t="s">
        <v>43</v>
      </c>
      <c r="W1090" s="36">
        <f t="shared" ca="1" si="51"/>
        <v>0.04</v>
      </c>
      <c r="X1090" s="8" t="str">
        <f>_xlfn.XLOOKUP(F1090,'Product List'!$B$1:$B$299,'Product List'!$A$1:$A$299)</f>
        <v>Avery 480</v>
      </c>
      <c r="Y1090" s="8"/>
      <c r="Z1090" s="8" t="str" cm="1">
        <f t="array" ref="Z1090:AD1090">_xlfn.XLOOKUP(D1090,'Customer Details'!$A$1:$A$17,'Customer Details'!$B$1:$F$17,"No such customer",0,1)</f>
        <v>Reliance Industries Limited</v>
      </c>
      <c r="AA1090" s="8" t="str">
        <v>12020 Shamrock Rd., Suite 333</v>
      </c>
      <c r="AB1090" s="8" t="str">
        <v>Chestnut Ridge</v>
      </c>
      <c r="AC1090" s="8" t="str">
        <v>NY</v>
      </c>
      <c r="AD1090" s="8" t="str">
        <v>10977</v>
      </c>
    </row>
    <row r="1091" spans="1:30">
      <c r="A1091" s="8" t="s">
        <v>1058</v>
      </c>
      <c r="B1091" s="19">
        <v>42223</v>
      </c>
      <c r="C1091" s="8" t="s">
        <v>27</v>
      </c>
      <c r="D1091" s="8">
        <v>10010</v>
      </c>
      <c r="E1091" s="8" t="str">
        <f>VLOOKUP($D1091,'Customer Details'!$A$1:$F$17,4,FALSE)</f>
        <v>Tracy</v>
      </c>
      <c r="F1091" s="8" t="s">
        <v>445</v>
      </c>
      <c r="G1091" s="8">
        <v>2</v>
      </c>
      <c r="H1091" s="2" t="str">
        <f>VLOOKUP($D1091,'Customer Details'!$A$1:$F$17,MATCH('Order SUmmary'!H$2,'Customer Details'!$A$1:$F$1,0),0)</f>
        <v>Suzlon Energy Ltd.</v>
      </c>
      <c r="I1091" s="2" t="str">
        <f>VLOOKUP($D1091,'Customer Details'!$A$1:$F$17,4,0)</f>
        <v>Tracy</v>
      </c>
      <c r="J1091" s="2" t="str">
        <f>VLOOKUP($D1091,'Customer Details'!$A$1:$F$17,6,0)</f>
        <v>95376</v>
      </c>
      <c r="K1091" s="8" t="str">
        <f>VLOOKUP(VLOOKUP(D1091,'Customer Details'!$A$1:$F$17,5,0),'Region INfo'!$A$1:$C$52,3,0)</f>
        <v xml:space="preserve">Pacific   </v>
      </c>
      <c r="L1091" s="8" t="str">
        <f>INDEX(Product_List,MATCH($F1091,'Product List'!$B$1:$B$299,0),MATCH('Order SUmmary'!L$2,'Product List'!$A$1:$E$1,0))</f>
        <v>Xerox 1882</v>
      </c>
      <c r="M1091" s="8">
        <f>INDEX(Product_List,MATCH($F1091,'Product List'!$B$1:$B$299,0),MATCH('Order SUmmary'!M$2,'Product List'!$A$1:$E$1,0))</f>
        <v>4206</v>
      </c>
      <c r="N1091" s="8">
        <f>INDEX(Product_List,MATCH($F1091,'Product List'!$B$1:$B$299,0),MATCH('Order SUmmary'!N$2,'Product List'!$A$1:$E$1,0))</f>
        <v>1201</v>
      </c>
      <c r="O1091" s="8" t="str">
        <f>INDEX(Product_List,MATCH($F1091,'Product List'!$B$1:$B$299,0),MATCH('Order SUmmary'!O$2,'Product List'!$A$1:$E$1,0))</f>
        <v>Paper</v>
      </c>
      <c r="P1091" s="12">
        <f>HLOOKUP(C1091,'Commission Criteria'!$A$2:$I$4,3,FALSE)</f>
        <v>4</v>
      </c>
      <c r="Q1091" s="8">
        <f t="shared" si="49"/>
        <v>2402</v>
      </c>
      <c r="R1091" s="8">
        <f t="shared" si="50"/>
        <v>8412</v>
      </c>
      <c r="S1091" s="36">
        <f>VLOOKUP(R1091,'Commission Criteria'!$L$3:$M$11,2,TRUE)</f>
        <v>0.03</v>
      </c>
      <c r="T1091" s="36">
        <f>IF(P1091&lt;5,VLOOKUP(R1091,'Commission Criteria'!$L$3:$M$11,2,1),VLOOKUP('Order SUmmary'!R1091,'Commission Criteria'!$P$3:$Q$11,2,1))</f>
        <v>0.03</v>
      </c>
      <c r="U1091" s="36">
        <f>VLOOKUP(R1091,IF(P1091&lt;5,'Commission Criteria'!$L$3:$M$11,'Commission Criteria'!$P$3:$Q$11),2,1)</f>
        <v>0.03</v>
      </c>
      <c r="V1091" s="8" t="s">
        <v>50</v>
      </c>
      <c r="W1091" s="36">
        <f t="shared" ca="1" si="51"/>
        <v>0.01</v>
      </c>
      <c r="X1091" s="8" t="str">
        <f>_xlfn.XLOOKUP(F1091,'Product List'!$B$1:$B$299,'Product List'!$A$1:$A$299)</f>
        <v>Xerox 1882</v>
      </c>
      <c r="Y1091" s="8"/>
      <c r="Z1091" s="8" t="str" cm="1">
        <f t="array" ref="Z1091:AD1091">_xlfn.XLOOKUP(D1091,'Customer Details'!$A$1:$A$17,'Customer Details'!$B$1:$F$17,"No such customer",0,1)</f>
        <v>Suzlon Energy Ltd.</v>
      </c>
      <c r="AA1091" s="8" t="str">
        <v>501 Marsh Trail Circle</v>
      </c>
      <c r="AB1091" s="8" t="str">
        <v>Tracy</v>
      </c>
      <c r="AC1091" s="8" t="str">
        <v>CA</v>
      </c>
      <c r="AD1091" s="8" t="str">
        <v>95376</v>
      </c>
    </row>
    <row r="1092" spans="1:30">
      <c r="A1092" s="8" t="s">
        <v>1059</v>
      </c>
      <c r="B1092" s="19">
        <v>42224</v>
      </c>
      <c r="C1092" s="8" t="s">
        <v>44</v>
      </c>
      <c r="D1092" s="8">
        <v>10002</v>
      </c>
      <c r="E1092" s="8" t="str">
        <f>VLOOKUP($D1092,'Customer Details'!$A$1:$F$17,4,FALSE)</f>
        <v>Omaha</v>
      </c>
      <c r="F1092" s="8" t="s">
        <v>86</v>
      </c>
      <c r="G1092" s="8">
        <v>1</v>
      </c>
      <c r="H1092" s="2" t="str">
        <f>VLOOKUP($D1092,'Customer Details'!$A$1:$F$17,MATCH('Order SUmmary'!H$2,'Customer Details'!$A$1:$F$1,0),0)</f>
        <v>Elder Pharmaceuticals</v>
      </c>
      <c r="I1092" s="2" t="str">
        <f>VLOOKUP($D1092,'Customer Details'!$A$1:$F$17,4,0)</f>
        <v>Omaha</v>
      </c>
      <c r="J1092" s="2" t="str">
        <f>VLOOKUP($D1092,'Customer Details'!$A$1:$F$17,6,0)</f>
        <v>68127</v>
      </c>
      <c r="K1092" s="8" t="str">
        <f>VLOOKUP(VLOOKUP(D1092,'Customer Details'!$A$1:$F$17,5,0),'Region INfo'!$A$1:$C$52,3,0)</f>
        <v>Western</v>
      </c>
      <c r="L1092" s="8" t="str">
        <f>INDEX(Product_List,MATCH($F1092,'Product List'!$B$1:$B$299,0),MATCH('Order SUmmary'!L$2,'Product List'!$A$1:$E$1,0))</f>
        <v>Newell 316</v>
      </c>
      <c r="M1092" s="8">
        <f>INDEX(Product_List,MATCH($F1092,'Product List'!$B$1:$B$299,0),MATCH('Order SUmmary'!M$2,'Product List'!$A$1:$E$1,0))</f>
        <v>2958</v>
      </c>
      <c r="N1092" s="8">
        <f>INDEX(Product_List,MATCH($F1092,'Product List'!$B$1:$B$299,0),MATCH('Order SUmmary'!N$2,'Product List'!$A$1:$E$1,0))</f>
        <v>1678</v>
      </c>
      <c r="O1092" s="8" t="str">
        <f>INDEX(Product_List,MATCH($F1092,'Product List'!$B$1:$B$299,0),MATCH('Order SUmmary'!O$2,'Product List'!$A$1:$E$1,0))</f>
        <v>Art</v>
      </c>
      <c r="P1092" s="12">
        <f>HLOOKUP(C1092,'Commission Criteria'!$A$2:$I$4,3,FALSE)</f>
        <v>4</v>
      </c>
      <c r="Q1092" s="8">
        <f t="shared" ref="Q1092:Q1155" si="52">N1092*G1092</f>
        <v>1678</v>
      </c>
      <c r="R1092" s="8">
        <f t="shared" ref="R1092:R1155" si="53">M1092*G1092</f>
        <v>2958</v>
      </c>
      <c r="S1092" s="36">
        <f>VLOOKUP(R1092,'Commission Criteria'!$L$3:$M$11,2,TRUE)</f>
        <v>0.01</v>
      </c>
      <c r="T1092" s="36">
        <f>IF(P1092&lt;5,VLOOKUP(R1092,'Commission Criteria'!$L$3:$M$11,2,1),VLOOKUP('Order SUmmary'!R1092,'Commission Criteria'!$P$3:$Q$11,2,1))</f>
        <v>0.01</v>
      </c>
      <c r="U1092" s="36">
        <f>VLOOKUP(R1092,IF(P1092&lt;5,'Commission Criteria'!$L$3:$M$11,'Commission Criteria'!$P$3:$Q$11),2,1)</f>
        <v>0.01</v>
      </c>
      <c r="V1092" s="8" t="s">
        <v>40</v>
      </c>
      <c r="W1092" s="36">
        <f t="shared" ref="W1092:W1155" ca="1" si="54">VLOOKUP(F1092,INDIRECT(V1092&amp;"!$A$1:$B$296"),2,0)</f>
        <v>0.01</v>
      </c>
      <c r="X1092" s="8" t="str">
        <f>_xlfn.XLOOKUP(F1092,'Product List'!$B$1:$B$299,'Product List'!$A$1:$A$299)</f>
        <v>Newell 316</v>
      </c>
      <c r="Y1092" s="8"/>
      <c r="Z1092" s="8" t="str" cm="1">
        <f t="array" ref="Z1092:AD1092">_xlfn.XLOOKUP(D1092,'Customer Details'!$A$1:$A$17,'Customer Details'!$B$1:$F$17,"No such customer",0,1)</f>
        <v>Elder Pharmaceuticals</v>
      </c>
      <c r="AA1092" s="8" t="str">
        <v>57 Neriba Cres</v>
      </c>
      <c r="AB1092" s="8" t="str">
        <v>Omaha</v>
      </c>
      <c r="AC1092" s="8" t="str">
        <v>NE</v>
      </c>
      <c r="AD1092" s="8" t="str">
        <v>68127</v>
      </c>
    </row>
    <row r="1093" spans="1:30">
      <c r="A1093" s="8" t="s">
        <v>1059</v>
      </c>
      <c r="B1093" s="19">
        <v>42224</v>
      </c>
      <c r="C1093" s="8" t="s">
        <v>44</v>
      </c>
      <c r="D1093" s="8">
        <v>10001</v>
      </c>
      <c r="E1093" s="8" t="str">
        <f>VLOOKUP($D1093,'Customer Details'!$A$1:$F$17,4,FALSE)</f>
        <v>New York</v>
      </c>
      <c r="F1093" s="8" t="s">
        <v>496</v>
      </c>
      <c r="G1093" s="8">
        <v>1</v>
      </c>
      <c r="H1093" s="2" t="str">
        <f>VLOOKUP($D1093,'Customer Details'!$A$1:$F$17,MATCH('Order SUmmary'!H$2,'Customer Details'!$A$1:$F$1,0),0)</f>
        <v>Chambal Fertilisers and Chemicals Ltd.</v>
      </c>
      <c r="I1093" s="2" t="str">
        <f>VLOOKUP($D1093,'Customer Details'!$A$1:$F$17,4,0)</f>
        <v>New York</v>
      </c>
      <c r="J1093" s="2" t="str">
        <f>VLOOKUP($D1093,'Customer Details'!$A$1:$F$17,6,0)</f>
        <v>10025</v>
      </c>
      <c r="K1093" s="8" t="str">
        <f>VLOOKUP(VLOOKUP(D1093,'Customer Details'!$A$1:$F$17,5,0),'Region INfo'!$A$1:$C$52,3,0)</f>
        <v xml:space="preserve">Northern </v>
      </c>
      <c r="L1093" s="8" t="str">
        <f>INDEX(Product_List,MATCH($F1093,'Product List'!$B$1:$B$299,0),MATCH('Order SUmmary'!L$2,'Product List'!$A$1:$E$1,0))</f>
        <v>Avery 514</v>
      </c>
      <c r="M1093" s="8">
        <f>INDEX(Product_List,MATCH($F1093,'Product List'!$B$1:$B$299,0),MATCH('Order SUmmary'!M$2,'Product List'!$A$1:$E$1,0))</f>
        <v>4996</v>
      </c>
      <c r="N1093" s="8">
        <f>INDEX(Product_List,MATCH($F1093,'Product List'!$B$1:$B$299,0),MATCH('Order SUmmary'!N$2,'Product List'!$A$1:$E$1,0))</f>
        <v>2108</v>
      </c>
      <c r="O1093" s="8" t="str">
        <f>INDEX(Product_List,MATCH($F1093,'Product List'!$B$1:$B$299,0),MATCH('Order SUmmary'!O$2,'Product List'!$A$1:$E$1,0))</f>
        <v>Labels</v>
      </c>
      <c r="P1093" s="12">
        <f>HLOOKUP(C1093,'Commission Criteria'!$A$2:$I$4,3,FALSE)</f>
        <v>4</v>
      </c>
      <c r="Q1093" s="8">
        <f t="shared" si="52"/>
        <v>2108</v>
      </c>
      <c r="R1093" s="8">
        <f t="shared" si="53"/>
        <v>4996</v>
      </c>
      <c r="S1093" s="36">
        <f>VLOOKUP(R1093,'Commission Criteria'!$L$3:$M$11,2,TRUE)</f>
        <v>0.01</v>
      </c>
      <c r="T1093" s="36">
        <f>IF(P1093&lt;5,VLOOKUP(R1093,'Commission Criteria'!$L$3:$M$11,2,1),VLOOKUP('Order SUmmary'!R1093,'Commission Criteria'!$P$3:$Q$11,2,1))</f>
        <v>0.01</v>
      </c>
      <c r="U1093" s="36">
        <f>VLOOKUP(R1093,IF(P1093&lt;5,'Commission Criteria'!$L$3:$M$11,'Commission Criteria'!$P$3:$Q$11),2,1)</f>
        <v>0.01</v>
      </c>
      <c r="V1093" s="8" t="s">
        <v>29</v>
      </c>
      <c r="W1093" s="36">
        <f t="shared" ca="1" si="54"/>
        <v>0</v>
      </c>
      <c r="X1093" s="8" t="str">
        <f>_xlfn.XLOOKUP(F1093,'Product List'!$B$1:$B$299,'Product List'!$A$1:$A$299)</f>
        <v>Avery 514</v>
      </c>
      <c r="Y1093" s="8"/>
      <c r="Z1093" s="8" t="str" cm="1">
        <f t="array" ref="Z1093:AD1093">_xlfn.XLOOKUP(D1093,'Customer Details'!$A$1:$A$17,'Customer Details'!$B$1:$F$17,"No such customer",0,1)</f>
        <v>Chambal Fertilisers and Chemicals Ltd.</v>
      </c>
      <c r="AA1093" s="8" t="str">
        <v>4951 Indiana Ave.</v>
      </c>
      <c r="AB1093" s="8" t="str">
        <v>New York</v>
      </c>
      <c r="AC1093" s="8" t="str">
        <v>NY</v>
      </c>
      <c r="AD1093" s="8" t="str">
        <v>10025</v>
      </c>
    </row>
    <row r="1094" spans="1:30">
      <c r="A1094" s="8" t="s">
        <v>1059</v>
      </c>
      <c r="B1094" s="19">
        <v>42224</v>
      </c>
      <c r="C1094" s="8" t="s">
        <v>27</v>
      </c>
      <c r="D1094" s="8">
        <v>10013</v>
      </c>
      <c r="E1094" s="8" t="str">
        <f>VLOOKUP($D1094,'Customer Details'!$A$1:$F$17,4,FALSE)</f>
        <v>Naugatuck</v>
      </c>
      <c r="F1094" s="8" t="s">
        <v>213</v>
      </c>
      <c r="G1094" s="8">
        <v>2</v>
      </c>
      <c r="H1094" s="2" t="str">
        <f>VLOOKUP($D1094,'Customer Details'!$A$1:$F$17,MATCH('Order SUmmary'!H$2,'Customer Details'!$A$1:$F$1,0),0)</f>
        <v>GMR Infrastructure Ltd.</v>
      </c>
      <c r="I1094" s="2" t="str">
        <f>VLOOKUP($D1094,'Customer Details'!$A$1:$F$17,4,0)</f>
        <v>Naugatuck</v>
      </c>
      <c r="J1094" s="2" t="str">
        <f>VLOOKUP($D1094,'Customer Details'!$A$1:$F$17,6,0)</f>
        <v>06770</v>
      </c>
      <c r="K1094" s="8" t="str">
        <f>VLOOKUP(VLOOKUP(D1094,'Customer Details'!$A$1:$F$17,5,0),'Region INfo'!$A$1:$C$52,3,0)</f>
        <v xml:space="preserve">Northern </v>
      </c>
      <c r="L1094" s="8" t="str">
        <f>INDEX(Product_List,MATCH($F1094,'Product List'!$B$1:$B$299,0),MATCH('Order SUmmary'!L$2,'Product List'!$A$1:$E$1,0))</f>
        <v>Cisco SPA301</v>
      </c>
      <c r="M1094" s="8">
        <f>INDEX(Product_List,MATCH($F1094,'Product List'!$B$1:$B$299,0),MATCH('Order SUmmary'!M$2,'Product List'!$A$1:$E$1,0))</f>
        <v>2921</v>
      </c>
      <c r="N1094" s="8">
        <f>INDEX(Product_List,MATCH($F1094,'Product List'!$B$1:$B$299,0),MATCH('Order SUmmary'!N$2,'Product List'!$A$1:$E$1,0))</f>
        <v>1786</v>
      </c>
      <c r="O1094" s="8" t="str">
        <f>INDEX(Product_List,MATCH($F1094,'Product List'!$B$1:$B$299,0),MATCH('Order SUmmary'!O$2,'Product List'!$A$1:$E$1,0))</f>
        <v>Phones</v>
      </c>
      <c r="P1094" s="12">
        <f>HLOOKUP(C1094,'Commission Criteria'!$A$2:$I$4,3,FALSE)</f>
        <v>4</v>
      </c>
      <c r="Q1094" s="8">
        <f t="shared" si="52"/>
        <v>3572</v>
      </c>
      <c r="R1094" s="8">
        <f t="shared" si="53"/>
        <v>5842</v>
      </c>
      <c r="S1094" s="36">
        <f>VLOOKUP(R1094,'Commission Criteria'!$L$3:$M$11,2,TRUE)</f>
        <v>0.03</v>
      </c>
      <c r="T1094" s="36">
        <f>IF(P1094&lt;5,VLOOKUP(R1094,'Commission Criteria'!$L$3:$M$11,2,1),VLOOKUP('Order SUmmary'!R1094,'Commission Criteria'!$P$3:$Q$11,2,1))</f>
        <v>0.03</v>
      </c>
      <c r="U1094" s="36">
        <f>VLOOKUP(R1094,IF(P1094&lt;5,'Commission Criteria'!$L$3:$M$11,'Commission Criteria'!$P$3:$Q$11),2,1)</f>
        <v>0.03</v>
      </c>
      <c r="V1094" s="8" t="s">
        <v>40</v>
      </c>
      <c r="W1094" s="36">
        <f t="shared" ca="1" si="54"/>
        <v>0.01</v>
      </c>
      <c r="X1094" s="8" t="str">
        <f>_xlfn.XLOOKUP(F1094,'Product List'!$B$1:$B$299,'Product List'!$A$1:$A$299)</f>
        <v>Cisco SPA301</v>
      </c>
      <c r="Y1094" s="8"/>
      <c r="Z1094" s="8" t="str" cm="1">
        <f t="array" ref="Z1094:AD1094">_xlfn.XLOOKUP(D1094,'Customer Details'!$A$1:$A$17,'Customer Details'!$B$1:$F$17,"No such customer",0,1)</f>
        <v>GMR Infrastructure Ltd.</v>
      </c>
      <c r="AA1094" s="8" t="str">
        <v>P.O. Box 4421</v>
      </c>
      <c r="AB1094" s="8" t="str">
        <v>Naugatuck</v>
      </c>
      <c r="AC1094" s="8" t="str">
        <v>CT</v>
      </c>
      <c r="AD1094" s="8" t="str">
        <v>06770</v>
      </c>
    </row>
    <row r="1095" spans="1:30">
      <c r="A1095" s="8" t="s">
        <v>1060</v>
      </c>
      <c r="B1095" s="19">
        <v>42228</v>
      </c>
      <c r="C1095" s="8" t="s">
        <v>33</v>
      </c>
      <c r="D1095" s="8">
        <v>10010</v>
      </c>
      <c r="E1095" s="8" t="str">
        <f>VLOOKUP($D1095,'Customer Details'!$A$1:$F$17,4,FALSE)</f>
        <v>Tracy</v>
      </c>
      <c r="F1095" s="8" t="s">
        <v>932</v>
      </c>
      <c r="G1095" s="8">
        <v>2</v>
      </c>
      <c r="H1095" s="2" t="str">
        <f>VLOOKUP($D1095,'Customer Details'!$A$1:$F$17,MATCH('Order SUmmary'!H$2,'Customer Details'!$A$1:$F$1,0),0)</f>
        <v>Suzlon Energy Ltd.</v>
      </c>
      <c r="I1095" s="2" t="str">
        <f>VLOOKUP($D1095,'Customer Details'!$A$1:$F$17,4,0)</f>
        <v>Tracy</v>
      </c>
      <c r="J1095" s="2" t="str">
        <f>VLOOKUP($D1095,'Customer Details'!$A$1:$F$17,6,0)</f>
        <v>95376</v>
      </c>
      <c r="K1095" s="8" t="str">
        <f>VLOOKUP(VLOOKUP(D1095,'Customer Details'!$A$1:$F$17,5,0),'Region INfo'!$A$1:$C$52,3,0)</f>
        <v xml:space="preserve">Pacific   </v>
      </c>
      <c r="L1095" s="8" t="str">
        <f>INDEX(Product_List,MATCH($F1095,'Product List'!$B$1:$B$299,0),MATCH('Order SUmmary'!L$2,'Product List'!$A$1:$E$1,0))</f>
        <v>Xerox 1965</v>
      </c>
      <c r="M1095" s="8">
        <f>INDEX(Product_List,MATCH($F1095,'Product List'!$B$1:$B$299,0),MATCH('Order SUmmary'!M$2,'Product List'!$A$1:$E$1,0))</f>
        <v>4173</v>
      </c>
      <c r="N1095" s="8">
        <f>INDEX(Product_List,MATCH($F1095,'Product List'!$B$1:$B$299,0),MATCH('Order SUmmary'!N$2,'Product List'!$A$1:$E$1,0))</f>
        <v>2497</v>
      </c>
      <c r="O1095" s="8" t="str">
        <f>INDEX(Product_List,MATCH($F1095,'Product List'!$B$1:$B$299,0),MATCH('Order SUmmary'!O$2,'Product List'!$A$1:$E$1,0))</f>
        <v>Paper</v>
      </c>
      <c r="P1095" s="12">
        <f>HLOOKUP(C1095,'Commission Criteria'!$A$2:$I$4,3,FALSE)</f>
        <v>1</v>
      </c>
      <c r="Q1095" s="8">
        <f t="shared" si="52"/>
        <v>4994</v>
      </c>
      <c r="R1095" s="8">
        <f t="shared" si="53"/>
        <v>8346</v>
      </c>
      <c r="S1095" s="36">
        <f>VLOOKUP(R1095,'Commission Criteria'!$L$3:$M$11,2,TRUE)</f>
        <v>0.03</v>
      </c>
      <c r="T1095" s="36">
        <f>IF(P1095&lt;5,VLOOKUP(R1095,'Commission Criteria'!$L$3:$M$11,2,1),VLOOKUP('Order SUmmary'!R1095,'Commission Criteria'!$P$3:$Q$11,2,1))</f>
        <v>0.03</v>
      </c>
      <c r="U1095" s="36">
        <f>VLOOKUP(R1095,IF(P1095&lt;5,'Commission Criteria'!$L$3:$M$11,'Commission Criteria'!$P$3:$Q$11),2,1)</f>
        <v>0.03</v>
      </c>
      <c r="V1095" s="8" t="s">
        <v>40</v>
      </c>
      <c r="W1095" s="36">
        <f t="shared" ca="1" si="54"/>
        <v>0.05</v>
      </c>
      <c r="X1095" s="8" t="str">
        <f>_xlfn.XLOOKUP(F1095,'Product List'!$B$1:$B$299,'Product List'!$A$1:$A$299)</f>
        <v>Xerox 1965</v>
      </c>
      <c r="Y1095" s="8"/>
      <c r="Z1095" s="8" t="str" cm="1">
        <f t="array" ref="Z1095:AD1095">_xlfn.XLOOKUP(D1095,'Customer Details'!$A$1:$A$17,'Customer Details'!$B$1:$F$17,"No such customer",0,1)</f>
        <v>Suzlon Energy Ltd.</v>
      </c>
      <c r="AA1095" s="8" t="str">
        <v>501 Marsh Trail Circle</v>
      </c>
      <c r="AB1095" s="8" t="str">
        <v>Tracy</v>
      </c>
      <c r="AC1095" s="8" t="str">
        <v>CA</v>
      </c>
      <c r="AD1095" s="8" t="str">
        <v>95376</v>
      </c>
    </row>
    <row r="1096" spans="1:30">
      <c r="A1096" s="8" t="s">
        <v>1061</v>
      </c>
      <c r="B1096" s="19">
        <v>42230</v>
      </c>
      <c r="C1096" s="8" t="s">
        <v>36</v>
      </c>
      <c r="D1096" s="8">
        <v>10009</v>
      </c>
      <c r="E1096" s="8" t="str">
        <f>VLOOKUP($D1096,'Customer Details'!$A$1:$F$17,4,FALSE)</f>
        <v>Salt Lake City</v>
      </c>
      <c r="F1096" s="8" t="s">
        <v>250</v>
      </c>
      <c r="G1096" s="8">
        <v>24</v>
      </c>
      <c r="H1096" s="2" t="str">
        <f>VLOOKUP($D1096,'Customer Details'!$A$1:$F$17,MATCH('Order SUmmary'!H$2,'Customer Details'!$A$1:$F$1,0),0)</f>
        <v>Godfrey Philips India Ltd.</v>
      </c>
      <c r="I1096" s="2" t="str">
        <f>VLOOKUP($D1096,'Customer Details'!$A$1:$F$17,4,0)</f>
        <v>Salt Lake City</v>
      </c>
      <c r="J1096" s="2" t="str">
        <f>VLOOKUP($D1096,'Customer Details'!$A$1:$F$17,6,0)</f>
        <v>84118</v>
      </c>
      <c r="K1096" s="8" t="str">
        <f>VLOOKUP(VLOOKUP(D1096,'Customer Details'!$A$1:$F$17,5,0),'Region INfo'!$A$1:$C$52,3,0)</f>
        <v xml:space="preserve">Pacific   </v>
      </c>
      <c r="L1096" s="8" t="str">
        <f>INDEX(Product_List,MATCH($F1096,'Product List'!$B$1:$B$299,0),MATCH('Order SUmmary'!L$2,'Product List'!$A$1:$E$1,0))</f>
        <v>Avery 473</v>
      </c>
      <c r="M1096" s="8">
        <f>INDEX(Product_List,MATCH($F1096,'Product List'!$B$1:$B$299,0),MATCH('Order SUmmary'!M$2,'Product List'!$A$1:$E$1,0))</f>
        <v>4185</v>
      </c>
      <c r="N1096" s="8">
        <f>INDEX(Product_List,MATCH($F1096,'Product List'!$B$1:$B$299,0),MATCH('Order SUmmary'!N$2,'Product List'!$A$1:$E$1,0))</f>
        <v>1204</v>
      </c>
      <c r="O1096" s="8" t="str">
        <f>INDEX(Product_List,MATCH($F1096,'Product List'!$B$1:$B$299,0),MATCH('Order SUmmary'!O$2,'Product List'!$A$1:$E$1,0))</f>
        <v>Labels</v>
      </c>
      <c r="P1096" s="12">
        <f>HLOOKUP(C1096,'Commission Criteria'!$A$2:$I$4,3,FALSE)</f>
        <v>6</v>
      </c>
      <c r="Q1096" s="8">
        <f t="shared" si="52"/>
        <v>28896</v>
      </c>
      <c r="R1096" s="8">
        <f t="shared" si="53"/>
        <v>100440</v>
      </c>
      <c r="S1096" s="36">
        <f>VLOOKUP(R1096,'Commission Criteria'!$L$3:$M$11,2,TRUE)</f>
        <v>0.09</v>
      </c>
      <c r="T1096" s="36">
        <f>IF(P1096&lt;5,VLOOKUP(R1096,'Commission Criteria'!$L$3:$M$11,2,1),VLOOKUP('Order SUmmary'!R1096,'Commission Criteria'!$P$3:$Q$11,2,1))</f>
        <v>0.1</v>
      </c>
      <c r="U1096" s="36">
        <f>VLOOKUP(R1096,IF(P1096&lt;5,'Commission Criteria'!$L$3:$M$11,'Commission Criteria'!$P$3:$Q$11),2,1)</f>
        <v>0.1</v>
      </c>
      <c r="V1096" s="8" t="s">
        <v>50</v>
      </c>
      <c r="W1096" s="36">
        <f t="shared" ca="1" si="54"/>
        <v>0</v>
      </c>
      <c r="X1096" s="8" t="str">
        <f>_xlfn.XLOOKUP(F1096,'Product List'!$B$1:$B$299,'Product List'!$A$1:$A$299)</f>
        <v>Avery 473</v>
      </c>
      <c r="Y1096" s="8"/>
      <c r="Z1096" s="8" t="str" cm="1">
        <f t="array" ref="Z1096:AD1096">_xlfn.XLOOKUP(D1096,'Customer Details'!$A$1:$A$17,'Customer Details'!$B$1:$F$17,"No such customer",0,1)</f>
        <v>Godfrey Philips India Ltd.</v>
      </c>
      <c r="AA1096" s="8" t="str">
        <v>20501 Ania Ave #2</v>
      </c>
      <c r="AB1096" s="8" t="str">
        <v>Salt Lake City</v>
      </c>
      <c r="AC1096" s="8" t="str">
        <v>UT</v>
      </c>
      <c r="AD1096" s="8" t="str">
        <v>84118</v>
      </c>
    </row>
    <row r="1097" spans="1:30">
      <c r="A1097" s="8" t="s">
        <v>1062</v>
      </c>
      <c r="B1097" s="19">
        <v>42231</v>
      </c>
      <c r="C1097" s="8" t="s">
        <v>51</v>
      </c>
      <c r="D1097" s="8">
        <v>10015</v>
      </c>
      <c r="E1097" s="8" t="str">
        <f>VLOOKUP($D1097,'Customer Details'!$A$1:$F$17,4,FALSE)</f>
        <v>South Windsor</v>
      </c>
      <c r="F1097" s="8" t="s">
        <v>358</v>
      </c>
      <c r="G1097" s="8">
        <v>1</v>
      </c>
      <c r="H1097" s="2" t="str">
        <f>VLOOKUP($D1097,'Customer Details'!$A$1:$F$17,MATCH('Order SUmmary'!H$2,'Customer Details'!$A$1:$F$1,0),0)</f>
        <v>Punj Lloyd Ltd.</v>
      </c>
      <c r="I1097" s="2" t="str">
        <f>VLOOKUP($D1097,'Customer Details'!$A$1:$F$17,4,0)</f>
        <v>South Windsor</v>
      </c>
      <c r="J1097" s="2" t="str">
        <f>VLOOKUP($D1097,'Customer Details'!$A$1:$F$17,6,0)</f>
        <v>06074</v>
      </c>
      <c r="K1097" s="8" t="str">
        <f>VLOOKUP(VLOOKUP(D1097,'Customer Details'!$A$1:$F$17,5,0),'Region INfo'!$A$1:$C$52,3,0)</f>
        <v xml:space="preserve">Northern </v>
      </c>
      <c r="L1097" s="8" t="str">
        <f>INDEX(Product_List,MATCH($F1097,'Product List'!$B$1:$B$299,0),MATCH('Order SUmmary'!L$2,'Product List'!$A$1:$E$1,0))</f>
        <v>Xerox 1962</v>
      </c>
      <c r="M1097" s="8">
        <f>INDEX(Product_List,MATCH($F1097,'Product List'!$B$1:$B$299,0),MATCH('Order SUmmary'!M$2,'Product List'!$A$1:$E$1,0))</f>
        <v>3573</v>
      </c>
      <c r="N1097" s="8">
        <f>INDEX(Product_List,MATCH($F1097,'Product List'!$B$1:$B$299,0),MATCH('Order SUmmary'!N$2,'Product List'!$A$1:$E$1,0))</f>
        <v>1857</v>
      </c>
      <c r="O1097" s="8" t="str">
        <f>INDEX(Product_List,MATCH($F1097,'Product List'!$B$1:$B$299,0),MATCH('Order SUmmary'!O$2,'Product List'!$A$1:$E$1,0))</f>
        <v>Paper</v>
      </c>
      <c r="P1097" s="12">
        <f>HLOOKUP(C1097,'Commission Criteria'!$A$2:$I$4,3,FALSE)</f>
        <v>10</v>
      </c>
      <c r="Q1097" s="8">
        <f t="shared" si="52"/>
        <v>1857</v>
      </c>
      <c r="R1097" s="8">
        <f t="shared" si="53"/>
        <v>3573</v>
      </c>
      <c r="S1097" s="36">
        <f>VLOOKUP(R1097,'Commission Criteria'!$L$3:$M$11,2,TRUE)</f>
        <v>0.01</v>
      </c>
      <c r="T1097" s="36">
        <f>IF(P1097&lt;5,VLOOKUP(R1097,'Commission Criteria'!$L$3:$M$11,2,1),VLOOKUP('Order SUmmary'!R1097,'Commission Criteria'!$P$3:$Q$11,2,1))</f>
        <v>0.02</v>
      </c>
      <c r="U1097" s="36">
        <f>VLOOKUP(R1097,IF(P1097&lt;5,'Commission Criteria'!$L$3:$M$11,'Commission Criteria'!$P$3:$Q$11),2,1)</f>
        <v>0.02</v>
      </c>
      <c r="V1097" s="8" t="s">
        <v>35</v>
      </c>
      <c r="W1097" s="36">
        <f t="shared" ca="1" si="54"/>
        <v>0</v>
      </c>
      <c r="X1097" s="8" t="str">
        <f>_xlfn.XLOOKUP(F1097,'Product List'!$B$1:$B$299,'Product List'!$A$1:$A$299)</f>
        <v>Xerox 1962</v>
      </c>
      <c r="Y1097" s="8"/>
      <c r="Z1097" s="8" t="str" cm="1">
        <f t="array" ref="Z1097:AD1097">_xlfn.XLOOKUP(D1097,'Customer Details'!$A$1:$A$17,'Customer Details'!$B$1:$F$17,"No such customer",0,1)</f>
        <v>Punj Lloyd Ltd.</v>
      </c>
      <c r="AA1097" s="8" t="str">
        <v>Box 3263</v>
      </c>
      <c r="AB1097" s="8" t="str">
        <v>South Windsor</v>
      </c>
      <c r="AC1097" s="8" t="str">
        <v>CT</v>
      </c>
      <c r="AD1097" s="8" t="str">
        <v>06074</v>
      </c>
    </row>
    <row r="1098" spans="1:30">
      <c r="A1098" s="8" t="s">
        <v>1063</v>
      </c>
      <c r="B1098" s="19">
        <v>42231</v>
      </c>
      <c r="C1098" s="8" t="s">
        <v>27</v>
      </c>
      <c r="D1098" s="8">
        <v>10008</v>
      </c>
      <c r="E1098" s="8" t="str">
        <f>VLOOKUP($D1098,'Customer Details'!$A$1:$F$17,4,FALSE)</f>
        <v>Chestnut Ridge</v>
      </c>
      <c r="F1098" s="8" t="s">
        <v>464</v>
      </c>
      <c r="G1098" s="8">
        <v>3</v>
      </c>
      <c r="H1098" s="2" t="str">
        <f>VLOOKUP($D1098,'Customer Details'!$A$1:$F$17,MATCH('Order SUmmary'!H$2,'Customer Details'!$A$1:$F$1,0),0)</f>
        <v>Reliance Industries Limited</v>
      </c>
      <c r="I1098" s="2" t="str">
        <f>VLOOKUP($D1098,'Customer Details'!$A$1:$F$17,4,0)</f>
        <v>Chestnut Ridge</v>
      </c>
      <c r="J1098" s="2" t="str">
        <f>VLOOKUP($D1098,'Customer Details'!$A$1:$F$17,6,0)</f>
        <v>10977</v>
      </c>
      <c r="K1098" s="8" t="str">
        <f>VLOOKUP(VLOOKUP(D1098,'Customer Details'!$A$1:$F$17,5,0),'Region INfo'!$A$1:$C$52,3,0)</f>
        <v xml:space="preserve">Northern </v>
      </c>
      <c r="L1098" s="8" t="str">
        <f>INDEX(Product_List,MATCH($F1098,'Product List'!$B$1:$B$299,0),MATCH('Order SUmmary'!L$2,'Product List'!$A$1:$E$1,0))</f>
        <v>Xerox 22</v>
      </c>
      <c r="M1098" s="8">
        <f>INDEX(Product_List,MATCH($F1098,'Product List'!$B$1:$B$299,0),MATCH('Order SUmmary'!M$2,'Product List'!$A$1:$E$1,0))</f>
        <v>3094</v>
      </c>
      <c r="N1098" s="8">
        <f>INDEX(Product_List,MATCH($F1098,'Product List'!$B$1:$B$299,0),MATCH('Order SUmmary'!N$2,'Product List'!$A$1:$E$1,0))</f>
        <v>2233</v>
      </c>
      <c r="O1098" s="8" t="str">
        <f>INDEX(Product_List,MATCH($F1098,'Product List'!$B$1:$B$299,0),MATCH('Order SUmmary'!O$2,'Product List'!$A$1:$E$1,0))</f>
        <v>Paper</v>
      </c>
      <c r="P1098" s="12">
        <f>HLOOKUP(C1098,'Commission Criteria'!$A$2:$I$4,3,FALSE)</f>
        <v>4</v>
      </c>
      <c r="Q1098" s="8">
        <f t="shared" si="52"/>
        <v>6699</v>
      </c>
      <c r="R1098" s="8">
        <f t="shared" si="53"/>
        <v>9282</v>
      </c>
      <c r="S1098" s="36">
        <f>VLOOKUP(R1098,'Commission Criteria'!$L$3:$M$11,2,TRUE)</f>
        <v>0.03</v>
      </c>
      <c r="T1098" s="36">
        <f>IF(P1098&lt;5,VLOOKUP(R1098,'Commission Criteria'!$L$3:$M$11,2,1),VLOOKUP('Order SUmmary'!R1098,'Commission Criteria'!$P$3:$Q$11,2,1))</f>
        <v>0.03</v>
      </c>
      <c r="U1098" s="36">
        <f>VLOOKUP(R1098,IF(P1098&lt;5,'Commission Criteria'!$L$3:$M$11,'Commission Criteria'!$P$3:$Q$11),2,1)</f>
        <v>0.03</v>
      </c>
      <c r="V1098" s="8" t="s">
        <v>32</v>
      </c>
      <c r="W1098" s="36">
        <f t="shared" ca="1" si="54"/>
        <v>0</v>
      </c>
      <c r="X1098" s="8" t="str">
        <f>_xlfn.XLOOKUP(F1098,'Product List'!$B$1:$B$299,'Product List'!$A$1:$A$299)</f>
        <v>Xerox 22</v>
      </c>
      <c r="Y1098" s="8"/>
      <c r="Z1098" s="8" t="str" cm="1">
        <f t="array" ref="Z1098:AD1098">_xlfn.XLOOKUP(D1098,'Customer Details'!$A$1:$A$17,'Customer Details'!$B$1:$F$17,"No such customer",0,1)</f>
        <v>Reliance Industries Limited</v>
      </c>
      <c r="AA1098" s="8" t="str">
        <v>12020 Shamrock Rd., Suite 333</v>
      </c>
      <c r="AB1098" s="8" t="str">
        <v>Chestnut Ridge</v>
      </c>
      <c r="AC1098" s="8" t="str">
        <v>NY</v>
      </c>
      <c r="AD1098" s="8" t="str">
        <v>10977</v>
      </c>
    </row>
    <row r="1099" spans="1:30">
      <c r="A1099" s="8" t="s">
        <v>1064</v>
      </c>
      <c r="B1099" s="19">
        <v>42232</v>
      </c>
      <c r="C1099" s="8" t="s">
        <v>46</v>
      </c>
      <c r="D1099" s="8">
        <v>10008</v>
      </c>
      <c r="E1099" s="8" t="str">
        <f>VLOOKUP($D1099,'Customer Details'!$A$1:$F$17,4,FALSE)</f>
        <v>Chestnut Ridge</v>
      </c>
      <c r="F1099" s="8" t="s">
        <v>659</v>
      </c>
      <c r="G1099" s="8">
        <v>1</v>
      </c>
      <c r="H1099" s="2" t="str">
        <f>VLOOKUP($D1099,'Customer Details'!$A$1:$F$17,MATCH('Order SUmmary'!H$2,'Customer Details'!$A$1:$F$1,0),0)</f>
        <v>Reliance Industries Limited</v>
      </c>
      <c r="I1099" s="2" t="str">
        <f>VLOOKUP($D1099,'Customer Details'!$A$1:$F$17,4,0)</f>
        <v>Chestnut Ridge</v>
      </c>
      <c r="J1099" s="2" t="str">
        <f>VLOOKUP($D1099,'Customer Details'!$A$1:$F$17,6,0)</f>
        <v>10977</v>
      </c>
      <c r="K1099" s="8" t="str">
        <f>VLOOKUP(VLOOKUP(D1099,'Customer Details'!$A$1:$F$17,5,0),'Region INfo'!$A$1:$C$52,3,0)</f>
        <v xml:space="preserve">Northern </v>
      </c>
      <c r="L1099" s="8" t="str">
        <f>INDEX(Product_List,MATCH($F1099,'Product List'!$B$1:$B$299,0),MATCH('Order SUmmary'!L$2,'Product List'!$A$1:$E$1,0))</f>
        <v>Newell 312</v>
      </c>
      <c r="M1099" s="8">
        <f>INDEX(Product_List,MATCH($F1099,'Product List'!$B$1:$B$299,0),MATCH('Order SUmmary'!M$2,'Product List'!$A$1:$E$1,0))</f>
        <v>4325</v>
      </c>
      <c r="N1099" s="8">
        <f>INDEX(Product_List,MATCH($F1099,'Product List'!$B$1:$B$299,0),MATCH('Order SUmmary'!N$2,'Product List'!$A$1:$E$1,0))</f>
        <v>1734</v>
      </c>
      <c r="O1099" s="8" t="str">
        <f>INDEX(Product_List,MATCH($F1099,'Product List'!$B$1:$B$299,0),MATCH('Order SUmmary'!O$2,'Product List'!$A$1:$E$1,0))</f>
        <v>Art</v>
      </c>
      <c r="P1099" s="12">
        <f>HLOOKUP(C1099,'Commission Criteria'!$A$2:$I$4,3,FALSE)</f>
        <v>8</v>
      </c>
      <c r="Q1099" s="8">
        <f t="shared" si="52"/>
        <v>1734</v>
      </c>
      <c r="R1099" s="8">
        <f t="shared" si="53"/>
        <v>4325</v>
      </c>
      <c r="S1099" s="36">
        <f>VLOOKUP(R1099,'Commission Criteria'!$L$3:$M$11,2,TRUE)</f>
        <v>0.01</v>
      </c>
      <c r="T1099" s="36">
        <f>IF(P1099&lt;5,VLOOKUP(R1099,'Commission Criteria'!$L$3:$M$11,2,1),VLOOKUP('Order SUmmary'!R1099,'Commission Criteria'!$P$3:$Q$11,2,1))</f>
        <v>0.02</v>
      </c>
      <c r="U1099" s="36">
        <f>VLOOKUP(R1099,IF(P1099&lt;5,'Commission Criteria'!$L$3:$M$11,'Commission Criteria'!$P$3:$Q$11),2,1)</f>
        <v>0.02</v>
      </c>
      <c r="V1099" s="8" t="s">
        <v>32</v>
      </c>
      <c r="W1099" s="36">
        <f t="shared" ca="1" si="54"/>
        <v>0</v>
      </c>
      <c r="X1099" s="8" t="str">
        <f>_xlfn.XLOOKUP(F1099,'Product List'!$B$1:$B$299,'Product List'!$A$1:$A$299)</f>
        <v>Newell 312</v>
      </c>
      <c r="Y1099" s="8"/>
      <c r="Z1099" s="8" t="str" cm="1">
        <f t="array" ref="Z1099:AD1099">_xlfn.XLOOKUP(D1099,'Customer Details'!$A$1:$A$17,'Customer Details'!$B$1:$F$17,"No such customer",0,1)</f>
        <v>Reliance Industries Limited</v>
      </c>
      <c r="AA1099" s="8" t="str">
        <v>12020 Shamrock Rd., Suite 333</v>
      </c>
      <c r="AB1099" s="8" t="str">
        <v>Chestnut Ridge</v>
      </c>
      <c r="AC1099" s="8" t="str">
        <v>NY</v>
      </c>
      <c r="AD1099" s="8" t="str">
        <v>10977</v>
      </c>
    </row>
    <row r="1100" spans="1:30">
      <c r="A1100" s="8" t="s">
        <v>1064</v>
      </c>
      <c r="B1100" s="19">
        <v>42232</v>
      </c>
      <c r="C1100" s="8" t="s">
        <v>27</v>
      </c>
      <c r="D1100" s="8">
        <v>10005</v>
      </c>
      <c r="E1100" s="8" t="str">
        <f>VLOOKUP($D1100,'Customer Details'!$A$1:$F$17,4,FALSE)</f>
        <v>Goleta</v>
      </c>
      <c r="F1100" s="8" t="s">
        <v>174</v>
      </c>
      <c r="G1100" s="8">
        <v>3</v>
      </c>
      <c r="H1100" s="2" t="str">
        <f>VLOOKUP($D1100,'Customer Details'!$A$1:$F$17,MATCH('Order SUmmary'!H$2,'Customer Details'!$A$1:$F$1,0),0)</f>
        <v>Fortis Healthcare Ltd.</v>
      </c>
      <c r="I1100" s="2" t="str">
        <f>VLOOKUP($D1100,'Customer Details'!$A$1:$F$17,4,0)</f>
        <v>Goleta</v>
      </c>
      <c r="J1100" s="2" t="str">
        <f>VLOOKUP($D1100,'Customer Details'!$A$1:$F$17,6,0)</f>
        <v>93117</v>
      </c>
      <c r="K1100" s="8" t="str">
        <f>VLOOKUP(VLOOKUP(D1100,'Customer Details'!$A$1:$F$17,5,0),'Region INfo'!$A$1:$C$52,3,0)</f>
        <v xml:space="preserve">Pacific   </v>
      </c>
      <c r="L1100" s="8" t="str">
        <f>INDEX(Product_List,MATCH($F1100,'Product List'!$B$1:$B$299,0),MATCH('Order SUmmary'!L$2,'Product List'!$A$1:$E$1,0))</f>
        <v>Staples</v>
      </c>
      <c r="M1100" s="8">
        <f>INDEX(Product_List,MATCH($F1100,'Product List'!$B$1:$B$299,0),MATCH('Order SUmmary'!M$2,'Product List'!$A$1:$E$1,0))</f>
        <v>2747</v>
      </c>
      <c r="N1100" s="8">
        <f>INDEX(Product_List,MATCH($F1100,'Product List'!$B$1:$B$299,0),MATCH('Order SUmmary'!N$2,'Product List'!$A$1:$E$1,0))</f>
        <v>2098</v>
      </c>
      <c r="O1100" s="8" t="str">
        <f>INDEX(Product_List,MATCH($F1100,'Product List'!$B$1:$B$299,0),MATCH('Order SUmmary'!O$2,'Product List'!$A$1:$E$1,0))</f>
        <v>Fasteners</v>
      </c>
      <c r="P1100" s="12">
        <f>HLOOKUP(C1100,'Commission Criteria'!$A$2:$I$4,3,FALSE)</f>
        <v>4</v>
      </c>
      <c r="Q1100" s="8">
        <f t="shared" si="52"/>
        <v>6294</v>
      </c>
      <c r="R1100" s="8">
        <f t="shared" si="53"/>
        <v>8241</v>
      </c>
      <c r="S1100" s="36">
        <f>VLOOKUP(R1100,'Commission Criteria'!$L$3:$M$11,2,TRUE)</f>
        <v>0.03</v>
      </c>
      <c r="T1100" s="36">
        <f>IF(P1100&lt;5,VLOOKUP(R1100,'Commission Criteria'!$L$3:$M$11,2,1),VLOOKUP('Order SUmmary'!R1100,'Commission Criteria'!$P$3:$Q$11,2,1))</f>
        <v>0.03</v>
      </c>
      <c r="U1100" s="36">
        <f>VLOOKUP(R1100,IF(P1100&lt;5,'Commission Criteria'!$L$3:$M$11,'Commission Criteria'!$P$3:$Q$11),2,1)</f>
        <v>0.03</v>
      </c>
      <c r="V1100" s="8" t="s">
        <v>40</v>
      </c>
      <c r="W1100" s="36">
        <f t="shared" ca="1" si="54"/>
        <v>0.05</v>
      </c>
      <c r="X1100" s="8" t="str">
        <f>_xlfn.XLOOKUP(F1100,'Product List'!$B$1:$B$299,'Product List'!$A$1:$A$299)</f>
        <v>Staples</v>
      </c>
      <c r="Y1100" s="8"/>
      <c r="Z1100" s="8" t="str" cm="1">
        <f t="array" ref="Z1100:AD1100">_xlfn.XLOOKUP(D1100,'Customer Details'!$A$1:$A$17,'Customer Details'!$B$1:$F$17,"No such customer",0,1)</f>
        <v>Fortis Healthcare Ltd.</v>
      </c>
      <c r="AA1100" s="8" t="str">
        <v>14 Elsworthy Terrace</v>
      </c>
      <c r="AB1100" s="8" t="str">
        <v>Goleta</v>
      </c>
      <c r="AC1100" s="8" t="str">
        <v>CA</v>
      </c>
      <c r="AD1100" s="8" t="str">
        <v>93117</v>
      </c>
    </row>
    <row r="1101" spans="1:30">
      <c r="A1101" s="8" t="s">
        <v>1065</v>
      </c>
      <c r="B1101" s="19">
        <v>42233</v>
      </c>
      <c r="C1101" s="8" t="s">
        <v>44</v>
      </c>
      <c r="D1101" s="8">
        <v>10012</v>
      </c>
      <c r="E1101" s="8" t="str">
        <f>VLOOKUP($D1101,'Customer Details'!$A$1:$F$17,4,FALSE)</f>
        <v>Santa Barbara</v>
      </c>
      <c r="F1101" s="8" t="s">
        <v>470</v>
      </c>
      <c r="G1101" s="8">
        <v>1</v>
      </c>
      <c r="H1101" s="2" t="str">
        <f>VLOOKUP($D1101,'Customer Details'!$A$1:$F$17,MATCH('Order SUmmary'!H$2,'Customer Details'!$A$1:$F$1,0),0)</f>
        <v>Dynamatic Technologies Ltd.</v>
      </c>
      <c r="I1101" s="2" t="str">
        <f>VLOOKUP($D1101,'Customer Details'!$A$1:$F$17,4,0)</f>
        <v>Santa Barbara</v>
      </c>
      <c r="J1101" s="2" t="str">
        <f>VLOOKUP($D1101,'Customer Details'!$A$1:$F$17,6,0)</f>
        <v>93110</v>
      </c>
      <c r="K1101" s="8" t="str">
        <f>VLOOKUP(VLOOKUP(D1101,'Customer Details'!$A$1:$F$17,5,0),'Region INfo'!$A$1:$C$52,3,0)</f>
        <v xml:space="preserve">Pacific   </v>
      </c>
      <c r="L1101" s="8" t="str">
        <f>INDEX(Product_List,MATCH($F1101,'Product List'!$B$1:$B$299,0),MATCH('Order SUmmary'!L$2,'Product List'!$A$1:$E$1,0))</f>
        <v>Xerox 1884</v>
      </c>
      <c r="M1101" s="8">
        <f>INDEX(Product_List,MATCH($F1101,'Product List'!$B$1:$B$299,0),MATCH('Order SUmmary'!M$2,'Product List'!$A$1:$E$1,0))</f>
        <v>3025</v>
      </c>
      <c r="N1101" s="8">
        <f>INDEX(Product_List,MATCH($F1101,'Product List'!$B$1:$B$299,0),MATCH('Order SUmmary'!N$2,'Product List'!$A$1:$E$1,0))</f>
        <v>1863</v>
      </c>
      <c r="O1101" s="8" t="str">
        <f>INDEX(Product_List,MATCH($F1101,'Product List'!$B$1:$B$299,0),MATCH('Order SUmmary'!O$2,'Product List'!$A$1:$E$1,0))</f>
        <v>Paper</v>
      </c>
      <c r="P1101" s="12">
        <f>HLOOKUP(C1101,'Commission Criteria'!$A$2:$I$4,3,FALSE)</f>
        <v>4</v>
      </c>
      <c r="Q1101" s="8">
        <f t="shared" si="52"/>
        <v>1863</v>
      </c>
      <c r="R1101" s="8">
        <f t="shared" si="53"/>
        <v>3025</v>
      </c>
      <c r="S1101" s="36">
        <f>VLOOKUP(R1101,'Commission Criteria'!$L$3:$M$11,2,TRUE)</f>
        <v>0.01</v>
      </c>
      <c r="T1101" s="36">
        <f>IF(P1101&lt;5,VLOOKUP(R1101,'Commission Criteria'!$L$3:$M$11,2,1),VLOOKUP('Order SUmmary'!R1101,'Commission Criteria'!$P$3:$Q$11,2,1))</f>
        <v>0.01</v>
      </c>
      <c r="U1101" s="36">
        <f>VLOOKUP(R1101,IF(P1101&lt;5,'Commission Criteria'!$L$3:$M$11,'Commission Criteria'!$P$3:$Q$11),2,1)</f>
        <v>0.01</v>
      </c>
      <c r="V1101" s="8" t="s">
        <v>35</v>
      </c>
      <c r="W1101" s="36">
        <f t="shared" ca="1" si="54"/>
        <v>0.04</v>
      </c>
      <c r="X1101" s="8" t="str">
        <f>_xlfn.XLOOKUP(F1101,'Product List'!$B$1:$B$299,'Product List'!$A$1:$A$299)</f>
        <v>Xerox 1884</v>
      </c>
      <c r="Y1101" s="8"/>
      <c r="Z1101" s="8" t="str" cm="1">
        <f t="array" ref="Z1101:AD1101">_xlfn.XLOOKUP(D1101,'Customer Details'!$A$1:$A$17,'Customer Details'!$B$1:$F$17,"No such customer",0,1)</f>
        <v>Dynamatic Technologies Ltd.</v>
      </c>
      <c r="AA1101" s="8" t="str">
        <v>402 Pinkster Lane</v>
      </c>
      <c r="AB1101" s="8" t="str">
        <v>Santa Barbara</v>
      </c>
      <c r="AC1101" s="8" t="str">
        <v>CA</v>
      </c>
      <c r="AD1101" s="8" t="str">
        <v>93110</v>
      </c>
    </row>
    <row r="1102" spans="1:30">
      <c r="A1102" s="8" t="s">
        <v>1066</v>
      </c>
      <c r="B1102" s="19">
        <v>42233</v>
      </c>
      <c r="C1102" s="8" t="s">
        <v>51</v>
      </c>
      <c r="D1102" s="8">
        <v>10012</v>
      </c>
      <c r="E1102" s="8" t="str">
        <f>VLOOKUP($D1102,'Customer Details'!$A$1:$F$17,4,FALSE)</f>
        <v>Santa Barbara</v>
      </c>
      <c r="F1102" s="8" t="s">
        <v>324</v>
      </c>
      <c r="G1102" s="8">
        <v>1</v>
      </c>
      <c r="H1102" s="2" t="str">
        <f>VLOOKUP($D1102,'Customer Details'!$A$1:$F$17,MATCH('Order SUmmary'!H$2,'Customer Details'!$A$1:$F$1,0),0)</f>
        <v>Dynamatic Technologies Ltd.</v>
      </c>
      <c r="I1102" s="2" t="str">
        <f>VLOOKUP($D1102,'Customer Details'!$A$1:$F$17,4,0)</f>
        <v>Santa Barbara</v>
      </c>
      <c r="J1102" s="2" t="str">
        <f>VLOOKUP($D1102,'Customer Details'!$A$1:$F$17,6,0)</f>
        <v>93110</v>
      </c>
      <c r="K1102" s="8" t="str">
        <f>VLOOKUP(VLOOKUP(D1102,'Customer Details'!$A$1:$F$17,5,0),'Region INfo'!$A$1:$C$52,3,0)</f>
        <v xml:space="preserve">Pacific   </v>
      </c>
      <c r="L1102" s="8" t="str">
        <f>INDEX(Product_List,MATCH($F1102,'Product List'!$B$1:$B$299,0),MATCH('Order SUmmary'!L$2,'Product List'!$A$1:$E$1,0))</f>
        <v>Newell 31</v>
      </c>
      <c r="M1102" s="8">
        <f>INDEX(Product_List,MATCH($F1102,'Product List'!$B$1:$B$299,0),MATCH('Order SUmmary'!M$2,'Product List'!$A$1:$E$1,0))</f>
        <v>4729</v>
      </c>
      <c r="N1102" s="8">
        <f>INDEX(Product_List,MATCH($F1102,'Product List'!$B$1:$B$299,0),MATCH('Order SUmmary'!N$2,'Product List'!$A$1:$E$1,0))</f>
        <v>1359</v>
      </c>
      <c r="O1102" s="8" t="str">
        <f>INDEX(Product_List,MATCH($F1102,'Product List'!$B$1:$B$299,0),MATCH('Order SUmmary'!O$2,'Product List'!$A$1:$E$1,0))</f>
        <v>Art</v>
      </c>
      <c r="P1102" s="12">
        <f>HLOOKUP(C1102,'Commission Criteria'!$A$2:$I$4,3,FALSE)</f>
        <v>10</v>
      </c>
      <c r="Q1102" s="8">
        <f t="shared" si="52"/>
        <v>1359</v>
      </c>
      <c r="R1102" s="8">
        <f t="shared" si="53"/>
        <v>4729</v>
      </c>
      <c r="S1102" s="36">
        <f>VLOOKUP(R1102,'Commission Criteria'!$L$3:$M$11,2,TRUE)</f>
        <v>0.01</v>
      </c>
      <c r="T1102" s="36">
        <f>IF(P1102&lt;5,VLOOKUP(R1102,'Commission Criteria'!$L$3:$M$11,2,1),VLOOKUP('Order SUmmary'!R1102,'Commission Criteria'!$P$3:$Q$11,2,1))</f>
        <v>0.02</v>
      </c>
      <c r="U1102" s="36">
        <f>VLOOKUP(R1102,IF(P1102&lt;5,'Commission Criteria'!$L$3:$M$11,'Commission Criteria'!$P$3:$Q$11),2,1)</f>
        <v>0.02</v>
      </c>
      <c r="V1102" s="8" t="s">
        <v>40</v>
      </c>
      <c r="W1102" s="36">
        <f t="shared" ca="1" si="54"/>
        <v>0.05</v>
      </c>
      <c r="X1102" s="8" t="str">
        <f>_xlfn.XLOOKUP(F1102,'Product List'!$B$1:$B$299,'Product List'!$A$1:$A$299)</f>
        <v>Newell 31</v>
      </c>
      <c r="Y1102" s="8"/>
      <c r="Z1102" s="8" t="str" cm="1">
        <f t="array" ref="Z1102:AD1102">_xlfn.XLOOKUP(D1102,'Customer Details'!$A$1:$A$17,'Customer Details'!$B$1:$F$17,"No such customer",0,1)</f>
        <v>Dynamatic Technologies Ltd.</v>
      </c>
      <c r="AA1102" s="8" t="str">
        <v>402 Pinkster Lane</v>
      </c>
      <c r="AB1102" s="8" t="str">
        <v>Santa Barbara</v>
      </c>
      <c r="AC1102" s="8" t="str">
        <v>CA</v>
      </c>
      <c r="AD1102" s="8" t="str">
        <v>93110</v>
      </c>
    </row>
    <row r="1103" spans="1:30">
      <c r="A1103" s="8" t="s">
        <v>1065</v>
      </c>
      <c r="B1103" s="19">
        <v>42233</v>
      </c>
      <c r="C1103" s="8" t="s">
        <v>44</v>
      </c>
      <c r="D1103" s="8">
        <v>10003</v>
      </c>
      <c r="E1103" s="8" t="str">
        <f>VLOOKUP($D1103,'Customer Details'!$A$1:$F$17,4,FALSE)</f>
        <v>Miami</v>
      </c>
      <c r="F1103" s="8" t="s">
        <v>281</v>
      </c>
      <c r="G1103" s="8">
        <v>1</v>
      </c>
      <c r="H1103" s="2" t="str">
        <f>VLOOKUP($D1103,'Customer Details'!$A$1:$F$17,MATCH('Order SUmmary'!H$2,'Customer Details'!$A$1:$F$1,0),0)</f>
        <v>Honeywell Automation</v>
      </c>
      <c r="I1103" s="2" t="str">
        <f>VLOOKUP($D1103,'Customer Details'!$A$1:$F$17,4,0)</f>
        <v>Miami</v>
      </c>
      <c r="J1103" s="2" t="str">
        <f>VLOOKUP($D1103,'Customer Details'!$A$1:$F$17,6,0)</f>
        <v>33732</v>
      </c>
      <c r="K1103" s="8" t="str">
        <f>VLOOKUP(VLOOKUP(D1103,'Customer Details'!$A$1:$F$17,5,0),'Region INfo'!$A$1:$C$52,3,0)</f>
        <v>Southern</v>
      </c>
      <c r="L1103" s="8" t="str">
        <f>INDEX(Product_List,MATCH($F1103,'Product List'!$B$1:$B$299,0),MATCH('Order SUmmary'!L$2,'Product List'!$A$1:$E$1,0))</f>
        <v>Newell 309</v>
      </c>
      <c r="M1103" s="8">
        <f>INDEX(Product_List,MATCH($F1103,'Product List'!$B$1:$B$299,0),MATCH('Order SUmmary'!M$2,'Product List'!$A$1:$E$1,0))</f>
        <v>4927</v>
      </c>
      <c r="N1103" s="8">
        <f>INDEX(Product_List,MATCH($F1103,'Product List'!$B$1:$B$299,0),MATCH('Order SUmmary'!N$2,'Product List'!$A$1:$E$1,0))</f>
        <v>2034</v>
      </c>
      <c r="O1103" s="8" t="str">
        <f>INDEX(Product_List,MATCH($F1103,'Product List'!$B$1:$B$299,0),MATCH('Order SUmmary'!O$2,'Product List'!$A$1:$E$1,0))</f>
        <v>Art</v>
      </c>
      <c r="P1103" s="12">
        <f>HLOOKUP(C1103,'Commission Criteria'!$A$2:$I$4,3,FALSE)</f>
        <v>4</v>
      </c>
      <c r="Q1103" s="8">
        <f t="shared" si="52"/>
        <v>2034</v>
      </c>
      <c r="R1103" s="8">
        <f t="shared" si="53"/>
        <v>4927</v>
      </c>
      <c r="S1103" s="36">
        <f>VLOOKUP(R1103,'Commission Criteria'!$L$3:$M$11,2,TRUE)</f>
        <v>0.01</v>
      </c>
      <c r="T1103" s="36">
        <f>IF(P1103&lt;5,VLOOKUP(R1103,'Commission Criteria'!$L$3:$M$11,2,1),VLOOKUP('Order SUmmary'!R1103,'Commission Criteria'!$P$3:$Q$11,2,1))</f>
        <v>0.01</v>
      </c>
      <c r="U1103" s="36">
        <f>VLOOKUP(R1103,IF(P1103&lt;5,'Commission Criteria'!$L$3:$M$11,'Commission Criteria'!$P$3:$Q$11),2,1)</f>
        <v>0.01</v>
      </c>
      <c r="V1103" s="8" t="s">
        <v>43</v>
      </c>
      <c r="W1103" s="36">
        <f t="shared" ca="1" si="54"/>
        <v>0</v>
      </c>
      <c r="X1103" s="8" t="str">
        <f>_xlfn.XLOOKUP(F1103,'Product List'!$B$1:$B$299,'Product List'!$A$1:$A$299)</f>
        <v>Newell 309</v>
      </c>
      <c r="Y1103" s="8"/>
      <c r="Z1103" s="8" t="str" cm="1">
        <f t="array" ref="Z1103:AD1103">_xlfn.XLOOKUP(D1103,'Customer Details'!$A$1:$A$17,'Customer Details'!$B$1:$F$17,"No such customer",0,1)</f>
        <v>Honeywell Automation</v>
      </c>
      <c r="AA1103" s="8" t="str">
        <v>1272 Harbor Road</v>
      </c>
      <c r="AB1103" s="8" t="str">
        <v>Miami</v>
      </c>
      <c r="AC1103" s="8" t="str">
        <v>FL</v>
      </c>
      <c r="AD1103" s="8" t="str">
        <v>33732</v>
      </c>
    </row>
    <row r="1104" spans="1:30">
      <c r="A1104" s="8" t="s">
        <v>1065</v>
      </c>
      <c r="B1104" s="19">
        <v>42233</v>
      </c>
      <c r="C1104" s="8" t="s">
        <v>27</v>
      </c>
      <c r="D1104" s="8">
        <v>10001</v>
      </c>
      <c r="E1104" s="8" t="str">
        <f>VLOOKUP($D1104,'Customer Details'!$A$1:$F$17,4,FALSE)</f>
        <v>New York</v>
      </c>
      <c r="F1104" s="8" t="s">
        <v>69</v>
      </c>
      <c r="G1104" s="8">
        <v>2</v>
      </c>
      <c r="H1104" s="2" t="str">
        <f>VLOOKUP($D1104,'Customer Details'!$A$1:$F$17,MATCH('Order SUmmary'!H$2,'Customer Details'!$A$1:$F$1,0),0)</f>
        <v>Chambal Fertilisers and Chemicals Ltd.</v>
      </c>
      <c r="I1104" s="2" t="str">
        <f>VLOOKUP($D1104,'Customer Details'!$A$1:$F$17,4,0)</f>
        <v>New York</v>
      </c>
      <c r="J1104" s="2" t="str">
        <f>VLOOKUP($D1104,'Customer Details'!$A$1:$F$17,6,0)</f>
        <v>10025</v>
      </c>
      <c r="K1104" s="8" t="str">
        <f>VLOOKUP(VLOOKUP(D1104,'Customer Details'!$A$1:$F$17,5,0),'Region INfo'!$A$1:$C$52,3,0)</f>
        <v xml:space="preserve">Northern </v>
      </c>
      <c r="L1104" s="8" t="str">
        <f>INDEX(Product_List,MATCH($F1104,'Product List'!$B$1:$B$299,0),MATCH('Order SUmmary'!L$2,'Product List'!$A$1:$E$1,0))</f>
        <v>Newell 330</v>
      </c>
      <c r="M1104" s="8">
        <f>INDEX(Product_List,MATCH($F1104,'Product List'!$B$1:$B$299,0),MATCH('Order SUmmary'!M$2,'Product List'!$A$1:$E$1,0))</f>
        <v>2895</v>
      </c>
      <c r="N1104" s="8">
        <f>INDEX(Product_List,MATCH($F1104,'Product List'!$B$1:$B$299,0),MATCH('Order SUmmary'!N$2,'Product List'!$A$1:$E$1,0))</f>
        <v>1871</v>
      </c>
      <c r="O1104" s="8" t="str">
        <f>INDEX(Product_List,MATCH($F1104,'Product List'!$B$1:$B$299,0),MATCH('Order SUmmary'!O$2,'Product List'!$A$1:$E$1,0))</f>
        <v>Art</v>
      </c>
      <c r="P1104" s="12">
        <f>HLOOKUP(C1104,'Commission Criteria'!$A$2:$I$4,3,FALSE)</f>
        <v>4</v>
      </c>
      <c r="Q1104" s="8">
        <f t="shared" si="52"/>
        <v>3742</v>
      </c>
      <c r="R1104" s="8">
        <f t="shared" si="53"/>
        <v>5790</v>
      </c>
      <c r="S1104" s="36">
        <f>VLOOKUP(R1104,'Commission Criteria'!$L$3:$M$11,2,TRUE)</f>
        <v>0.03</v>
      </c>
      <c r="T1104" s="36">
        <f>IF(P1104&lt;5,VLOOKUP(R1104,'Commission Criteria'!$L$3:$M$11,2,1),VLOOKUP('Order SUmmary'!R1104,'Commission Criteria'!$P$3:$Q$11,2,1))</f>
        <v>0.03</v>
      </c>
      <c r="U1104" s="36">
        <f>VLOOKUP(R1104,IF(P1104&lt;5,'Commission Criteria'!$L$3:$M$11,'Commission Criteria'!$P$3:$Q$11),2,1)</f>
        <v>0.03</v>
      </c>
      <c r="V1104" s="8" t="s">
        <v>40</v>
      </c>
      <c r="W1104" s="36">
        <f t="shared" ca="1" si="54"/>
        <v>0.03</v>
      </c>
      <c r="X1104" s="8" t="str">
        <f>_xlfn.XLOOKUP(F1104,'Product List'!$B$1:$B$299,'Product List'!$A$1:$A$299)</f>
        <v>Newell 330</v>
      </c>
      <c r="Y1104" s="8"/>
      <c r="Z1104" s="8" t="str" cm="1">
        <f t="array" ref="Z1104:AD1104">_xlfn.XLOOKUP(D1104,'Customer Details'!$A$1:$A$17,'Customer Details'!$B$1:$F$17,"No such customer",0,1)</f>
        <v>Chambal Fertilisers and Chemicals Ltd.</v>
      </c>
      <c r="AA1104" s="8" t="str">
        <v>4951 Indiana Ave.</v>
      </c>
      <c r="AB1104" s="8" t="str">
        <v>New York</v>
      </c>
      <c r="AC1104" s="8" t="str">
        <v>NY</v>
      </c>
      <c r="AD1104" s="8" t="str">
        <v>10025</v>
      </c>
    </row>
    <row r="1105" spans="1:30">
      <c r="A1105" s="8" t="s">
        <v>1067</v>
      </c>
      <c r="B1105" s="19">
        <v>42235</v>
      </c>
      <c r="C1105" s="8" t="s">
        <v>33</v>
      </c>
      <c r="D1105" s="8">
        <v>10005</v>
      </c>
      <c r="E1105" s="8" t="str">
        <f>VLOOKUP($D1105,'Customer Details'!$A$1:$F$17,4,FALSE)</f>
        <v>Goleta</v>
      </c>
      <c r="F1105" s="8" t="s">
        <v>91</v>
      </c>
      <c r="G1105" s="8">
        <v>1</v>
      </c>
      <c r="H1105" s="2" t="str">
        <f>VLOOKUP($D1105,'Customer Details'!$A$1:$F$17,MATCH('Order SUmmary'!H$2,'Customer Details'!$A$1:$F$1,0),0)</f>
        <v>Fortis Healthcare Ltd.</v>
      </c>
      <c r="I1105" s="2" t="str">
        <f>VLOOKUP($D1105,'Customer Details'!$A$1:$F$17,4,0)</f>
        <v>Goleta</v>
      </c>
      <c r="J1105" s="2" t="str">
        <f>VLOOKUP($D1105,'Customer Details'!$A$1:$F$17,6,0)</f>
        <v>93117</v>
      </c>
      <c r="K1105" s="8" t="str">
        <f>VLOOKUP(VLOOKUP(D1105,'Customer Details'!$A$1:$F$17,5,0),'Region INfo'!$A$1:$C$52,3,0)</f>
        <v xml:space="preserve">Pacific   </v>
      </c>
      <c r="L1105" s="8" t="str">
        <f>INDEX(Product_List,MATCH($F1105,'Product List'!$B$1:$B$299,0),MATCH('Order SUmmary'!L$2,'Product List'!$A$1:$E$1,0))</f>
        <v>Avery 475</v>
      </c>
      <c r="M1105" s="8">
        <f>INDEX(Product_List,MATCH($F1105,'Product List'!$B$1:$B$299,0),MATCH('Order SUmmary'!M$2,'Product List'!$A$1:$E$1,0))</f>
        <v>4711</v>
      </c>
      <c r="N1105" s="8">
        <f>INDEX(Product_List,MATCH($F1105,'Product List'!$B$1:$B$299,0),MATCH('Order SUmmary'!N$2,'Product List'!$A$1:$E$1,0))</f>
        <v>1267</v>
      </c>
      <c r="O1105" s="8" t="str">
        <f>INDEX(Product_List,MATCH($F1105,'Product List'!$B$1:$B$299,0),MATCH('Order SUmmary'!O$2,'Product List'!$A$1:$E$1,0))</f>
        <v>Labels</v>
      </c>
      <c r="P1105" s="12">
        <f>HLOOKUP(C1105,'Commission Criteria'!$A$2:$I$4,3,FALSE)</f>
        <v>1</v>
      </c>
      <c r="Q1105" s="8">
        <f t="shared" si="52"/>
        <v>1267</v>
      </c>
      <c r="R1105" s="8">
        <f t="shared" si="53"/>
        <v>4711</v>
      </c>
      <c r="S1105" s="36">
        <f>VLOOKUP(R1105,'Commission Criteria'!$L$3:$M$11,2,TRUE)</f>
        <v>0.01</v>
      </c>
      <c r="T1105" s="36">
        <f>IF(P1105&lt;5,VLOOKUP(R1105,'Commission Criteria'!$L$3:$M$11,2,1),VLOOKUP('Order SUmmary'!R1105,'Commission Criteria'!$P$3:$Q$11,2,1))</f>
        <v>0.01</v>
      </c>
      <c r="U1105" s="36">
        <f>VLOOKUP(R1105,IF(P1105&lt;5,'Commission Criteria'!$L$3:$M$11,'Commission Criteria'!$P$3:$Q$11),2,1)</f>
        <v>0.01</v>
      </c>
      <c r="V1105" s="8" t="s">
        <v>50</v>
      </c>
      <c r="W1105" s="36">
        <f t="shared" ca="1" si="54"/>
        <v>0.01</v>
      </c>
      <c r="X1105" s="8" t="str">
        <f>_xlfn.XLOOKUP(F1105,'Product List'!$B$1:$B$299,'Product List'!$A$1:$A$299)</f>
        <v>Avery 475</v>
      </c>
      <c r="Y1105" s="8"/>
      <c r="Z1105" s="8" t="str" cm="1">
        <f t="array" ref="Z1105:AD1105">_xlfn.XLOOKUP(D1105,'Customer Details'!$A$1:$A$17,'Customer Details'!$B$1:$F$17,"No such customer",0,1)</f>
        <v>Fortis Healthcare Ltd.</v>
      </c>
      <c r="AA1105" s="8" t="str">
        <v>14 Elsworthy Terrace</v>
      </c>
      <c r="AB1105" s="8" t="str">
        <v>Goleta</v>
      </c>
      <c r="AC1105" s="8" t="str">
        <v>CA</v>
      </c>
      <c r="AD1105" s="8" t="str">
        <v>93117</v>
      </c>
    </row>
    <row r="1106" spans="1:30">
      <c r="A1106" s="8" t="s">
        <v>1068</v>
      </c>
      <c r="B1106" s="19">
        <v>42236</v>
      </c>
      <c r="C1106" s="8" t="s">
        <v>46</v>
      </c>
      <c r="D1106" s="8">
        <v>10012</v>
      </c>
      <c r="E1106" s="8" t="str">
        <f>VLOOKUP($D1106,'Customer Details'!$A$1:$F$17,4,FALSE)</f>
        <v>Santa Barbara</v>
      </c>
      <c r="F1106" s="8" t="s">
        <v>78</v>
      </c>
      <c r="G1106" s="8">
        <v>1</v>
      </c>
      <c r="H1106" s="2" t="str">
        <f>VLOOKUP($D1106,'Customer Details'!$A$1:$F$17,MATCH('Order SUmmary'!H$2,'Customer Details'!$A$1:$F$1,0),0)</f>
        <v>Dynamatic Technologies Ltd.</v>
      </c>
      <c r="I1106" s="2" t="str">
        <f>VLOOKUP($D1106,'Customer Details'!$A$1:$F$17,4,0)</f>
        <v>Santa Barbara</v>
      </c>
      <c r="J1106" s="2" t="str">
        <f>VLOOKUP($D1106,'Customer Details'!$A$1:$F$17,6,0)</f>
        <v>93110</v>
      </c>
      <c r="K1106" s="8" t="str">
        <f>VLOOKUP(VLOOKUP(D1106,'Customer Details'!$A$1:$F$17,5,0),'Region INfo'!$A$1:$C$52,3,0)</f>
        <v xml:space="preserve">Pacific   </v>
      </c>
      <c r="L1106" s="8" t="str">
        <f>INDEX(Product_List,MATCH($F1106,'Product List'!$B$1:$B$299,0),MATCH('Order SUmmary'!L$2,'Product List'!$A$1:$E$1,0))</f>
        <v>Xerox 199</v>
      </c>
      <c r="M1106" s="8">
        <f>INDEX(Product_List,MATCH($F1106,'Product List'!$B$1:$B$299,0),MATCH('Order SUmmary'!M$2,'Product List'!$A$1:$E$1,0))</f>
        <v>2523</v>
      </c>
      <c r="N1106" s="8">
        <f>INDEX(Product_List,MATCH($F1106,'Product List'!$B$1:$B$299,0),MATCH('Order SUmmary'!N$2,'Product List'!$A$1:$E$1,0))</f>
        <v>1665</v>
      </c>
      <c r="O1106" s="8" t="str">
        <f>INDEX(Product_List,MATCH($F1106,'Product List'!$B$1:$B$299,0),MATCH('Order SUmmary'!O$2,'Product List'!$A$1:$E$1,0))</f>
        <v>Paper</v>
      </c>
      <c r="P1106" s="12">
        <f>HLOOKUP(C1106,'Commission Criteria'!$A$2:$I$4,3,FALSE)</f>
        <v>8</v>
      </c>
      <c r="Q1106" s="8">
        <f t="shared" si="52"/>
        <v>1665</v>
      </c>
      <c r="R1106" s="8">
        <f t="shared" si="53"/>
        <v>2523</v>
      </c>
      <c r="S1106" s="36">
        <f>VLOOKUP(R1106,'Commission Criteria'!$L$3:$M$11,2,TRUE)</f>
        <v>0.01</v>
      </c>
      <c r="T1106" s="36">
        <f>IF(P1106&lt;5,VLOOKUP(R1106,'Commission Criteria'!$L$3:$M$11,2,1),VLOOKUP('Order SUmmary'!R1106,'Commission Criteria'!$P$3:$Q$11,2,1))</f>
        <v>0.02</v>
      </c>
      <c r="U1106" s="36">
        <f>VLOOKUP(R1106,IF(P1106&lt;5,'Commission Criteria'!$L$3:$M$11,'Commission Criteria'!$P$3:$Q$11),2,1)</f>
        <v>0.02</v>
      </c>
      <c r="V1106" s="8" t="s">
        <v>35</v>
      </c>
      <c r="W1106" s="36">
        <f t="shared" ca="1" si="54"/>
        <v>0.02</v>
      </c>
      <c r="X1106" s="8" t="str">
        <f>_xlfn.XLOOKUP(F1106,'Product List'!$B$1:$B$299,'Product List'!$A$1:$A$299)</f>
        <v>Xerox 199</v>
      </c>
      <c r="Y1106" s="8"/>
      <c r="Z1106" s="8" t="str" cm="1">
        <f t="array" ref="Z1106:AD1106">_xlfn.XLOOKUP(D1106,'Customer Details'!$A$1:$A$17,'Customer Details'!$B$1:$F$17,"No such customer",0,1)</f>
        <v>Dynamatic Technologies Ltd.</v>
      </c>
      <c r="AA1106" s="8" t="str">
        <v>402 Pinkster Lane</v>
      </c>
      <c r="AB1106" s="8" t="str">
        <v>Santa Barbara</v>
      </c>
      <c r="AC1106" s="8" t="str">
        <v>CA</v>
      </c>
      <c r="AD1106" s="8" t="str">
        <v>93110</v>
      </c>
    </row>
    <row r="1107" spans="1:30">
      <c r="A1107" s="8" t="s">
        <v>1068</v>
      </c>
      <c r="B1107" s="19">
        <v>42236</v>
      </c>
      <c r="C1107" s="8" t="s">
        <v>33</v>
      </c>
      <c r="D1107" s="8">
        <v>10007</v>
      </c>
      <c r="E1107" s="8" t="str">
        <f>VLOOKUP($D1107,'Customer Details'!$A$1:$F$17,4,FALSE)</f>
        <v>Richmond</v>
      </c>
      <c r="F1107" s="8" t="s">
        <v>743</v>
      </c>
      <c r="G1107" s="8">
        <v>2</v>
      </c>
      <c r="H1107" s="2" t="str">
        <f>VLOOKUP($D1107,'Customer Details'!$A$1:$F$17,MATCH('Order SUmmary'!H$2,'Customer Details'!$A$1:$F$1,0),0)</f>
        <v>GHCL Ltd.</v>
      </c>
      <c r="I1107" s="2" t="str">
        <f>VLOOKUP($D1107,'Customer Details'!$A$1:$F$17,4,0)</f>
        <v>Richmond</v>
      </c>
      <c r="J1107" s="2" t="str">
        <f>VLOOKUP($D1107,'Customer Details'!$A$1:$F$17,6,0)</f>
        <v>94805</v>
      </c>
      <c r="K1107" s="8" t="str">
        <f>VLOOKUP(VLOOKUP(D1107,'Customer Details'!$A$1:$F$17,5,0),'Region INfo'!$A$1:$C$52,3,0)</f>
        <v xml:space="preserve">Pacific   </v>
      </c>
      <c r="L1107" s="8" t="str">
        <f>INDEX(Product_List,MATCH($F1107,'Product List'!$B$1:$B$299,0),MATCH('Order SUmmary'!L$2,'Product List'!$A$1:$E$1,0))</f>
        <v>Xerox 207</v>
      </c>
      <c r="M1107" s="8">
        <f>INDEX(Product_List,MATCH($F1107,'Product List'!$B$1:$B$299,0),MATCH('Order SUmmary'!M$2,'Product List'!$A$1:$E$1,0))</f>
        <v>4454</v>
      </c>
      <c r="N1107" s="8">
        <f>INDEX(Product_List,MATCH($F1107,'Product List'!$B$1:$B$299,0),MATCH('Order SUmmary'!N$2,'Product List'!$A$1:$E$1,0))</f>
        <v>1884</v>
      </c>
      <c r="O1107" s="8" t="str">
        <f>INDEX(Product_List,MATCH($F1107,'Product List'!$B$1:$B$299,0),MATCH('Order SUmmary'!O$2,'Product List'!$A$1:$E$1,0))</f>
        <v>Paper</v>
      </c>
      <c r="P1107" s="12">
        <f>HLOOKUP(C1107,'Commission Criteria'!$A$2:$I$4,3,FALSE)</f>
        <v>1</v>
      </c>
      <c r="Q1107" s="8">
        <f t="shared" si="52"/>
        <v>3768</v>
      </c>
      <c r="R1107" s="8">
        <f t="shared" si="53"/>
        <v>8908</v>
      </c>
      <c r="S1107" s="36">
        <f>VLOOKUP(R1107,'Commission Criteria'!$L$3:$M$11,2,TRUE)</f>
        <v>0.03</v>
      </c>
      <c r="T1107" s="36">
        <f>IF(P1107&lt;5,VLOOKUP(R1107,'Commission Criteria'!$L$3:$M$11,2,1),VLOOKUP('Order SUmmary'!R1107,'Commission Criteria'!$P$3:$Q$11,2,1))</f>
        <v>0.03</v>
      </c>
      <c r="U1107" s="36">
        <f>VLOOKUP(R1107,IF(P1107&lt;5,'Commission Criteria'!$L$3:$M$11,'Commission Criteria'!$P$3:$Q$11),2,1)</f>
        <v>0.03</v>
      </c>
      <c r="V1107" s="8" t="s">
        <v>50</v>
      </c>
      <c r="W1107" s="36">
        <f t="shared" ca="1" si="54"/>
        <v>0.02</v>
      </c>
      <c r="X1107" s="8" t="str">
        <f>_xlfn.XLOOKUP(F1107,'Product List'!$B$1:$B$299,'Product List'!$A$1:$A$299)</f>
        <v>Xerox 207</v>
      </c>
      <c r="Y1107" s="8"/>
      <c r="Z1107" s="8" t="str" cm="1">
        <f t="array" ref="Z1107:AD1107">_xlfn.XLOOKUP(D1107,'Customer Details'!$A$1:$A$17,'Customer Details'!$B$1:$F$17,"No such customer",0,1)</f>
        <v>GHCL Ltd.</v>
      </c>
      <c r="AA1107" s="8" t="str">
        <v>58 Clarence St</v>
      </c>
      <c r="AB1107" s="8" t="str">
        <v>Richmond</v>
      </c>
      <c r="AC1107" s="8" t="str">
        <v>CA</v>
      </c>
      <c r="AD1107" s="8" t="str">
        <v>94805</v>
      </c>
    </row>
    <row r="1108" spans="1:30">
      <c r="A1108" s="8" t="s">
        <v>1069</v>
      </c>
      <c r="B1108" s="19">
        <v>42238</v>
      </c>
      <c r="C1108" s="8" t="s">
        <v>66</v>
      </c>
      <c r="D1108" s="8">
        <v>10011</v>
      </c>
      <c r="E1108" s="8" t="str">
        <f>VLOOKUP($D1108,'Customer Details'!$A$1:$F$17,4,FALSE)</f>
        <v>Olympia</v>
      </c>
      <c r="F1108" s="8" t="s">
        <v>94</v>
      </c>
      <c r="G1108" s="8">
        <v>2</v>
      </c>
      <c r="H1108" s="2" t="str">
        <f>VLOOKUP($D1108,'Customer Details'!$A$1:$F$17,MATCH('Order SUmmary'!H$2,'Customer Details'!$A$1:$F$1,0),0)</f>
        <v>Sonata Software</v>
      </c>
      <c r="I1108" s="2" t="str">
        <f>VLOOKUP($D1108,'Customer Details'!$A$1:$F$17,4,0)</f>
        <v>Olympia</v>
      </c>
      <c r="J1108" s="2" t="str">
        <f>VLOOKUP($D1108,'Customer Details'!$A$1:$F$17,6,0)</f>
        <v>98502</v>
      </c>
      <c r="K1108" s="8" t="str">
        <f>VLOOKUP(VLOOKUP(D1108,'Customer Details'!$A$1:$F$17,5,0),'Region INfo'!$A$1:$C$52,3,0)</f>
        <v xml:space="preserve">Pacific   </v>
      </c>
      <c r="L1108" s="8" t="str">
        <f>INDEX(Product_List,MATCH($F1108,'Product List'!$B$1:$B$299,0),MATCH('Order SUmmary'!L$2,'Product List'!$A$1:$E$1,0))</f>
        <v>Xerox 191</v>
      </c>
      <c r="M1108" s="8">
        <f>INDEX(Product_List,MATCH($F1108,'Product List'!$B$1:$B$299,0),MATCH('Order SUmmary'!M$2,'Product List'!$A$1:$E$1,0))</f>
        <v>3768</v>
      </c>
      <c r="N1108" s="8">
        <f>INDEX(Product_List,MATCH($F1108,'Product List'!$B$1:$B$299,0),MATCH('Order SUmmary'!N$2,'Product List'!$A$1:$E$1,0))</f>
        <v>1353</v>
      </c>
      <c r="O1108" s="8" t="str">
        <f>INDEX(Product_List,MATCH($F1108,'Product List'!$B$1:$B$299,0),MATCH('Order SUmmary'!O$2,'Product List'!$A$1:$E$1,0))</f>
        <v>Paper</v>
      </c>
      <c r="P1108" s="12">
        <f>HLOOKUP(C1108,'Commission Criteria'!$A$2:$I$4,3,FALSE)</f>
        <v>5</v>
      </c>
      <c r="Q1108" s="8">
        <f t="shared" si="52"/>
        <v>2706</v>
      </c>
      <c r="R1108" s="8">
        <f t="shared" si="53"/>
        <v>7536</v>
      </c>
      <c r="S1108" s="36">
        <f>VLOOKUP(R1108,'Commission Criteria'!$L$3:$M$11,2,TRUE)</f>
        <v>0.03</v>
      </c>
      <c r="T1108" s="36">
        <f>IF(P1108&lt;5,VLOOKUP(R1108,'Commission Criteria'!$L$3:$M$11,2,1),VLOOKUP('Order SUmmary'!R1108,'Commission Criteria'!$P$3:$Q$11,2,1))</f>
        <v>0.02</v>
      </c>
      <c r="U1108" s="36">
        <f>VLOOKUP(R1108,IF(P1108&lt;5,'Commission Criteria'!$L$3:$M$11,'Commission Criteria'!$P$3:$Q$11),2,1)</f>
        <v>0.02</v>
      </c>
      <c r="V1108" s="8" t="s">
        <v>40</v>
      </c>
      <c r="W1108" s="36">
        <f t="shared" ca="1" si="54"/>
        <v>0.05</v>
      </c>
      <c r="X1108" s="8" t="str">
        <f>_xlfn.XLOOKUP(F1108,'Product List'!$B$1:$B$299,'Product List'!$A$1:$A$299)</f>
        <v>Xerox 191</v>
      </c>
      <c r="Y1108" s="8"/>
      <c r="Z1108" s="8" t="str" cm="1">
        <f t="array" ref="Z1108:AD1108">_xlfn.XLOOKUP(D1108,'Customer Details'!$A$1:$A$17,'Customer Details'!$B$1:$F$17,"No such customer",0,1)</f>
        <v>Sonata Software</v>
      </c>
      <c r="AA1108" s="8" t="str">
        <v>1331 Kimberly Dr.</v>
      </c>
      <c r="AB1108" s="8" t="str">
        <v>Olympia</v>
      </c>
      <c r="AC1108" s="8" t="str">
        <v>WA</v>
      </c>
      <c r="AD1108" s="8" t="str">
        <v>98502</v>
      </c>
    </row>
    <row r="1109" spans="1:30">
      <c r="A1109" s="8" t="s">
        <v>1070</v>
      </c>
      <c r="B1109" s="19">
        <v>42239</v>
      </c>
      <c r="C1109" s="8" t="s">
        <v>51</v>
      </c>
      <c r="D1109" s="8">
        <v>10001</v>
      </c>
      <c r="E1109" s="8" t="str">
        <f>VLOOKUP($D1109,'Customer Details'!$A$1:$F$17,4,FALSE)</f>
        <v>New York</v>
      </c>
      <c r="F1109" s="8" t="s">
        <v>216</v>
      </c>
      <c r="G1109" s="8">
        <v>2</v>
      </c>
      <c r="H1109" s="2" t="str">
        <f>VLOOKUP($D1109,'Customer Details'!$A$1:$F$17,MATCH('Order SUmmary'!H$2,'Customer Details'!$A$1:$F$1,0),0)</f>
        <v>Chambal Fertilisers and Chemicals Ltd.</v>
      </c>
      <c r="I1109" s="2" t="str">
        <f>VLOOKUP($D1109,'Customer Details'!$A$1:$F$17,4,0)</f>
        <v>New York</v>
      </c>
      <c r="J1109" s="2" t="str">
        <f>VLOOKUP($D1109,'Customer Details'!$A$1:$F$17,6,0)</f>
        <v>10025</v>
      </c>
      <c r="K1109" s="8" t="str">
        <f>VLOOKUP(VLOOKUP(D1109,'Customer Details'!$A$1:$F$17,5,0),'Region INfo'!$A$1:$C$52,3,0)</f>
        <v xml:space="preserve">Northern </v>
      </c>
      <c r="L1109" s="8" t="str">
        <f>INDEX(Product_List,MATCH($F1109,'Product List'!$B$1:$B$299,0),MATCH('Order SUmmary'!L$2,'Product List'!$A$1:$E$1,0))</f>
        <v>Xerox 1920</v>
      </c>
      <c r="M1109" s="8">
        <f>INDEX(Product_List,MATCH($F1109,'Product List'!$B$1:$B$299,0),MATCH('Order SUmmary'!M$2,'Product List'!$A$1:$E$1,0))</f>
        <v>2610</v>
      </c>
      <c r="N1109" s="8">
        <f>INDEX(Product_List,MATCH($F1109,'Product List'!$B$1:$B$299,0),MATCH('Order SUmmary'!N$2,'Product List'!$A$1:$E$1,0))</f>
        <v>1307</v>
      </c>
      <c r="O1109" s="8" t="str">
        <f>INDEX(Product_List,MATCH($F1109,'Product List'!$B$1:$B$299,0),MATCH('Order SUmmary'!O$2,'Product List'!$A$1:$E$1,0))</f>
        <v>Paper</v>
      </c>
      <c r="P1109" s="12">
        <f>HLOOKUP(C1109,'Commission Criteria'!$A$2:$I$4,3,FALSE)</f>
        <v>10</v>
      </c>
      <c r="Q1109" s="8">
        <f t="shared" si="52"/>
        <v>2614</v>
      </c>
      <c r="R1109" s="8">
        <f t="shared" si="53"/>
        <v>5220</v>
      </c>
      <c r="S1109" s="36">
        <f>VLOOKUP(R1109,'Commission Criteria'!$L$3:$M$11,2,TRUE)</f>
        <v>0.03</v>
      </c>
      <c r="T1109" s="36">
        <f>IF(P1109&lt;5,VLOOKUP(R1109,'Commission Criteria'!$L$3:$M$11,2,1),VLOOKUP('Order SUmmary'!R1109,'Commission Criteria'!$P$3:$Q$11,2,1))</f>
        <v>0.02</v>
      </c>
      <c r="U1109" s="36">
        <f>VLOOKUP(R1109,IF(P1109&lt;5,'Commission Criteria'!$L$3:$M$11,'Commission Criteria'!$P$3:$Q$11),2,1)</f>
        <v>0.02</v>
      </c>
      <c r="V1109" s="8" t="s">
        <v>35</v>
      </c>
      <c r="W1109" s="36">
        <f t="shared" ca="1" si="54"/>
        <v>0</v>
      </c>
      <c r="X1109" s="8" t="str">
        <f>_xlfn.XLOOKUP(F1109,'Product List'!$B$1:$B$299,'Product List'!$A$1:$A$299)</f>
        <v>Xerox 1920</v>
      </c>
      <c r="Y1109" s="8"/>
      <c r="Z1109" s="8" t="str" cm="1">
        <f t="array" ref="Z1109:AD1109">_xlfn.XLOOKUP(D1109,'Customer Details'!$A$1:$A$17,'Customer Details'!$B$1:$F$17,"No such customer",0,1)</f>
        <v>Chambal Fertilisers and Chemicals Ltd.</v>
      </c>
      <c r="AA1109" s="8" t="str">
        <v>4951 Indiana Ave.</v>
      </c>
      <c r="AB1109" s="8" t="str">
        <v>New York</v>
      </c>
      <c r="AC1109" s="8" t="str">
        <v>NY</v>
      </c>
      <c r="AD1109" s="8" t="str">
        <v>10025</v>
      </c>
    </row>
    <row r="1110" spans="1:30">
      <c r="A1110" s="8" t="s">
        <v>1071</v>
      </c>
      <c r="B1110" s="19">
        <v>42240</v>
      </c>
      <c r="C1110" s="8" t="s">
        <v>36</v>
      </c>
      <c r="D1110" s="8">
        <v>10005</v>
      </c>
      <c r="E1110" s="8" t="str">
        <f>VLOOKUP($D1110,'Customer Details'!$A$1:$F$17,4,FALSE)</f>
        <v>Goleta</v>
      </c>
      <c r="F1110" s="8" t="s">
        <v>511</v>
      </c>
      <c r="G1110" s="8">
        <v>1</v>
      </c>
      <c r="H1110" s="2" t="str">
        <f>VLOOKUP($D1110,'Customer Details'!$A$1:$F$17,MATCH('Order SUmmary'!H$2,'Customer Details'!$A$1:$F$1,0),0)</f>
        <v>Fortis Healthcare Ltd.</v>
      </c>
      <c r="I1110" s="2" t="str">
        <f>VLOOKUP($D1110,'Customer Details'!$A$1:$F$17,4,0)</f>
        <v>Goleta</v>
      </c>
      <c r="J1110" s="2" t="str">
        <f>VLOOKUP($D1110,'Customer Details'!$A$1:$F$17,6,0)</f>
        <v>93117</v>
      </c>
      <c r="K1110" s="8" t="str">
        <f>VLOOKUP(VLOOKUP(D1110,'Customer Details'!$A$1:$F$17,5,0),'Region INfo'!$A$1:$C$52,3,0)</f>
        <v xml:space="preserve">Pacific   </v>
      </c>
      <c r="L1110" s="8" t="str">
        <f>INDEX(Product_List,MATCH($F1110,'Product List'!$B$1:$B$299,0),MATCH('Order SUmmary'!L$2,'Product List'!$A$1:$E$1,0))</f>
        <v>Xerox 1999</v>
      </c>
      <c r="M1110" s="8">
        <f>INDEX(Product_List,MATCH($F1110,'Product List'!$B$1:$B$299,0),MATCH('Order SUmmary'!M$2,'Product List'!$A$1:$E$1,0))</f>
        <v>2612</v>
      </c>
      <c r="N1110" s="8">
        <f>INDEX(Product_List,MATCH($F1110,'Product List'!$B$1:$B$299,0),MATCH('Order SUmmary'!N$2,'Product List'!$A$1:$E$1,0))</f>
        <v>1994</v>
      </c>
      <c r="O1110" s="8" t="str">
        <f>INDEX(Product_List,MATCH($F1110,'Product List'!$B$1:$B$299,0),MATCH('Order SUmmary'!O$2,'Product List'!$A$1:$E$1,0))</f>
        <v>Paper</v>
      </c>
      <c r="P1110" s="12">
        <f>HLOOKUP(C1110,'Commission Criteria'!$A$2:$I$4,3,FALSE)</f>
        <v>6</v>
      </c>
      <c r="Q1110" s="8">
        <f t="shared" si="52"/>
        <v>1994</v>
      </c>
      <c r="R1110" s="8">
        <f t="shared" si="53"/>
        <v>2612</v>
      </c>
      <c r="S1110" s="36">
        <f>VLOOKUP(R1110,'Commission Criteria'!$L$3:$M$11,2,TRUE)</f>
        <v>0.01</v>
      </c>
      <c r="T1110" s="36">
        <f>IF(P1110&lt;5,VLOOKUP(R1110,'Commission Criteria'!$L$3:$M$11,2,1),VLOOKUP('Order SUmmary'!R1110,'Commission Criteria'!$P$3:$Q$11,2,1))</f>
        <v>0.02</v>
      </c>
      <c r="U1110" s="36">
        <f>VLOOKUP(R1110,IF(P1110&lt;5,'Commission Criteria'!$L$3:$M$11,'Commission Criteria'!$P$3:$Q$11),2,1)</f>
        <v>0.02</v>
      </c>
      <c r="V1110" s="8" t="s">
        <v>35</v>
      </c>
      <c r="W1110" s="36">
        <f t="shared" ca="1" si="54"/>
        <v>0.03</v>
      </c>
      <c r="X1110" s="8" t="str">
        <f>_xlfn.XLOOKUP(F1110,'Product List'!$B$1:$B$299,'Product List'!$A$1:$A$299)</f>
        <v>Xerox 1999</v>
      </c>
      <c r="Y1110" s="8"/>
      <c r="Z1110" s="8" t="str" cm="1">
        <f t="array" ref="Z1110:AD1110">_xlfn.XLOOKUP(D1110,'Customer Details'!$A$1:$A$17,'Customer Details'!$B$1:$F$17,"No such customer",0,1)</f>
        <v>Fortis Healthcare Ltd.</v>
      </c>
      <c r="AA1110" s="8" t="str">
        <v>14 Elsworthy Terrace</v>
      </c>
      <c r="AB1110" s="8" t="str">
        <v>Goleta</v>
      </c>
      <c r="AC1110" s="8" t="str">
        <v>CA</v>
      </c>
      <c r="AD1110" s="8" t="str">
        <v>93117</v>
      </c>
    </row>
    <row r="1111" spans="1:30">
      <c r="A1111" s="8" t="s">
        <v>1072</v>
      </c>
      <c r="B1111" s="19">
        <v>42242</v>
      </c>
      <c r="C1111" s="8" t="s">
        <v>51</v>
      </c>
      <c r="D1111" s="8">
        <v>10010</v>
      </c>
      <c r="E1111" s="8" t="str">
        <f>VLOOKUP($D1111,'Customer Details'!$A$1:$F$17,4,FALSE)</f>
        <v>Tracy</v>
      </c>
      <c r="F1111" s="8" t="s">
        <v>184</v>
      </c>
      <c r="G1111" s="8">
        <v>3</v>
      </c>
      <c r="H1111" s="2" t="str">
        <f>VLOOKUP($D1111,'Customer Details'!$A$1:$F$17,MATCH('Order SUmmary'!H$2,'Customer Details'!$A$1:$F$1,0),0)</f>
        <v>Suzlon Energy Ltd.</v>
      </c>
      <c r="I1111" s="2" t="str">
        <f>VLOOKUP($D1111,'Customer Details'!$A$1:$F$17,4,0)</f>
        <v>Tracy</v>
      </c>
      <c r="J1111" s="2" t="str">
        <f>VLOOKUP($D1111,'Customer Details'!$A$1:$F$17,6,0)</f>
        <v>95376</v>
      </c>
      <c r="K1111" s="8" t="str">
        <f>VLOOKUP(VLOOKUP(D1111,'Customer Details'!$A$1:$F$17,5,0),'Region INfo'!$A$1:$C$52,3,0)</f>
        <v xml:space="preserve">Pacific   </v>
      </c>
      <c r="L1111" s="8" t="str">
        <f>INDEX(Product_List,MATCH($F1111,'Product List'!$B$1:$B$299,0),MATCH('Order SUmmary'!L$2,'Product List'!$A$1:$E$1,0))</f>
        <v>Xerox 1983</v>
      </c>
      <c r="M1111" s="8">
        <f>INDEX(Product_List,MATCH($F1111,'Product List'!$B$1:$B$299,0),MATCH('Order SUmmary'!M$2,'Product List'!$A$1:$E$1,0))</f>
        <v>3514</v>
      </c>
      <c r="N1111" s="8">
        <f>INDEX(Product_List,MATCH($F1111,'Product List'!$B$1:$B$299,0),MATCH('Order SUmmary'!N$2,'Product List'!$A$1:$E$1,0))</f>
        <v>1257</v>
      </c>
      <c r="O1111" s="8" t="str">
        <f>INDEX(Product_List,MATCH($F1111,'Product List'!$B$1:$B$299,0),MATCH('Order SUmmary'!O$2,'Product List'!$A$1:$E$1,0))</f>
        <v>Paper</v>
      </c>
      <c r="P1111" s="12">
        <f>HLOOKUP(C1111,'Commission Criteria'!$A$2:$I$4,3,FALSE)</f>
        <v>10</v>
      </c>
      <c r="Q1111" s="8">
        <f t="shared" si="52"/>
        <v>3771</v>
      </c>
      <c r="R1111" s="8">
        <f t="shared" si="53"/>
        <v>10542</v>
      </c>
      <c r="S1111" s="36">
        <f>VLOOKUP(R1111,'Commission Criteria'!$L$3:$M$11,2,TRUE)</f>
        <v>0.03</v>
      </c>
      <c r="T1111" s="36">
        <f>IF(P1111&lt;5,VLOOKUP(R1111,'Commission Criteria'!$L$3:$M$11,2,1),VLOOKUP('Order SUmmary'!R1111,'Commission Criteria'!$P$3:$Q$11,2,1))</f>
        <v>0.02</v>
      </c>
      <c r="U1111" s="36">
        <f>VLOOKUP(R1111,IF(P1111&lt;5,'Commission Criteria'!$L$3:$M$11,'Commission Criteria'!$P$3:$Q$11),2,1)</f>
        <v>0.02</v>
      </c>
      <c r="V1111" s="8" t="s">
        <v>43</v>
      </c>
      <c r="W1111" s="36">
        <f t="shared" ca="1" si="54"/>
        <v>0.04</v>
      </c>
      <c r="X1111" s="8" t="str">
        <f>_xlfn.XLOOKUP(F1111,'Product List'!$B$1:$B$299,'Product List'!$A$1:$A$299)</f>
        <v>Xerox 1983</v>
      </c>
      <c r="Y1111" s="8"/>
      <c r="Z1111" s="8" t="str" cm="1">
        <f t="array" ref="Z1111:AD1111">_xlfn.XLOOKUP(D1111,'Customer Details'!$A$1:$A$17,'Customer Details'!$B$1:$F$17,"No such customer",0,1)</f>
        <v>Suzlon Energy Ltd.</v>
      </c>
      <c r="AA1111" s="8" t="str">
        <v>501 Marsh Trail Circle</v>
      </c>
      <c r="AB1111" s="8" t="str">
        <v>Tracy</v>
      </c>
      <c r="AC1111" s="8" t="str">
        <v>CA</v>
      </c>
      <c r="AD1111" s="8" t="str">
        <v>95376</v>
      </c>
    </row>
    <row r="1112" spans="1:30">
      <c r="A1112" s="8" t="s">
        <v>1073</v>
      </c>
      <c r="B1112" s="19">
        <v>42243</v>
      </c>
      <c r="C1112" s="8" t="s">
        <v>33</v>
      </c>
      <c r="D1112" s="8">
        <v>10006</v>
      </c>
      <c r="E1112" s="8" t="str">
        <f>VLOOKUP($D1112,'Customer Details'!$A$1:$F$17,4,FALSE)</f>
        <v>Midland</v>
      </c>
      <c r="F1112" s="8" t="s">
        <v>49</v>
      </c>
      <c r="G1112" s="8">
        <v>3</v>
      </c>
      <c r="H1112" s="2" t="str">
        <f>VLOOKUP($D1112,'Customer Details'!$A$1:$F$17,MATCH('Order SUmmary'!H$2,'Customer Details'!$A$1:$F$1,0),0)</f>
        <v>Supreme Ind</v>
      </c>
      <c r="I1112" s="2" t="str">
        <f>VLOOKUP($D1112,'Customer Details'!$A$1:$F$17,4,0)</f>
        <v>Midland</v>
      </c>
      <c r="J1112" s="2" t="str">
        <f>VLOOKUP($D1112,'Customer Details'!$A$1:$F$17,6,0)</f>
        <v>79706</v>
      </c>
      <c r="K1112" s="8" t="str">
        <f>VLOOKUP(VLOOKUP(D1112,'Customer Details'!$A$1:$F$17,5,0),'Region INfo'!$A$1:$C$52,3,0)</f>
        <v>Western</v>
      </c>
      <c r="L1112" s="8" t="str">
        <f>INDEX(Product_List,MATCH($F1112,'Product List'!$B$1:$B$299,0),MATCH('Order SUmmary'!L$2,'Product List'!$A$1:$E$1,0))</f>
        <v>Avery 477</v>
      </c>
      <c r="M1112" s="8">
        <f>INDEX(Product_List,MATCH($F1112,'Product List'!$B$1:$B$299,0),MATCH('Order SUmmary'!M$2,'Product List'!$A$1:$E$1,0))</f>
        <v>2633</v>
      </c>
      <c r="N1112" s="8">
        <f>INDEX(Product_List,MATCH($F1112,'Product List'!$B$1:$B$299,0),MATCH('Order SUmmary'!N$2,'Product List'!$A$1:$E$1,0))</f>
        <v>1742</v>
      </c>
      <c r="O1112" s="8" t="str">
        <f>INDEX(Product_List,MATCH($F1112,'Product List'!$B$1:$B$299,0),MATCH('Order SUmmary'!O$2,'Product List'!$A$1:$E$1,0))</f>
        <v>Labels</v>
      </c>
      <c r="P1112" s="12">
        <f>HLOOKUP(C1112,'Commission Criteria'!$A$2:$I$4,3,FALSE)</f>
        <v>1</v>
      </c>
      <c r="Q1112" s="8">
        <f t="shared" si="52"/>
        <v>5226</v>
      </c>
      <c r="R1112" s="8">
        <f t="shared" si="53"/>
        <v>7899</v>
      </c>
      <c r="S1112" s="36">
        <f>VLOOKUP(R1112,'Commission Criteria'!$L$3:$M$11,2,TRUE)</f>
        <v>0.03</v>
      </c>
      <c r="T1112" s="36">
        <f>IF(P1112&lt;5,VLOOKUP(R1112,'Commission Criteria'!$L$3:$M$11,2,1),VLOOKUP('Order SUmmary'!R1112,'Commission Criteria'!$P$3:$Q$11,2,1))</f>
        <v>0.03</v>
      </c>
      <c r="U1112" s="36">
        <f>VLOOKUP(R1112,IF(P1112&lt;5,'Commission Criteria'!$L$3:$M$11,'Commission Criteria'!$P$3:$Q$11),2,1)</f>
        <v>0.03</v>
      </c>
      <c r="V1112" s="8" t="s">
        <v>43</v>
      </c>
      <c r="W1112" s="36">
        <f t="shared" ca="1" si="54"/>
        <v>0</v>
      </c>
      <c r="X1112" s="8" t="str">
        <f>_xlfn.XLOOKUP(F1112,'Product List'!$B$1:$B$299,'Product List'!$A$1:$A$299)</f>
        <v>Avery 477</v>
      </c>
      <c r="Y1112" s="8"/>
      <c r="Z1112" s="8" t="str" cm="1">
        <f t="array" ref="Z1112:AD1112">_xlfn.XLOOKUP(D1112,'Customer Details'!$A$1:$A$17,'Customer Details'!$B$1:$F$17,"No such customer",0,1)</f>
        <v>Supreme Ind</v>
      </c>
      <c r="AA1112" s="8" t="str">
        <v>P.O. Box 1367</v>
      </c>
      <c r="AB1112" s="8" t="str">
        <v>Midland</v>
      </c>
      <c r="AC1112" s="8" t="str">
        <v>TX</v>
      </c>
      <c r="AD1112" s="8" t="str">
        <v>79706</v>
      </c>
    </row>
    <row r="1113" spans="1:30">
      <c r="A1113" s="8" t="s">
        <v>1074</v>
      </c>
      <c r="B1113" s="19">
        <v>42243</v>
      </c>
      <c r="C1113" s="8" t="s">
        <v>66</v>
      </c>
      <c r="D1113" s="8">
        <v>10006</v>
      </c>
      <c r="E1113" s="8" t="str">
        <f>VLOOKUP($D1113,'Customer Details'!$A$1:$F$17,4,FALSE)</f>
        <v>Midland</v>
      </c>
      <c r="F1113" s="8" t="s">
        <v>445</v>
      </c>
      <c r="G1113" s="8">
        <v>3</v>
      </c>
      <c r="H1113" s="2" t="str">
        <f>VLOOKUP($D1113,'Customer Details'!$A$1:$F$17,MATCH('Order SUmmary'!H$2,'Customer Details'!$A$1:$F$1,0),0)</f>
        <v>Supreme Ind</v>
      </c>
      <c r="I1113" s="2" t="str">
        <f>VLOOKUP($D1113,'Customer Details'!$A$1:$F$17,4,0)</f>
        <v>Midland</v>
      </c>
      <c r="J1113" s="2" t="str">
        <f>VLOOKUP($D1113,'Customer Details'!$A$1:$F$17,6,0)</f>
        <v>79706</v>
      </c>
      <c r="K1113" s="8" t="str">
        <f>VLOOKUP(VLOOKUP(D1113,'Customer Details'!$A$1:$F$17,5,0),'Region INfo'!$A$1:$C$52,3,0)</f>
        <v>Western</v>
      </c>
      <c r="L1113" s="8" t="str">
        <f>INDEX(Product_List,MATCH($F1113,'Product List'!$B$1:$B$299,0),MATCH('Order SUmmary'!L$2,'Product List'!$A$1:$E$1,0))</f>
        <v>Xerox 1882</v>
      </c>
      <c r="M1113" s="8">
        <f>INDEX(Product_List,MATCH($F1113,'Product List'!$B$1:$B$299,0),MATCH('Order SUmmary'!M$2,'Product List'!$A$1:$E$1,0))</f>
        <v>4206</v>
      </c>
      <c r="N1113" s="8">
        <f>INDEX(Product_List,MATCH($F1113,'Product List'!$B$1:$B$299,0),MATCH('Order SUmmary'!N$2,'Product List'!$A$1:$E$1,0))</f>
        <v>1201</v>
      </c>
      <c r="O1113" s="8" t="str">
        <f>INDEX(Product_List,MATCH($F1113,'Product List'!$B$1:$B$299,0),MATCH('Order SUmmary'!O$2,'Product List'!$A$1:$E$1,0))</f>
        <v>Paper</v>
      </c>
      <c r="P1113" s="12">
        <f>HLOOKUP(C1113,'Commission Criteria'!$A$2:$I$4,3,FALSE)</f>
        <v>5</v>
      </c>
      <c r="Q1113" s="8">
        <f t="shared" si="52"/>
        <v>3603</v>
      </c>
      <c r="R1113" s="8">
        <f t="shared" si="53"/>
        <v>12618</v>
      </c>
      <c r="S1113" s="36">
        <f>VLOOKUP(R1113,'Commission Criteria'!$L$3:$M$11,2,TRUE)</f>
        <v>0.03</v>
      </c>
      <c r="T1113" s="36">
        <f>IF(P1113&lt;5,VLOOKUP(R1113,'Commission Criteria'!$L$3:$M$11,2,1),VLOOKUP('Order SUmmary'!R1113,'Commission Criteria'!$P$3:$Q$11,2,1))</f>
        <v>0.02</v>
      </c>
      <c r="U1113" s="36">
        <f>VLOOKUP(R1113,IF(P1113&lt;5,'Commission Criteria'!$L$3:$M$11,'Commission Criteria'!$P$3:$Q$11),2,1)</f>
        <v>0.02</v>
      </c>
      <c r="V1113" s="8" t="s">
        <v>29</v>
      </c>
      <c r="W1113" s="36">
        <f t="shared" ca="1" si="54"/>
        <v>0</v>
      </c>
      <c r="X1113" s="8" t="str">
        <f>_xlfn.XLOOKUP(F1113,'Product List'!$B$1:$B$299,'Product List'!$A$1:$A$299)</f>
        <v>Xerox 1882</v>
      </c>
      <c r="Y1113" s="8"/>
      <c r="Z1113" s="8" t="str" cm="1">
        <f t="array" ref="Z1113:AD1113">_xlfn.XLOOKUP(D1113,'Customer Details'!$A$1:$A$17,'Customer Details'!$B$1:$F$17,"No such customer",0,1)</f>
        <v>Supreme Ind</v>
      </c>
      <c r="AA1113" s="8" t="str">
        <v>P.O. Box 1367</v>
      </c>
      <c r="AB1113" s="8" t="str">
        <v>Midland</v>
      </c>
      <c r="AC1113" s="8" t="str">
        <v>TX</v>
      </c>
      <c r="AD1113" s="8" t="str">
        <v>79706</v>
      </c>
    </row>
    <row r="1114" spans="1:30">
      <c r="A1114" s="8" t="s">
        <v>1073</v>
      </c>
      <c r="B1114" s="19">
        <v>42243</v>
      </c>
      <c r="C1114" s="8" t="s">
        <v>27</v>
      </c>
      <c r="D1114" s="8">
        <v>10008</v>
      </c>
      <c r="E1114" s="8" t="str">
        <f>VLOOKUP($D1114,'Customer Details'!$A$1:$F$17,4,FALSE)</f>
        <v>Chestnut Ridge</v>
      </c>
      <c r="F1114" s="8" t="s">
        <v>605</v>
      </c>
      <c r="G1114" s="8">
        <v>24</v>
      </c>
      <c r="H1114" s="2" t="str">
        <f>VLOOKUP($D1114,'Customer Details'!$A$1:$F$17,MATCH('Order SUmmary'!H$2,'Customer Details'!$A$1:$F$1,0),0)</f>
        <v>Reliance Industries Limited</v>
      </c>
      <c r="I1114" s="2" t="str">
        <f>VLOOKUP($D1114,'Customer Details'!$A$1:$F$17,4,0)</f>
        <v>Chestnut Ridge</v>
      </c>
      <c r="J1114" s="2" t="str">
        <f>VLOOKUP($D1114,'Customer Details'!$A$1:$F$17,6,0)</f>
        <v>10977</v>
      </c>
      <c r="K1114" s="8" t="str">
        <f>VLOOKUP(VLOOKUP(D1114,'Customer Details'!$A$1:$F$17,5,0),'Region INfo'!$A$1:$C$52,3,0)</f>
        <v xml:space="preserve">Northern </v>
      </c>
      <c r="L1114" s="8" t="str">
        <f>INDEX(Product_List,MATCH($F1114,'Product List'!$B$1:$B$299,0),MATCH('Order SUmmary'!L$2,'Product List'!$A$1:$E$1,0))</f>
        <v>Pyle PMP37LED</v>
      </c>
      <c r="M1114" s="8">
        <f>INDEX(Product_List,MATCH($F1114,'Product List'!$B$1:$B$299,0),MATCH('Order SUmmary'!M$2,'Product List'!$A$1:$E$1,0))</f>
        <v>2808</v>
      </c>
      <c r="N1114" s="8">
        <f>INDEX(Product_List,MATCH($F1114,'Product List'!$B$1:$B$299,0),MATCH('Order SUmmary'!N$2,'Product List'!$A$1:$E$1,0))</f>
        <v>1759</v>
      </c>
      <c r="O1114" s="8" t="str">
        <f>INDEX(Product_List,MATCH($F1114,'Product List'!$B$1:$B$299,0),MATCH('Order SUmmary'!O$2,'Product List'!$A$1:$E$1,0))</f>
        <v>Phones</v>
      </c>
      <c r="P1114" s="12">
        <f>HLOOKUP(C1114,'Commission Criteria'!$A$2:$I$4,3,FALSE)</f>
        <v>4</v>
      </c>
      <c r="Q1114" s="8">
        <f t="shared" si="52"/>
        <v>42216</v>
      </c>
      <c r="R1114" s="8">
        <f t="shared" si="53"/>
        <v>67392</v>
      </c>
      <c r="S1114" s="36">
        <f>VLOOKUP(R1114,'Commission Criteria'!$L$3:$M$11,2,TRUE)</f>
        <v>0.05</v>
      </c>
      <c r="T1114" s="36">
        <f>IF(P1114&lt;5,VLOOKUP(R1114,'Commission Criteria'!$L$3:$M$11,2,1),VLOOKUP('Order SUmmary'!R1114,'Commission Criteria'!$P$3:$Q$11,2,1))</f>
        <v>0.05</v>
      </c>
      <c r="U1114" s="36">
        <f>VLOOKUP(R1114,IF(P1114&lt;5,'Commission Criteria'!$L$3:$M$11,'Commission Criteria'!$P$3:$Q$11),2,1)</f>
        <v>0.05</v>
      </c>
      <c r="V1114" s="8" t="s">
        <v>50</v>
      </c>
      <c r="W1114" s="36">
        <f t="shared" ca="1" si="54"/>
        <v>0.05</v>
      </c>
      <c r="X1114" s="8" t="str">
        <f>_xlfn.XLOOKUP(F1114,'Product List'!$B$1:$B$299,'Product List'!$A$1:$A$299)</f>
        <v>Pyle PMP37LED</v>
      </c>
      <c r="Y1114" s="8"/>
      <c r="Z1114" s="8" t="str" cm="1">
        <f t="array" ref="Z1114:AD1114">_xlfn.XLOOKUP(D1114,'Customer Details'!$A$1:$A$17,'Customer Details'!$B$1:$F$17,"No such customer",0,1)</f>
        <v>Reliance Industries Limited</v>
      </c>
      <c r="AA1114" s="8" t="str">
        <v>12020 Shamrock Rd., Suite 333</v>
      </c>
      <c r="AB1114" s="8" t="str">
        <v>Chestnut Ridge</v>
      </c>
      <c r="AC1114" s="8" t="str">
        <v>NY</v>
      </c>
      <c r="AD1114" s="8" t="str">
        <v>10977</v>
      </c>
    </row>
    <row r="1115" spans="1:30">
      <c r="A1115" s="8" t="s">
        <v>1075</v>
      </c>
      <c r="B1115" s="19">
        <v>42244</v>
      </c>
      <c r="C1115" s="8" t="s">
        <v>44</v>
      </c>
      <c r="D1115" s="8">
        <v>10012</v>
      </c>
      <c r="E1115" s="8" t="str">
        <f>VLOOKUP($D1115,'Customer Details'!$A$1:$F$17,4,FALSE)</f>
        <v>Santa Barbara</v>
      </c>
      <c r="F1115" s="8" t="s">
        <v>145</v>
      </c>
      <c r="G1115" s="8">
        <v>2</v>
      </c>
      <c r="H1115" s="2" t="str">
        <f>VLOOKUP($D1115,'Customer Details'!$A$1:$F$17,MATCH('Order SUmmary'!H$2,'Customer Details'!$A$1:$F$1,0),0)</f>
        <v>Dynamatic Technologies Ltd.</v>
      </c>
      <c r="I1115" s="2" t="str">
        <f>VLOOKUP($D1115,'Customer Details'!$A$1:$F$17,4,0)</f>
        <v>Santa Barbara</v>
      </c>
      <c r="J1115" s="2" t="str">
        <f>VLOOKUP($D1115,'Customer Details'!$A$1:$F$17,6,0)</f>
        <v>93110</v>
      </c>
      <c r="K1115" s="8" t="str">
        <f>VLOOKUP(VLOOKUP(D1115,'Customer Details'!$A$1:$F$17,5,0),'Region INfo'!$A$1:$C$52,3,0)</f>
        <v xml:space="preserve">Pacific   </v>
      </c>
      <c r="L1115" s="8" t="str">
        <f>INDEX(Product_List,MATCH($F1115,'Product List'!$B$1:$B$299,0),MATCH('Order SUmmary'!L$2,'Product List'!$A$1:$E$1,0))</f>
        <v>Xerox 1913</v>
      </c>
      <c r="M1115" s="8">
        <f>INDEX(Product_List,MATCH($F1115,'Product List'!$B$1:$B$299,0),MATCH('Order SUmmary'!M$2,'Product List'!$A$1:$E$1,0))</f>
        <v>2547</v>
      </c>
      <c r="N1115" s="8">
        <f>INDEX(Product_List,MATCH($F1115,'Product List'!$B$1:$B$299,0),MATCH('Order SUmmary'!N$2,'Product List'!$A$1:$E$1,0))</f>
        <v>1419</v>
      </c>
      <c r="O1115" s="8" t="str">
        <f>INDEX(Product_List,MATCH($F1115,'Product List'!$B$1:$B$299,0),MATCH('Order SUmmary'!O$2,'Product List'!$A$1:$E$1,0))</f>
        <v>Paper</v>
      </c>
      <c r="P1115" s="12">
        <f>HLOOKUP(C1115,'Commission Criteria'!$A$2:$I$4,3,FALSE)</f>
        <v>4</v>
      </c>
      <c r="Q1115" s="8">
        <f t="shared" si="52"/>
        <v>2838</v>
      </c>
      <c r="R1115" s="8">
        <f t="shared" si="53"/>
        <v>5094</v>
      </c>
      <c r="S1115" s="36">
        <f>VLOOKUP(R1115,'Commission Criteria'!$L$3:$M$11,2,TRUE)</f>
        <v>0.03</v>
      </c>
      <c r="T1115" s="36">
        <f>IF(P1115&lt;5,VLOOKUP(R1115,'Commission Criteria'!$L$3:$M$11,2,1),VLOOKUP('Order SUmmary'!R1115,'Commission Criteria'!$P$3:$Q$11,2,1))</f>
        <v>0.03</v>
      </c>
      <c r="U1115" s="36">
        <f>VLOOKUP(R1115,IF(P1115&lt;5,'Commission Criteria'!$L$3:$M$11,'Commission Criteria'!$P$3:$Q$11),2,1)</f>
        <v>0.03</v>
      </c>
      <c r="V1115" s="8" t="s">
        <v>43</v>
      </c>
      <c r="W1115" s="36">
        <f t="shared" ca="1" si="54"/>
        <v>0.04</v>
      </c>
      <c r="X1115" s="8" t="str">
        <f>_xlfn.XLOOKUP(F1115,'Product List'!$B$1:$B$299,'Product List'!$A$1:$A$299)</f>
        <v>Xerox 1913</v>
      </c>
      <c r="Y1115" s="8"/>
      <c r="Z1115" s="8" t="str" cm="1">
        <f t="array" ref="Z1115:AD1115">_xlfn.XLOOKUP(D1115,'Customer Details'!$A$1:$A$17,'Customer Details'!$B$1:$F$17,"No such customer",0,1)</f>
        <v>Dynamatic Technologies Ltd.</v>
      </c>
      <c r="AA1115" s="8" t="str">
        <v>402 Pinkster Lane</v>
      </c>
      <c r="AB1115" s="8" t="str">
        <v>Santa Barbara</v>
      </c>
      <c r="AC1115" s="8" t="str">
        <v>CA</v>
      </c>
      <c r="AD1115" s="8" t="str">
        <v>93110</v>
      </c>
    </row>
    <row r="1116" spans="1:30">
      <c r="A1116" s="8" t="s">
        <v>1076</v>
      </c>
      <c r="B1116" s="19">
        <v>42246</v>
      </c>
      <c r="C1116" s="8" t="s">
        <v>27</v>
      </c>
      <c r="D1116" s="8">
        <v>10011</v>
      </c>
      <c r="E1116" s="8" t="str">
        <f>VLOOKUP($D1116,'Customer Details'!$A$1:$F$17,4,FALSE)</f>
        <v>Olympia</v>
      </c>
      <c r="F1116" s="8" t="s">
        <v>379</v>
      </c>
      <c r="G1116" s="8">
        <v>1</v>
      </c>
      <c r="H1116" s="2" t="str">
        <f>VLOOKUP($D1116,'Customer Details'!$A$1:$F$17,MATCH('Order SUmmary'!H$2,'Customer Details'!$A$1:$F$1,0),0)</f>
        <v>Sonata Software</v>
      </c>
      <c r="I1116" s="2" t="str">
        <f>VLOOKUP($D1116,'Customer Details'!$A$1:$F$17,4,0)</f>
        <v>Olympia</v>
      </c>
      <c r="J1116" s="2" t="str">
        <f>VLOOKUP($D1116,'Customer Details'!$A$1:$F$17,6,0)</f>
        <v>98502</v>
      </c>
      <c r="K1116" s="8" t="str">
        <f>VLOOKUP(VLOOKUP(D1116,'Customer Details'!$A$1:$F$17,5,0),'Region INfo'!$A$1:$C$52,3,0)</f>
        <v xml:space="preserve">Pacific   </v>
      </c>
      <c r="L1116" s="8" t="str">
        <f>INDEX(Product_List,MATCH($F1116,'Product List'!$B$1:$B$299,0),MATCH('Order SUmmary'!L$2,'Product List'!$A$1:$E$1,0))</f>
        <v>Xerox 1937</v>
      </c>
      <c r="M1116" s="8">
        <f>INDEX(Product_List,MATCH($F1116,'Product List'!$B$1:$B$299,0),MATCH('Order SUmmary'!M$2,'Product List'!$A$1:$E$1,0))</f>
        <v>4050</v>
      </c>
      <c r="N1116" s="8">
        <f>INDEX(Product_List,MATCH($F1116,'Product List'!$B$1:$B$299,0),MATCH('Order SUmmary'!N$2,'Product List'!$A$1:$E$1,0))</f>
        <v>1241</v>
      </c>
      <c r="O1116" s="8" t="str">
        <f>INDEX(Product_List,MATCH($F1116,'Product List'!$B$1:$B$299,0),MATCH('Order SUmmary'!O$2,'Product List'!$A$1:$E$1,0))</f>
        <v>Paper</v>
      </c>
      <c r="P1116" s="12">
        <f>HLOOKUP(C1116,'Commission Criteria'!$A$2:$I$4,3,FALSE)</f>
        <v>4</v>
      </c>
      <c r="Q1116" s="8">
        <f t="shared" si="52"/>
        <v>1241</v>
      </c>
      <c r="R1116" s="8">
        <f t="shared" si="53"/>
        <v>4050</v>
      </c>
      <c r="S1116" s="36">
        <f>VLOOKUP(R1116,'Commission Criteria'!$L$3:$M$11,2,TRUE)</f>
        <v>0.01</v>
      </c>
      <c r="T1116" s="36">
        <f>IF(P1116&lt;5,VLOOKUP(R1116,'Commission Criteria'!$L$3:$M$11,2,1),VLOOKUP('Order SUmmary'!R1116,'Commission Criteria'!$P$3:$Q$11,2,1))</f>
        <v>0.01</v>
      </c>
      <c r="U1116" s="36">
        <f>VLOOKUP(R1116,IF(P1116&lt;5,'Commission Criteria'!$L$3:$M$11,'Commission Criteria'!$P$3:$Q$11),2,1)</f>
        <v>0.01</v>
      </c>
      <c r="V1116" s="8" t="s">
        <v>40</v>
      </c>
      <c r="W1116" s="36">
        <f t="shared" ca="1" si="54"/>
        <v>0.02</v>
      </c>
      <c r="X1116" s="8" t="str">
        <f>_xlfn.XLOOKUP(F1116,'Product List'!$B$1:$B$299,'Product List'!$A$1:$A$299)</f>
        <v>Xerox 1937</v>
      </c>
      <c r="Y1116" s="8"/>
      <c r="Z1116" s="8" t="str" cm="1">
        <f t="array" ref="Z1116:AD1116">_xlfn.XLOOKUP(D1116,'Customer Details'!$A$1:$A$17,'Customer Details'!$B$1:$F$17,"No such customer",0,1)</f>
        <v>Sonata Software</v>
      </c>
      <c r="AA1116" s="8" t="str">
        <v>1331 Kimberly Dr.</v>
      </c>
      <c r="AB1116" s="8" t="str">
        <v>Olympia</v>
      </c>
      <c r="AC1116" s="8" t="str">
        <v>WA</v>
      </c>
      <c r="AD1116" s="8" t="str">
        <v>98502</v>
      </c>
    </row>
    <row r="1117" spans="1:30">
      <c r="A1117" s="8" t="s">
        <v>1077</v>
      </c>
      <c r="B1117" s="19">
        <v>42246</v>
      </c>
      <c r="C1117" s="8" t="s">
        <v>46</v>
      </c>
      <c r="D1117" s="8">
        <v>10012</v>
      </c>
      <c r="E1117" s="8" t="str">
        <f>VLOOKUP($D1117,'Customer Details'!$A$1:$F$17,4,FALSE)</f>
        <v>Santa Barbara</v>
      </c>
      <c r="F1117" s="8" t="s">
        <v>501</v>
      </c>
      <c r="G1117" s="8">
        <v>1</v>
      </c>
      <c r="H1117" s="2" t="str">
        <f>VLOOKUP($D1117,'Customer Details'!$A$1:$F$17,MATCH('Order SUmmary'!H$2,'Customer Details'!$A$1:$F$1,0),0)</f>
        <v>Dynamatic Technologies Ltd.</v>
      </c>
      <c r="I1117" s="2" t="str">
        <f>VLOOKUP($D1117,'Customer Details'!$A$1:$F$17,4,0)</f>
        <v>Santa Barbara</v>
      </c>
      <c r="J1117" s="2" t="str">
        <f>VLOOKUP($D1117,'Customer Details'!$A$1:$F$17,6,0)</f>
        <v>93110</v>
      </c>
      <c r="K1117" s="8" t="str">
        <f>VLOOKUP(VLOOKUP(D1117,'Customer Details'!$A$1:$F$17,5,0),'Region INfo'!$A$1:$C$52,3,0)</f>
        <v xml:space="preserve">Pacific   </v>
      </c>
      <c r="L1117" s="8" t="str">
        <f>INDEX(Product_List,MATCH($F1117,'Product List'!$B$1:$B$299,0),MATCH('Order SUmmary'!L$2,'Product List'!$A$1:$E$1,0))</f>
        <v>Avery 500</v>
      </c>
      <c r="M1117" s="8">
        <f>INDEX(Product_List,MATCH($F1117,'Product List'!$B$1:$B$299,0),MATCH('Order SUmmary'!M$2,'Product List'!$A$1:$E$1,0))</f>
        <v>4234</v>
      </c>
      <c r="N1117" s="8">
        <f>INDEX(Product_List,MATCH($F1117,'Product List'!$B$1:$B$299,0),MATCH('Order SUmmary'!N$2,'Product List'!$A$1:$E$1,0))</f>
        <v>1212</v>
      </c>
      <c r="O1117" s="8" t="str">
        <f>INDEX(Product_List,MATCH($F1117,'Product List'!$B$1:$B$299,0),MATCH('Order SUmmary'!O$2,'Product List'!$A$1:$E$1,0))</f>
        <v>Labels</v>
      </c>
      <c r="P1117" s="12">
        <f>HLOOKUP(C1117,'Commission Criteria'!$A$2:$I$4,3,FALSE)</f>
        <v>8</v>
      </c>
      <c r="Q1117" s="8">
        <f t="shared" si="52"/>
        <v>1212</v>
      </c>
      <c r="R1117" s="8">
        <f t="shared" si="53"/>
        <v>4234</v>
      </c>
      <c r="S1117" s="36">
        <f>VLOOKUP(R1117,'Commission Criteria'!$L$3:$M$11,2,TRUE)</f>
        <v>0.01</v>
      </c>
      <c r="T1117" s="36">
        <f>IF(P1117&lt;5,VLOOKUP(R1117,'Commission Criteria'!$L$3:$M$11,2,1),VLOOKUP('Order SUmmary'!R1117,'Commission Criteria'!$P$3:$Q$11,2,1))</f>
        <v>0.02</v>
      </c>
      <c r="U1117" s="36">
        <f>VLOOKUP(R1117,IF(P1117&lt;5,'Commission Criteria'!$L$3:$M$11,'Commission Criteria'!$P$3:$Q$11),2,1)</f>
        <v>0.02</v>
      </c>
      <c r="V1117" s="8" t="s">
        <v>43</v>
      </c>
      <c r="W1117" s="36">
        <f t="shared" ca="1" si="54"/>
        <v>0.05</v>
      </c>
      <c r="X1117" s="8" t="str">
        <f>_xlfn.XLOOKUP(F1117,'Product List'!$B$1:$B$299,'Product List'!$A$1:$A$299)</f>
        <v>Avery 500</v>
      </c>
      <c r="Y1117" s="8"/>
      <c r="Z1117" s="8" t="str" cm="1">
        <f t="array" ref="Z1117:AD1117">_xlfn.XLOOKUP(D1117,'Customer Details'!$A$1:$A$17,'Customer Details'!$B$1:$F$17,"No such customer",0,1)</f>
        <v>Dynamatic Technologies Ltd.</v>
      </c>
      <c r="AA1117" s="8" t="str">
        <v>402 Pinkster Lane</v>
      </c>
      <c r="AB1117" s="8" t="str">
        <v>Santa Barbara</v>
      </c>
      <c r="AC1117" s="8" t="str">
        <v>CA</v>
      </c>
      <c r="AD1117" s="8" t="str">
        <v>93110</v>
      </c>
    </row>
    <row r="1118" spans="1:30">
      <c r="A1118" s="8" t="s">
        <v>1077</v>
      </c>
      <c r="B1118" s="19">
        <v>42246</v>
      </c>
      <c r="C1118" s="8" t="s">
        <v>51</v>
      </c>
      <c r="D1118" s="8">
        <v>10015</v>
      </c>
      <c r="E1118" s="8" t="str">
        <f>VLOOKUP($D1118,'Customer Details'!$A$1:$F$17,4,FALSE)</f>
        <v>South Windsor</v>
      </c>
      <c r="F1118" s="8" t="s">
        <v>227</v>
      </c>
      <c r="G1118" s="8">
        <v>2</v>
      </c>
      <c r="H1118" s="2" t="str">
        <f>VLOOKUP($D1118,'Customer Details'!$A$1:$F$17,MATCH('Order SUmmary'!H$2,'Customer Details'!$A$1:$F$1,0),0)</f>
        <v>Punj Lloyd Ltd.</v>
      </c>
      <c r="I1118" s="2" t="str">
        <f>VLOOKUP($D1118,'Customer Details'!$A$1:$F$17,4,0)</f>
        <v>South Windsor</v>
      </c>
      <c r="J1118" s="2" t="str">
        <f>VLOOKUP($D1118,'Customer Details'!$A$1:$F$17,6,0)</f>
        <v>06074</v>
      </c>
      <c r="K1118" s="8" t="str">
        <f>VLOOKUP(VLOOKUP(D1118,'Customer Details'!$A$1:$F$17,5,0),'Region INfo'!$A$1:$C$52,3,0)</f>
        <v xml:space="preserve">Northern </v>
      </c>
      <c r="L1118" s="8" t="str">
        <f>INDEX(Product_List,MATCH($F1118,'Product List'!$B$1:$B$299,0),MATCH('Order SUmmary'!L$2,'Product List'!$A$1:$E$1,0))</f>
        <v>Xerox 21</v>
      </c>
      <c r="M1118" s="8">
        <f>INDEX(Product_List,MATCH($F1118,'Product List'!$B$1:$B$299,0),MATCH('Order SUmmary'!M$2,'Product List'!$A$1:$E$1,0))</f>
        <v>2787</v>
      </c>
      <c r="N1118" s="8">
        <f>INDEX(Product_List,MATCH($F1118,'Product List'!$B$1:$B$299,0),MATCH('Order SUmmary'!N$2,'Product List'!$A$1:$E$1,0))</f>
        <v>2020</v>
      </c>
      <c r="O1118" s="8" t="str">
        <f>INDEX(Product_List,MATCH($F1118,'Product List'!$B$1:$B$299,0),MATCH('Order SUmmary'!O$2,'Product List'!$A$1:$E$1,0))</f>
        <v>Paper</v>
      </c>
      <c r="P1118" s="12">
        <f>HLOOKUP(C1118,'Commission Criteria'!$A$2:$I$4,3,FALSE)</f>
        <v>10</v>
      </c>
      <c r="Q1118" s="8">
        <f t="shared" si="52"/>
        <v>4040</v>
      </c>
      <c r="R1118" s="8">
        <f t="shared" si="53"/>
        <v>5574</v>
      </c>
      <c r="S1118" s="36">
        <f>VLOOKUP(R1118,'Commission Criteria'!$L$3:$M$11,2,TRUE)</f>
        <v>0.03</v>
      </c>
      <c r="T1118" s="36">
        <f>IF(P1118&lt;5,VLOOKUP(R1118,'Commission Criteria'!$L$3:$M$11,2,1),VLOOKUP('Order SUmmary'!R1118,'Commission Criteria'!$P$3:$Q$11,2,1))</f>
        <v>0.02</v>
      </c>
      <c r="U1118" s="36">
        <f>VLOOKUP(R1118,IF(P1118&lt;5,'Commission Criteria'!$L$3:$M$11,'Commission Criteria'!$P$3:$Q$11),2,1)</f>
        <v>0.02</v>
      </c>
      <c r="V1118" s="8" t="s">
        <v>32</v>
      </c>
      <c r="W1118" s="36">
        <f t="shared" ca="1" si="54"/>
        <v>0.04</v>
      </c>
      <c r="X1118" s="8" t="str">
        <f>_xlfn.XLOOKUP(F1118,'Product List'!$B$1:$B$299,'Product List'!$A$1:$A$299)</f>
        <v>Xerox 21</v>
      </c>
      <c r="Y1118" s="8"/>
      <c r="Z1118" s="8" t="str" cm="1">
        <f t="array" ref="Z1118:AD1118">_xlfn.XLOOKUP(D1118,'Customer Details'!$A$1:$A$17,'Customer Details'!$B$1:$F$17,"No such customer",0,1)</f>
        <v>Punj Lloyd Ltd.</v>
      </c>
      <c r="AA1118" s="8" t="str">
        <v>Box 3263</v>
      </c>
      <c r="AB1118" s="8" t="str">
        <v>South Windsor</v>
      </c>
      <c r="AC1118" s="8" t="str">
        <v>CT</v>
      </c>
      <c r="AD1118" s="8" t="str">
        <v>06074</v>
      </c>
    </row>
    <row r="1119" spans="1:30">
      <c r="A1119" s="8" t="s">
        <v>1077</v>
      </c>
      <c r="B1119" s="19">
        <v>42246</v>
      </c>
      <c r="C1119" s="8" t="s">
        <v>27</v>
      </c>
      <c r="D1119" s="8">
        <v>10014</v>
      </c>
      <c r="E1119" s="8" t="str">
        <f>VLOOKUP($D1119,'Customer Details'!$A$1:$F$17,4,FALSE)</f>
        <v>Honolulu</v>
      </c>
      <c r="F1119" s="8" t="s">
        <v>307</v>
      </c>
      <c r="G1119" s="8">
        <v>3</v>
      </c>
      <c r="H1119" s="2" t="str">
        <f>VLOOKUP($D1119,'Customer Details'!$A$1:$F$17,MATCH('Order SUmmary'!H$2,'Customer Details'!$A$1:$F$1,0),0)</f>
        <v>Hindusthan National Glass &amp; Industries Ltd.</v>
      </c>
      <c r="I1119" s="2" t="str">
        <f>VLOOKUP($D1119,'Customer Details'!$A$1:$F$17,4,0)</f>
        <v>Honolulu</v>
      </c>
      <c r="J1119" s="2" t="str">
        <f>VLOOKUP($D1119,'Customer Details'!$A$1:$F$17,6,0)</f>
        <v>96825</v>
      </c>
      <c r="K1119" s="8" t="str">
        <f>VLOOKUP(VLOOKUP(D1119,'Customer Details'!$A$1:$F$17,5,0),'Region INfo'!$A$1:$C$52,3,0)</f>
        <v xml:space="preserve">Pacific   </v>
      </c>
      <c r="L1119" s="8" t="str">
        <f>INDEX(Product_List,MATCH($F1119,'Product List'!$B$1:$B$299,0),MATCH('Order SUmmary'!L$2,'Product List'!$A$1:$E$1,0))</f>
        <v>Avery 519</v>
      </c>
      <c r="M1119" s="8">
        <f>INDEX(Product_List,MATCH($F1119,'Product List'!$B$1:$B$299,0),MATCH('Order SUmmary'!M$2,'Product List'!$A$1:$E$1,0))</f>
        <v>3491</v>
      </c>
      <c r="N1119" s="8">
        <f>INDEX(Product_List,MATCH($F1119,'Product List'!$B$1:$B$299,0),MATCH('Order SUmmary'!N$2,'Product List'!$A$1:$E$1,0))</f>
        <v>1257</v>
      </c>
      <c r="O1119" s="8" t="str">
        <f>INDEX(Product_List,MATCH($F1119,'Product List'!$B$1:$B$299,0),MATCH('Order SUmmary'!O$2,'Product List'!$A$1:$E$1,0))</f>
        <v>Labels</v>
      </c>
      <c r="P1119" s="12">
        <f>HLOOKUP(C1119,'Commission Criteria'!$A$2:$I$4,3,FALSE)</f>
        <v>4</v>
      </c>
      <c r="Q1119" s="8">
        <f t="shared" si="52"/>
        <v>3771</v>
      </c>
      <c r="R1119" s="8">
        <f t="shared" si="53"/>
        <v>10473</v>
      </c>
      <c r="S1119" s="36">
        <f>VLOOKUP(R1119,'Commission Criteria'!$L$3:$M$11,2,TRUE)</f>
        <v>0.03</v>
      </c>
      <c r="T1119" s="36">
        <f>IF(P1119&lt;5,VLOOKUP(R1119,'Commission Criteria'!$L$3:$M$11,2,1),VLOOKUP('Order SUmmary'!R1119,'Commission Criteria'!$P$3:$Q$11,2,1))</f>
        <v>0.03</v>
      </c>
      <c r="U1119" s="36">
        <f>VLOOKUP(R1119,IF(P1119&lt;5,'Commission Criteria'!$L$3:$M$11,'Commission Criteria'!$P$3:$Q$11),2,1)</f>
        <v>0.03</v>
      </c>
      <c r="V1119" s="8" t="s">
        <v>50</v>
      </c>
      <c r="W1119" s="36">
        <f t="shared" ca="1" si="54"/>
        <v>0.03</v>
      </c>
      <c r="X1119" s="8" t="str">
        <f>_xlfn.XLOOKUP(F1119,'Product List'!$B$1:$B$299,'Product List'!$A$1:$A$299)</f>
        <v>Avery 519</v>
      </c>
      <c r="Y1119" s="8"/>
      <c r="Z1119" s="8" t="str" cm="1">
        <f t="array" ref="Z1119:AD1119">_xlfn.XLOOKUP(D1119,'Customer Details'!$A$1:$A$17,'Customer Details'!$B$1:$F$17,"No such customer",0,1)</f>
        <v>Hindusthan National Glass &amp; Industries Ltd.</v>
      </c>
      <c r="AA1119" s="8" t="str">
        <v>11 Cathy St.</v>
      </c>
      <c r="AB1119" s="8" t="str">
        <v>Honolulu</v>
      </c>
      <c r="AC1119" s="8" t="str">
        <v>HI</v>
      </c>
      <c r="AD1119" s="8" t="str">
        <v>96825</v>
      </c>
    </row>
    <row r="1120" spans="1:30">
      <c r="A1120" s="8" t="s">
        <v>1078</v>
      </c>
      <c r="B1120" s="19">
        <v>42247</v>
      </c>
      <c r="C1120" s="8" t="s">
        <v>66</v>
      </c>
      <c r="D1120" s="8">
        <v>10010</v>
      </c>
      <c r="E1120" s="8" t="str">
        <f>VLOOKUP($D1120,'Customer Details'!$A$1:$F$17,4,FALSE)</f>
        <v>Tracy</v>
      </c>
      <c r="F1120" s="8" t="s">
        <v>370</v>
      </c>
      <c r="G1120" s="8">
        <v>1</v>
      </c>
      <c r="H1120" s="2" t="str">
        <f>VLOOKUP($D1120,'Customer Details'!$A$1:$F$17,MATCH('Order SUmmary'!H$2,'Customer Details'!$A$1:$F$1,0),0)</f>
        <v>Suzlon Energy Ltd.</v>
      </c>
      <c r="I1120" s="2" t="str">
        <f>VLOOKUP($D1120,'Customer Details'!$A$1:$F$17,4,0)</f>
        <v>Tracy</v>
      </c>
      <c r="J1120" s="2" t="str">
        <f>VLOOKUP($D1120,'Customer Details'!$A$1:$F$17,6,0)</f>
        <v>95376</v>
      </c>
      <c r="K1120" s="8" t="str">
        <f>VLOOKUP(VLOOKUP(D1120,'Customer Details'!$A$1:$F$17,5,0),'Region INfo'!$A$1:$C$52,3,0)</f>
        <v xml:space="preserve">Pacific   </v>
      </c>
      <c r="L1120" s="8" t="str">
        <f>INDEX(Product_List,MATCH($F1120,'Product List'!$B$1:$B$299,0),MATCH('Order SUmmary'!L$2,'Product List'!$A$1:$E$1,0))</f>
        <v>Avery 496</v>
      </c>
      <c r="M1120" s="8">
        <f>INDEX(Product_List,MATCH($F1120,'Product List'!$B$1:$B$299,0),MATCH('Order SUmmary'!M$2,'Product List'!$A$1:$E$1,0))</f>
        <v>2902</v>
      </c>
      <c r="N1120" s="8">
        <f>INDEX(Product_List,MATCH($F1120,'Product List'!$B$1:$B$299,0),MATCH('Order SUmmary'!N$2,'Product List'!$A$1:$E$1,0))</f>
        <v>1633</v>
      </c>
      <c r="O1120" s="8" t="str">
        <f>INDEX(Product_List,MATCH($F1120,'Product List'!$B$1:$B$299,0),MATCH('Order SUmmary'!O$2,'Product List'!$A$1:$E$1,0))</f>
        <v>Labels</v>
      </c>
      <c r="P1120" s="12">
        <f>HLOOKUP(C1120,'Commission Criteria'!$A$2:$I$4,3,FALSE)</f>
        <v>5</v>
      </c>
      <c r="Q1120" s="8">
        <f t="shared" si="52"/>
        <v>1633</v>
      </c>
      <c r="R1120" s="8">
        <f t="shared" si="53"/>
        <v>2902</v>
      </c>
      <c r="S1120" s="36">
        <f>VLOOKUP(R1120,'Commission Criteria'!$L$3:$M$11,2,TRUE)</f>
        <v>0.01</v>
      </c>
      <c r="T1120" s="36">
        <f>IF(P1120&lt;5,VLOOKUP(R1120,'Commission Criteria'!$L$3:$M$11,2,1),VLOOKUP('Order SUmmary'!R1120,'Commission Criteria'!$P$3:$Q$11,2,1))</f>
        <v>0.02</v>
      </c>
      <c r="U1120" s="36">
        <f>VLOOKUP(R1120,IF(P1120&lt;5,'Commission Criteria'!$L$3:$M$11,'Commission Criteria'!$P$3:$Q$11),2,1)</f>
        <v>0.02</v>
      </c>
      <c r="V1120" s="8" t="s">
        <v>35</v>
      </c>
      <c r="W1120" s="36">
        <f t="shared" ca="1" si="54"/>
        <v>0.05</v>
      </c>
      <c r="X1120" s="8" t="str">
        <f>_xlfn.XLOOKUP(F1120,'Product List'!$B$1:$B$299,'Product List'!$A$1:$A$299)</f>
        <v>Avery 496</v>
      </c>
      <c r="Y1120" s="8"/>
      <c r="Z1120" s="8" t="str" cm="1">
        <f t="array" ref="Z1120:AD1120">_xlfn.XLOOKUP(D1120,'Customer Details'!$A$1:$A$17,'Customer Details'!$B$1:$F$17,"No such customer",0,1)</f>
        <v>Suzlon Energy Ltd.</v>
      </c>
      <c r="AA1120" s="8" t="str">
        <v>501 Marsh Trail Circle</v>
      </c>
      <c r="AB1120" s="8" t="str">
        <v>Tracy</v>
      </c>
      <c r="AC1120" s="8" t="str">
        <v>CA</v>
      </c>
      <c r="AD1120" s="8" t="str">
        <v>95376</v>
      </c>
    </row>
    <row r="1121" spans="1:30">
      <c r="A1121" s="8" t="s">
        <v>1079</v>
      </c>
      <c r="B1121" s="19">
        <v>42248</v>
      </c>
      <c r="C1121" s="8" t="s">
        <v>51</v>
      </c>
      <c r="D1121" s="8">
        <v>10004</v>
      </c>
      <c r="E1121" s="8" t="str">
        <f>VLOOKUP($D1121,'Customer Details'!$A$1:$F$17,4,FALSE)</f>
        <v>New York</v>
      </c>
      <c r="F1121" s="8" t="s">
        <v>451</v>
      </c>
      <c r="G1121" s="8">
        <v>1</v>
      </c>
      <c r="H1121" s="2" t="str">
        <f>VLOOKUP($D1121,'Customer Details'!$A$1:$F$17,MATCH('Order SUmmary'!H$2,'Customer Details'!$A$1:$F$1,0),0)</f>
        <v>Lupin Ltd.</v>
      </c>
      <c r="I1121" s="2" t="str">
        <f>VLOOKUP($D1121,'Customer Details'!$A$1:$F$17,4,0)</f>
        <v>New York</v>
      </c>
      <c r="J1121" s="2" t="str">
        <f>VLOOKUP($D1121,'Customer Details'!$A$1:$F$17,6,0)</f>
        <v>10019</v>
      </c>
      <c r="K1121" s="8" t="str">
        <f>VLOOKUP(VLOOKUP(D1121,'Customer Details'!$A$1:$F$17,5,0),'Region INfo'!$A$1:$C$52,3,0)</f>
        <v xml:space="preserve">Northern </v>
      </c>
      <c r="L1121" s="8" t="str">
        <f>INDEX(Product_List,MATCH($F1121,'Product List'!$B$1:$B$299,0),MATCH('Order SUmmary'!L$2,'Product List'!$A$1:$E$1,0))</f>
        <v>Xerox 1903</v>
      </c>
      <c r="M1121" s="8">
        <f>INDEX(Product_List,MATCH($F1121,'Product List'!$B$1:$B$299,0),MATCH('Order SUmmary'!M$2,'Product List'!$A$1:$E$1,0))</f>
        <v>4758</v>
      </c>
      <c r="N1121" s="8">
        <f>INDEX(Product_List,MATCH($F1121,'Product List'!$B$1:$B$299,0),MATCH('Order SUmmary'!N$2,'Product List'!$A$1:$E$1,0))</f>
        <v>1946</v>
      </c>
      <c r="O1121" s="8" t="str">
        <f>INDEX(Product_List,MATCH($F1121,'Product List'!$B$1:$B$299,0),MATCH('Order SUmmary'!O$2,'Product List'!$A$1:$E$1,0))</f>
        <v>Paper</v>
      </c>
      <c r="P1121" s="12">
        <f>HLOOKUP(C1121,'Commission Criteria'!$A$2:$I$4,3,FALSE)</f>
        <v>10</v>
      </c>
      <c r="Q1121" s="8">
        <f t="shared" si="52"/>
        <v>1946</v>
      </c>
      <c r="R1121" s="8">
        <f t="shared" si="53"/>
        <v>4758</v>
      </c>
      <c r="S1121" s="36">
        <f>VLOOKUP(R1121,'Commission Criteria'!$L$3:$M$11,2,TRUE)</f>
        <v>0.01</v>
      </c>
      <c r="T1121" s="36">
        <f>IF(P1121&lt;5,VLOOKUP(R1121,'Commission Criteria'!$L$3:$M$11,2,1),VLOOKUP('Order SUmmary'!R1121,'Commission Criteria'!$P$3:$Q$11,2,1))</f>
        <v>0.02</v>
      </c>
      <c r="U1121" s="36">
        <f>VLOOKUP(R1121,IF(P1121&lt;5,'Commission Criteria'!$L$3:$M$11,'Commission Criteria'!$P$3:$Q$11),2,1)</f>
        <v>0.02</v>
      </c>
      <c r="V1121" s="8" t="s">
        <v>32</v>
      </c>
      <c r="W1121" s="36">
        <f t="shared" ca="1" si="54"/>
        <v>0</v>
      </c>
      <c r="X1121" s="8" t="str">
        <f>_xlfn.XLOOKUP(F1121,'Product List'!$B$1:$B$299,'Product List'!$A$1:$A$299)</f>
        <v>Xerox 1903</v>
      </c>
      <c r="Y1121" s="8"/>
      <c r="Z1121" s="8" t="str" cm="1">
        <f t="array" ref="Z1121:AD1121">_xlfn.XLOOKUP(D1121,'Customer Details'!$A$1:$A$17,'Customer Details'!$B$1:$F$17,"No such customer",0,1)</f>
        <v>Lupin Ltd.</v>
      </c>
      <c r="AA1121" s="8" t="str">
        <v>Abbey Wood</v>
      </c>
      <c r="AB1121" s="8" t="str">
        <v>New York</v>
      </c>
      <c r="AC1121" s="8" t="str">
        <v>NY</v>
      </c>
      <c r="AD1121" s="8" t="str">
        <v>10019</v>
      </c>
    </row>
    <row r="1122" spans="1:30">
      <c r="A1122" s="8" t="s">
        <v>1079</v>
      </c>
      <c r="B1122" s="19">
        <v>42248</v>
      </c>
      <c r="C1122" s="8" t="s">
        <v>54</v>
      </c>
      <c r="D1122" s="8">
        <v>10015</v>
      </c>
      <c r="E1122" s="8" t="str">
        <f>VLOOKUP($D1122,'Customer Details'!$A$1:$F$17,4,FALSE)</f>
        <v>South Windsor</v>
      </c>
      <c r="F1122" s="8" t="s">
        <v>501</v>
      </c>
      <c r="G1122" s="8">
        <v>2</v>
      </c>
      <c r="H1122" s="2" t="str">
        <f>VLOOKUP($D1122,'Customer Details'!$A$1:$F$17,MATCH('Order SUmmary'!H$2,'Customer Details'!$A$1:$F$1,0),0)</f>
        <v>Punj Lloyd Ltd.</v>
      </c>
      <c r="I1122" s="2" t="str">
        <f>VLOOKUP($D1122,'Customer Details'!$A$1:$F$17,4,0)</f>
        <v>South Windsor</v>
      </c>
      <c r="J1122" s="2" t="str">
        <f>VLOOKUP($D1122,'Customer Details'!$A$1:$F$17,6,0)</f>
        <v>06074</v>
      </c>
      <c r="K1122" s="8" t="str">
        <f>VLOOKUP(VLOOKUP(D1122,'Customer Details'!$A$1:$F$17,5,0),'Region INfo'!$A$1:$C$52,3,0)</f>
        <v xml:space="preserve">Northern </v>
      </c>
      <c r="L1122" s="8" t="str">
        <f>INDEX(Product_List,MATCH($F1122,'Product List'!$B$1:$B$299,0),MATCH('Order SUmmary'!L$2,'Product List'!$A$1:$E$1,0))</f>
        <v>Avery 500</v>
      </c>
      <c r="M1122" s="8">
        <f>INDEX(Product_List,MATCH($F1122,'Product List'!$B$1:$B$299,0),MATCH('Order SUmmary'!M$2,'Product List'!$A$1:$E$1,0))</f>
        <v>4234</v>
      </c>
      <c r="N1122" s="8">
        <f>INDEX(Product_List,MATCH($F1122,'Product List'!$B$1:$B$299,0),MATCH('Order SUmmary'!N$2,'Product List'!$A$1:$E$1,0))</f>
        <v>1212</v>
      </c>
      <c r="O1122" s="8" t="str">
        <f>INDEX(Product_List,MATCH($F1122,'Product List'!$B$1:$B$299,0),MATCH('Order SUmmary'!O$2,'Product List'!$A$1:$E$1,0))</f>
        <v>Labels</v>
      </c>
      <c r="P1122" s="12">
        <f>HLOOKUP(C1122,'Commission Criteria'!$A$2:$I$4,3,FALSE)</f>
        <v>3</v>
      </c>
      <c r="Q1122" s="8">
        <f t="shared" si="52"/>
        <v>2424</v>
      </c>
      <c r="R1122" s="8">
        <f t="shared" si="53"/>
        <v>8468</v>
      </c>
      <c r="S1122" s="36">
        <f>VLOOKUP(R1122,'Commission Criteria'!$L$3:$M$11,2,TRUE)</f>
        <v>0.03</v>
      </c>
      <c r="T1122" s="36">
        <f>IF(P1122&lt;5,VLOOKUP(R1122,'Commission Criteria'!$L$3:$M$11,2,1),VLOOKUP('Order SUmmary'!R1122,'Commission Criteria'!$P$3:$Q$11,2,1))</f>
        <v>0.03</v>
      </c>
      <c r="U1122" s="36">
        <f>VLOOKUP(R1122,IF(P1122&lt;5,'Commission Criteria'!$L$3:$M$11,'Commission Criteria'!$P$3:$Q$11),2,1)</f>
        <v>0.03</v>
      </c>
      <c r="V1122" s="8" t="s">
        <v>35</v>
      </c>
      <c r="W1122" s="36">
        <f t="shared" ca="1" si="54"/>
        <v>0</v>
      </c>
      <c r="X1122" s="8" t="str">
        <f>_xlfn.XLOOKUP(F1122,'Product List'!$B$1:$B$299,'Product List'!$A$1:$A$299)</f>
        <v>Avery 500</v>
      </c>
      <c r="Y1122" s="8"/>
      <c r="Z1122" s="8" t="str" cm="1">
        <f t="array" ref="Z1122:AD1122">_xlfn.XLOOKUP(D1122,'Customer Details'!$A$1:$A$17,'Customer Details'!$B$1:$F$17,"No such customer",0,1)</f>
        <v>Punj Lloyd Ltd.</v>
      </c>
      <c r="AA1122" s="8" t="str">
        <v>Box 3263</v>
      </c>
      <c r="AB1122" s="8" t="str">
        <v>South Windsor</v>
      </c>
      <c r="AC1122" s="8" t="str">
        <v>CT</v>
      </c>
      <c r="AD1122" s="8" t="str">
        <v>06074</v>
      </c>
    </row>
    <row r="1123" spans="1:30">
      <c r="A1123" s="8" t="s">
        <v>1080</v>
      </c>
      <c r="B1123" s="19">
        <v>42249</v>
      </c>
      <c r="C1123" s="8" t="s">
        <v>44</v>
      </c>
      <c r="D1123" s="8">
        <v>10013</v>
      </c>
      <c r="E1123" s="8" t="str">
        <f>VLOOKUP($D1123,'Customer Details'!$A$1:$F$17,4,FALSE)</f>
        <v>Naugatuck</v>
      </c>
      <c r="F1123" s="8" t="s">
        <v>76</v>
      </c>
      <c r="G1123" s="8">
        <v>1</v>
      </c>
      <c r="H1123" s="2" t="str">
        <f>VLOOKUP($D1123,'Customer Details'!$A$1:$F$17,MATCH('Order SUmmary'!H$2,'Customer Details'!$A$1:$F$1,0),0)</f>
        <v>GMR Infrastructure Ltd.</v>
      </c>
      <c r="I1123" s="2" t="str">
        <f>VLOOKUP($D1123,'Customer Details'!$A$1:$F$17,4,0)</f>
        <v>Naugatuck</v>
      </c>
      <c r="J1123" s="2" t="str">
        <f>VLOOKUP($D1123,'Customer Details'!$A$1:$F$17,6,0)</f>
        <v>06770</v>
      </c>
      <c r="K1123" s="8" t="str">
        <f>VLOOKUP(VLOOKUP(D1123,'Customer Details'!$A$1:$F$17,5,0),'Region INfo'!$A$1:$C$52,3,0)</f>
        <v xml:space="preserve">Northern </v>
      </c>
      <c r="L1123" s="8" t="str">
        <f>INDEX(Product_List,MATCH($F1123,'Product List'!$B$1:$B$299,0),MATCH('Order SUmmary'!L$2,'Product List'!$A$1:$E$1,0))</f>
        <v>Avery 49</v>
      </c>
      <c r="M1123" s="8">
        <f>INDEX(Product_List,MATCH($F1123,'Product List'!$B$1:$B$299,0),MATCH('Order SUmmary'!M$2,'Product List'!$A$1:$E$1,0))</f>
        <v>4079</v>
      </c>
      <c r="N1123" s="8">
        <f>INDEX(Product_List,MATCH($F1123,'Product List'!$B$1:$B$299,0),MATCH('Order SUmmary'!N$2,'Product List'!$A$1:$E$1,0))</f>
        <v>1413</v>
      </c>
      <c r="O1123" s="8" t="str">
        <f>INDEX(Product_List,MATCH($F1123,'Product List'!$B$1:$B$299,0),MATCH('Order SUmmary'!O$2,'Product List'!$A$1:$E$1,0))</f>
        <v>Labels</v>
      </c>
      <c r="P1123" s="12">
        <f>HLOOKUP(C1123,'Commission Criteria'!$A$2:$I$4,3,FALSE)</f>
        <v>4</v>
      </c>
      <c r="Q1123" s="8">
        <f t="shared" si="52"/>
        <v>1413</v>
      </c>
      <c r="R1123" s="8">
        <f t="shared" si="53"/>
        <v>4079</v>
      </c>
      <c r="S1123" s="36">
        <f>VLOOKUP(R1123,'Commission Criteria'!$L$3:$M$11,2,TRUE)</f>
        <v>0.01</v>
      </c>
      <c r="T1123" s="36">
        <f>IF(P1123&lt;5,VLOOKUP(R1123,'Commission Criteria'!$L$3:$M$11,2,1),VLOOKUP('Order SUmmary'!R1123,'Commission Criteria'!$P$3:$Q$11,2,1))</f>
        <v>0.01</v>
      </c>
      <c r="U1123" s="36">
        <f>VLOOKUP(R1123,IF(P1123&lt;5,'Commission Criteria'!$L$3:$M$11,'Commission Criteria'!$P$3:$Q$11),2,1)</f>
        <v>0.01</v>
      </c>
      <c r="V1123" s="8" t="s">
        <v>40</v>
      </c>
      <c r="W1123" s="36">
        <f t="shared" ca="1" si="54"/>
        <v>0.02</v>
      </c>
      <c r="X1123" s="8" t="str">
        <f>_xlfn.XLOOKUP(F1123,'Product List'!$B$1:$B$299,'Product List'!$A$1:$A$299)</f>
        <v>Avery 49</v>
      </c>
      <c r="Y1123" s="8"/>
      <c r="Z1123" s="8" t="str" cm="1">
        <f t="array" ref="Z1123:AD1123">_xlfn.XLOOKUP(D1123,'Customer Details'!$A$1:$A$17,'Customer Details'!$B$1:$F$17,"No such customer",0,1)</f>
        <v>GMR Infrastructure Ltd.</v>
      </c>
      <c r="AA1123" s="8" t="str">
        <v>P.O. Box 4421</v>
      </c>
      <c r="AB1123" s="8" t="str">
        <v>Naugatuck</v>
      </c>
      <c r="AC1123" s="8" t="str">
        <v>CT</v>
      </c>
      <c r="AD1123" s="8" t="str">
        <v>06770</v>
      </c>
    </row>
    <row r="1124" spans="1:30">
      <c r="A1124" s="8" t="s">
        <v>1081</v>
      </c>
      <c r="B1124" s="19">
        <v>42252</v>
      </c>
      <c r="C1124" s="8" t="s">
        <v>66</v>
      </c>
      <c r="D1124" s="8">
        <v>10009</v>
      </c>
      <c r="E1124" s="8" t="str">
        <f>VLOOKUP($D1124,'Customer Details'!$A$1:$F$17,4,FALSE)</f>
        <v>Salt Lake City</v>
      </c>
      <c r="F1124" s="8" t="s">
        <v>518</v>
      </c>
      <c r="G1124" s="8">
        <v>1</v>
      </c>
      <c r="H1124" s="2" t="str">
        <f>VLOOKUP($D1124,'Customer Details'!$A$1:$F$17,MATCH('Order SUmmary'!H$2,'Customer Details'!$A$1:$F$1,0),0)</f>
        <v>Godfrey Philips India Ltd.</v>
      </c>
      <c r="I1124" s="2" t="str">
        <f>VLOOKUP($D1124,'Customer Details'!$A$1:$F$17,4,0)</f>
        <v>Salt Lake City</v>
      </c>
      <c r="J1124" s="2" t="str">
        <f>VLOOKUP($D1124,'Customer Details'!$A$1:$F$17,6,0)</f>
        <v>84118</v>
      </c>
      <c r="K1124" s="8" t="str">
        <f>VLOOKUP(VLOOKUP(D1124,'Customer Details'!$A$1:$F$17,5,0),'Region INfo'!$A$1:$C$52,3,0)</f>
        <v xml:space="preserve">Pacific   </v>
      </c>
      <c r="L1124" s="8" t="str">
        <f>INDEX(Product_List,MATCH($F1124,'Product List'!$B$1:$B$299,0),MATCH('Order SUmmary'!L$2,'Product List'!$A$1:$E$1,0))</f>
        <v>Xerox 1931</v>
      </c>
      <c r="M1124" s="8">
        <f>INDEX(Product_List,MATCH($F1124,'Product List'!$B$1:$B$299,0),MATCH('Order SUmmary'!M$2,'Product List'!$A$1:$E$1,0))</f>
        <v>2706</v>
      </c>
      <c r="N1124" s="8">
        <f>INDEX(Product_List,MATCH($F1124,'Product List'!$B$1:$B$299,0),MATCH('Order SUmmary'!N$2,'Product List'!$A$1:$E$1,0))</f>
        <v>2310</v>
      </c>
      <c r="O1124" s="8" t="str">
        <f>INDEX(Product_List,MATCH($F1124,'Product List'!$B$1:$B$299,0),MATCH('Order SUmmary'!O$2,'Product List'!$A$1:$E$1,0))</f>
        <v>Paper</v>
      </c>
      <c r="P1124" s="12">
        <f>HLOOKUP(C1124,'Commission Criteria'!$A$2:$I$4,3,FALSE)</f>
        <v>5</v>
      </c>
      <c r="Q1124" s="8">
        <f t="shared" si="52"/>
        <v>2310</v>
      </c>
      <c r="R1124" s="8">
        <f t="shared" si="53"/>
        <v>2706</v>
      </c>
      <c r="S1124" s="36">
        <f>VLOOKUP(R1124,'Commission Criteria'!$L$3:$M$11,2,TRUE)</f>
        <v>0.01</v>
      </c>
      <c r="T1124" s="36">
        <f>IF(P1124&lt;5,VLOOKUP(R1124,'Commission Criteria'!$L$3:$M$11,2,1),VLOOKUP('Order SUmmary'!R1124,'Commission Criteria'!$P$3:$Q$11,2,1))</f>
        <v>0.02</v>
      </c>
      <c r="U1124" s="36">
        <f>VLOOKUP(R1124,IF(P1124&lt;5,'Commission Criteria'!$L$3:$M$11,'Commission Criteria'!$P$3:$Q$11),2,1)</f>
        <v>0.02</v>
      </c>
      <c r="V1124" s="8" t="s">
        <v>43</v>
      </c>
      <c r="W1124" s="36">
        <f t="shared" ca="1" si="54"/>
        <v>0</v>
      </c>
      <c r="X1124" s="8" t="str">
        <f>_xlfn.XLOOKUP(F1124,'Product List'!$B$1:$B$299,'Product List'!$A$1:$A$299)</f>
        <v>Xerox 1931</v>
      </c>
      <c r="Y1124" s="8"/>
      <c r="Z1124" s="8" t="str" cm="1">
        <f t="array" ref="Z1124:AD1124">_xlfn.XLOOKUP(D1124,'Customer Details'!$A$1:$A$17,'Customer Details'!$B$1:$F$17,"No such customer",0,1)</f>
        <v>Godfrey Philips India Ltd.</v>
      </c>
      <c r="AA1124" s="8" t="str">
        <v>20501 Ania Ave #2</v>
      </c>
      <c r="AB1124" s="8" t="str">
        <v>Salt Lake City</v>
      </c>
      <c r="AC1124" s="8" t="str">
        <v>UT</v>
      </c>
      <c r="AD1124" s="8" t="str">
        <v>84118</v>
      </c>
    </row>
    <row r="1125" spans="1:30">
      <c r="A1125" s="8" t="s">
        <v>1082</v>
      </c>
      <c r="B1125" s="19">
        <v>42252</v>
      </c>
      <c r="C1125" s="8" t="s">
        <v>36</v>
      </c>
      <c r="D1125" s="8">
        <v>10011</v>
      </c>
      <c r="E1125" s="8" t="str">
        <f>VLOOKUP($D1125,'Customer Details'!$A$1:$F$17,4,FALSE)</f>
        <v>Olympia</v>
      </c>
      <c r="F1125" s="8" t="s">
        <v>381</v>
      </c>
      <c r="G1125" s="8">
        <v>1</v>
      </c>
      <c r="H1125" s="2" t="str">
        <f>VLOOKUP($D1125,'Customer Details'!$A$1:$F$17,MATCH('Order SUmmary'!H$2,'Customer Details'!$A$1:$F$1,0),0)</f>
        <v>Sonata Software</v>
      </c>
      <c r="I1125" s="2" t="str">
        <f>VLOOKUP($D1125,'Customer Details'!$A$1:$F$17,4,0)</f>
        <v>Olympia</v>
      </c>
      <c r="J1125" s="2" t="str">
        <f>VLOOKUP($D1125,'Customer Details'!$A$1:$F$17,6,0)</f>
        <v>98502</v>
      </c>
      <c r="K1125" s="8" t="str">
        <f>VLOOKUP(VLOOKUP(D1125,'Customer Details'!$A$1:$F$17,5,0),'Region INfo'!$A$1:$C$52,3,0)</f>
        <v xml:space="preserve">Pacific   </v>
      </c>
      <c r="L1125" s="8" t="str">
        <f>INDEX(Product_List,MATCH($F1125,'Product List'!$B$1:$B$299,0),MATCH('Order SUmmary'!L$2,'Product List'!$A$1:$E$1,0))</f>
        <v>Xerox 1911</v>
      </c>
      <c r="M1125" s="8">
        <f>INDEX(Product_List,MATCH($F1125,'Product List'!$B$1:$B$299,0),MATCH('Order SUmmary'!M$2,'Product List'!$A$1:$E$1,0))</f>
        <v>4724</v>
      </c>
      <c r="N1125" s="8">
        <f>INDEX(Product_List,MATCH($F1125,'Product List'!$B$1:$B$299,0),MATCH('Order SUmmary'!N$2,'Product List'!$A$1:$E$1,0))</f>
        <v>2467</v>
      </c>
      <c r="O1125" s="8" t="str">
        <f>INDEX(Product_List,MATCH($F1125,'Product List'!$B$1:$B$299,0),MATCH('Order SUmmary'!O$2,'Product List'!$A$1:$E$1,0))</f>
        <v>Paper</v>
      </c>
      <c r="P1125" s="12">
        <f>HLOOKUP(C1125,'Commission Criteria'!$A$2:$I$4,3,FALSE)</f>
        <v>6</v>
      </c>
      <c r="Q1125" s="8">
        <f t="shared" si="52"/>
        <v>2467</v>
      </c>
      <c r="R1125" s="8">
        <f t="shared" si="53"/>
        <v>4724</v>
      </c>
      <c r="S1125" s="36">
        <f>VLOOKUP(R1125,'Commission Criteria'!$L$3:$M$11,2,TRUE)</f>
        <v>0.01</v>
      </c>
      <c r="T1125" s="36">
        <f>IF(P1125&lt;5,VLOOKUP(R1125,'Commission Criteria'!$L$3:$M$11,2,1),VLOOKUP('Order SUmmary'!R1125,'Commission Criteria'!$P$3:$Q$11,2,1))</f>
        <v>0.02</v>
      </c>
      <c r="U1125" s="36">
        <f>VLOOKUP(R1125,IF(P1125&lt;5,'Commission Criteria'!$L$3:$M$11,'Commission Criteria'!$P$3:$Q$11),2,1)</f>
        <v>0.02</v>
      </c>
      <c r="V1125" s="8" t="s">
        <v>32</v>
      </c>
      <c r="W1125" s="36">
        <f t="shared" ca="1" si="54"/>
        <v>0</v>
      </c>
      <c r="X1125" s="8" t="str">
        <f>_xlfn.XLOOKUP(F1125,'Product List'!$B$1:$B$299,'Product List'!$A$1:$A$299)</f>
        <v>Xerox 1911</v>
      </c>
      <c r="Y1125" s="8"/>
      <c r="Z1125" s="8" t="str" cm="1">
        <f t="array" ref="Z1125:AD1125">_xlfn.XLOOKUP(D1125,'Customer Details'!$A$1:$A$17,'Customer Details'!$B$1:$F$17,"No such customer",0,1)</f>
        <v>Sonata Software</v>
      </c>
      <c r="AA1125" s="8" t="str">
        <v>1331 Kimberly Dr.</v>
      </c>
      <c r="AB1125" s="8" t="str">
        <v>Olympia</v>
      </c>
      <c r="AC1125" s="8" t="str">
        <v>WA</v>
      </c>
      <c r="AD1125" s="8" t="str">
        <v>98502</v>
      </c>
    </row>
    <row r="1126" spans="1:30">
      <c r="A1126" s="8" t="s">
        <v>1082</v>
      </c>
      <c r="B1126" s="19">
        <v>42252</v>
      </c>
      <c r="C1126" s="8" t="s">
        <v>36</v>
      </c>
      <c r="D1126" s="8">
        <v>10013</v>
      </c>
      <c r="E1126" s="8" t="str">
        <f>VLOOKUP($D1126,'Customer Details'!$A$1:$F$17,4,FALSE)</f>
        <v>Naugatuck</v>
      </c>
      <c r="F1126" s="8" t="s">
        <v>446</v>
      </c>
      <c r="G1126" s="8">
        <v>2</v>
      </c>
      <c r="H1126" s="2" t="str">
        <f>VLOOKUP($D1126,'Customer Details'!$A$1:$F$17,MATCH('Order SUmmary'!H$2,'Customer Details'!$A$1:$F$1,0),0)</f>
        <v>GMR Infrastructure Ltd.</v>
      </c>
      <c r="I1126" s="2" t="str">
        <f>VLOOKUP($D1126,'Customer Details'!$A$1:$F$17,4,0)</f>
        <v>Naugatuck</v>
      </c>
      <c r="J1126" s="2" t="str">
        <f>VLOOKUP($D1126,'Customer Details'!$A$1:$F$17,6,0)</f>
        <v>06770</v>
      </c>
      <c r="K1126" s="8" t="str">
        <f>VLOOKUP(VLOOKUP(D1126,'Customer Details'!$A$1:$F$17,5,0),'Region INfo'!$A$1:$C$52,3,0)</f>
        <v xml:space="preserve">Northern </v>
      </c>
      <c r="L1126" s="8" t="str">
        <f>INDEX(Product_List,MATCH($F1126,'Product List'!$B$1:$B$299,0),MATCH('Order SUmmary'!L$2,'Product List'!$A$1:$E$1,0))</f>
        <v>Xerox 1956</v>
      </c>
      <c r="M1126" s="8">
        <f>INDEX(Product_List,MATCH($F1126,'Product List'!$B$1:$B$299,0),MATCH('Order SUmmary'!M$2,'Product List'!$A$1:$E$1,0))</f>
        <v>2659</v>
      </c>
      <c r="N1126" s="8">
        <f>INDEX(Product_List,MATCH($F1126,'Product List'!$B$1:$B$299,0),MATCH('Order SUmmary'!N$2,'Product List'!$A$1:$E$1,0))</f>
        <v>2415</v>
      </c>
      <c r="O1126" s="8" t="str">
        <f>INDEX(Product_List,MATCH($F1126,'Product List'!$B$1:$B$299,0),MATCH('Order SUmmary'!O$2,'Product List'!$A$1:$E$1,0))</f>
        <v>Paper</v>
      </c>
      <c r="P1126" s="12">
        <f>HLOOKUP(C1126,'Commission Criteria'!$A$2:$I$4,3,FALSE)</f>
        <v>6</v>
      </c>
      <c r="Q1126" s="8">
        <f t="shared" si="52"/>
        <v>4830</v>
      </c>
      <c r="R1126" s="8">
        <f t="shared" si="53"/>
        <v>5318</v>
      </c>
      <c r="S1126" s="36">
        <f>VLOOKUP(R1126,'Commission Criteria'!$L$3:$M$11,2,TRUE)</f>
        <v>0.03</v>
      </c>
      <c r="T1126" s="36">
        <f>IF(P1126&lt;5,VLOOKUP(R1126,'Commission Criteria'!$L$3:$M$11,2,1),VLOOKUP('Order SUmmary'!R1126,'Commission Criteria'!$P$3:$Q$11,2,1))</f>
        <v>0.02</v>
      </c>
      <c r="U1126" s="36">
        <f>VLOOKUP(R1126,IF(P1126&lt;5,'Commission Criteria'!$L$3:$M$11,'Commission Criteria'!$P$3:$Q$11),2,1)</f>
        <v>0.02</v>
      </c>
      <c r="V1126" s="8" t="s">
        <v>29</v>
      </c>
      <c r="W1126" s="36">
        <f t="shared" ca="1" si="54"/>
        <v>0.05</v>
      </c>
      <c r="X1126" s="8" t="str">
        <f>_xlfn.XLOOKUP(F1126,'Product List'!$B$1:$B$299,'Product List'!$A$1:$A$299)</f>
        <v>Xerox 1956</v>
      </c>
      <c r="Y1126" s="8"/>
      <c r="Z1126" s="8" t="str" cm="1">
        <f t="array" ref="Z1126:AD1126">_xlfn.XLOOKUP(D1126,'Customer Details'!$A$1:$A$17,'Customer Details'!$B$1:$F$17,"No such customer",0,1)</f>
        <v>GMR Infrastructure Ltd.</v>
      </c>
      <c r="AA1126" s="8" t="str">
        <v>P.O. Box 4421</v>
      </c>
      <c r="AB1126" s="8" t="str">
        <v>Naugatuck</v>
      </c>
      <c r="AC1126" s="8" t="str">
        <v>CT</v>
      </c>
      <c r="AD1126" s="8" t="str">
        <v>06770</v>
      </c>
    </row>
    <row r="1127" spans="1:30">
      <c r="A1127" s="8" t="s">
        <v>1083</v>
      </c>
      <c r="B1127" s="19">
        <v>42253</v>
      </c>
      <c r="C1127" s="8" t="s">
        <v>36</v>
      </c>
      <c r="D1127" s="8">
        <v>10009</v>
      </c>
      <c r="E1127" s="8" t="str">
        <f>VLOOKUP($D1127,'Customer Details'!$A$1:$F$17,4,FALSE)</f>
        <v>Salt Lake City</v>
      </c>
      <c r="F1127" s="8" t="s">
        <v>854</v>
      </c>
      <c r="G1127" s="8">
        <v>3</v>
      </c>
      <c r="H1127" s="2" t="str">
        <f>VLOOKUP($D1127,'Customer Details'!$A$1:$F$17,MATCH('Order SUmmary'!H$2,'Customer Details'!$A$1:$F$1,0),0)</f>
        <v>Godfrey Philips India Ltd.</v>
      </c>
      <c r="I1127" s="2" t="str">
        <f>VLOOKUP($D1127,'Customer Details'!$A$1:$F$17,4,0)</f>
        <v>Salt Lake City</v>
      </c>
      <c r="J1127" s="2" t="str">
        <f>VLOOKUP($D1127,'Customer Details'!$A$1:$F$17,6,0)</f>
        <v>84118</v>
      </c>
      <c r="K1127" s="8" t="str">
        <f>VLOOKUP(VLOOKUP(D1127,'Customer Details'!$A$1:$F$17,5,0),'Region INfo'!$A$1:$C$52,3,0)</f>
        <v xml:space="preserve">Pacific   </v>
      </c>
      <c r="L1127" s="8" t="str">
        <f>INDEX(Product_List,MATCH($F1127,'Product List'!$B$1:$B$299,0),MATCH('Order SUmmary'!L$2,'Product List'!$A$1:$E$1,0))</f>
        <v>Newell 341</v>
      </c>
      <c r="M1127" s="8">
        <f>INDEX(Product_List,MATCH($F1127,'Product List'!$B$1:$B$299,0),MATCH('Order SUmmary'!M$2,'Product List'!$A$1:$E$1,0))</f>
        <v>2617</v>
      </c>
      <c r="N1127" s="8">
        <f>INDEX(Product_List,MATCH($F1127,'Product List'!$B$1:$B$299,0),MATCH('Order SUmmary'!N$2,'Product List'!$A$1:$E$1,0))</f>
        <v>1736</v>
      </c>
      <c r="O1127" s="8" t="str">
        <f>INDEX(Product_List,MATCH($F1127,'Product List'!$B$1:$B$299,0),MATCH('Order SUmmary'!O$2,'Product List'!$A$1:$E$1,0))</f>
        <v>Art</v>
      </c>
      <c r="P1127" s="12">
        <f>HLOOKUP(C1127,'Commission Criteria'!$A$2:$I$4,3,FALSE)</f>
        <v>6</v>
      </c>
      <c r="Q1127" s="8">
        <f t="shared" si="52"/>
        <v>5208</v>
      </c>
      <c r="R1127" s="8">
        <f t="shared" si="53"/>
        <v>7851</v>
      </c>
      <c r="S1127" s="36">
        <f>VLOOKUP(R1127,'Commission Criteria'!$L$3:$M$11,2,TRUE)</f>
        <v>0.03</v>
      </c>
      <c r="T1127" s="36">
        <f>IF(P1127&lt;5,VLOOKUP(R1127,'Commission Criteria'!$L$3:$M$11,2,1),VLOOKUP('Order SUmmary'!R1127,'Commission Criteria'!$P$3:$Q$11,2,1))</f>
        <v>0.02</v>
      </c>
      <c r="U1127" s="36">
        <f>VLOOKUP(R1127,IF(P1127&lt;5,'Commission Criteria'!$L$3:$M$11,'Commission Criteria'!$P$3:$Q$11),2,1)</f>
        <v>0.02</v>
      </c>
      <c r="V1127" s="8" t="s">
        <v>32</v>
      </c>
      <c r="W1127" s="36">
        <f t="shared" ca="1" si="54"/>
        <v>0.02</v>
      </c>
      <c r="X1127" s="8" t="str">
        <f>_xlfn.XLOOKUP(F1127,'Product List'!$B$1:$B$299,'Product List'!$A$1:$A$299)</f>
        <v>Newell 341</v>
      </c>
      <c r="Y1127" s="8"/>
      <c r="Z1127" s="8" t="str" cm="1">
        <f t="array" ref="Z1127:AD1127">_xlfn.XLOOKUP(D1127,'Customer Details'!$A$1:$A$17,'Customer Details'!$B$1:$F$17,"No such customer",0,1)</f>
        <v>Godfrey Philips India Ltd.</v>
      </c>
      <c r="AA1127" s="8" t="str">
        <v>20501 Ania Ave #2</v>
      </c>
      <c r="AB1127" s="8" t="str">
        <v>Salt Lake City</v>
      </c>
      <c r="AC1127" s="8" t="str">
        <v>UT</v>
      </c>
      <c r="AD1127" s="8" t="str">
        <v>84118</v>
      </c>
    </row>
    <row r="1128" spans="1:30">
      <c r="A1128" s="8" t="s">
        <v>1084</v>
      </c>
      <c r="B1128" s="19">
        <v>42254</v>
      </c>
      <c r="C1128" s="8" t="s">
        <v>54</v>
      </c>
      <c r="D1128" s="8">
        <v>10004</v>
      </c>
      <c r="E1128" s="8" t="str">
        <f>VLOOKUP($D1128,'Customer Details'!$A$1:$F$17,4,FALSE)</f>
        <v>New York</v>
      </c>
      <c r="F1128" s="8" t="s">
        <v>256</v>
      </c>
      <c r="G1128" s="8">
        <v>1</v>
      </c>
      <c r="H1128" s="2" t="str">
        <f>VLOOKUP($D1128,'Customer Details'!$A$1:$F$17,MATCH('Order SUmmary'!H$2,'Customer Details'!$A$1:$F$1,0),0)</f>
        <v>Lupin Ltd.</v>
      </c>
      <c r="I1128" s="2" t="str">
        <f>VLOOKUP($D1128,'Customer Details'!$A$1:$F$17,4,0)</f>
        <v>New York</v>
      </c>
      <c r="J1128" s="2" t="str">
        <f>VLOOKUP($D1128,'Customer Details'!$A$1:$F$17,6,0)</f>
        <v>10019</v>
      </c>
      <c r="K1128" s="8" t="str">
        <f>VLOOKUP(VLOOKUP(D1128,'Customer Details'!$A$1:$F$17,5,0),'Region INfo'!$A$1:$C$52,3,0)</f>
        <v xml:space="preserve">Northern </v>
      </c>
      <c r="L1128" s="8" t="str">
        <f>INDEX(Product_List,MATCH($F1128,'Product List'!$B$1:$B$299,0),MATCH('Order SUmmary'!L$2,'Product List'!$A$1:$E$1,0))</f>
        <v>Newell 313</v>
      </c>
      <c r="M1128" s="8">
        <f>INDEX(Product_List,MATCH($F1128,'Product List'!$B$1:$B$299,0),MATCH('Order SUmmary'!M$2,'Product List'!$A$1:$E$1,0))</f>
        <v>2517</v>
      </c>
      <c r="N1128" s="8">
        <f>INDEX(Product_List,MATCH($F1128,'Product List'!$B$1:$B$299,0),MATCH('Order SUmmary'!N$2,'Product List'!$A$1:$E$1,0))</f>
        <v>2149</v>
      </c>
      <c r="O1128" s="8" t="str">
        <f>INDEX(Product_List,MATCH($F1128,'Product List'!$B$1:$B$299,0),MATCH('Order SUmmary'!O$2,'Product List'!$A$1:$E$1,0))</f>
        <v>Art</v>
      </c>
      <c r="P1128" s="12">
        <f>HLOOKUP(C1128,'Commission Criteria'!$A$2:$I$4,3,FALSE)</f>
        <v>3</v>
      </c>
      <c r="Q1128" s="8">
        <f t="shared" si="52"/>
        <v>2149</v>
      </c>
      <c r="R1128" s="8">
        <f t="shared" si="53"/>
        <v>2517</v>
      </c>
      <c r="S1128" s="36">
        <f>VLOOKUP(R1128,'Commission Criteria'!$L$3:$M$11,2,TRUE)</f>
        <v>0.01</v>
      </c>
      <c r="T1128" s="36">
        <f>IF(P1128&lt;5,VLOOKUP(R1128,'Commission Criteria'!$L$3:$M$11,2,1),VLOOKUP('Order SUmmary'!R1128,'Commission Criteria'!$P$3:$Q$11,2,1))</f>
        <v>0.01</v>
      </c>
      <c r="U1128" s="36">
        <f>VLOOKUP(R1128,IF(P1128&lt;5,'Commission Criteria'!$L$3:$M$11,'Commission Criteria'!$P$3:$Q$11),2,1)</f>
        <v>0.01</v>
      </c>
      <c r="V1128" s="8" t="s">
        <v>35</v>
      </c>
      <c r="W1128" s="36">
        <f t="shared" ca="1" si="54"/>
        <v>0.04</v>
      </c>
      <c r="X1128" s="8" t="str">
        <f>_xlfn.XLOOKUP(F1128,'Product List'!$B$1:$B$299,'Product List'!$A$1:$A$299)</f>
        <v>Newell 313</v>
      </c>
      <c r="Y1128" s="8"/>
      <c r="Z1128" s="8" t="str" cm="1">
        <f t="array" ref="Z1128:AD1128">_xlfn.XLOOKUP(D1128,'Customer Details'!$A$1:$A$17,'Customer Details'!$B$1:$F$17,"No such customer",0,1)</f>
        <v>Lupin Ltd.</v>
      </c>
      <c r="AA1128" s="8" t="str">
        <v>Abbey Wood</v>
      </c>
      <c r="AB1128" s="8" t="str">
        <v>New York</v>
      </c>
      <c r="AC1128" s="8" t="str">
        <v>NY</v>
      </c>
      <c r="AD1128" s="8" t="str">
        <v>10019</v>
      </c>
    </row>
    <row r="1129" spans="1:30">
      <c r="A1129" s="8" t="s">
        <v>1085</v>
      </c>
      <c r="B1129" s="19">
        <v>42254</v>
      </c>
      <c r="C1129" s="8" t="s">
        <v>27</v>
      </c>
      <c r="D1129" s="8">
        <v>10001</v>
      </c>
      <c r="E1129" s="8" t="str">
        <f>VLOOKUP($D1129,'Customer Details'!$A$1:$F$17,4,FALSE)</f>
        <v>New York</v>
      </c>
      <c r="F1129" s="8" t="s">
        <v>358</v>
      </c>
      <c r="G1129" s="8">
        <v>1</v>
      </c>
      <c r="H1129" s="2" t="str">
        <f>VLOOKUP($D1129,'Customer Details'!$A$1:$F$17,MATCH('Order SUmmary'!H$2,'Customer Details'!$A$1:$F$1,0),0)</f>
        <v>Chambal Fertilisers and Chemicals Ltd.</v>
      </c>
      <c r="I1129" s="2" t="str">
        <f>VLOOKUP($D1129,'Customer Details'!$A$1:$F$17,4,0)</f>
        <v>New York</v>
      </c>
      <c r="J1129" s="2" t="str">
        <f>VLOOKUP($D1129,'Customer Details'!$A$1:$F$17,6,0)</f>
        <v>10025</v>
      </c>
      <c r="K1129" s="8" t="str">
        <f>VLOOKUP(VLOOKUP(D1129,'Customer Details'!$A$1:$F$17,5,0),'Region INfo'!$A$1:$C$52,3,0)</f>
        <v xml:space="preserve">Northern </v>
      </c>
      <c r="L1129" s="8" t="str">
        <f>INDEX(Product_List,MATCH($F1129,'Product List'!$B$1:$B$299,0),MATCH('Order SUmmary'!L$2,'Product List'!$A$1:$E$1,0))</f>
        <v>Xerox 1962</v>
      </c>
      <c r="M1129" s="8">
        <f>INDEX(Product_List,MATCH($F1129,'Product List'!$B$1:$B$299,0),MATCH('Order SUmmary'!M$2,'Product List'!$A$1:$E$1,0))</f>
        <v>3573</v>
      </c>
      <c r="N1129" s="8">
        <f>INDEX(Product_List,MATCH($F1129,'Product List'!$B$1:$B$299,0),MATCH('Order SUmmary'!N$2,'Product List'!$A$1:$E$1,0))</f>
        <v>1857</v>
      </c>
      <c r="O1129" s="8" t="str">
        <f>INDEX(Product_List,MATCH($F1129,'Product List'!$B$1:$B$299,0),MATCH('Order SUmmary'!O$2,'Product List'!$A$1:$E$1,0))</f>
        <v>Paper</v>
      </c>
      <c r="P1129" s="12">
        <f>HLOOKUP(C1129,'Commission Criteria'!$A$2:$I$4,3,FALSE)</f>
        <v>4</v>
      </c>
      <c r="Q1129" s="8">
        <f t="shared" si="52"/>
        <v>1857</v>
      </c>
      <c r="R1129" s="8">
        <f t="shared" si="53"/>
        <v>3573</v>
      </c>
      <c r="S1129" s="36">
        <f>VLOOKUP(R1129,'Commission Criteria'!$L$3:$M$11,2,TRUE)</f>
        <v>0.01</v>
      </c>
      <c r="T1129" s="36">
        <f>IF(P1129&lt;5,VLOOKUP(R1129,'Commission Criteria'!$L$3:$M$11,2,1),VLOOKUP('Order SUmmary'!R1129,'Commission Criteria'!$P$3:$Q$11,2,1))</f>
        <v>0.01</v>
      </c>
      <c r="U1129" s="36">
        <f>VLOOKUP(R1129,IF(P1129&lt;5,'Commission Criteria'!$L$3:$M$11,'Commission Criteria'!$P$3:$Q$11),2,1)</f>
        <v>0.01</v>
      </c>
      <c r="V1129" s="8" t="s">
        <v>50</v>
      </c>
      <c r="W1129" s="36">
        <f t="shared" ca="1" si="54"/>
        <v>0.02</v>
      </c>
      <c r="X1129" s="8" t="str">
        <f>_xlfn.XLOOKUP(F1129,'Product List'!$B$1:$B$299,'Product List'!$A$1:$A$299)</f>
        <v>Xerox 1962</v>
      </c>
      <c r="Y1129" s="8"/>
      <c r="Z1129" s="8" t="str" cm="1">
        <f t="array" ref="Z1129:AD1129">_xlfn.XLOOKUP(D1129,'Customer Details'!$A$1:$A$17,'Customer Details'!$B$1:$F$17,"No such customer",0,1)</f>
        <v>Chambal Fertilisers and Chemicals Ltd.</v>
      </c>
      <c r="AA1129" s="8" t="str">
        <v>4951 Indiana Ave.</v>
      </c>
      <c r="AB1129" s="8" t="str">
        <v>New York</v>
      </c>
      <c r="AC1129" s="8" t="str">
        <v>NY</v>
      </c>
      <c r="AD1129" s="8" t="str">
        <v>10025</v>
      </c>
    </row>
    <row r="1130" spans="1:30">
      <c r="A1130" s="8" t="s">
        <v>1084</v>
      </c>
      <c r="B1130" s="19">
        <v>42254</v>
      </c>
      <c r="C1130" s="8" t="s">
        <v>44</v>
      </c>
      <c r="D1130" s="8">
        <v>10002</v>
      </c>
      <c r="E1130" s="8" t="str">
        <f>VLOOKUP($D1130,'Customer Details'!$A$1:$F$17,4,FALSE)</f>
        <v>Omaha</v>
      </c>
      <c r="F1130" s="8" t="s">
        <v>327</v>
      </c>
      <c r="G1130" s="8">
        <v>1</v>
      </c>
      <c r="H1130" s="2" t="str">
        <f>VLOOKUP($D1130,'Customer Details'!$A$1:$F$17,MATCH('Order SUmmary'!H$2,'Customer Details'!$A$1:$F$1,0),0)</f>
        <v>Elder Pharmaceuticals</v>
      </c>
      <c r="I1130" s="2" t="str">
        <f>VLOOKUP($D1130,'Customer Details'!$A$1:$F$17,4,0)</f>
        <v>Omaha</v>
      </c>
      <c r="J1130" s="2" t="str">
        <f>VLOOKUP($D1130,'Customer Details'!$A$1:$F$17,6,0)</f>
        <v>68127</v>
      </c>
      <c r="K1130" s="8" t="str">
        <f>VLOOKUP(VLOOKUP(D1130,'Customer Details'!$A$1:$F$17,5,0),'Region INfo'!$A$1:$C$52,3,0)</f>
        <v>Western</v>
      </c>
      <c r="L1130" s="8" t="str">
        <f>INDEX(Product_List,MATCH($F1130,'Product List'!$B$1:$B$299,0),MATCH('Order SUmmary'!L$2,'Product List'!$A$1:$E$1,0))</f>
        <v>HTC One Mini</v>
      </c>
      <c r="M1130" s="8">
        <f>INDEX(Product_List,MATCH($F1130,'Product List'!$B$1:$B$299,0),MATCH('Order SUmmary'!M$2,'Product List'!$A$1:$E$1,0))</f>
        <v>4843</v>
      </c>
      <c r="N1130" s="8">
        <f>INDEX(Product_List,MATCH($F1130,'Product List'!$B$1:$B$299,0),MATCH('Order SUmmary'!N$2,'Product List'!$A$1:$E$1,0))</f>
        <v>2192</v>
      </c>
      <c r="O1130" s="8" t="str">
        <f>INDEX(Product_List,MATCH($F1130,'Product List'!$B$1:$B$299,0),MATCH('Order SUmmary'!O$2,'Product List'!$A$1:$E$1,0))</f>
        <v>Phones</v>
      </c>
      <c r="P1130" s="12">
        <f>HLOOKUP(C1130,'Commission Criteria'!$A$2:$I$4,3,FALSE)</f>
        <v>4</v>
      </c>
      <c r="Q1130" s="8">
        <f t="shared" si="52"/>
        <v>2192</v>
      </c>
      <c r="R1130" s="8">
        <f t="shared" si="53"/>
        <v>4843</v>
      </c>
      <c r="S1130" s="36">
        <f>VLOOKUP(R1130,'Commission Criteria'!$L$3:$M$11,2,TRUE)</f>
        <v>0.01</v>
      </c>
      <c r="T1130" s="36">
        <f>IF(P1130&lt;5,VLOOKUP(R1130,'Commission Criteria'!$L$3:$M$11,2,1),VLOOKUP('Order SUmmary'!R1130,'Commission Criteria'!$P$3:$Q$11,2,1))</f>
        <v>0.01</v>
      </c>
      <c r="U1130" s="36">
        <f>VLOOKUP(R1130,IF(P1130&lt;5,'Commission Criteria'!$L$3:$M$11,'Commission Criteria'!$P$3:$Q$11),2,1)</f>
        <v>0.01</v>
      </c>
      <c r="V1130" s="8" t="s">
        <v>29</v>
      </c>
      <c r="W1130" s="36">
        <f t="shared" ca="1" si="54"/>
        <v>0.01</v>
      </c>
      <c r="X1130" s="8" t="str">
        <f>_xlfn.XLOOKUP(F1130,'Product List'!$B$1:$B$299,'Product List'!$A$1:$A$299)</f>
        <v>HTC One Mini</v>
      </c>
      <c r="Y1130" s="8"/>
      <c r="Z1130" s="8" t="str" cm="1">
        <f t="array" ref="Z1130:AD1130">_xlfn.XLOOKUP(D1130,'Customer Details'!$A$1:$A$17,'Customer Details'!$B$1:$F$17,"No such customer",0,1)</f>
        <v>Elder Pharmaceuticals</v>
      </c>
      <c r="AA1130" s="8" t="str">
        <v>57 Neriba Cres</v>
      </c>
      <c r="AB1130" s="8" t="str">
        <v>Omaha</v>
      </c>
      <c r="AC1130" s="8" t="str">
        <v>NE</v>
      </c>
      <c r="AD1130" s="8" t="str">
        <v>68127</v>
      </c>
    </row>
    <row r="1131" spans="1:30">
      <c r="A1131" s="8" t="s">
        <v>1086</v>
      </c>
      <c r="B1131" s="19">
        <v>42255</v>
      </c>
      <c r="C1131" s="8" t="s">
        <v>33</v>
      </c>
      <c r="D1131" s="8">
        <v>10002</v>
      </c>
      <c r="E1131" s="8" t="str">
        <f>VLOOKUP($D1131,'Customer Details'!$A$1:$F$17,4,FALSE)</f>
        <v>Omaha</v>
      </c>
      <c r="F1131" s="8" t="s">
        <v>1087</v>
      </c>
      <c r="G1131" s="8">
        <v>2</v>
      </c>
      <c r="H1131" s="2" t="str">
        <f>VLOOKUP($D1131,'Customer Details'!$A$1:$F$17,MATCH('Order SUmmary'!H$2,'Customer Details'!$A$1:$F$1,0),0)</f>
        <v>Elder Pharmaceuticals</v>
      </c>
      <c r="I1131" s="2" t="str">
        <f>VLOOKUP($D1131,'Customer Details'!$A$1:$F$17,4,0)</f>
        <v>Omaha</v>
      </c>
      <c r="J1131" s="2" t="str">
        <f>VLOOKUP($D1131,'Customer Details'!$A$1:$F$17,6,0)</f>
        <v>68127</v>
      </c>
      <c r="K1131" s="8" t="str">
        <f>VLOOKUP(VLOOKUP(D1131,'Customer Details'!$A$1:$F$17,5,0),'Region INfo'!$A$1:$C$52,3,0)</f>
        <v>Western</v>
      </c>
      <c r="L1131" s="8" t="str">
        <f>INDEX(Product_List,MATCH($F1131,'Product List'!$B$1:$B$299,0),MATCH('Order SUmmary'!L$2,'Product List'!$A$1:$E$1,0))</f>
        <v>Newell 323</v>
      </c>
      <c r="M1131" s="8">
        <f>INDEX(Product_List,MATCH($F1131,'Product List'!$B$1:$B$299,0),MATCH('Order SUmmary'!M$2,'Product List'!$A$1:$E$1,0))</f>
        <v>4841</v>
      </c>
      <c r="N1131" s="8">
        <f>INDEX(Product_List,MATCH($F1131,'Product List'!$B$1:$B$299,0),MATCH('Order SUmmary'!N$2,'Product List'!$A$1:$E$1,0))</f>
        <v>1784</v>
      </c>
      <c r="O1131" s="8" t="str">
        <f>INDEX(Product_List,MATCH($F1131,'Product List'!$B$1:$B$299,0),MATCH('Order SUmmary'!O$2,'Product List'!$A$1:$E$1,0))</f>
        <v>Art</v>
      </c>
      <c r="P1131" s="12">
        <f>HLOOKUP(C1131,'Commission Criteria'!$A$2:$I$4,3,FALSE)</f>
        <v>1</v>
      </c>
      <c r="Q1131" s="8">
        <f t="shared" si="52"/>
        <v>3568</v>
      </c>
      <c r="R1131" s="8">
        <f t="shared" si="53"/>
        <v>9682</v>
      </c>
      <c r="S1131" s="36">
        <f>VLOOKUP(R1131,'Commission Criteria'!$L$3:$M$11,2,TRUE)</f>
        <v>0.03</v>
      </c>
      <c r="T1131" s="36">
        <f>IF(P1131&lt;5,VLOOKUP(R1131,'Commission Criteria'!$L$3:$M$11,2,1),VLOOKUP('Order SUmmary'!R1131,'Commission Criteria'!$P$3:$Q$11,2,1))</f>
        <v>0.03</v>
      </c>
      <c r="U1131" s="36">
        <f>VLOOKUP(R1131,IF(P1131&lt;5,'Commission Criteria'!$L$3:$M$11,'Commission Criteria'!$P$3:$Q$11),2,1)</f>
        <v>0.03</v>
      </c>
      <c r="V1131" s="8" t="s">
        <v>29</v>
      </c>
      <c r="W1131" s="36">
        <f t="shared" ca="1" si="54"/>
        <v>0</v>
      </c>
      <c r="X1131" s="8" t="str">
        <f>_xlfn.XLOOKUP(F1131,'Product List'!$B$1:$B$299,'Product List'!$A$1:$A$299)</f>
        <v>Newell 323</v>
      </c>
      <c r="Y1131" s="8"/>
      <c r="Z1131" s="8" t="str" cm="1">
        <f t="array" ref="Z1131:AD1131">_xlfn.XLOOKUP(D1131,'Customer Details'!$A$1:$A$17,'Customer Details'!$B$1:$F$17,"No such customer",0,1)</f>
        <v>Elder Pharmaceuticals</v>
      </c>
      <c r="AA1131" s="8" t="str">
        <v>57 Neriba Cres</v>
      </c>
      <c r="AB1131" s="8" t="str">
        <v>Omaha</v>
      </c>
      <c r="AC1131" s="8" t="str">
        <v>NE</v>
      </c>
      <c r="AD1131" s="8" t="str">
        <v>68127</v>
      </c>
    </row>
    <row r="1132" spans="1:30">
      <c r="A1132" s="8" t="s">
        <v>1088</v>
      </c>
      <c r="B1132" s="19">
        <v>42256</v>
      </c>
      <c r="C1132" s="8" t="s">
        <v>54</v>
      </c>
      <c r="D1132" s="8">
        <v>10010</v>
      </c>
      <c r="E1132" s="8" t="str">
        <f>VLOOKUP($D1132,'Customer Details'!$A$1:$F$17,4,FALSE)</f>
        <v>Tracy</v>
      </c>
      <c r="F1132" s="8" t="s">
        <v>28</v>
      </c>
      <c r="G1132" s="8">
        <v>1</v>
      </c>
      <c r="H1132" s="2" t="str">
        <f>VLOOKUP($D1132,'Customer Details'!$A$1:$F$17,MATCH('Order SUmmary'!H$2,'Customer Details'!$A$1:$F$1,0),0)</f>
        <v>Suzlon Energy Ltd.</v>
      </c>
      <c r="I1132" s="2" t="str">
        <f>VLOOKUP($D1132,'Customer Details'!$A$1:$F$17,4,0)</f>
        <v>Tracy</v>
      </c>
      <c r="J1132" s="2" t="str">
        <f>VLOOKUP($D1132,'Customer Details'!$A$1:$F$17,6,0)</f>
        <v>95376</v>
      </c>
      <c r="K1132" s="8" t="str">
        <f>VLOOKUP(VLOOKUP(D1132,'Customer Details'!$A$1:$F$17,5,0),'Region INfo'!$A$1:$C$52,3,0)</f>
        <v xml:space="preserve">Pacific   </v>
      </c>
      <c r="L1132" s="8" t="str">
        <f>INDEX(Product_List,MATCH($F1132,'Product List'!$B$1:$B$299,0),MATCH('Order SUmmary'!L$2,'Product List'!$A$1:$E$1,0))</f>
        <v>Xerox 1951</v>
      </c>
      <c r="M1132" s="8">
        <f>INDEX(Product_List,MATCH($F1132,'Product List'!$B$1:$B$299,0),MATCH('Order SUmmary'!M$2,'Product List'!$A$1:$E$1,0))</f>
        <v>4006</v>
      </c>
      <c r="N1132" s="8">
        <f>INDEX(Product_List,MATCH($F1132,'Product List'!$B$1:$B$299,0),MATCH('Order SUmmary'!N$2,'Product List'!$A$1:$E$1,0))</f>
        <v>1898</v>
      </c>
      <c r="O1132" s="8" t="str">
        <f>INDEX(Product_List,MATCH($F1132,'Product List'!$B$1:$B$299,0),MATCH('Order SUmmary'!O$2,'Product List'!$A$1:$E$1,0))</f>
        <v>Paper</v>
      </c>
      <c r="P1132" s="12">
        <f>HLOOKUP(C1132,'Commission Criteria'!$A$2:$I$4,3,FALSE)</f>
        <v>3</v>
      </c>
      <c r="Q1132" s="8">
        <f t="shared" si="52"/>
        <v>1898</v>
      </c>
      <c r="R1132" s="8">
        <f t="shared" si="53"/>
        <v>4006</v>
      </c>
      <c r="S1132" s="36">
        <f>VLOOKUP(R1132,'Commission Criteria'!$L$3:$M$11,2,TRUE)</f>
        <v>0.01</v>
      </c>
      <c r="T1132" s="36">
        <f>IF(P1132&lt;5,VLOOKUP(R1132,'Commission Criteria'!$L$3:$M$11,2,1),VLOOKUP('Order SUmmary'!R1132,'Commission Criteria'!$P$3:$Q$11,2,1))</f>
        <v>0.01</v>
      </c>
      <c r="U1132" s="36">
        <f>VLOOKUP(R1132,IF(P1132&lt;5,'Commission Criteria'!$L$3:$M$11,'Commission Criteria'!$P$3:$Q$11),2,1)</f>
        <v>0.01</v>
      </c>
      <c r="V1132" s="8" t="s">
        <v>29</v>
      </c>
      <c r="W1132" s="36">
        <f t="shared" ca="1" si="54"/>
        <v>0.01</v>
      </c>
      <c r="X1132" s="8" t="str">
        <f>_xlfn.XLOOKUP(F1132,'Product List'!$B$1:$B$299,'Product List'!$A$1:$A$299)</f>
        <v>Xerox 1951</v>
      </c>
      <c r="Y1132" s="8"/>
      <c r="Z1132" s="8" t="str" cm="1">
        <f t="array" ref="Z1132:AD1132">_xlfn.XLOOKUP(D1132,'Customer Details'!$A$1:$A$17,'Customer Details'!$B$1:$F$17,"No such customer",0,1)</f>
        <v>Suzlon Energy Ltd.</v>
      </c>
      <c r="AA1132" s="8" t="str">
        <v>501 Marsh Trail Circle</v>
      </c>
      <c r="AB1132" s="8" t="str">
        <v>Tracy</v>
      </c>
      <c r="AC1132" s="8" t="str">
        <v>CA</v>
      </c>
      <c r="AD1132" s="8" t="str">
        <v>95376</v>
      </c>
    </row>
    <row r="1133" spans="1:30">
      <c r="A1133" s="8" t="s">
        <v>1089</v>
      </c>
      <c r="B1133" s="19">
        <v>42256</v>
      </c>
      <c r="C1133" s="8" t="s">
        <v>44</v>
      </c>
      <c r="D1133" s="8">
        <v>10013</v>
      </c>
      <c r="E1133" s="8" t="str">
        <f>VLOOKUP($D1133,'Customer Details'!$A$1:$F$17,4,FALSE)</f>
        <v>Naugatuck</v>
      </c>
      <c r="F1133" s="8" t="s">
        <v>515</v>
      </c>
      <c r="G1133" s="8">
        <v>2</v>
      </c>
      <c r="H1133" s="2" t="str">
        <f>VLOOKUP($D1133,'Customer Details'!$A$1:$F$17,MATCH('Order SUmmary'!H$2,'Customer Details'!$A$1:$F$1,0),0)</f>
        <v>GMR Infrastructure Ltd.</v>
      </c>
      <c r="I1133" s="2" t="str">
        <f>VLOOKUP($D1133,'Customer Details'!$A$1:$F$17,4,0)</f>
        <v>Naugatuck</v>
      </c>
      <c r="J1133" s="2" t="str">
        <f>VLOOKUP($D1133,'Customer Details'!$A$1:$F$17,6,0)</f>
        <v>06770</v>
      </c>
      <c r="K1133" s="8" t="str">
        <f>VLOOKUP(VLOOKUP(D1133,'Customer Details'!$A$1:$F$17,5,0),'Region INfo'!$A$1:$C$52,3,0)</f>
        <v xml:space="preserve">Northern </v>
      </c>
      <c r="L1133" s="8" t="str">
        <f>INDEX(Product_List,MATCH($F1133,'Product List'!$B$1:$B$299,0),MATCH('Order SUmmary'!L$2,'Product List'!$A$1:$E$1,0))</f>
        <v>Staple holder</v>
      </c>
      <c r="M1133" s="8">
        <f>INDEX(Product_List,MATCH($F1133,'Product List'!$B$1:$B$299,0),MATCH('Order SUmmary'!M$2,'Product List'!$A$1:$E$1,0))</f>
        <v>2500</v>
      </c>
      <c r="N1133" s="8">
        <f>INDEX(Product_List,MATCH($F1133,'Product List'!$B$1:$B$299,0),MATCH('Order SUmmary'!N$2,'Product List'!$A$1:$E$1,0))</f>
        <v>1914</v>
      </c>
      <c r="O1133" s="8" t="str">
        <f>INDEX(Product_List,MATCH($F1133,'Product List'!$B$1:$B$299,0),MATCH('Order SUmmary'!O$2,'Product List'!$A$1:$E$1,0))</f>
        <v>Appliances</v>
      </c>
      <c r="P1133" s="12">
        <f>HLOOKUP(C1133,'Commission Criteria'!$A$2:$I$4,3,FALSE)</f>
        <v>4</v>
      </c>
      <c r="Q1133" s="8">
        <f t="shared" si="52"/>
        <v>3828</v>
      </c>
      <c r="R1133" s="8">
        <f t="shared" si="53"/>
        <v>5000</v>
      </c>
      <c r="S1133" s="36">
        <f>VLOOKUP(R1133,'Commission Criteria'!$L$3:$M$11,2,TRUE)</f>
        <v>0.03</v>
      </c>
      <c r="T1133" s="36">
        <f>IF(P1133&lt;5,VLOOKUP(R1133,'Commission Criteria'!$L$3:$M$11,2,1),VLOOKUP('Order SUmmary'!R1133,'Commission Criteria'!$P$3:$Q$11,2,1))</f>
        <v>0.03</v>
      </c>
      <c r="U1133" s="36">
        <f>VLOOKUP(R1133,IF(P1133&lt;5,'Commission Criteria'!$L$3:$M$11,'Commission Criteria'!$P$3:$Q$11),2,1)</f>
        <v>0.03</v>
      </c>
      <c r="V1133" s="8" t="s">
        <v>50</v>
      </c>
      <c r="W1133" s="36">
        <f t="shared" ca="1" si="54"/>
        <v>0.05</v>
      </c>
      <c r="X1133" s="8" t="str">
        <f>_xlfn.XLOOKUP(F1133,'Product List'!$B$1:$B$299,'Product List'!$A$1:$A$299)</f>
        <v>Staple holder</v>
      </c>
      <c r="Y1133" s="8"/>
      <c r="Z1133" s="8" t="str" cm="1">
        <f t="array" ref="Z1133:AD1133">_xlfn.XLOOKUP(D1133,'Customer Details'!$A$1:$A$17,'Customer Details'!$B$1:$F$17,"No such customer",0,1)</f>
        <v>GMR Infrastructure Ltd.</v>
      </c>
      <c r="AA1133" s="8" t="str">
        <v>P.O. Box 4421</v>
      </c>
      <c r="AB1133" s="8" t="str">
        <v>Naugatuck</v>
      </c>
      <c r="AC1133" s="8" t="str">
        <v>CT</v>
      </c>
      <c r="AD1133" s="8" t="str">
        <v>06770</v>
      </c>
    </row>
    <row r="1134" spans="1:30">
      <c r="A1134" s="8" t="s">
        <v>1090</v>
      </c>
      <c r="B1134" s="19">
        <v>42257</v>
      </c>
      <c r="C1134" s="8" t="s">
        <v>27</v>
      </c>
      <c r="D1134" s="8">
        <v>10010</v>
      </c>
      <c r="E1134" s="8" t="str">
        <f>VLOOKUP($D1134,'Customer Details'!$A$1:$F$17,4,FALSE)</f>
        <v>Tracy</v>
      </c>
      <c r="F1134" s="8" t="s">
        <v>100</v>
      </c>
      <c r="G1134" s="8">
        <v>3</v>
      </c>
      <c r="H1134" s="2" t="str">
        <f>VLOOKUP($D1134,'Customer Details'!$A$1:$F$17,MATCH('Order SUmmary'!H$2,'Customer Details'!$A$1:$F$1,0),0)</f>
        <v>Suzlon Energy Ltd.</v>
      </c>
      <c r="I1134" s="2" t="str">
        <f>VLOOKUP($D1134,'Customer Details'!$A$1:$F$17,4,0)</f>
        <v>Tracy</v>
      </c>
      <c r="J1134" s="2" t="str">
        <f>VLOOKUP($D1134,'Customer Details'!$A$1:$F$17,6,0)</f>
        <v>95376</v>
      </c>
      <c r="K1134" s="8" t="str">
        <f>VLOOKUP(VLOOKUP(D1134,'Customer Details'!$A$1:$F$17,5,0),'Region INfo'!$A$1:$C$52,3,0)</f>
        <v xml:space="preserve">Pacific   </v>
      </c>
      <c r="L1134" s="8" t="str">
        <f>INDEX(Product_List,MATCH($F1134,'Product List'!$B$1:$B$299,0),MATCH('Order SUmmary'!L$2,'Product List'!$A$1:$E$1,0))</f>
        <v>Xerox 1893</v>
      </c>
      <c r="M1134" s="8">
        <f>INDEX(Product_List,MATCH($F1134,'Product List'!$B$1:$B$299,0),MATCH('Order SUmmary'!M$2,'Product List'!$A$1:$E$1,0))</f>
        <v>4874</v>
      </c>
      <c r="N1134" s="8">
        <f>INDEX(Product_List,MATCH($F1134,'Product List'!$B$1:$B$299,0),MATCH('Order SUmmary'!N$2,'Product List'!$A$1:$E$1,0))</f>
        <v>1503</v>
      </c>
      <c r="O1134" s="8" t="str">
        <f>INDEX(Product_List,MATCH($F1134,'Product List'!$B$1:$B$299,0),MATCH('Order SUmmary'!O$2,'Product List'!$A$1:$E$1,0))</f>
        <v>Paper</v>
      </c>
      <c r="P1134" s="12">
        <f>HLOOKUP(C1134,'Commission Criteria'!$A$2:$I$4,3,FALSE)</f>
        <v>4</v>
      </c>
      <c r="Q1134" s="8">
        <f t="shared" si="52"/>
        <v>4509</v>
      </c>
      <c r="R1134" s="8">
        <f t="shared" si="53"/>
        <v>14622</v>
      </c>
      <c r="S1134" s="36">
        <f>VLOOKUP(R1134,'Commission Criteria'!$L$3:$M$11,2,TRUE)</f>
        <v>0.03</v>
      </c>
      <c r="T1134" s="36">
        <f>IF(P1134&lt;5,VLOOKUP(R1134,'Commission Criteria'!$L$3:$M$11,2,1),VLOOKUP('Order SUmmary'!R1134,'Commission Criteria'!$P$3:$Q$11,2,1))</f>
        <v>0.03</v>
      </c>
      <c r="U1134" s="36">
        <f>VLOOKUP(R1134,IF(P1134&lt;5,'Commission Criteria'!$L$3:$M$11,'Commission Criteria'!$P$3:$Q$11),2,1)</f>
        <v>0.03</v>
      </c>
      <c r="V1134" s="8" t="s">
        <v>32</v>
      </c>
      <c r="W1134" s="36">
        <f t="shared" ca="1" si="54"/>
        <v>0.03</v>
      </c>
      <c r="X1134" s="8" t="str">
        <f>_xlfn.XLOOKUP(F1134,'Product List'!$B$1:$B$299,'Product List'!$A$1:$A$299)</f>
        <v>Xerox 1893</v>
      </c>
      <c r="Y1134" s="8"/>
      <c r="Z1134" s="8" t="str" cm="1">
        <f t="array" ref="Z1134:AD1134">_xlfn.XLOOKUP(D1134,'Customer Details'!$A$1:$A$17,'Customer Details'!$B$1:$F$17,"No such customer",0,1)</f>
        <v>Suzlon Energy Ltd.</v>
      </c>
      <c r="AA1134" s="8" t="str">
        <v>501 Marsh Trail Circle</v>
      </c>
      <c r="AB1134" s="8" t="str">
        <v>Tracy</v>
      </c>
      <c r="AC1134" s="8" t="str">
        <v>CA</v>
      </c>
      <c r="AD1134" s="8" t="str">
        <v>95376</v>
      </c>
    </row>
    <row r="1135" spans="1:30">
      <c r="A1135" s="8" t="s">
        <v>1091</v>
      </c>
      <c r="B1135" s="19">
        <v>42258</v>
      </c>
      <c r="C1135" s="8" t="s">
        <v>51</v>
      </c>
      <c r="D1135" s="8">
        <v>10006</v>
      </c>
      <c r="E1135" s="8" t="str">
        <f>VLOOKUP($D1135,'Customer Details'!$A$1:$F$17,4,FALSE)</f>
        <v>Midland</v>
      </c>
      <c r="F1135" s="8" t="s">
        <v>208</v>
      </c>
      <c r="G1135" s="8">
        <v>1</v>
      </c>
      <c r="H1135" s="2" t="str">
        <f>VLOOKUP($D1135,'Customer Details'!$A$1:$F$17,MATCH('Order SUmmary'!H$2,'Customer Details'!$A$1:$F$1,0),0)</f>
        <v>Supreme Ind</v>
      </c>
      <c r="I1135" s="2" t="str">
        <f>VLOOKUP($D1135,'Customer Details'!$A$1:$F$17,4,0)</f>
        <v>Midland</v>
      </c>
      <c r="J1135" s="2" t="str">
        <f>VLOOKUP($D1135,'Customer Details'!$A$1:$F$17,6,0)</f>
        <v>79706</v>
      </c>
      <c r="K1135" s="8" t="str">
        <f>VLOOKUP(VLOOKUP(D1135,'Customer Details'!$A$1:$F$17,5,0),'Region INfo'!$A$1:$C$52,3,0)</f>
        <v>Western</v>
      </c>
      <c r="L1135" s="8" t="str">
        <f>INDEX(Product_List,MATCH($F1135,'Product List'!$B$1:$B$299,0),MATCH('Order SUmmary'!L$2,'Product List'!$A$1:$E$1,0))</f>
        <v>Xerox 1928</v>
      </c>
      <c r="M1135" s="8">
        <f>INDEX(Product_List,MATCH($F1135,'Product List'!$B$1:$B$299,0),MATCH('Order SUmmary'!M$2,'Product List'!$A$1:$E$1,0))</f>
        <v>3034</v>
      </c>
      <c r="N1135" s="8">
        <f>INDEX(Product_List,MATCH($F1135,'Product List'!$B$1:$B$299,0),MATCH('Order SUmmary'!N$2,'Product List'!$A$1:$E$1,0))</f>
        <v>2312</v>
      </c>
      <c r="O1135" s="8" t="str">
        <f>INDEX(Product_List,MATCH($F1135,'Product List'!$B$1:$B$299,0),MATCH('Order SUmmary'!O$2,'Product List'!$A$1:$E$1,0))</f>
        <v>Paper</v>
      </c>
      <c r="P1135" s="12">
        <f>HLOOKUP(C1135,'Commission Criteria'!$A$2:$I$4,3,FALSE)</f>
        <v>10</v>
      </c>
      <c r="Q1135" s="8">
        <f t="shared" si="52"/>
        <v>2312</v>
      </c>
      <c r="R1135" s="8">
        <f t="shared" si="53"/>
        <v>3034</v>
      </c>
      <c r="S1135" s="36">
        <f>VLOOKUP(R1135,'Commission Criteria'!$L$3:$M$11,2,TRUE)</f>
        <v>0.01</v>
      </c>
      <c r="T1135" s="36">
        <f>IF(P1135&lt;5,VLOOKUP(R1135,'Commission Criteria'!$L$3:$M$11,2,1),VLOOKUP('Order SUmmary'!R1135,'Commission Criteria'!$P$3:$Q$11,2,1))</f>
        <v>0.02</v>
      </c>
      <c r="U1135" s="36">
        <f>VLOOKUP(R1135,IF(P1135&lt;5,'Commission Criteria'!$L$3:$M$11,'Commission Criteria'!$P$3:$Q$11),2,1)</f>
        <v>0.02</v>
      </c>
      <c r="V1135" s="8" t="s">
        <v>32</v>
      </c>
      <c r="W1135" s="36">
        <f t="shared" ca="1" si="54"/>
        <v>0.03</v>
      </c>
      <c r="X1135" s="8" t="str">
        <f>_xlfn.XLOOKUP(F1135,'Product List'!$B$1:$B$299,'Product List'!$A$1:$A$299)</f>
        <v>Xerox 1928</v>
      </c>
      <c r="Y1135" s="8"/>
      <c r="Z1135" s="8" t="str" cm="1">
        <f t="array" ref="Z1135:AD1135">_xlfn.XLOOKUP(D1135,'Customer Details'!$A$1:$A$17,'Customer Details'!$B$1:$F$17,"No such customer",0,1)</f>
        <v>Supreme Ind</v>
      </c>
      <c r="AA1135" s="8" t="str">
        <v>P.O. Box 1367</v>
      </c>
      <c r="AB1135" s="8" t="str">
        <v>Midland</v>
      </c>
      <c r="AC1135" s="8" t="str">
        <v>TX</v>
      </c>
      <c r="AD1135" s="8" t="str">
        <v>79706</v>
      </c>
    </row>
    <row r="1136" spans="1:30">
      <c r="A1136" s="8" t="s">
        <v>1091</v>
      </c>
      <c r="B1136" s="19">
        <v>42258</v>
      </c>
      <c r="C1136" s="8" t="s">
        <v>66</v>
      </c>
      <c r="D1136" s="8">
        <v>10003</v>
      </c>
      <c r="E1136" s="8" t="str">
        <f>VLOOKUP($D1136,'Customer Details'!$A$1:$F$17,4,FALSE)</f>
        <v>Miami</v>
      </c>
      <c r="F1136" s="8" t="s">
        <v>238</v>
      </c>
      <c r="G1136" s="8">
        <v>1</v>
      </c>
      <c r="H1136" s="2" t="str">
        <f>VLOOKUP($D1136,'Customer Details'!$A$1:$F$17,MATCH('Order SUmmary'!H$2,'Customer Details'!$A$1:$F$1,0),0)</f>
        <v>Honeywell Automation</v>
      </c>
      <c r="I1136" s="2" t="str">
        <f>VLOOKUP($D1136,'Customer Details'!$A$1:$F$17,4,0)</f>
        <v>Miami</v>
      </c>
      <c r="J1136" s="2" t="str">
        <f>VLOOKUP($D1136,'Customer Details'!$A$1:$F$17,6,0)</f>
        <v>33732</v>
      </c>
      <c r="K1136" s="8" t="str">
        <f>VLOOKUP(VLOOKUP(D1136,'Customer Details'!$A$1:$F$17,5,0),'Region INfo'!$A$1:$C$52,3,0)</f>
        <v>Southern</v>
      </c>
      <c r="L1136" s="8" t="str">
        <f>INDEX(Product_List,MATCH($F1136,'Product List'!$B$1:$B$299,0),MATCH('Order SUmmary'!L$2,'Product List'!$A$1:$E$1,0))</f>
        <v>Xerox 202</v>
      </c>
      <c r="M1136" s="8">
        <f>INDEX(Product_List,MATCH($F1136,'Product List'!$B$1:$B$299,0),MATCH('Order SUmmary'!M$2,'Product List'!$A$1:$E$1,0))</f>
        <v>4262</v>
      </c>
      <c r="N1136" s="8">
        <f>INDEX(Product_List,MATCH($F1136,'Product List'!$B$1:$B$299,0),MATCH('Order SUmmary'!N$2,'Product List'!$A$1:$E$1,0))</f>
        <v>2486</v>
      </c>
      <c r="O1136" s="8" t="str">
        <f>INDEX(Product_List,MATCH($F1136,'Product List'!$B$1:$B$299,0),MATCH('Order SUmmary'!O$2,'Product List'!$A$1:$E$1,0))</f>
        <v>Paper</v>
      </c>
      <c r="P1136" s="12">
        <f>HLOOKUP(C1136,'Commission Criteria'!$A$2:$I$4,3,FALSE)</f>
        <v>5</v>
      </c>
      <c r="Q1136" s="8">
        <f t="shared" si="52"/>
        <v>2486</v>
      </c>
      <c r="R1136" s="8">
        <f t="shared" si="53"/>
        <v>4262</v>
      </c>
      <c r="S1136" s="36">
        <f>VLOOKUP(R1136,'Commission Criteria'!$L$3:$M$11,2,TRUE)</f>
        <v>0.01</v>
      </c>
      <c r="T1136" s="36">
        <f>IF(P1136&lt;5,VLOOKUP(R1136,'Commission Criteria'!$L$3:$M$11,2,1),VLOOKUP('Order SUmmary'!R1136,'Commission Criteria'!$P$3:$Q$11,2,1))</f>
        <v>0.02</v>
      </c>
      <c r="U1136" s="36">
        <f>VLOOKUP(R1136,IF(P1136&lt;5,'Commission Criteria'!$L$3:$M$11,'Commission Criteria'!$P$3:$Q$11),2,1)</f>
        <v>0.02</v>
      </c>
      <c r="V1136" s="8" t="s">
        <v>50</v>
      </c>
      <c r="W1136" s="36">
        <f t="shared" ca="1" si="54"/>
        <v>0.01</v>
      </c>
      <c r="X1136" s="8" t="str">
        <f>_xlfn.XLOOKUP(F1136,'Product List'!$B$1:$B$299,'Product List'!$A$1:$A$299)</f>
        <v>Xerox 202</v>
      </c>
      <c r="Y1136" s="8"/>
      <c r="Z1136" s="8" t="str" cm="1">
        <f t="array" ref="Z1136:AD1136">_xlfn.XLOOKUP(D1136,'Customer Details'!$A$1:$A$17,'Customer Details'!$B$1:$F$17,"No such customer",0,1)</f>
        <v>Honeywell Automation</v>
      </c>
      <c r="AA1136" s="8" t="str">
        <v>1272 Harbor Road</v>
      </c>
      <c r="AB1136" s="8" t="str">
        <v>Miami</v>
      </c>
      <c r="AC1136" s="8" t="str">
        <v>FL</v>
      </c>
      <c r="AD1136" s="8" t="str">
        <v>33732</v>
      </c>
    </row>
    <row r="1137" spans="1:30">
      <c r="A1137" s="8" t="s">
        <v>1092</v>
      </c>
      <c r="B1137" s="19">
        <v>42258</v>
      </c>
      <c r="C1137" s="8" t="s">
        <v>36</v>
      </c>
      <c r="D1137" s="8">
        <v>10006</v>
      </c>
      <c r="E1137" s="8" t="str">
        <f>VLOOKUP($D1137,'Customer Details'!$A$1:$F$17,4,FALSE)</f>
        <v>Midland</v>
      </c>
      <c r="F1137" s="8" t="s">
        <v>391</v>
      </c>
      <c r="G1137" s="8">
        <v>1</v>
      </c>
      <c r="H1137" s="2" t="str">
        <f>VLOOKUP($D1137,'Customer Details'!$A$1:$F$17,MATCH('Order SUmmary'!H$2,'Customer Details'!$A$1:$F$1,0),0)</f>
        <v>Supreme Ind</v>
      </c>
      <c r="I1137" s="2" t="str">
        <f>VLOOKUP($D1137,'Customer Details'!$A$1:$F$17,4,0)</f>
        <v>Midland</v>
      </c>
      <c r="J1137" s="2" t="str">
        <f>VLOOKUP($D1137,'Customer Details'!$A$1:$F$17,6,0)</f>
        <v>79706</v>
      </c>
      <c r="K1137" s="8" t="str">
        <f>VLOOKUP(VLOOKUP(D1137,'Customer Details'!$A$1:$F$17,5,0),'Region INfo'!$A$1:$C$52,3,0)</f>
        <v>Western</v>
      </c>
      <c r="L1137" s="8" t="str">
        <f>INDEX(Product_List,MATCH($F1137,'Product List'!$B$1:$B$299,0),MATCH('Order SUmmary'!L$2,'Product List'!$A$1:$E$1,0))</f>
        <v>Xerox 1958</v>
      </c>
      <c r="M1137" s="8">
        <f>INDEX(Product_List,MATCH($F1137,'Product List'!$B$1:$B$299,0),MATCH('Order SUmmary'!M$2,'Product List'!$A$1:$E$1,0))</f>
        <v>4481</v>
      </c>
      <c r="N1137" s="8">
        <f>INDEX(Product_List,MATCH($F1137,'Product List'!$B$1:$B$299,0),MATCH('Order SUmmary'!N$2,'Product List'!$A$1:$E$1,0))</f>
        <v>2114</v>
      </c>
      <c r="O1137" s="8" t="str">
        <f>INDEX(Product_List,MATCH($F1137,'Product List'!$B$1:$B$299,0),MATCH('Order SUmmary'!O$2,'Product List'!$A$1:$E$1,0))</f>
        <v>Paper</v>
      </c>
      <c r="P1137" s="12">
        <f>HLOOKUP(C1137,'Commission Criteria'!$A$2:$I$4,3,FALSE)</f>
        <v>6</v>
      </c>
      <c r="Q1137" s="8">
        <f t="shared" si="52"/>
        <v>2114</v>
      </c>
      <c r="R1137" s="8">
        <f t="shared" si="53"/>
        <v>4481</v>
      </c>
      <c r="S1137" s="36">
        <f>VLOOKUP(R1137,'Commission Criteria'!$L$3:$M$11,2,TRUE)</f>
        <v>0.01</v>
      </c>
      <c r="T1137" s="36">
        <f>IF(P1137&lt;5,VLOOKUP(R1137,'Commission Criteria'!$L$3:$M$11,2,1),VLOOKUP('Order SUmmary'!R1137,'Commission Criteria'!$P$3:$Q$11,2,1))</f>
        <v>0.02</v>
      </c>
      <c r="U1137" s="36">
        <f>VLOOKUP(R1137,IF(P1137&lt;5,'Commission Criteria'!$L$3:$M$11,'Commission Criteria'!$P$3:$Q$11),2,1)</f>
        <v>0.02</v>
      </c>
      <c r="V1137" s="8" t="s">
        <v>29</v>
      </c>
      <c r="W1137" s="36">
        <f t="shared" ca="1" si="54"/>
        <v>0.03</v>
      </c>
      <c r="X1137" s="8" t="str">
        <f>_xlfn.XLOOKUP(F1137,'Product List'!$B$1:$B$299,'Product List'!$A$1:$A$299)</f>
        <v>Xerox 1958</v>
      </c>
      <c r="Y1137" s="8"/>
      <c r="Z1137" s="8" t="str" cm="1">
        <f t="array" ref="Z1137:AD1137">_xlfn.XLOOKUP(D1137,'Customer Details'!$A$1:$A$17,'Customer Details'!$B$1:$F$17,"No such customer",0,1)</f>
        <v>Supreme Ind</v>
      </c>
      <c r="AA1137" s="8" t="str">
        <v>P.O. Box 1367</v>
      </c>
      <c r="AB1137" s="8" t="str">
        <v>Midland</v>
      </c>
      <c r="AC1137" s="8" t="str">
        <v>TX</v>
      </c>
      <c r="AD1137" s="8" t="str">
        <v>79706</v>
      </c>
    </row>
    <row r="1138" spans="1:30">
      <c r="A1138" s="8" t="s">
        <v>1092</v>
      </c>
      <c r="B1138" s="19">
        <v>42258</v>
      </c>
      <c r="C1138" s="8" t="s">
        <v>27</v>
      </c>
      <c r="D1138" s="8">
        <v>10003</v>
      </c>
      <c r="E1138" s="8" t="str">
        <f>VLOOKUP($D1138,'Customer Details'!$A$1:$F$17,4,FALSE)</f>
        <v>Miami</v>
      </c>
      <c r="F1138" s="8" t="s">
        <v>511</v>
      </c>
      <c r="G1138" s="8">
        <v>2</v>
      </c>
      <c r="H1138" s="2" t="str">
        <f>VLOOKUP($D1138,'Customer Details'!$A$1:$F$17,MATCH('Order SUmmary'!H$2,'Customer Details'!$A$1:$F$1,0),0)</f>
        <v>Honeywell Automation</v>
      </c>
      <c r="I1138" s="2" t="str">
        <f>VLOOKUP($D1138,'Customer Details'!$A$1:$F$17,4,0)</f>
        <v>Miami</v>
      </c>
      <c r="J1138" s="2" t="str">
        <f>VLOOKUP($D1138,'Customer Details'!$A$1:$F$17,6,0)</f>
        <v>33732</v>
      </c>
      <c r="K1138" s="8" t="str">
        <f>VLOOKUP(VLOOKUP(D1138,'Customer Details'!$A$1:$F$17,5,0),'Region INfo'!$A$1:$C$52,3,0)</f>
        <v>Southern</v>
      </c>
      <c r="L1138" s="8" t="str">
        <f>INDEX(Product_List,MATCH($F1138,'Product List'!$B$1:$B$299,0),MATCH('Order SUmmary'!L$2,'Product List'!$A$1:$E$1,0))</f>
        <v>Xerox 1999</v>
      </c>
      <c r="M1138" s="8">
        <f>INDEX(Product_List,MATCH($F1138,'Product List'!$B$1:$B$299,0),MATCH('Order SUmmary'!M$2,'Product List'!$A$1:$E$1,0))</f>
        <v>2612</v>
      </c>
      <c r="N1138" s="8">
        <f>INDEX(Product_List,MATCH($F1138,'Product List'!$B$1:$B$299,0),MATCH('Order SUmmary'!N$2,'Product List'!$A$1:$E$1,0))</f>
        <v>1994</v>
      </c>
      <c r="O1138" s="8" t="str">
        <f>INDEX(Product_List,MATCH($F1138,'Product List'!$B$1:$B$299,0),MATCH('Order SUmmary'!O$2,'Product List'!$A$1:$E$1,0))</f>
        <v>Paper</v>
      </c>
      <c r="P1138" s="12">
        <f>HLOOKUP(C1138,'Commission Criteria'!$A$2:$I$4,3,FALSE)</f>
        <v>4</v>
      </c>
      <c r="Q1138" s="8">
        <f t="shared" si="52"/>
        <v>3988</v>
      </c>
      <c r="R1138" s="8">
        <f t="shared" si="53"/>
        <v>5224</v>
      </c>
      <c r="S1138" s="36">
        <f>VLOOKUP(R1138,'Commission Criteria'!$L$3:$M$11,2,TRUE)</f>
        <v>0.03</v>
      </c>
      <c r="T1138" s="36">
        <f>IF(P1138&lt;5,VLOOKUP(R1138,'Commission Criteria'!$L$3:$M$11,2,1),VLOOKUP('Order SUmmary'!R1138,'Commission Criteria'!$P$3:$Q$11,2,1))</f>
        <v>0.03</v>
      </c>
      <c r="U1138" s="36">
        <f>VLOOKUP(R1138,IF(P1138&lt;5,'Commission Criteria'!$L$3:$M$11,'Commission Criteria'!$P$3:$Q$11),2,1)</f>
        <v>0.03</v>
      </c>
      <c r="V1138" s="8" t="s">
        <v>40</v>
      </c>
      <c r="W1138" s="36">
        <f t="shared" ca="1" si="54"/>
        <v>0.03</v>
      </c>
      <c r="X1138" s="8" t="str">
        <f>_xlfn.XLOOKUP(F1138,'Product List'!$B$1:$B$299,'Product List'!$A$1:$A$299)</f>
        <v>Xerox 1999</v>
      </c>
      <c r="Y1138" s="8"/>
      <c r="Z1138" s="8" t="str" cm="1">
        <f t="array" ref="Z1138:AD1138">_xlfn.XLOOKUP(D1138,'Customer Details'!$A$1:$A$17,'Customer Details'!$B$1:$F$17,"No such customer",0,1)</f>
        <v>Honeywell Automation</v>
      </c>
      <c r="AA1138" s="8" t="str">
        <v>1272 Harbor Road</v>
      </c>
      <c r="AB1138" s="8" t="str">
        <v>Miami</v>
      </c>
      <c r="AC1138" s="8" t="str">
        <v>FL</v>
      </c>
      <c r="AD1138" s="8" t="str">
        <v>33732</v>
      </c>
    </row>
    <row r="1139" spans="1:30">
      <c r="A1139" s="8" t="s">
        <v>1091</v>
      </c>
      <c r="B1139" s="19">
        <v>42258</v>
      </c>
      <c r="C1139" s="8" t="s">
        <v>54</v>
      </c>
      <c r="D1139" s="8">
        <v>10003</v>
      </c>
      <c r="E1139" s="8" t="str">
        <f>VLOOKUP($D1139,'Customer Details'!$A$1:$F$17,4,FALSE)</f>
        <v>Miami</v>
      </c>
      <c r="F1139" s="8" t="s">
        <v>333</v>
      </c>
      <c r="G1139" s="8">
        <v>2</v>
      </c>
      <c r="H1139" s="2" t="str">
        <f>VLOOKUP($D1139,'Customer Details'!$A$1:$F$17,MATCH('Order SUmmary'!H$2,'Customer Details'!$A$1:$F$1,0),0)</f>
        <v>Honeywell Automation</v>
      </c>
      <c r="I1139" s="2" t="str">
        <f>VLOOKUP($D1139,'Customer Details'!$A$1:$F$17,4,0)</f>
        <v>Miami</v>
      </c>
      <c r="J1139" s="2" t="str">
        <f>VLOOKUP($D1139,'Customer Details'!$A$1:$F$17,6,0)</f>
        <v>33732</v>
      </c>
      <c r="K1139" s="8" t="str">
        <f>VLOOKUP(VLOOKUP(D1139,'Customer Details'!$A$1:$F$17,5,0),'Region INfo'!$A$1:$C$52,3,0)</f>
        <v>Southern</v>
      </c>
      <c r="L1139" s="8" t="str">
        <f>INDEX(Product_List,MATCH($F1139,'Product List'!$B$1:$B$299,0),MATCH('Order SUmmary'!L$2,'Product List'!$A$1:$E$1,0))</f>
        <v>Xerox 1881</v>
      </c>
      <c r="M1139" s="8">
        <f>INDEX(Product_List,MATCH($F1139,'Product List'!$B$1:$B$299,0),MATCH('Order SUmmary'!M$2,'Product List'!$A$1:$E$1,0))</f>
        <v>3330</v>
      </c>
      <c r="N1139" s="8">
        <f>INDEX(Product_List,MATCH($F1139,'Product List'!$B$1:$B$299,0),MATCH('Order SUmmary'!N$2,'Product List'!$A$1:$E$1,0))</f>
        <v>1819</v>
      </c>
      <c r="O1139" s="8" t="str">
        <f>INDEX(Product_List,MATCH($F1139,'Product List'!$B$1:$B$299,0),MATCH('Order SUmmary'!O$2,'Product List'!$A$1:$E$1,0))</f>
        <v>Paper</v>
      </c>
      <c r="P1139" s="12">
        <f>HLOOKUP(C1139,'Commission Criteria'!$A$2:$I$4,3,FALSE)</f>
        <v>3</v>
      </c>
      <c r="Q1139" s="8">
        <f t="shared" si="52"/>
        <v>3638</v>
      </c>
      <c r="R1139" s="8">
        <f t="shared" si="53"/>
        <v>6660</v>
      </c>
      <c r="S1139" s="36">
        <f>VLOOKUP(R1139,'Commission Criteria'!$L$3:$M$11,2,TRUE)</f>
        <v>0.03</v>
      </c>
      <c r="T1139" s="36">
        <f>IF(P1139&lt;5,VLOOKUP(R1139,'Commission Criteria'!$L$3:$M$11,2,1),VLOOKUP('Order SUmmary'!R1139,'Commission Criteria'!$P$3:$Q$11,2,1))</f>
        <v>0.03</v>
      </c>
      <c r="U1139" s="36">
        <f>VLOOKUP(R1139,IF(P1139&lt;5,'Commission Criteria'!$L$3:$M$11,'Commission Criteria'!$P$3:$Q$11),2,1)</f>
        <v>0.03</v>
      </c>
      <c r="V1139" s="8" t="s">
        <v>50</v>
      </c>
      <c r="W1139" s="36">
        <f t="shared" ca="1" si="54"/>
        <v>0.01</v>
      </c>
      <c r="X1139" s="8" t="str">
        <f>_xlfn.XLOOKUP(F1139,'Product List'!$B$1:$B$299,'Product List'!$A$1:$A$299)</f>
        <v>Xerox 1881</v>
      </c>
      <c r="Y1139" s="8"/>
      <c r="Z1139" s="8" t="str" cm="1">
        <f t="array" ref="Z1139:AD1139">_xlfn.XLOOKUP(D1139,'Customer Details'!$A$1:$A$17,'Customer Details'!$B$1:$F$17,"No such customer",0,1)</f>
        <v>Honeywell Automation</v>
      </c>
      <c r="AA1139" s="8" t="str">
        <v>1272 Harbor Road</v>
      </c>
      <c r="AB1139" s="8" t="str">
        <v>Miami</v>
      </c>
      <c r="AC1139" s="8" t="str">
        <v>FL</v>
      </c>
      <c r="AD1139" s="8" t="str">
        <v>33732</v>
      </c>
    </row>
    <row r="1140" spans="1:30">
      <c r="A1140" s="8" t="s">
        <v>1093</v>
      </c>
      <c r="B1140" s="19">
        <v>42259</v>
      </c>
      <c r="C1140" s="8" t="s">
        <v>36</v>
      </c>
      <c r="D1140" s="8">
        <v>10010</v>
      </c>
      <c r="E1140" s="8" t="str">
        <f>VLOOKUP($D1140,'Customer Details'!$A$1:$F$17,4,FALSE)</f>
        <v>Tracy</v>
      </c>
      <c r="F1140" s="8" t="s">
        <v>622</v>
      </c>
      <c r="G1140" s="8">
        <v>1</v>
      </c>
      <c r="H1140" s="2" t="str">
        <f>VLOOKUP($D1140,'Customer Details'!$A$1:$F$17,MATCH('Order SUmmary'!H$2,'Customer Details'!$A$1:$F$1,0),0)</f>
        <v>Suzlon Energy Ltd.</v>
      </c>
      <c r="I1140" s="2" t="str">
        <f>VLOOKUP($D1140,'Customer Details'!$A$1:$F$17,4,0)</f>
        <v>Tracy</v>
      </c>
      <c r="J1140" s="2" t="str">
        <f>VLOOKUP($D1140,'Customer Details'!$A$1:$F$17,6,0)</f>
        <v>95376</v>
      </c>
      <c r="K1140" s="8" t="str">
        <f>VLOOKUP(VLOOKUP(D1140,'Customer Details'!$A$1:$F$17,5,0),'Region INfo'!$A$1:$C$52,3,0)</f>
        <v xml:space="preserve">Pacific   </v>
      </c>
      <c r="L1140" s="8" t="str">
        <f>INDEX(Product_List,MATCH($F1140,'Product List'!$B$1:$B$299,0),MATCH('Order SUmmary'!L$2,'Product List'!$A$1:$E$1,0))</f>
        <v>Xerox 1995</v>
      </c>
      <c r="M1140" s="8">
        <f>INDEX(Product_List,MATCH($F1140,'Product List'!$B$1:$B$299,0),MATCH('Order SUmmary'!M$2,'Product List'!$A$1:$E$1,0))</f>
        <v>3454</v>
      </c>
      <c r="N1140" s="8">
        <f>INDEX(Product_List,MATCH($F1140,'Product List'!$B$1:$B$299,0),MATCH('Order SUmmary'!N$2,'Product List'!$A$1:$E$1,0))</f>
        <v>1525</v>
      </c>
      <c r="O1140" s="8" t="str">
        <f>INDEX(Product_List,MATCH($F1140,'Product List'!$B$1:$B$299,0),MATCH('Order SUmmary'!O$2,'Product List'!$A$1:$E$1,0))</f>
        <v>Paper</v>
      </c>
      <c r="P1140" s="12">
        <f>HLOOKUP(C1140,'Commission Criteria'!$A$2:$I$4,3,FALSE)</f>
        <v>6</v>
      </c>
      <c r="Q1140" s="8">
        <f t="shared" si="52"/>
        <v>1525</v>
      </c>
      <c r="R1140" s="8">
        <f t="shared" si="53"/>
        <v>3454</v>
      </c>
      <c r="S1140" s="36">
        <f>VLOOKUP(R1140,'Commission Criteria'!$L$3:$M$11,2,TRUE)</f>
        <v>0.01</v>
      </c>
      <c r="T1140" s="36">
        <f>IF(P1140&lt;5,VLOOKUP(R1140,'Commission Criteria'!$L$3:$M$11,2,1),VLOOKUP('Order SUmmary'!R1140,'Commission Criteria'!$P$3:$Q$11,2,1))</f>
        <v>0.02</v>
      </c>
      <c r="U1140" s="36">
        <f>VLOOKUP(R1140,IF(P1140&lt;5,'Commission Criteria'!$L$3:$M$11,'Commission Criteria'!$P$3:$Q$11),2,1)</f>
        <v>0.02</v>
      </c>
      <c r="V1140" s="8" t="s">
        <v>35</v>
      </c>
      <c r="W1140" s="36">
        <f t="shared" ca="1" si="54"/>
        <v>0.01</v>
      </c>
      <c r="X1140" s="8" t="str">
        <f>_xlfn.XLOOKUP(F1140,'Product List'!$B$1:$B$299,'Product List'!$A$1:$A$299)</f>
        <v>Xerox 1995</v>
      </c>
      <c r="Y1140" s="8"/>
      <c r="Z1140" s="8" t="str" cm="1">
        <f t="array" ref="Z1140:AD1140">_xlfn.XLOOKUP(D1140,'Customer Details'!$A$1:$A$17,'Customer Details'!$B$1:$F$17,"No such customer",0,1)</f>
        <v>Suzlon Energy Ltd.</v>
      </c>
      <c r="AA1140" s="8" t="str">
        <v>501 Marsh Trail Circle</v>
      </c>
      <c r="AB1140" s="8" t="str">
        <v>Tracy</v>
      </c>
      <c r="AC1140" s="8" t="str">
        <v>CA</v>
      </c>
      <c r="AD1140" s="8" t="str">
        <v>95376</v>
      </c>
    </row>
    <row r="1141" spans="1:30">
      <c r="A1141" s="8" t="s">
        <v>1093</v>
      </c>
      <c r="B1141" s="19">
        <v>42259</v>
      </c>
      <c r="C1141" s="8" t="s">
        <v>46</v>
      </c>
      <c r="D1141" s="8">
        <v>10011</v>
      </c>
      <c r="E1141" s="8" t="str">
        <f>VLOOKUP($D1141,'Customer Details'!$A$1:$F$17,4,FALSE)</f>
        <v>Olympia</v>
      </c>
      <c r="F1141" s="8" t="s">
        <v>502</v>
      </c>
      <c r="G1141" s="8">
        <v>1</v>
      </c>
      <c r="H1141" s="2" t="str">
        <f>VLOOKUP($D1141,'Customer Details'!$A$1:$F$17,MATCH('Order SUmmary'!H$2,'Customer Details'!$A$1:$F$1,0),0)</f>
        <v>Sonata Software</v>
      </c>
      <c r="I1141" s="2" t="str">
        <f>VLOOKUP($D1141,'Customer Details'!$A$1:$F$17,4,0)</f>
        <v>Olympia</v>
      </c>
      <c r="J1141" s="2" t="str">
        <f>VLOOKUP($D1141,'Customer Details'!$A$1:$F$17,6,0)</f>
        <v>98502</v>
      </c>
      <c r="K1141" s="8" t="str">
        <f>VLOOKUP(VLOOKUP(D1141,'Customer Details'!$A$1:$F$17,5,0),'Region INfo'!$A$1:$C$52,3,0)</f>
        <v xml:space="preserve">Pacific   </v>
      </c>
      <c r="L1141" s="8" t="str">
        <f>INDEX(Product_List,MATCH($F1141,'Product List'!$B$1:$B$299,0),MATCH('Order SUmmary'!L$2,'Product List'!$A$1:$E$1,0))</f>
        <v>Xerox 1896</v>
      </c>
      <c r="M1141" s="8">
        <f>INDEX(Product_List,MATCH($F1141,'Product List'!$B$1:$B$299,0),MATCH('Order SUmmary'!M$2,'Product List'!$A$1:$E$1,0))</f>
        <v>4239</v>
      </c>
      <c r="N1141" s="8">
        <f>INDEX(Product_List,MATCH($F1141,'Product List'!$B$1:$B$299,0),MATCH('Order SUmmary'!N$2,'Product List'!$A$1:$E$1,0))</f>
        <v>2267</v>
      </c>
      <c r="O1141" s="8" t="str">
        <f>INDEX(Product_List,MATCH($F1141,'Product List'!$B$1:$B$299,0),MATCH('Order SUmmary'!O$2,'Product List'!$A$1:$E$1,0))</f>
        <v>Paper</v>
      </c>
      <c r="P1141" s="12">
        <f>HLOOKUP(C1141,'Commission Criteria'!$A$2:$I$4,3,FALSE)</f>
        <v>8</v>
      </c>
      <c r="Q1141" s="8">
        <f t="shared" si="52"/>
        <v>2267</v>
      </c>
      <c r="R1141" s="8">
        <f t="shared" si="53"/>
        <v>4239</v>
      </c>
      <c r="S1141" s="36">
        <f>VLOOKUP(R1141,'Commission Criteria'!$L$3:$M$11,2,TRUE)</f>
        <v>0.01</v>
      </c>
      <c r="T1141" s="36">
        <f>IF(P1141&lt;5,VLOOKUP(R1141,'Commission Criteria'!$L$3:$M$11,2,1),VLOOKUP('Order SUmmary'!R1141,'Commission Criteria'!$P$3:$Q$11,2,1))</f>
        <v>0.02</v>
      </c>
      <c r="U1141" s="36">
        <f>VLOOKUP(R1141,IF(P1141&lt;5,'Commission Criteria'!$L$3:$M$11,'Commission Criteria'!$P$3:$Q$11),2,1)</f>
        <v>0.02</v>
      </c>
      <c r="V1141" s="8" t="s">
        <v>29</v>
      </c>
      <c r="W1141" s="36">
        <f t="shared" ca="1" si="54"/>
        <v>0.05</v>
      </c>
      <c r="X1141" s="8" t="str">
        <f>_xlfn.XLOOKUP(F1141,'Product List'!$B$1:$B$299,'Product List'!$A$1:$A$299)</f>
        <v>Xerox 1896</v>
      </c>
      <c r="Y1141" s="8"/>
      <c r="Z1141" s="8" t="str" cm="1">
        <f t="array" ref="Z1141:AD1141">_xlfn.XLOOKUP(D1141,'Customer Details'!$A$1:$A$17,'Customer Details'!$B$1:$F$17,"No such customer",0,1)</f>
        <v>Sonata Software</v>
      </c>
      <c r="AA1141" s="8" t="str">
        <v>1331 Kimberly Dr.</v>
      </c>
      <c r="AB1141" s="8" t="str">
        <v>Olympia</v>
      </c>
      <c r="AC1141" s="8" t="str">
        <v>WA</v>
      </c>
      <c r="AD1141" s="8" t="str">
        <v>98502</v>
      </c>
    </row>
    <row r="1142" spans="1:30">
      <c r="A1142" s="8" t="s">
        <v>1093</v>
      </c>
      <c r="B1142" s="19">
        <v>42259</v>
      </c>
      <c r="C1142" s="8" t="s">
        <v>46</v>
      </c>
      <c r="D1142" s="8">
        <v>10005</v>
      </c>
      <c r="E1142" s="8" t="str">
        <f>VLOOKUP($D1142,'Customer Details'!$A$1:$F$17,4,FALSE)</f>
        <v>Goleta</v>
      </c>
      <c r="F1142" s="8" t="s">
        <v>926</v>
      </c>
      <c r="G1142" s="8">
        <v>3</v>
      </c>
      <c r="H1142" s="2" t="str">
        <f>VLOOKUP($D1142,'Customer Details'!$A$1:$F$17,MATCH('Order SUmmary'!H$2,'Customer Details'!$A$1:$F$1,0),0)</f>
        <v>Fortis Healthcare Ltd.</v>
      </c>
      <c r="I1142" s="2" t="str">
        <f>VLOOKUP($D1142,'Customer Details'!$A$1:$F$17,4,0)</f>
        <v>Goleta</v>
      </c>
      <c r="J1142" s="2" t="str">
        <f>VLOOKUP($D1142,'Customer Details'!$A$1:$F$17,6,0)</f>
        <v>93117</v>
      </c>
      <c r="K1142" s="8" t="str">
        <f>VLOOKUP(VLOOKUP(D1142,'Customer Details'!$A$1:$F$17,5,0),'Region INfo'!$A$1:$C$52,3,0)</f>
        <v xml:space="preserve">Pacific   </v>
      </c>
      <c r="L1142" s="8" t="str">
        <f>INDEX(Product_List,MATCH($F1142,'Product List'!$B$1:$B$299,0),MATCH('Order SUmmary'!L$2,'Product List'!$A$1:$E$1,0))</f>
        <v>Newell 33</v>
      </c>
      <c r="M1142" s="8">
        <f>INDEX(Product_List,MATCH($F1142,'Product List'!$B$1:$B$299,0),MATCH('Order SUmmary'!M$2,'Product List'!$A$1:$E$1,0))</f>
        <v>3580</v>
      </c>
      <c r="N1142" s="8">
        <f>INDEX(Product_List,MATCH($F1142,'Product List'!$B$1:$B$299,0),MATCH('Order SUmmary'!N$2,'Product List'!$A$1:$E$1,0))</f>
        <v>2012</v>
      </c>
      <c r="O1142" s="8" t="str">
        <f>INDEX(Product_List,MATCH($F1142,'Product List'!$B$1:$B$299,0),MATCH('Order SUmmary'!O$2,'Product List'!$A$1:$E$1,0))</f>
        <v>Art</v>
      </c>
      <c r="P1142" s="12">
        <f>HLOOKUP(C1142,'Commission Criteria'!$A$2:$I$4,3,FALSE)</f>
        <v>8</v>
      </c>
      <c r="Q1142" s="8">
        <f t="shared" si="52"/>
        <v>6036</v>
      </c>
      <c r="R1142" s="8">
        <f t="shared" si="53"/>
        <v>10740</v>
      </c>
      <c r="S1142" s="36">
        <f>VLOOKUP(R1142,'Commission Criteria'!$L$3:$M$11,2,TRUE)</f>
        <v>0.03</v>
      </c>
      <c r="T1142" s="36">
        <f>IF(P1142&lt;5,VLOOKUP(R1142,'Commission Criteria'!$L$3:$M$11,2,1),VLOOKUP('Order SUmmary'!R1142,'Commission Criteria'!$P$3:$Q$11,2,1))</f>
        <v>0.02</v>
      </c>
      <c r="U1142" s="36">
        <f>VLOOKUP(R1142,IF(P1142&lt;5,'Commission Criteria'!$L$3:$M$11,'Commission Criteria'!$P$3:$Q$11),2,1)</f>
        <v>0.02</v>
      </c>
      <c r="V1142" s="8" t="s">
        <v>50</v>
      </c>
      <c r="W1142" s="36">
        <f t="shared" ca="1" si="54"/>
        <v>0.05</v>
      </c>
      <c r="X1142" s="8" t="str">
        <f>_xlfn.XLOOKUP(F1142,'Product List'!$B$1:$B$299,'Product List'!$A$1:$A$299)</f>
        <v>Newell 33</v>
      </c>
      <c r="Y1142" s="8"/>
      <c r="Z1142" s="8" t="str" cm="1">
        <f t="array" ref="Z1142:AD1142">_xlfn.XLOOKUP(D1142,'Customer Details'!$A$1:$A$17,'Customer Details'!$B$1:$F$17,"No such customer",0,1)</f>
        <v>Fortis Healthcare Ltd.</v>
      </c>
      <c r="AA1142" s="8" t="str">
        <v>14 Elsworthy Terrace</v>
      </c>
      <c r="AB1142" s="8" t="str">
        <v>Goleta</v>
      </c>
      <c r="AC1142" s="8" t="str">
        <v>CA</v>
      </c>
      <c r="AD1142" s="8" t="str">
        <v>93117</v>
      </c>
    </row>
    <row r="1143" spans="1:30">
      <c r="A1143" s="8" t="s">
        <v>1094</v>
      </c>
      <c r="B1143" s="19">
        <v>42263</v>
      </c>
      <c r="C1143" s="8" t="s">
        <v>36</v>
      </c>
      <c r="D1143" s="8">
        <v>10001</v>
      </c>
      <c r="E1143" s="8" t="str">
        <f>VLOOKUP($D1143,'Customer Details'!$A$1:$F$17,4,FALSE)</f>
        <v>New York</v>
      </c>
      <c r="F1143" s="8" t="s">
        <v>213</v>
      </c>
      <c r="G1143" s="8">
        <v>3</v>
      </c>
      <c r="H1143" s="2" t="str">
        <f>VLOOKUP($D1143,'Customer Details'!$A$1:$F$17,MATCH('Order SUmmary'!H$2,'Customer Details'!$A$1:$F$1,0),0)</f>
        <v>Chambal Fertilisers and Chemicals Ltd.</v>
      </c>
      <c r="I1143" s="2" t="str">
        <f>VLOOKUP($D1143,'Customer Details'!$A$1:$F$17,4,0)</f>
        <v>New York</v>
      </c>
      <c r="J1143" s="2" t="str">
        <f>VLOOKUP($D1143,'Customer Details'!$A$1:$F$17,6,0)</f>
        <v>10025</v>
      </c>
      <c r="K1143" s="8" t="str">
        <f>VLOOKUP(VLOOKUP(D1143,'Customer Details'!$A$1:$F$17,5,0),'Region INfo'!$A$1:$C$52,3,0)</f>
        <v xml:space="preserve">Northern </v>
      </c>
      <c r="L1143" s="8" t="str">
        <f>INDEX(Product_List,MATCH($F1143,'Product List'!$B$1:$B$299,0),MATCH('Order SUmmary'!L$2,'Product List'!$A$1:$E$1,0))</f>
        <v>Cisco SPA301</v>
      </c>
      <c r="M1143" s="8">
        <f>INDEX(Product_List,MATCH($F1143,'Product List'!$B$1:$B$299,0),MATCH('Order SUmmary'!M$2,'Product List'!$A$1:$E$1,0))</f>
        <v>2921</v>
      </c>
      <c r="N1143" s="8">
        <f>INDEX(Product_List,MATCH($F1143,'Product List'!$B$1:$B$299,0),MATCH('Order SUmmary'!N$2,'Product List'!$A$1:$E$1,0))</f>
        <v>1786</v>
      </c>
      <c r="O1143" s="8" t="str">
        <f>INDEX(Product_List,MATCH($F1143,'Product List'!$B$1:$B$299,0),MATCH('Order SUmmary'!O$2,'Product List'!$A$1:$E$1,0))</f>
        <v>Phones</v>
      </c>
      <c r="P1143" s="12">
        <f>HLOOKUP(C1143,'Commission Criteria'!$A$2:$I$4,3,FALSE)</f>
        <v>6</v>
      </c>
      <c r="Q1143" s="8">
        <f t="shared" si="52"/>
        <v>5358</v>
      </c>
      <c r="R1143" s="8">
        <f t="shared" si="53"/>
        <v>8763</v>
      </c>
      <c r="S1143" s="36">
        <f>VLOOKUP(R1143,'Commission Criteria'!$L$3:$M$11,2,TRUE)</f>
        <v>0.03</v>
      </c>
      <c r="T1143" s="36">
        <f>IF(P1143&lt;5,VLOOKUP(R1143,'Commission Criteria'!$L$3:$M$11,2,1),VLOOKUP('Order SUmmary'!R1143,'Commission Criteria'!$P$3:$Q$11,2,1))</f>
        <v>0.02</v>
      </c>
      <c r="U1143" s="36">
        <f>VLOOKUP(R1143,IF(P1143&lt;5,'Commission Criteria'!$L$3:$M$11,'Commission Criteria'!$P$3:$Q$11),2,1)</f>
        <v>0.02</v>
      </c>
      <c r="V1143" s="8" t="s">
        <v>40</v>
      </c>
      <c r="W1143" s="36">
        <f t="shared" ca="1" si="54"/>
        <v>0.01</v>
      </c>
      <c r="X1143" s="8" t="str">
        <f>_xlfn.XLOOKUP(F1143,'Product List'!$B$1:$B$299,'Product List'!$A$1:$A$299)</f>
        <v>Cisco SPA301</v>
      </c>
      <c r="Y1143" s="8"/>
      <c r="Z1143" s="8" t="str" cm="1">
        <f t="array" ref="Z1143:AD1143">_xlfn.XLOOKUP(D1143,'Customer Details'!$A$1:$A$17,'Customer Details'!$B$1:$F$17,"No such customer",0,1)</f>
        <v>Chambal Fertilisers and Chemicals Ltd.</v>
      </c>
      <c r="AA1143" s="8" t="str">
        <v>4951 Indiana Ave.</v>
      </c>
      <c r="AB1143" s="8" t="str">
        <v>New York</v>
      </c>
      <c r="AC1143" s="8" t="str">
        <v>NY</v>
      </c>
      <c r="AD1143" s="8" t="str">
        <v>10025</v>
      </c>
    </row>
    <row r="1144" spans="1:30">
      <c r="A1144" s="8" t="s">
        <v>1095</v>
      </c>
      <c r="B1144" s="19">
        <v>42265</v>
      </c>
      <c r="C1144" s="8" t="s">
        <v>66</v>
      </c>
      <c r="D1144" s="8">
        <v>10008</v>
      </c>
      <c r="E1144" s="8" t="str">
        <f>VLOOKUP($D1144,'Customer Details'!$A$1:$F$17,4,FALSE)</f>
        <v>Chestnut Ridge</v>
      </c>
      <c r="F1144" s="8" t="s">
        <v>501</v>
      </c>
      <c r="G1144" s="8">
        <v>1</v>
      </c>
      <c r="H1144" s="2" t="str">
        <f>VLOOKUP($D1144,'Customer Details'!$A$1:$F$17,MATCH('Order SUmmary'!H$2,'Customer Details'!$A$1:$F$1,0),0)</f>
        <v>Reliance Industries Limited</v>
      </c>
      <c r="I1144" s="2" t="str">
        <f>VLOOKUP($D1144,'Customer Details'!$A$1:$F$17,4,0)</f>
        <v>Chestnut Ridge</v>
      </c>
      <c r="J1144" s="2" t="str">
        <f>VLOOKUP($D1144,'Customer Details'!$A$1:$F$17,6,0)</f>
        <v>10977</v>
      </c>
      <c r="K1144" s="8" t="str">
        <f>VLOOKUP(VLOOKUP(D1144,'Customer Details'!$A$1:$F$17,5,0),'Region INfo'!$A$1:$C$52,3,0)</f>
        <v xml:space="preserve">Northern </v>
      </c>
      <c r="L1144" s="8" t="str">
        <f>INDEX(Product_List,MATCH($F1144,'Product List'!$B$1:$B$299,0),MATCH('Order SUmmary'!L$2,'Product List'!$A$1:$E$1,0))</f>
        <v>Avery 500</v>
      </c>
      <c r="M1144" s="8">
        <f>INDEX(Product_List,MATCH($F1144,'Product List'!$B$1:$B$299,0),MATCH('Order SUmmary'!M$2,'Product List'!$A$1:$E$1,0))</f>
        <v>4234</v>
      </c>
      <c r="N1144" s="8">
        <f>INDEX(Product_List,MATCH($F1144,'Product List'!$B$1:$B$299,0),MATCH('Order SUmmary'!N$2,'Product List'!$A$1:$E$1,0))</f>
        <v>1212</v>
      </c>
      <c r="O1144" s="8" t="str">
        <f>INDEX(Product_List,MATCH($F1144,'Product List'!$B$1:$B$299,0),MATCH('Order SUmmary'!O$2,'Product List'!$A$1:$E$1,0))</f>
        <v>Labels</v>
      </c>
      <c r="P1144" s="12">
        <f>HLOOKUP(C1144,'Commission Criteria'!$A$2:$I$4,3,FALSE)</f>
        <v>5</v>
      </c>
      <c r="Q1144" s="8">
        <f t="shared" si="52"/>
        <v>1212</v>
      </c>
      <c r="R1144" s="8">
        <f t="shared" si="53"/>
        <v>4234</v>
      </c>
      <c r="S1144" s="36">
        <f>VLOOKUP(R1144,'Commission Criteria'!$L$3:$M$11,2,TRUE)</f>
        <v>0.01</v>
      </c>
      <c r="T1144" s="36">
        <f>IF(P1144&lt;5,VLOOKUP(R1144,'Commission Criteria'!$L$3:$M$11,2,1),VLOOKUP('Order SUmmary'!R1144,'Commission Criteria'!$P$3:$Q$11,2,1))</f>
        <v>0.02</v>
      </c>
      <c r="U1144" s="36">
        <f>VLOOKUP(R1144,IF(P1144&lt;5,'Commission Criteria'!$L$3:$M$11,'Commission Criteria'!$P$3:$Q$11),2,1)</f>
        <v>0.02</v>
      </c>
      <c r="V1144" s="8" t="s">
        <v>35</v>
      </c>
      <c r="W1144" s="36">
        <f t="shared" ca="1" si="54"/>
        <v>0</v>
      </c>
      <c r="X1144" s="8" t="str">
        <f>_xlfn.XLOOKUP(F1144,'Product List'!$B$1:$B$299,'Product List'!$A$1:$A$299)</f>
        <v>Avery 500</v>
      </c>
      <c r="Y1144" s="8"/>
      <c r="Z1144" s="8" t="str" cm="1">
        <f t="array" ref="Z1144:AD1144">_xlfn.XLOOKUP(D1144,'Customer Details'!$A$1:$A$17,'Customer Details'!$B$1:$F$17,"No such customer",0,1)</f>
        <v>Reliance Industries Limited</v>
      </c>
      <c r="AA1144" s="8" t="str">
        <v>12020 Shamrock Rd., Suite 333</v>
      </c>
      <c r="AB1144" s="8" t="str">
        <v>Chestnut Ridge</v>
      </c>
      <c r="AC1144" s="8" t="str">
        <v>NY</v>
      </c>
      <c r="AD1144" s="8" t="str">
        <v>10977</v>
      </c>
    </row>
    <row r="1145" spans="1:30">
      <c r="A1145" s="8" t="s">
        <v>1095</v>
      </c>
      <c r="B1145" s="19">
        <v>42265</v>
      </c>
      <c r="C1145" s="8" t="s">
        <v>36</v>
      </c>
      <c r="D1145" s="8">
        <v>10012</v>
      </c>
      <c r="E1145" s="8" t="str">
        <f>VLOOKUP($D1145,'Customer Details'!$A$1:$F$17,4,FALSE)</f>
        <v>Santa Barbara</v>
      </c>
      <c r="F1145" s="8" t="s">
        <v>892</v>
      </c>
      <c r="G1145" s="8">
        <v>1</v>
      </c>
      <c r="H1145" s="2" t="str">
        <f>VLOOKUP($D1145,'Customer Details'!$A$1:$F$17,MATCH('Order SUmmary'!H$2,'Customer Details'!$A$1:$F$1,0),0)</f>
        <v>Dynamatic Technologies Ltd.</v>
      </c>
      <c r="I1145" s="2" t="str">
        <f>VLOOKUP($D1145,'Customer Details'!$A$1:$F$17,4,0)</f>
        <v>Santa Barbara</v>
      </c>
      <c r="J1145" s="2" t="str">
        <f>VLOOKUP($D1145,'Customer Details'!$A$1:$F$17,6,0)</f>
        <v>93110</v>
      </c>
      <c r="K1145" s="8" t="str">
        <f>VLOOKUP(VLOOKUP(D1145,'Customer Details'!$A$1:$F$17,5,0),'Region INfo'!$A$1:$C$52,3,0)</f>
        <v xml:space="preserve">Pacific   </v>
      </c>
      <c r="L1145" s="8" t="str">
        <f>INDEX(Product_List,MATCH($F1145,'Product List'!$B$1:$B$299,0),MATCH('Order SUmmary'!L$2,'Product List'!$A$1:$E$1,0))</f>
        <v>Avery 515</v>
      </c>
      <c r="M1145" s="8">
        <f>INDEX(Product_List,MATCH($F1145,'Product List'!$B$1:$B$299,0),MATCH('Order SUmmary'!M$2,'Product List'!$A$1:$E$1,0))</f>
        <v>4283</v>
      </c>
      <c r="N1145" s="8">
        <f>INDEX(Product_List,MATCH($F1145,'Product List'!$B$1:$B$299,0),MATCH('Order SUmmary'!N$2,'Product List'!$A$1:$E$1,0))</f>
        <v>1658</v>
      </c>
      <c r="O1145" s="8" t="str">
        <f>INDEX(Product_List,MATCH($F1145,'Product List'!$B$1:$B$299,0),MATCH('Order SUmmary'!O$2,'Product List'!$A$1:$E$1,0))</f>
        <v>Labels</v>
      </c>
      <c r="P1145" s="12">
        <f>HLOOKUP(C1145,'Commission Criteria'!$A$2:$I$4,3,FALSE)</f>
        <v>6</v>
      </c>
      <c r="Q1145" s="8">
        <f t="shared" si="52"/>
        <v>1658</v>
      </c>
      <c r="R1145" s="8">
        <f t="shared" si="53"/>
        <v>4283</v>
      </c>
      <c r="S1145" s="36">
        <f>VLOOKUP(R1145,'Commission Criteria'!$L$3:$M$11,2,TRUE)</f>
        <v>0.01</v>
      </c>
      <c r="T1145" s="36">
        <f>IF(P1145&lt;5,VLOOKUP(R1145,'Commission Criteria'!$L$3:$M$11,2,1),VLOOKUP('Order SUmmary'!R1145,'Commission Criteria'!$P$3:$Q$11,2,1))</f>
        <v>0.02</v>
      </c>
      <c r="U1145" s="36">
        <f>VLOOKUP(R1145,IF(P1145&lt;5,'Commission Criteria'!$L$3:$M$11,'Commission Criteria'!$P$3:$Q$11),2,1)</f>
        <v>0.02</v>
      </c>
      <c r="V1145" s="8" t="s">
        <v>32</v>
      </c>
      <c r="W1145" s="36">
        <f t="shared" ca="1" si="54"/>
        <v>0</v>
      </c>
      <c r="X1145" s="8" t="str">
        <f>_xlfn.XLOOKUP(F1145,'Product List'!$B$1:$B$299,'Product List'!$A$1:$A$299)</f>
        <v>Avery 515</v>
      </c>
      <c r="Y1145" s="8"/>
      <c r="Z1145" s="8" t="str" cm="1">
        <f t="array" ref="Z1145:AD1145">_xlfn.XLOOKUP(D1145,'Customer Details'!$A$1:$A$17,'Customer Details'!$B$1:$F$17,"No such customer",0,1)</f>
        <v>Dynamatic Technologies Ltd.</v>
      </c>
      <c r="AA1145" s="8" t="str">
        <v>402 Pinkster Lane</v>
      </c>
      <c r="AB1145" s="8" t="str">
        <v>Santa Barbara</v>
      </c>
      <c r="AC1145" s="8" t="str">
        <v>CA</v>
      </c>
      <c r="AD1145" s="8" t="str">
        <v>93110</v>
      </c>
    </row>
    <row r="1146" spans="1:30">
      <c r="A1146" s="8" t="s">
        <v>1095</v>
      </c>
      <c r="B1146" s="19">
        <v>42265</v>
      </c>
      <c r="C1146" s="8" t="s">
        <v>46</v>
      </c>
      <c r="D1146" s="8">
        <v>10012</v>
      </c>
      <c r="E1146" s="8" t="str">
        <f>VLOOKUP($D1146,'Customer Details'!$A$1:$F$17,4,FALSE)</f>
        <v>Santa Barbara</v>
      </c>
      <c r="F1146" s="8" t="s">
        <v>126</v>
      </c>
      <c r="G1146" s="8">
        <v>1</v>
      </c>
      <c r="H1146" s="2" t="str">
        <f>VLOOKUP($D1146,'Customer Details'!$A$1:$F$17,MATCH('Order SUmmary'!H$2,'Customer Details'!$A$1:$F$1,0),0)</f>
        <v>Dynamatic Technologies Ltd.</v>
      </c>
      <c r="I1146" s="2" t="str">
        <f>VLOOKUP($D1146,'Customer Details'!$A$1:$F$17,4,0)</f>
        <v>Santa Barbara</v>
      </c>
      <c r="J1146" s="2" t="str">
        <f>VLOOKUP($D1146,'Customer Details'!$A$1:$F$17,6,0)</f>
        <v>93110</v>
      </c>
      <c r="K1146" s="8" t="str">
        <f>VLOOKUP(VLOOKUP(D1146,'Customer Details'!$A$1:$F$17,5,0),'Region INfo'!$A$1:$C$52,3,0)</f>
        <v xml:space="preserve">Pacific   </v>
      </c>
      <c r="L1146" s="8" t="str">
        <f>INDEX(Product_List,MATCH($F1146,'Product List'!$B$1:$B$299,0),MATCH('Order SUmmary'!L$2,'Product List'!$A$1:$E$1,0))</f>
        <v>Xerox 1964</v>
      </c>
      <c r="M1146" s="8">
        <f>INDEX(Product_List,MATCH($F1146,'Product List'!$B$1:$B$299,0),MATCH('Order SUmmary'!M$2,'Product List'!$A$1:$E$1,0))</f>
        <v>4477</v>
      </c>
      <c r="N1146" s="8">
        <f>INDEX(Product_List,MATCH($F1146,'Product List'!$B$1:$B$299,0),MATCH('Order SUmmary'!N$2,'Product List'!$A$1:$E$1,0))</f>
        <v>1589</v>
      </c>
      <c r="O1146" s="8" t="str">
        <f>INDEX(Product_List,MATCH($F1146,'Product List'!$B$1:$B$299,0),MATCH('Order SUmmary'!O$2,'Product List'!$A$1:$E$1,0))</f>
        <v>Paper</v>
      </c>
      <c r="P1146" s="12">
        <f>HLOOKUP(C1146,'Commission Criteria'!$A$2:$I$4,3,FALSE)</f>
        <v>8</v>
      </c>
      <c r="Q1146" s="8">
        <f t="shared" si="52"/>
        <v>1589</v>
      </c>
      <c r="R1146" s="8">
        <f t="shared" si="53"/>
        <v>4477</v>
      </c>
      <c r="S1146" s="36">
        <f>VLOOKUP(R1146,'Commission Criteria'!$L$3:$M$11,2,TRUE)</f>
        <v>0.01</v>
      </c>
      <c r="T1146" s="36">
        <f>IF(P1146&lt;5,VLOOKUP(R1146,'Commission Criteria'!$L$3:$M$11,2,1),VLOOKUP('Order SUmmary'!R1146,'Commission Criteria'!$P$3:$Q$11,2,1))</f>
        <v>0.02</v>
      </c>
      <c r="U1146" s="36">
        <f>VLOOKUP(R1146,IF(P1146&lt;5,'Commission Criteria'!$L$3:$M$11,'Commission Criteria'!$P$3:$Q$11),2,1)</f>
        <v>0.02</v>
      </c>
      <c r="V1146" s="8" t="s">
        <v>40</v>
      </c>
      <c r="W1146" s="36">
        <f t="shared" ca="1" si="54"/>
        <v>0.03</v>
      </c>
      <c r="X1146" s="8" t="str">
        <f>_xlfn.XLOOKUP(F1146,'Product List'!$B$1:$B$299,'Product List'!$A$1:$A$299)</f>
        <v>Xerox 1964</v>
      </c>
      <c r="Y1146" s="8"/>
      <c r="Z1146" s="8" t="str" cm="1">
        <f t="array" ref="Z1146:AD1146">_xlfn.XLOOKUP(D1146,'Customer Details'!$A$1:$A$17,'Customer Details'!$B$1:$F$17,"No such customer",0,1)</f>
        <v>Dynamatic Technologies Ltd.</v>
      </c>
      <c r="AA1146" s="8" t="str">
        <v>402 Pinkster Lane</v>
      </c>
      <c r="AB1146" s="8" t="str">
        <v>Santa Barbara</v>
      </c>
      <c r="AC1146" s="8" t="str">
        <v>CA</v>
      </c>
      <c r="AD1146" s="8" t="str">
        <v>93110</v>
      </c>
    </row>
    <row r="1147" spans="1:30">
      <c r="A1147" s="8" t="s">
        <v>1096</v>
      </c>
      <c r="B1147" s="19">
        <v>42267</v>
      </c>
      <c r="C1147" s="8" t="s">
        <v>54</v>
      </c>
      <c r="D1147" s="8">
        <v>10008</v>
      </c>
      <c r="E1147" s="8" t="str">
        <f>VLOOKUP($D1147,'Customer Details'!$A$1:$F$17,4,FALSE)</f>
        <v>Chestnut Ridge</v>
      </c>
      <c r="F1147" s="8" t="s">
        <v>309</v>
      </c>
      <c r="G1147" s="8">
        <v>1</v>
      </c>
      <c r="H1147" s="2" t="str">
        <f>VLOOKUP($D1147,'Customer Details'!$A$1:$F$17,MATCH('Order SUmmary'!H$2,'Customer Details'!$A$1:$F$1,0),0)</f>
        <v>Reliance Industries Limited</v>
      </c>
      <c r="I1147" s="2" t="str">
        <f>VLOOKUP($D1147,'Customer Details'!$A$1:$F$17,4,0)</f>
        <v>Chestnut Ridge</v>
      </c>
      <c r="J1147" s="2" t="str">
        <f>VLOOKUP($D1147,'Customer Details'!$A$1:$F$17,6,0)</f>
        <v>10977</v>
      </c>
      <c r="K1147" s="8" t="str">
        <f>VLOOKUP(VLOOKUP(D1147,'Customer Details'!$A$1:$F$17,5,0),'Region INfo'!$A$1:$C$52,3,0)</f>
        <v xml:space="preserve">Northern </v>
      </c>
      <c r="L1147" s="8" t="str">
        <f>INDEX(Product_List,MATCH($F1147,'Product List'!$B$1:$B$299,0),MATCH('Order SUmmary'!L$2,'Product List'!$A$1:$E$1,0))</f>
        <v>Xerox 1996</v>
      </c>
      <c r="M1147" s="8">
        <f>INDEX(Product_List,MATCH($F1147,'Product List'!$B$1:$B$299,0),MATCH('Order SUmmary'!M$2,'Product List'!$A$1:$E$1,0))</f>
        <v>4220</v>
      </c>
      <c r="N1147" s="8">
        <f>INDEX(Product_List,MATCH($F1147,'Product List'!$B$1:$B$299,0),MATCH('Order SUmmary'!N$2,'Product List'!$A$1:$E$1,0))</f>
        <v>1635</v>
      </c>
      <c r="O1147" s="8" t="str">
        <f>INDEX(Product_List,MATCH($F1147,'Product List'!$B$1:$B$299,0),MATCH('Order SUmmary'!O$2,'Product List'!$A$1:$E$1,0))</f>
        <v>Paper</v>
      </c>
      <c r="P1147" s="12">
        <f>HLOOKUP(C1147,'Commission Criteria'!$A$2:$I$4,3,FALSE)</f>
        <v>3</v>
      </c>
      <c r="Q1147" s="8">
        <f t="shared" si="52"/>
        <v>1635</v>
      </c>
      <c r="R1147" s="8">
        <f t="shared" si="53"/>
        <v>4220</v>
      </c>
      <c r="S1147" s="36">
        <f>VLOOKUP(R1147,'Commission Criteria'!$L$3:$M$11,2,TRUE)</f>
        <v>0.01</v>
      </c>
      <c r="T1147" s="36">
        <f>IF(P1147&lt;5,VLOOKUP(R1147,'Commission Criteria'!$L$3:$M$11,2,1),VLOOKUP('Order SUmmary'!R1147,'Commission Criteria'!$P$3:$Q$11,2,1))</f>
        <v>0.01</v>
      </c>
      <c r="U1147" s="36">
        <f>VLOOKUP(R1147,IF(P1147&lt;5,'Commission Criteria'!$L$3:$M$11,'Commission Criteria'!$P$3:$Q$11),2,1)</f>
        <v>0.01</v>
      </c>
      <c r="V1147" s="8" t="s">
        <v>43</v>
      </c>
      <c r="W1147" s="36">
        <f t="shared" ca="1" si="54"/>
        <v>0.02</v>
      </c>
      <c r="X1147" s="8" t="str">
        <f>_xlfn.XLOOKUP(F1147,'Product List'!$B$1:$B$299,'Product List'!$A$1:$A$299)</f>
        <v>Xerox 1996</v>
      </c>
      <c r="Y1147" s="8"/>
      <c r="Z1147" s="8" t="str" cm="1">
        <f t="array" ref="Z1147:AD1147">_xlfn.XLOOKUP(D1147,'Customer Details'!$A$1:$A$17,'Customer Details'!$B$1:$F$17,"No such customer",0,1)</f>
        <v>Reliance Industries Limited</v>
      </c>
      <c r="AA1147" s="8" t="str">
        <v>12020 Shamrock Rd., Suite 333</v>
      </c>
      <c r="AB1147" s="8" t="str">
        <v>Chestnut Ridge</v>
      </c>
      <c r="AC1147" s="8" t="str">
        <v>NY</v>
      </c>
      <c r="AD1147" s="8" t="str">
        <v>10977</v>
      </c>
    </row>
    <row r="1148" spans="1:30">
      <c r="A1148" s="8" t="s">
        <v>1097</v>
      </c>
      <c r="B1148" s="19">
        <v>42270</v>
      </c>
      <c r="C1148" s="8" t="s">
        <v>46</v>
      </c>
      <c r="D1148" s="8">
        <v>10005</v>
      </c>
      <c r="E1148" s="8" t="str">
        <f>VLOOKUP($D1148,'Customer Details'!$A$1:$F$17,4,FALSE)</f>
        <v>Goleta</v>
      </c>
      <c r="F1148" s="8" t="s">
        <v>361</v>
      </c>
      <c r="G1148" s="8">
        <v>1</v>
      </c>
      <c r="H1148" s="2" t="str">
        <f>VLOOKUP($D1148,'Customer Details'!$A$1:$F$17,MATCH('Order SUmmary'!H$2,'Customer Details'!$A$1:$F$1,0),0)</f>
        <v>Fortis Healthcare Ltd.</v>
      </c>
      <c r="I1148" s="2" t="str">
        <f>VLOOKUP($D1148,'Customer Details'!$A$1:$F$17,4,0)</f>
        <v>Goleta</v>
      </c>
      <c r="J1148" s="2" t="str">
        <f>VLOOKUP($D1148,'Customer Details'!$A$1:$F$17,6,0)</f>
        <v>93117</v>
      </c>
      <c r="K1148" s="8" t="str">
        <f>VLOOKUP(VLOOKUP(D1148,'Customer Details'!$A$1:$F$17,5,0),'Region INfo'!$A$1:$C$52,3,0)</f>
        <v xml:space="preserve">Pacific   </v>
      </c>
      <c r="L1148" s="8" t="str">
        <f>INDEX(Product_List,MATCH($F1148,'Product List'!$B$1:$B$299,0),MATCH('Order SUmmary'!L$2,'Product List'!$A$1:$E$1,0))</f>
        <v>Avery 518</v>
      </c>
      <c r="M1148" s="8">
        <f>INDEX(Product_List,MATCH($F1148,'Product List'!$B$1:$B$299,0),MATCH('Order SUmmary'!M$2,'Product List'!$A$1:$E$1,0))</f>
        <v>4741</v>
      </c>
      <c r="N1148" s="8">
        <f>INDEX(Product_List,MATCH($F1148,'Product List'!$B$1:$B$299,0),MATCH('Order SUmmary'!N$2,'Product List'!$A$1:$E$1,0))</f>
        <v>1849</v>
      </c>
      <c r="O1148" s="8" t="str">
        <f>INDEX(Product_List,MATCH($F1148,'Product List'!$B$1:$B$299,0),MATCH('Order SUmmary'!O$2,'Product List'!$A$1:$E$1,0))</f>
        <v>Labels</v>
      </c>
      <c r="P1148" s="12">
        <f>HLOOKUP(C1148,'Commission Criteria'!$A$2:$I$4,3,FALSE)</f>
        <v>8</v>
      </c>
      <c r="Q1148" s="8">
        <f t="shared" si="52"/>
        <v>1849</v>
      </c>
      <c r="R1148" s="8">
        <f t="shared" si="53"/>
        <v>4741</v>
      </c>
      <c r="S1148" s="36">
        <f>VLOOKUP(R1148,'Commission Criteria'!$L$3:$M$11,2,TRUE)</f>
        <v>0.01</v>
      </c>
      <c r="T1148" s="36">
        <f>IF(P1148&lt;5,VLOOKUP(R1148,'Commission Criteria'!$L$3:$M$11,2,1),VLOOKUP('Order SUmmary'!R1148,'Commission Criteria'!$P$3:$Q$11,2,1))</f>
        <v>0.02</v>
      </c>
      <c r="U1148" s="36">
        <f>VLOOKUP(R1148,IF(P1148&lt;5,'Commission Criteria'!$L$3:$M$11,'Commission Criteria'!$P$3:$Q$11),2,1)</f>
        <v>0.02</v>
      </c>
      <c r="V1148" s="8" t="s">
        <v>35</v>
      </c>
      <c r="W1148" s="36">
        <f t="shared" ca="1" si="54"/>
        <v>0.01</v>
      </c>
      <c r="X1148" s="8" t="str">
        <f>_xlfn.XLOOKUP(F1148,'Product List'!$B$1:$B$299,'Product List'!$A$1:$A$299)</f>
        <v>Avery 518</v>
      </c>
      <c r="Y1148" s="8"/>
      <c r="Z1148" s="8" t="str" cm="1">
        <f t="array" ref="Z1148:AD1148">_xlfn.XLOOKUP(D1148,'Customer Details'!$A$1:$A$17,'Customer Details'!$B$1:$F$17,"No such customer",0,1)</f>
        <v>Fortis Healthcare Ltd.</v>
      </c>
      <c r="AA1148" s="8" t="str">
        <v>14 Elsworthy Terrace</v>
      </c>
      <c r="AB1148" s="8" t="str">
        <v>Goleta</v>
      </c>
      <c r="AC1148" s="8" t="str">
        <v>CA</v>
      </c>
      <c r="AD1148" s="8" t="str">
        <v>93117</v>
      </c>
    </row>
    <row r="1149" spans="1:30">
      <c r="A1149" s="8" t="s">
        <v>1097</v>
      </c>
      <c r="B1149" s="19">
        <v>42270</v>
      </c>
      <c r="C1149" s="8" t="s">
        <v>33</v>
      </c>
      <c r="D1149" s="8">
        <v>10013</v>
      </c>
      <c r="E1149" s="8" t="str">
        <f>VLOOKUP($D1149,'Customer Details'!$A$1:$F$17,4,FALSE)</f>
        <v>Naugatuck</v>
      </c>
      <c r="F1149" s="8" t="s">
        <v>149</v>
      </c>
      <c r="G1149" s="8">
        <v>3</v>
      </c>
      <c r="H1149" s="2" t="str">
        <f>VLOOKUP($D1149,'Customer Details'!$A$1:$F$17,MATCH('Order SUmmary'!H$2,'Customer Details'!$A$1:$F$1,0),0)</f>
        <v>GMR Infrastructure Ltd.</v>
      </c>
      <c r="I1149" s="2" t="str">
        <f>VLOOKUP($D1149,'Customer Details'!$A$1:$F$17,4,0)</f>
        <v>Naugatuck</v>
      </c>
      <c r="J1149" s="2" t="str">
        <f>VLOOKUP($D1149,'Customer Details'!$A$1:$F$17,6,0)</f>
        <v>06770</v>
      </c>
      <c r="K1149" s="8" t="str">
        <f>VLOOKUP(VLOOKUP(D1149,'Customer Details'!$A$1:$F$17,5,0),'Region INfo'!$A$1:$C$52,3,0)</f>
        <v xml:space="preserve">Northern </v>
      </c>
      <c r="L1149" s="8" t="str">
        <f>INDEX(Product_List,MATCH($F1149,'Product List'!$B$1:$B$299,0),MATCH('Order SUmmary'!L$2,'Product List'!$A$1:$E$1,0))</f>
        <v>Xerox 1992</v>
      </c>
      <c r="M1149" s="8">
        <f>INDEX(Product_List,MATCH($F1149,'Product List'!$B$1:$B$299,0),MATCH('Order SUmmary'!M$2,'Product List'!$A$1:$E$1,0))</f>
        <v>4218</v>
      </c>
      <c r="N1149" s="8">
        <f>INDEX(Product_List,MATCH($F1149,'Product List'!$B$1:$B$299,0),MATCH('Order SUmmary'!N$2,'Product List'!$A$1:$E$1,0))</f>
        <v>2421</v>
      </c>
      <c r="O1149" s="8" t="str">
        <f>INDEX(Product_List,MATCH($F1149,'Product List'!$B$1:$B$299,0),MATCH('Order SUmmary'!O$2,'Product List'!$A$1:$E$1,0))</f>
        <v>Paper</v>
      </c>
      <c r="P1149" s="12">
        <f>HLOOKUP(C1149,'Commission Criteria'!$A$2:$I$4,3,FALSE)</f>
        <v>1</v>
      </c>
      <c r="Q1149" s="8">
        <f t="shared" si="52"/>
        <v>7263</v>
      </c>
      <c r="R1149" s="8">
        <f t="shared" si="53"/>
        <v>12654</v>
      </c>
      <c r="S1149" s="36">
        <f>VLOOKUP(R1149,'Commission Criteria'!$L$3:$M$11,2,TRUE)</f>
        <v>0.03</v>
      </c>
      <c r="T1149" s="36">
        <f>IF(P1149&lt;5,VLOOKUP(R1149,'Commission Criteria'!$L$3:$M$11,2,1),VLOOKUP('Order SUmmary'!R1149,'Commission Criteria'!$P$3:$Q$11,2,1))</f>
        <v>0.03</v>
      </c>
      <c r="U1149" s="36">
        <f>VLOOKUP(R1149,IF(P1149&lt;5,'Commission Criteria'!$L$3:$M$11,'Commission Criteria'!$P$3:$Q$11),2,1)</f>
        <v>0.03</v>
      </c>
      <c r="V1149" s="8" t="s">
        <v>50</v>
      </c>
      <c r="W1149" s="36">
        <f t="shared" ca="1" si="54"/>
        <v>0</v>
      </c>
      <c r="X1149" s="8" t="str">
        <f>_xlfn.XLOOKUP(F1149,'Product List'!$B$1:$B$299,'Product List'!$A$1:$A$299)</f>
        <v>Xerox 1992</v>
      </c>
      <c r="Y1149" s="8"/>
      <c r="Z1149" s="8" t="str" cm="1">
        <f t="array" ref="Z1149:AD1149">_xlfn.XLOOKUP(D1149,'Customer Details'!$A$1:$A$17,'Customer Details'!$B$1:$F$17,"No such customer",0,1)</f>
        <v>GMR Infrastructure Ltd.</v>
      </c>
      <c r="AA1149" s="8" t="str">
        <v>P.O. Box 4421</v>
      </c>
      <c r="AB1149" s="8" t="str">
        <v>Naugatuck</v>
      </c>
      <c r="AC1149" s="8" t="str">
        <v>CT</v>
      </c>
      <c r="AD1149" s="8" t="str">
        <v>06770</v>
      </c>
    </row>
    <row r="1150" spans="1:30">
      <c r="A1150" s="8" t="s">
        <v>1097</v>
      </c>
      <c r="B1150" s="19">
        <v>42270</v>
      </c>
      <c r="C1150" s="8" t="s">
        <v>27</v>
      </c>
      <c r="D1150" s="8">
        <v>10002</v>
      </c>
      <c r="E1150" s="8" t="str">
        <f>VLOOKUP($D1150,'Customer Details'!$A$1:$F$17,4,FALSE)</f>
        <v>Omaha</v>
      </c>
      <c r="F1150" s="8" t="s">
        <v>100</v>
      </c>
      <c r="G1150" s="8">
        <v>24</v>
      </c>
      <c r="H1150" s="2" t="str">
        <f>VLOOKUP($D1150,'Customer Details'!$A$1:$F$17,MATCH('Order SUmmary'!H$2,'Customer Details'!$A$1:$F$1,0),0)</f>
        <v>Elder Pharmaceuticals</v>
      </c>
      <c r="I1150" s="2" t="str">
        <f>VLOOKUP($D1150,'Customer Details'!$A$1:$F$17,4,0)</f>
        <v>Omaha</v>
      </c>
      <c r="J1150" s="2" t="str">
        <f>VLOOKUP($D1150,'Customer Details'!$A$1:$F$17,6,0)</f>
        <v>68127</v>
      </c>
      <c r="K1150" s="8" t="str">
        <f>VLOOKUP(VLOOKUP(D1150,'Customer Details'!$A$1:$F$17,5,0),'Region INfo'!$A$1:$C$52,3,0)</f>
        <v>Western</v>
      </c>
      <c r="L1150" s="8" t="str">
        <f>INDEX(Product_List,MATCH($F1150,'Product List'!$B$1:$B$299,0),MATCH('Order SUmmary'!L$2,'Product List'!$A$1:$E$1,0))</f>
        <v>Xerox 1893</v>
      </c>
      <c r="M1150" s="8">
        <f>INDEX(Product_List,MATCH($F1150,'Product List'!$B$1:$B$299,0),MATCH('Order SUmmary'!M$2,'Product List'!$A$1:$E$1,0))</f>
        <v>4874</v>
      </c>
      <c r="N1150" s="8">
        <f>INDEX(Product_List,MATCH($F1150,'Product List'!$B$1:$B$299,0),MATCH('Order SUmmary'!N$2,'Product List'!$A$1:$E$1,0))</f>
        <v>1503</v>
      </c>
      <c r="O1150" s="8" t="str">
        <f>INDEX(Product_List,MATCH($F1150,'Product List'!$B$1:$B$299,0),MATCH('Order SUmmary'!O$2,'Product List'!$A$1:$E$1,0))</f>
        <v>Paper</v>
      </c>
      <c r="P1150" s="12">
        <f>HLOOKUP(C1150,'Commission Criteria'!$A$2:$I$4,3,FALSE)</f>
        <v>4</v>
      </c>
      <c r="Q1150" s="8">
        <f t="shared" si="52"/>
        <v>36072</v>
      </c>
      <c r="R1150" s="8">
        <f t="shared" si="53"/>
        <v>116976</v>
      </c>
      <c r="S1150" s="36">
        <f>VLOOKUP(R1150,'Commission Criteria'!$L$3:$M$11,2,TRUE)</f>
        <v>0.09</v>
      </c>
      <c r="T1150" s="36">
        <f>IF(P1150&lt;5,VLOOKUP(R1150,'Commission Criteria'!$L$3:$M$11,2,1),VLOOKUP('Order SUmmary'!R1150,'Commission Criteria'!$P$3:$Q$11,2,1))</f>
        <v>0.09</v>
      </c>
      <c r="U1150" s="36">
        <f>VLOOKUP(R1150,IF(P1150&lt;5,'Commission Criteria'!$L$3:$M$11,'Commission Criteria'!$P$3:$Q$11),2,1)</f>
        <v>0.09</v>
      </c>
      <c r="V1150" s="8" t="s">
        <v>43</v>
      </c>
      <c r="W1150" s="36">
        <f t="shared" ca="1" si="54"/>
        <v>0.05</v>
      </c>
      <c r="X1150" s="8" t="str">
        <f>_xlfn.XLOOKUP(F1150,'Product List'!$B$1:$B$299,'Product List'!$A$1:$A$299)</f>
        <v>Xerox 1893</v>
      </c>
      <c r="Y1150" s="8"/>
      <c r="Z1150" s="8" t="str" cm="1">
        <f t="array" ref="Z1150:AD1150">_xlfn.XLOOKUP(D1150,'Customer Details'!$A$1:$A$17,'Customer Details'!$B$1:$F$17,"No such customer",0,1)</f>
        <v>Elder Pharmaceuticals</v>
      </c>
      <c r="AA1150" s="8" t="str">
        <v>57 Neriba Cres</v>
      </c>
      <c r="AB1150" s="8" t="str">
        <v>Omaha</v>
      </c>
      <c r="AC1150" s="8" t="str">
        <v>NE</v>
      </c>
      <c r="AD1150" s="8" t="str">
        <v>68127</v>
      </c>
    </row>
    <row r="1151" spans="1:30">
      <c r="A1151" s="8" t="s">
        <v>1098</v>
      </c>
      <c r="B1151" s="19">
        <v>42272</v>
      </c>
      <c r="C1151" s="8" t="s">
        <v>51</v>
      </c>
      <c r="D1151" s="8">
        <v>10012</v>
      </c>
      <c r="E1151" s="8" t="str">
        <f>VLOOKUP($D1151,'Customer Details'!$A$1:$F$17,4,FALSE)</f>
        <v>Santa Barbara</v>
      </c>
      <c r="F1151" s="8" t="s">
        <v>116</v>
      </c>
      <c r="G1151" s="8">
        <v>1</v>
      </c>
      <c r="H1151" s="2" t="str">
        <f>VLOOKUP($D1151,'Customer Details'!$A$1:$F$17,MATCH('Order SUmmary'!H$2,'Customer Details'!$A$1:$F$1,0),0)</f>
        <v>Dynamatic Technologies Ltd.</v>
      </c>
      <c r="I1151" s="2" t="str">
        <f>VLOOKUP($D1151,'Customer Details'!$A$1:$F$17,4,0)</f>
        <v>Santa Barbara</v>
      </c>
      <c r="J1151" s="2" t="str">
        <f>VLOOKUP($D1151,'Customer Details'!$A$1:$F$17,6,0)</f>
        <v>93110</v>
      </c>
      <c r="K1151" s="8" t="str">
        <f>VLOOKUP(VLOOKUP(D1151,'Customer Details'!$A$1:$F$17,5,0),'Region INfo'!$A$1:$C$52,3,0)</f>
        <v xml:space="preserve">Pacific   </v>
      </c>
      <c r="L1151" s="8" t="str">
        <f>INDEX(Product_List,MATCH($F1151,'Product List'!$B$1:$B$299,0),MATCH('Order SUmmary'!L$2,'Product List'!$A$1:$E$1,0))</f>
        <v>Newell 326</v>
      </c>
      <c r="M1151" s="8">
        <f>INDEX(Product_List,MATCH($F1151,'Product List'!$B$1:$B$299,0),MATCH('Order SUmmary'!M$2,'Product List'!$A$1:$E$1,0))</f>
        <v>3645</v>
      </c>
      <c r="N1151" s="8">
        <f>INDEX(Product_List,MATCH($F1151,'Product List'!$B$1:$B$299,0),MATCH('Order SUmmary'!N$2,'Product List'!$A$1:$E$1,0))</f>
        <v>2466</v>
      </c>
      <c r="O1151" s="8" t="str">
        <f>INDEX(Product_List,MATCH($F1151,'Product List'!$B$1:$B$299,0),MATCH('Order SUmmary'!O$2,'Product List'!$A$1:$E$1,0))</f>
        <v>Art</v>
      </c>
      <c r="P1151" s="12">
        <f>HLOOKUP(C1151,'Commission Criteria'!$A$2:$I$4,3,FALSE)</f>
        <v>10</v>
      </c>
      <c r="Q1151" s="8">
        <f t="shared" si="52"/>
        <v>2466</v>
      </c>
      <c r="R1151" s="8">
        <f t="shared" si="53"/>
        <v>3645</v>
      </c>
      <c r="S1151" s="36">
        <f>VLOOKUP(R1151,'Commission Criteria'!$L$3:$M$11,2,TRUE)</f>
        <v>0.01</v>
      </c>
      <c r="T1151" s="36">
        <f>IF(P1151&lt;5,VLOOKUP(R1151,'Commission Criteria'!$L$3:$M$11,2,1),VLOOKUP('Order SUmmary'!R1151,'Commission Criteria'!$P$3:$Q$11,2,1))</f>
        <v>0.02</v>
      </c>
      <c r="U1151" s="36">
        <f>VLOOKUP(R1151,IF(P1151&lt;5,'Commission Criteria'!$L$3:$M$11,'Commission Criteria'!$P$3:$Q$11),2,1)</f>
        <v>0.02</v>
      </c>
      <c r="V1151" s="8" t="s">
        <v>29</v>
      </c>
      <c r="W1151" s="36">
        <f t="shared" ca="1" si="54"/>
        <v>0.05</v>
      </c>
      <c r="X1151" s="8" t="str">
        <f>_xlfn.XLOOKUP(F1151,'Product List'!$B$1:$B$299,'Product List'!$A$1:$A$299)</f>
        <v>Newell 326</v>
      </c>
      <c r="Y1151" s="8"/>
      <c r="Z1151" s="8" t="str" cm="1">
        <f t="array" ref="Z1151:AD1151">_xlfn.XLOOKUP(D1151,'Customer Details'!$A$1:$A$17,'Customer Details'!$B$1:$F$17,"No such customer",0,1)</f>
        <v>Dynamatic Technologies Ltd.</v>
      </c>
      <c r="AA1151" s="8" t="str">
        <v>402 Pinkster Lane</v>
      </c>
      <c r="AB1151" s="8" t="str">
        <v>Santa Barbara</v>
      </c>
      <c r="AC1151" s="8" t="str">
        <v>CA</v>
      </c>
      <c r="AD1151" s="8" t="str">
        <v>93110</v>
      </c>
    </row>
    <row r="1152" spans="1:30">
      <c r="A1152" s="8" t="s">
        <v>1098</v>
      </c>
      <c r="B1152" s="19">
        <v>42272</v>
      </c>
      <c r="C1152" s="8" t="s">
        <v>33</v>
      </c>
      <c r="D1152" s="8">
        <v>10014</v>
      </c>
      <c r="E1152" s="8" t="str">
        <f>VLOOKUP($D1152,'Customer Details'!$A$1:$F$17,4,FALSE)</f>
        <v>Honolulu</v>
      </c>
      <c r="F1152" s="8" t="s">
        <v>445</v>
      </c>
      <c r="G1152" s="8">
        <v>2</v>
      </c>
      <c r="H1152" s="2" t="str">
        <f>VLOOKUP($D1152,'Customer Details'!$A$1:$F$17,MATCH('Order SUmmary'!H$2,'Customer Details'!$A$1:$F$1,0),0)</f>
        <v>Hindusthan National Glass &amp; Industries Ltd.</v>
      </c>
      <c r="I1152" s="2" t="str">
        <f>VLOOKUP($D1152,'Customer Details'!$A$1:$F$17,4,0)</f>
        <v>Honolulu</v>
      </c>
      <c r="J1152" s="2" t="str">
        <f>VLOOKUP($D1152,'Customer Details'!$A$1:$F$17,6,0)</f>
        <v>96825</v>
      </c>
      <c r="K1152" s="8" t="str">
        <f>VLOOKUP(VLOOKUP(D1152,'Customer Details'!$A$1:$F$17,5,0),'Region INfo'!$A$1:$C$52,3,0)</f>
        <v xml:space="preserve">Pacific   </v>
      </c>
      <c r="L1152" s="8" t="str">
        <f>INDEX(Product_List,MATCH($F1152,'Product List'!$B$1:$B$299,0),MATCH('Order SUmmary'!L$2,'Product List'!$A$1:$E$1,0))</f>
        <v>Xerox 1882</v>
      </c>
      <c r="M1152" s="8">
        <f>INDEX(Product_List,MATCH($F1152,'Product List'!$B$1:$B$299,0),MATCH('Order SUmmary'!M$2,'Product List'!$A$1:$E$1,0))</f>
        <v>4206</v>
      </c>
      <c r="N1152" s="8">
        <f>INDEX(Product_List,MATCH($F1152,'Product List'!$B$1:$B$299,0),MATCH('Order SUmmary'!N$2,'Product List'!$A$1:$E$1,0))</f>
        <v>1201</v>
      </c>
      <c r="O1152" s="8" t="str">
        <f>INDEX(Product_List,MATCH($F1152,'Product List'!$B$1:$B$299,0),MATCH('Order SUmmary'!O$2,'Product List'!$A$1:$E$1,0))</f>
        <v>Paper</v>
      </c>
      <c r="P1152" s="12">
        <f>HLOOKUP(C1152,'Commission Criteria'!$A$2:$I$4,3,FALSE)</f>
        <v>1</v>
      </c>
      <c r="Q1152" s="8">
        <f t="shared" si="52"/>
        <v>2402</v>
      </c>
      <c r="R1152" s="8">
        <f t="shared" si="53"/>
        <v>8412</v>
      </c>
      <c r="S1152" s="36">
        <f>VLOOKUP(R1152,'Commission Criteria'!$L$3:$M$11,2,TRUE)</f>
        <v>0.03</v>
      </c>
      <c r="T1152" s="36">
        <f>IF(P1152&lt;5,VLOOKUP(R1152,'Commission Criteria'!$L$3:$M$11,2,1),VLOOKUP('Order SUmmary'!R1152,'Commission Criteria'!$P$3:$Q$11,2,1))</f>
        <v>0.03</v>
      </c>
      <c r="U1152" s="36">
        <f>VLOOKUP(R1152,IF(P1152&lt;5,'Commission Criteria'!$L$3:$M$11,'Commission Criteria'!$P$3:$Q$11),2,1)</f>
        <v>0.03</v>
      </c>
      <c r="V1152" s="8" t="s">
        <v>50</v>
      </c>
      <c r="W1152" s="36">
        <f t="shared" ca="1" si="54"/>
        <v>0.01</v>
      </c>
      <c r="X1152" s="8" t="str">
        <f>_xlfn.XLOOKUP(F1152,'Product List'!$B$1:$B$299,'Product List'!$A$1:$A$299)</f>
        <v>Xerox 1882</v>
      </c>
      <c r="Y1152" s="8"/>
      <c r="Z1152" s="8" t="str" cm="1">
        <f t="array" ref="Z1152:AD1152">_xlfn.XLOOKUP(D1152,'Customer Details'!$A$1:$A$17,'Customer Details'!$B$1:$F$17,"No such customer",0,1)</f>
        <v>Hindusthan National Glass &amp; Industries Ltd.</v>
      </c>
      <c r="AA1152" s="8" t="str">
        <v>11 Cathy St.</v>
      </c>
      <c r="AB1152" s="8" t="str">
        <v>Honolulu</v>
      </c>
      <c r="AC1152" s="8" t="str">
        <v>HI</v>
      </c>
      <c r="AD1152" s="8" t="str">
        <v>96825</v>
      </c>
    </row>
    <row r="1153" spans="1:30">
      <c r="A1153" s="8" t="s">
        <v>1099</v>
      </c>
      <c r="B1153" s="19">
        <v>42273</v>
      </c>
      <c r="C1153" s="8" t="s">
        <v>54</v>
      </c>
      <c r="D1153" s="8">
        <v>10008</v>
      </c>
      <c r="E1153" s="8" t="str">
        <f>VLOOKUP($D1153,'Customer Details'!$A$1:$F$17,4,FALSE)</f>
        <v>Chestnut Ridge</v>
      </c>
      <c r="F1153" s="8" t="s">
        <v>555</v>
      </c>
      <c r="G1153" s="8">
        <v>2</v>
      </c>
      <c r="H1153" s="2" t="str">
        <f>VLOOKUP($D1153,'Customer Details'!$A$1:$F$17,MATCH('Order SUmmary'!H$2,'Customer Details'!$A$1:$F$1,0),0)</f>
        <v>Reliance Industries Limited</v>
      </c>
      <c r="I1153" s="2" t="str">
        <f>VLOOKUP($D1153,'Customer Details'!$A$1:$F$17,4,0)</f>
        <v>Chestnut Ridge</v>
      </c>
      <c r="J1153" s="2" t="str">
        <f>VLOOKUP($D1153,'Customer Details'!$A$1:$F$17,6,0)</f>
        <v>10977</v>
      </c>
      <c r="K1153" s="8" t="str">
        <f>VLOOKUP(VLOOKUP(D1153,'Customer Details'!$A$1:$F$17,5,0),'Region INfo'!$A$1:$C$52,3,0)</f>
        <v xml:space="preserve">Northern </v>
      </c>
      <c r="L1153" s="8" t="str">
        <f>INDEX(Product_List,MATCH($F1153,'Product List'!$B$1:$B$299,0),MATCH('Order SUmmary'!L$2,'Product List'!$A$1:$E$1,0))</f>
        <v>Xerox 1880</v>
      </c>
      <c r="M1153" s="8">
        <f>INDEX(Product_List,MATCH($F1153,'Product List'!$B$1:$B$299,0),MATCH('Order SUmmary'!M$2,'Product List'!$A$1:$E$1,0))</f>
        <v>3642</v>
      </c>
      <c r="N1153" s="8">
        <f>INDEX(Product_List,MATCH($F1153,'Product List'!$B$1:$B$299,0),MATCH('Order SUmmary'!N$2,'Product List'!$A$1:$E$1,0))</f>
        <v>1705</v>
      </c>
      <c r="O1153" s="8" t="str">
        <f>INDEX(Product_List,MATCH($F1153,'Product List'!$B$1:$B$299,0),MATCH('Order SUmmary'!O$2,'Product List'!$A$1:$E$1,0))</f>
        <v>Paper</v>
      </c>
      <c r="P1153" s="12">
        <f>HLOOKUP(C1153,'Commission Criteria'!$A$2:$I$4,3,FALSE)</f>
        <v>3</v>
      </c>
      <c r="Q1153" s="8">
        <f t="shared" si="52"/>
        <v>3410</v>
      </c>
      <c r="R1153" s="8">
        <f t="shared" si="53"/>
        <v>7284</v>
      </c>
      <c r="S1153" s="36">
        <f>VLOOKUP(R1153,'Commission Criteria'!$L$3:$M$11,2,TRUE)</f>
        <v>0.03</v>
      </c>
      <c r="T1153" s="36">
        <f>IF(P1153&lt;5,VLOOKUP(R1153,'Commission Criteria'!$L$3:$M$11,2,1),VLOOKUP('Order SUmmary'!R1153,'Commission Criteria'!$P$3:$Q$11,2,1))</f>
        <v>0.03</v>
      </c>
      <c r="U1153" s="36">
        <f>VLOOKUP(R1153,IF(P1153&lt;5,'Commission Criteria'!$L$3:$M$11,'Commission Criteria'!$P$3:$Q$11),2,1)</f>
        <v>0.03</v>
      </c>
      <c r="V1153" s="8" t="s">
        <v>40</v>
      </c>
      <c r="W1153" s="36">
        <f t="shared" ca="1" si="54"/>
        <v>0.04</v>
      </c>
      <c r="X1153" s="8" t="str">
        <f>_xlfn.XLOOKUP(F1153,'Product List'!$B$1:$B$299,'Product List'!$A$1:$A$299)</f>
        <v>Xerox 1880</v>
      </c>
      <c r="Y1153" s="8"/>
      <c r="Z1153" s="8" t="str" cm="1">
        <f t="array" ref="Z1153:AD1153">_xlfn.XLOOKUP(D1153,'Customer Details'!$A$1:$A$17,'Customer Details'!$B$1:$F$17,"No such customer",0,1)</f>
        <v>Reliance Industries Limited</v>
      </c>
      <c r="AA1153" s="8" t="str">
        <v>12020 Shamrock Rd., Suite 333</v>
      </c>
      <c r="AB1153" s="8" t="str">
        <v>Chestnut Ridge</v>
      </c>
      <c r="AC1153" s="8" t="str">
        <v>NY</v>
      </c>
      <c r="AD1153" s="8" t="str">
        <v>10977</v>
      </c>
    </row>
    <row r="1154" spans="1:30">
      <c r="A1154" s="8" t="s">
        <v>1100</v>
      </c>
      <c r="B1154" s="19">
        <v>42273</v>
      </c>
      <c r="C1154" s="8" t="s">
        <v>27</v>
      </c>
      <c r="D1154" s="8">
        <v>10002</v>
      </c>
      <c r="E1154" s="8" t="str">
        <f>VLOOKUP($D1154,'Customer Details'!$A$1:$F$17,4,FALSE)</f>
        <v>Omaha</v>
      </c>
      <c r="F1154" s="8" t="s">
        <v>588</v>
      </c>
      <c r="G1154" s="8">
        <v>2</v>
      </c>
      <c r="H1154" s="2" t="str">
        <f>VLOOKUP($D1154,'Customer Details'!$A$1:$F$17,MATCH('Order SUmmary'!H$2,'Customer Details'!$A$1:$F$1,0),0)</f>
        <v>Elder Pharmaceuticals</v>
      </c>
      <c r="I1154" s="2" t="str">
        <f>VLOOKUP($D1154,'Customer Details'!$A$1:$F$17,4,0)</f>
        <v>Omaha</v>
      </c>
      <c r="J1154" s="2" t="str">
        <f>VLOOKUP($D1154,'Customer Details'!$A$1:$F$17,6,0)</f>
        <v>68127</v>
      </c>
      <c r="K1154" s="8" t="str">
        <f>VLOOKUP(VLOOKUP(D1154,'Customer Details'!$A$1:$F$17,5,0),'Region INfo'!$A$1:$C$52,3,0)</f>
        <v>Western</v>
      </c>
      <c r="L1154" s="8" t="str">
        <f>INDEX(Product_List,MATCH($F1154,'Product List'!$B$1:$B$299,0),MATCH('Order SUmmary'!L$2,'Product List'!$A$1:$E$1,0))</f>
        <v>Xerox 1947</v>
      </c>
      <c r="M1154" s="8">
        <f>INDEX(Product_List,MATCH($F1154,'Product List'!$B$1:$B$299,0),MATCH('Order SUmmary'!M$2,'Product List'!$A$1:$E$1,0))</f>
        <v>3994</v>
      </c>
      <c r="N1154" s="8">
        <f>INDEX(Product_List,MATCH($F1154,'Product List'!$B$1:$B$299,0),MATCH('Order SUmmary'!N$2,'Product List'!$A$1:$E$1,0))</f>
        <v>1799</v>
      </c>
      <c r="O1154" s="8" t="str">
        <f>INDEX(Product_List,MATCH($F1154,'Product List'!$B$1:$B$299,0),MATCH('Order SUmmary'!O$2,'Product List'!$A$1:$E$1,0))</f>
        <v>Paper</v>
      </c>
      <c r="P1154" s="12">
        <f>HLOOKUP(C1154,'Commission Criteria'!$A$2:$I$4,3,FALSE)</f>
        <v>4</v>
      </c>
      <c r="Q1154" s="8">
        <f t="shared" si="52"/>
        <v>3598</v>
      </c>
      <c r="R1154" s="8">
        <f t="shared" si="53"/>
        <v>7988</v>
      </c>
      <c r="S1154" s="36">
        <f>VLOOKUP(R1154,'Commission Criteria'!$L$3:$M$11,2,TRUE)</f>
        <v>0.03</v>
      </c>
      <c r="T1154" s="36">
        <f>IF(P1154&lt;5,VLOOKUP(R1154,'Commission Criteria'!$L$3:$M$11,2,1),VLOOKUP('Order SUmmary'!R1154,'Commission Criteria'!$P$3:$Q$11,2,1))</f>
        <v>0.03</v>
      </c>
      <c r="U1154" s="36">
        <f>VLOOKUP(R1154,IF(P1154&lt;5,'Commission Criteria'!$L$3:$M$11,'Commission Criteria'!$P$3:$Q$11),2,1)</f>
        <v>0.03</v>
      </c>
      <c r="V1154" s="8" t="s">
        <v>35</v>
      </c>
      <c r="W1154" s="36">
        <f t="shared" ca="1" si="54"/>
        <v>0.05</v>
      </c>
      <c r="X1154" s="8" t="str">
        <f>_xlfn.XLOOKUP(F1154,'Product List'!$B$1:$B$299,'Product List'!$A$1:$A$299)</f>
        <v>Xerox 1947</v>
      </c>
      <c r="Y1154" s="8"/>
      <c r="Z1154" s="8" t="str" cm="1">
        <f t="array" ref="Z1154:AD1154">_xlfn.XLOOKUP(D1154,'Customer Details'!$A$1:$A$17,'Customer Details'!$B$1:$F$17,"No such customer",0,1)</f>
        <v>Elder Pharmaceuticals</v>
      </c>
      <c r="AA1154" s="8" t="str">
        <v>57 Neriba Cres</v>
      </c>
      <c r="AB1154" s="8" t="str">
        <v>Omaha</v>
      </c>
      <c r="AC1154" s="8" t="str">
        <v>NE</v>
      </c>
      <c r="AD1154" s="8" t="str">
        <v>68127</v>
      </c>
    </row>
    <row r="1155" spans="1:30">
      <c r="A1155" s="8" t="s">
        <v>1101</v>
      </c>
      <c r="B1155" s="19">
        <v>42275</v>
      </c>
      <c r="C1155" s="8" t="s">
        <v>46</v>
      </c>
      <c r="D1155" s="8">
        <v>10011</v>
      </c>
      <c r="E1155" s="8" t="str">
        <f>VLOOKUP($D1155,'Customer Details'!$A$1:$F$17,4,FALSE)</f>
        <v>Olympia</v>
      </c>
      <c r="F1155" s="8" t="s">
        <v>74</v>
      </c>
      <c r="G1155" s="8">
        <v>1</v>
      </c>
      <c r="H1155" s="2" t="str">
        <f>VLOOKUP($D1155,'Customer Details'!$A$1:$F$17,MATCH('Order SUmmary'!H$2,'Customer Details'!$A$1:$F$1,0),0)</f>
        <v>Sonata Software</v>
      </c>
      <c r="I1155" s="2" t="str">
        <f>VLOOKUP($D1155,'Customer Details'!$A$1:$F$17,4,0)</f>
        <v>Olympia</v>
      </c>
      <c r="J1155" s="2" t="str">
        <f>VLOOKUP($D1155,'Customer Details'!$A$1:$F$17,6,0)</f>
        <v>98502</v>
      </c>
      <c r="K1155" s="8" t="str">
        <f>VLOOKUP(VLOOKUP(D1155,'Customer Details'!$A$1:$F$17,5,0),'Region INfo'!$A$1:$C$52,3,0)</f>
        <v xml:space="preserve">Pacific   </v>
      </c>
      <c r="L1155" s="8" t="str">
        <f>INDEX(Product_List,MATCH($F1155,'Product List'!$B$1:$B$299,0),MATCH('Order SUmmary'!L$2,'Product List'!$A$1:$E$1,0))</f>
        <v>Newell 310</v>
      </c>
      <c r="M1155" s="8">
        <f>INDEX(Product_List,MATCH($F1155,'Product List'!$B$1:$B$299,0),MATCH('Order SUmmary'!M$2,'Product List'!$A$1:$E$1,0))</f>
        <v>3463</v>
      </c>
      <c r="N1155" s="8">
        <f>INDEX(Product_List,MATCH($F1155,'Product List'!$B$1:$B$299,0),MATCH('Order SUmmary'!N$2,'Product List'!$A$1:$E$1,0))</f>
        <v>1964</v>
      </c>
      <c r="O1155" s="8" t="str">
        <f>INDEX(Product_List,MATCH($F1155,'Product List'!$B$1:$B$299,0),MATCH('Order SUmmary'!O$2,'Product List'!$A$1:$E$1,0))</f>
        <v>Art</v>
      </c>
      <c r="P1155" s="12">
        <f>HLOOKUP(C1155,'Commission Criteria'!$A$2:$I$4,3,FALSE)</f>
        <v>8</v>
      </c>
      <c r="Q1155" s="8">
        <f t="shared" si="52"/>
        <v>1964</v>
      </c>
      <c r="R1155" s="8">
        <f t="shared" si="53"/>
        <v>3463</v>
      </c>
      <c r="S1155" s="36">
        <f>VLOOKUP(R1155,'Commission Criteria'!$L$3:$M$11,2,TRUE)</f>
        <v>0.01</v>
      </c>
      <c r="T1155" s="36">
        <f>IF(P1155&lt;5,VLOOKUP(R1155,'Commission Criteria'!$L$3:$M$11,2,1),VLOOKUP('Order SUmmary'!R1155,'Commission Criteria'!$P$3:$Q$11,2,1))</f>
        <v>0.02</v>
      </c>
      <c r="U1155" s="36">
        <f>VLOOKUP(R1155,IF(P1155&lt;5,'Commission Criteria'!$L$3:$M$11,'Commission Criteria'!$P$3:$Q$11),2,1)</f>
        <v>0.02</v>
      </c>
      <c r="V1155" s="8" t="s">
        <v>35</v>
      </c>
      <c r="W1155" s="36">
        <f t="shared" ca="1" si="54"/>
        <v>0.03</v>
      </c>
      <c r="X1155" s="8" t="str">
        <f>_xlfn.XLOOKUP(F1155,'Product List'!$B$1:$B$299,'Product List'!$A$1:$A$299)</f>
        <v>Newell 310</v>
      </c>
      <c r="Y1155" s="8"/>
      <c r="Z1155" s="8" t="str" cm="1">
        <f t="array" ref="Z1155:AD1155">_xlfn.XLOOKUP(D1155,'Customer Details'!$A$1:$A$17,'Customer Details'!$B$1:$F$17,"No such customer",0,1)</f>
        <v>Sonata Software</v>
      </c>
      <c r="AA1155" s="8" t="str">
        <v>1331 Kimberly Dr.</v>
      </c>
      <c r="AB1155" s="8" t="str">
        <v>Olympia</v>
      </c>
      <c r="AC1155" s="8" t="str">
        <v>WA</v>
      </c>
      <c r="AD1155" s="8" t="str">
        <v>98502</v>
      </c>
    </row>
    <row r="1156" spans="1:30">
      <c r="A1156" s="8" t="s">
        <v>1101</v>
      </c>
      <c r="B1156" s="19">
        <v>42275</v>
      </c>
      <c r="C1156" s="8" t="s">
        <v>27</v>
      </c>
      <c r="D1156" s="8">
        <v>10010</v>
      </c>
      <c r="E1156" s="8" t="str">
        <f>VLOOKUP($D1156,'Customer Details'!$A$1:$F$17,4,FALSE)</f>
        <v>Tracy</v>
      </c>
      <c r="F1156" s="8" t="s">
        <v>390</v>
      </c>
      <c r="G1156" s="8">
        <v>3</v>
      </c>
      <c r="H1156" s="2" t="str">
        <f>VLOOKUP($D1156,'Customer Details'!$A$1:$F$17,MATCH('Order SUmmary'!H$2,'Customer Details'!$A$1:$F$1,0),0)</f>
        <v>Suzlon Energy Ltd.</v>
      </c>
      <c r="I1156" s="2" t="str">
        <f>VLOOKUP($D1156,'Customer Details'!$A$1:$F$17,4,0)</f>
        <v>Tracy</v>
      </c>
      <c r="J1156" s="2" t="str">
        <f>VLOOKUP($D1156,'Customer Details'!$A$1:$F$17,6,0)</f>
        <v>95376</v>
      </c>
      <c r="K1156" s="8" t="str">
        <f>VLOOKUP(VLOOKUP(D1156,'Customer Details'!$A$1:$F$17,5,0),'Region INfo'!$A$1:$C$52,3,0)</f>
        <v xml:space="preserve">Pacific   </v>
      </c>
      <c r="L1156" s="8" t="str">
        <f>INDEX(Product_List,MATCH($F1156,'Product List'!$B$1:$B$299,0),MATCH('Order SUmmary'!L$2,'Product List'!$A$1:$E$1,0))</f>
        <v>Avery 502</v>
      </c>
      <c r="M1156" s="8">
        <f>INDEX(Product_List,MATCH($F1156,'Product List'!$B$1:$B$299,0),MATCH('Order SUmmary'!M$2,'Product List'!$A$1:$E$1,0))</f>
        <v>2645</v>
      </c>
      <c r="N1156" s="8">
        <f>INDEX(Product_List,MATCH($F1156,'Product List'!$B$1:$B$299,0),MATCH('Order SUmmary'!N$2,'Product List'!$A$1:$E$1,0))</f>
        <v>1547</v>
      </c>
      <c r="O1156" s="8" t="str">
        <f>INDEX(Product_List,MATCH($F1156,'Product List'!$B$1:$B$299,0),MATCH('Order SUmmary'!O$2,'Product List'!$A$1:$E$1,0))</f>
        <v>Labels</v>
      </c>
      <c r="P1156" s="12">
        <f>HLOOKUP(C1156,'Commission Criteria'!$A$2:$I$4,3,FALSE)</f>
        <v>4</v>
      </c>
      <c r="Q1156" s="8">
        <f t="shared" ref="Q1156:Q1219" si="55">N1156*G1156</f>
        <v>4641</v>
      </c>
      <c r="R1156" s="8">
        <f t="shared" ref="R1156:R1219" si="56">M1156*G1156</f>
        <v>7935</v>
      </c>
      <c r="S1156" s="36">
        <f>VLOOKUP(R1156,'Commission Criteria'!$L$3:$M$11,2,TRUE)</f>
        <v>0.03</v>
      </c>
      <c r="T1156" s="36">
        <f>IF(P1156&lt;5,VLOOKUP(R1156,'Commission Criteria'!$L$3:$M$11,2,1),VLOOKUP('Order SUmmary'!R1156,'Commission Criteria'!$P$3:$Q$11,2,1))</f>
        <v>0.03</v>
      </c>
      <c r="U1156" s="36">
        <f>VLOOKUP(R1156,IF(P1156&lt;5,'Commission Criteria'!$L$3:$M$11,'Commission Criteria'!$P$3:$Q$11),2,1)</f>
        <v>0.03</v>
      </c>
      <c r="V1156" s="8" t="s">
        <v>43</v>
      </c>
      <c r="W1156" s="36">
        <f t="shared" ref="W1156:W1219" ca="1" si="57">VLOOKUP(F1156,INDIRECT(V1156&amp;"!$A$1:$B$296"),2,0)</f>
        <v>0.05</v>
      </c>
      <c r="X1156" s="8" t="str">
        <f>_xlfn.XLOOKUP(F1156,'Product List'!$B$1:$B$299,'Product List'!$A$1:$A$299)</f>
        <v>Avery 502</v>
      </c>
      <c r="Y1156" s="8"/>
      <c r="Z1156" s="8" t="str" cm="1">
        <f t="array" ref="Z1156:AD1156">_xlfn.XLOOKUP(D1156,'Customer Details'!$A$1:$A$17,'Customer Details'!$B$1:$F$17,"No such customer",0,1)</f>
        <v>Suzlon Energy Ltd.</v>
      </c>
      <c r="AA1156" s="8" t="str">
        <v>501 Marsh Trail Circle</v>
      </c>
      <c r="AB1156" s="8" t="str">
        <v>Tracy</v>
      </c>
      <c r="AC1156" s="8" t="str">
        <v>CA</v>
      </c>
      <c r="AD1156" s="8" t="str">
        <v>95376</v>
      </c>
    </row>
    <row r="1157" spans="1:30">
      <c r="A1157" s="8" t="s">
        <v>1102</v>
      </c>
      <c r="B1157" s="19">
        <v>42277</v>
      </c>
      <c r="C1157" s="8" t="s">
        <v>66</v>
      </c>
      <c r="D1157" s="8">
        <v>10006</v>
      </c>
      <c r="E1157" s="8" t="str">
        <f>VLOOKUP($D1157,'Customer Details'!$A$1:$F$17,4,FALSE)</f>
        <v>Midland</v>
      </c>
      <c r="F1157" s="8" t="s">
        <v>322</v>
      </c>
      <c r="G1157" s="8">
        <v>1</v>
      </c>
      <c r="H1157" s="2" t="str">
        <f>VLOOKUP($D1157,'Customer Details'!$A$1:$F$17,MATCH('Order SUmmary'!H$2,'Customer Details'!$A$1:$F$1,0),0)</f>
        <v>Supreme Ind</v>
      </c>
      <c r="I1157" s="2" t="str">
        <f>VLOOKUP($D1157,'Customer Details'!$A$1:$F$17,4,0)</f>
        <v>Midland</v>
      </c>
      <c r="J1157" s="2" t="str">
        <f>VLOOKUP($D1157,'Customer Details'!$A$1:$F$17,6,0)</f>
        <v>79706</v>
      </c>
      <c r="K1157" s="8" t="str">
        <f>VLOOKUP(VLOOKUP(D1157,'Customer Details'!$A$1:$F$17,5,0),'Region INfo'!$A$1:$C$52,3,0)</f>
        <v>Western</v>
      </c>
      <c r="L1157" s="8" t="str">
        <f>INDEX(Product_List,MATCH($F1157,'Product List'!$B$1:$B$299,0),MATCH('Order SUmmary'!L$2,'Product List'!$A$1:$E$1,0))</f>
        <v>Xerox 1966</v>
      </c>
      <c r="M1157" s="8">
        <f>INDEX(Product_List,MATCH($F1157,'Product List'!$B$1:$B$299,0),MATCH('Order SUmmary'!M$2,'Product List'!$A$1:$E$1,0))</f>
        <v>4476</v>
      </c>
      <c r="N1157" s="8">
        <f>INDEX(Product_List,MATCH($F1157,'Product List'!$B$1:$B$299,0),MATCH('Order SUmmary'!N$2,'Product List'!$A$1:$E$1,0))</f>
        <v>2494</v>
      </c>
      <c r="O1157" s="8" t="str">
        <f>INDEX(Product_List,MATCH($F1157,'Product List'!$B$1:$B$299,0),MATCH('Order SUmmary'!O$2,'Product List'!$A$1:$E$1,0))</f>
        <v>Paper</v>
      </c>
      <c r="P1157" s="12">
        <f>HLOOKUP(C1157,'Commission Criteria'!$A$2:$I$4,3,FALSE)</f>
        <v>5</v>
      </c>
      <c r="Q1157" s="8">
        <f t="shared" si="55"/>
        <v>2494</v>
      </c>
      <c r="R1157" s="8">
        <f t="shared" si="56"/>
        <v>4476</v>
      </c>
      <c r="S1157" s="36">
        <f>VLOOKUP(R1157,'Commission Criteria'!$L$3:$M$11,2,TRUE)</f>
        <v>0.01</v>
      </c>
      <c r="T1157" s="36">
        <f>IF(P1157&lt;5,VLOOKUP(R1157,'Commission Criteria'!$L$3:$M$11,2,1),VLOOKUP('Order SUmmary'!R1157,'Commission Criteria'!$P$3:$Q$11,2,1))</f>
        <v>0.02</v>
      </c>
      <c r="U1157" s="36">
        <f>VLOOKUP(R1157,IF(P1157&lt;5,'Commission Criteria'!$L$3:$M$11,'Commission Criteria'!$P$3:$Q$11),2,1)</f>
        <v>0.02</v>
      </c>
      <c r="V1157" s="8" t="s">
        <v>50</v>
      </c>
      <c r="W1157" s="36">
        <f t="shared" ca="1" si="57"/>
        <v>0.01</v>
      </c>
      <c r="X1157" s="8" t="str">
        <f>_xlfn.XLOOKUP(F1157,'Product List'!$B$1:$B$299,'Product List'!$A$1:$A$299)</f>
        <v>Xerox 1966</v>
      </c>
      <c r="Y1157" s="8"/>
      <c r="Z1157" s="8" t="str" cm="1">
        <f t="array" ref="Z1157:AD1157">_xlfn.XLOOKUP(D1157,'Customer Details'!$A$1:$A$17,'Customer Details'!$B$1:$F$17,"No such customer",0,1)</f>
        <v>Supreme Ind</v>
      </c>
      <c r="AA1157" s="8" t="str">
        <v>P.O. Box 1367</v>
      </c>
      <c r="AB1157" s="8" t="str">
        <v>Midland</v>
      </c>
      <c r="AC1157" s="8" t="str">
        <v>TX</v>
      </c>
      <c r="AD1157" s="8" t="str">
        <v>79706</v>
      </c>
    </row>
    <row r="1158" spans="1:30">
      <c r="A1158" s="8" t="s">
        <v>1102</v>
      </c>
      <c r="B1158" s="19">
        <v>42277</v>
      </c>
      <c r="C1158" s="8" t="s">
        <v>51</v>
      </c>
      <c r="D1158" s="8">
        <v>10014</v>
      </c>
      <c r="E1158" s="8" t="str">
        <f>VLOOKUP($D1158,'Customer Details'!$A$1:$F$17,4,FALSE)</f>
        <v>Honolulu</v>
      </c>
      <c r="F1158" s="8" t="s">
        <v>1048</v>
      </c>
      <c r="G1158" s="8">
        <v>1</v>
      </c>
      <c r="H1158" s="2" t="str">
        <f>VLOOKUP($D1158,'Customer Details'!$A$1:$F$17,MATCH('Order SUmmary'!H$2,'Customer Details'!$A$1:$F$1,0),0)</f>
        <v>Hindusthan National Glass &amp; Industries Ltd.</v>
      </c>
      <c r="I1158" s="2" t="str">
        <f>VLOOKUP($D1158,'Customer Details'!$A$1:$F$17,4,0)</f>
        <v>Honolulu</v>
      </c>
      <c r="J1158" s="2" t="str">
        <f>VLOOKUP($D1158,'Customer Details'!$A$1:$F$17,6,0)</f>
        <v>96825</v>
      </c>
      <c r="K1158" s="8" t="str">
        <f>VLOOKUP(VLOOKUP(D1158,'Customer Details'!$A$1:$F$17,5,0),'Region INfo'!$A$1:$C$52,3,0)</f>
        <v xml:space="preserve">Pacific   </v>
      </c>
      <c r="L1158" s="8" t="str">
        <f>INDEX(Product_List,MATCH($F1158,'Product List'!$B$1:$B$299,0),MATCH('Order SUmmary'!L$2,'Product List'!$A$1:$E$1,0))</f>
        <v>LG G3</v>
      </c>
      <c r="M1158" s="8">
        <f>INDEX(Product_List,MATCH($F1158,'Product List'!$B$1:$B$299,0),MATCH('Order SUmmary'!M$2,'Product List'!$A$1:$E$1,0))</f>
        <v>4799</v>
      </c>
      <c r="N1158" s="8">
        <f>INDEX(Product_List,MATCH($F1158,'Product List'!$B$1:$B$299,0),MATCH('Order SUmmary'!N$2,'Product List'!$A$1:$E$1,0))</f>
        <v>1978</v>
      </c>
      <c r="O1158" s="8" t="str">
        <f>INDEX(Product_List,MATCH($F1158,'Product List'!$B$1:$B$299,0),MATCH('Order SUmmary'!O$2,'Product List'!$A$1:$E$1,0))</f>
        <v>Phones</v>
      </c>
      <c r="P1158" s="12">
        <f>HLOOKUP(C1158,'Commission Criteria'!$A$2:$I$4,3,FALSE)</f>
        <v>10</v>
      </c>
      <c r="Q1158" s="8">
        <f t="shared" si="55"/>
        <v>1978</v>
      </c>
      <c r="R1158" s="8">
        <f t="shared" si="56"/>
        <v>4799</v>
      </c>
      <c r="S1158" s="36">
        <f>VLOOKUP(R1158,'Commission Criteria'!$L$3:$M$11,2,TRUE)</f>
        <v>0.01</v>
      </c>
      <c r="T1158" s="36">
        <f>IF(P1158&lt;5,VLOOKUP(R1158,'Commission Criteria'!$L$3:$M$11,2,1),VLOOKUP('Order SUmmary'!R1158,'Commission Criteria'!$P$3:$Q$11,2,1))</f>
        <v>0.02</v>
      </c>
      <c r="U1158" s="36">
        <f>VLOOKUP(R1158,IF(P1158&lt;5,'Commission Criteria'!$L$3:$M$11,'Commission Criteria'!$P$3:$Q$11),2,1)</f>
        <v>0.02</v>
      </c>
      <c r="V1158" s="8" t="s">
        <v>35</v>
      </c>
      <c r="W1158" s="36">
        <f t="shared" ca="1" si="57"/>
        <v>0</v>
      </c>
      <c r="X1158" s="8" t="str">
        <f>_xlfn.XLOOKUP(F1158,'Product List'!$B$1:$B$299,'Product List'!$A$1:$A$299)</f>
        <v>LG G3</v>
      </c>
      <c r="Y1158" s="8"/>
      <c r="Z1158" s="8" t="str" cm="1">
        <f t="array" ref="Z1158:AD1158">_xlfn.XLOOKUP(D1158,'Customer Details'!$A$1:$A$17,'Customer Details'!$B$1:$F$17,"No such customer",0,1)</f>
        <v>Hindusthan National Glass &amp; Industries Ltd.</v>
      </c>
      <c r="AA1158" s="8" t="str">
        <v>11 Cathy St.</v>
      </c>
      <c r="AB1158" s="8" t="str">
        <v>Honolulu</v>
      </c>
      <c r="AC1158" s="8" t="str">
        <v>HI</v>
      </c>
      <c r="AD1158" s="8" t="str">
        <v>96825</v>
      </c>
    </row>
    <row r="1159" spans="1:30">
      <c r="A1159" s="8" t="s">
        <v>1103</v>
      </c>
      <c r="B1159" s="19">
        <v>42278</v>
      </c>
      <c r="C1159" s="8" t="s">
        <v>36</v>
      </c>
      <c r="D1159" s="8">
        <v>10008</v>
      </c>
      <c r="E1159" s="8" t="str">
        <f>VLOOKUP($D1159,'Customer Details'!$A$1:$F$17,4,FALSE)</f>
        <v>Chestnut Ridge</v>
      </c>
      <c r="F1159" s="8" t="s">
        <v>69</v>
      </c>
      <c r="G1159" s="8">
        <v>1</v>
      </c>
      <c r="H1159" s="2" t="str">
        <f>VLOOKUP($D1159,'Customer Details'!$A$1:$F$17,MATCH('Order SUmmary'!H$2,'Customer Details'!$A$1:$F$1,0),0)</f>
        <v>Reliance Industries Limited</v>
      </c>
      <c r="I1159" s="2" t="str">
        <f>VLOOKUP($D1159,'Customer Details'!$A$1:$F$17,4,0)</f>
        <v>Chestnut Ridge</v>
      </c>
      <c r="J1159" s="2" t="str">
        <f>VLOOKUP($D1159,'Customer Details'!$A$1:$F$17,6,0)</f>
        <v>10977</v>
      </c>
      <c r="K1159" s="8" t="str">
        <f>VLOOKUP(VLOOKUP(D1159,'Customer Details'!$A$1:$F$17,5,0),'Region INfo'!$A$1:$C$52,3,0)</f>
        <v xml:space="preserve">Northern </v>
      </c>
      <c r="L1159" s="8" t="str">
        <f>INDEX(Product_List,MATCH($F1159,'Product List'!$B$1:$B$299,0),MATCH('Order SUmmary'!L$2,'Product List'!$A$1:$E$1,0))</f>
        <v>Newell 330</v>
      </c>
      <c r="M1159" s="8">
        <f>INDEX(Product_List,MATCH($F1159,'Product List'!$B$1:$B$299,0),MATCH('Order SUmmary'!M$2,'Product List'!$A$1:$E$1,0))</f>
        <v>2895</v>
      </c>
      <c r="N1159" s="8">
        <f>INDEX(Product_List,MATCH($F1159,'Product List'!$B$1:$B$299,0),MATCH('Order SUmmary'!N$2,'Product List'!$A$1:$E$1,0))</f>
        <v>1871</v>
      </c>
      <c r="O1159" s="8" t="str">
        <f>INDEX(Product_List,MATCH($F1159,'Product List'!$B$1:$B$299,0),MATCH('Order SUmmary'!O$2,'Product List'!$A$1:$E$1,0))</f>
        <v>Art</v>
      </c>
      <c r="P1159" s="12">
        <f>HLOOKUP(C1159,'Commission Criteria'!$A$2:$I$4,3,FALSE)</f>
        <v>6</v>
      </c>
      <c r="Q1159" s="8">
        <f t="shared" si="55"/>
        <v>1871</v>
      </c>
      <c r="R1159" s="8">
        <f t="shared" si="56"/>
        <v>2895</v>
      </c>
      <c r="S1159" s="36">
        <f>VLOOKUP(R1159,'Commission Criteria'!$L$3:$M$11,2,TRUE)</f>
        <v>0.01</v>
      </c>
      <c r="T1159" s="36">
        <f>IF(P1159&lt;5,VLOOKUP(R1159,'Commission Criteria'!$L$3:$M$11,2,1),VLOOKUP('Order SUmmary'!R1159,'Commission Criteria'!$P$3:$Q$11,2,1))</f>
        <v>0.02</v>
      </c>
      <c r="U1159" s="36">
        <f>VLOOKUP(R1159,IF(P1159&lt;5,'Commission Criteria'!$L$3:$M$11,'Commission Criteria'!$P$3:$Q$11),2,1)</f>
        <v>0.02</v>
      </c>
      <c r="V1159" s="8" t="s">
        <v>40</v>
      </c>
      <c r="W1159" s="36">
        <f t="shared" ca="1" si="57"/>
        <v>0.03</v>
      </c>
      <c r="X1159" s="8" t="str">
        <f>_xlfn.XLOOKUP(F1159,'Product List'!$B$1:$B$299,'Product List'!$A$1:$A$299)</f>
        <v>Newell 330</v>
      </c>
      <c r="Y1159" s="8"/>
      <c r="Z1159" s="8" t="str" cm="1">
        <f t="array" ref="Z1159:AD1159">_xlfn.XLOOKUP(D1159,'Customer Details'!$A$1:$A$17,'Customer Details'!$B$1:$F$17,"No such customer",0,1)</f>
        <v>Reliance Industries Limited</v>
      </c>
      <c r="AA1159" s="8" t="str">
        <v>12020 Shamrock Rd., Suite 333</v>
      </c>
      <c r="AB1159" s="8" t="str">
        <v>Chestnut Ridge</v>
      </c>
      <c r="AC1159" s="8" t="str">
        <v>NY</v>
      </c>
      <c r="AD1159" s="8" t="str">
        <v>10977</v>
      </c>
    </row>
    <row r="1160" spans="1:30">
      <c r="A1160" s="8" t="s">
        <v>1104</v>
      </c>
      <c r="B1160" s="19">
        <v>42278</v>
      </c>
      <c r="C1160" s="8" t="s">
        <v>36</v>
      </c>
      <c r="D1160" s="8">
        <v>10005</v>
      </c>
      <c r="E1160" s="8" t="str">
        <f>VLOOKUP($D1160,'Customer Details'!$A$1:$F$17,4,FALSE)</f>
        <v>Goleta</v>
      </c>
      <c r="F1160" s="8" t="s">
        <v>45</v>
      </c>
      <c r="G1160" s="8">
        <v>1</v>
      </c>
      <c r="H1160" s="2" t="str">
        <f>VLOOKUP($D1160,'Customer Details'!$A$1:$F$17,MATCH('Order SUmmary'!H$2,'Customer Details'!$A$1:$F$1,0),0)</f>
        <v>Fortis Healthcare Ltd.</v>
      </c>
      <c r="I1160" s="2" t="str">
        <f>VLOOKUP($D1160,'Customer Details'!$A$1:$F$17,4,0)</f>
        <v>Goleta</v>
      </c>
      <c r="J1160" s="2" t="str">
        <f>VLOOKUP($D1160,'Customer Details'!$A$1:$F$17,6,0)</f>
        <v>93117</v>
      </c>
      <c r="K1160" s="8" t="str">
        <f>VLOOKUP(VLOOKUP(D1160,'Customer Details'!$A$1:$F$17,5,0),'Region INfo'!$A$1:$C$52,3,0)</f>
        <v xml:space="preserve">Pacific   </v>
      </c>
      <c r="L1160" s="8" t="str">
        <f>INDEX(Product_List,MATCH($F1160,'Product List'!$B$1:$B$299,0),MATCH('Order SUmmary'!L$2,'Product List'!$A$1:$E$1,0))</f>
        <v>Avery 486</v>
      </c>
      <c r="M1160" s="8">
        <f>INDEX(Product_List,MATCH($F1160,'Product List'!$B$1:$B$299,0),MATCH('Order SUmmary'!M$2,'Product List'!$A$1:$E$1,0))</f>
        <v>4914</v>
      </c>
      <c r="N1160" s="8">
        <f>INDEX(Product_List,MATCH($F1160,'Product List'!$B$1:$B$299,0),MATCH('Order SUmmary'!N$2,'Product List'!$A$1:$E$1,0))</f>
        <v>1632</v>
      </c>
      <c r="O1160" s="8" t="str">
        <f>INDEX(Product_List,MATCH($F1160,'Product List'!$B$1:$B$299,0),MATCH('Order SUmmary'!O$2,'Product List'!$A$1:$E$1,0))</f>
        <v>Labels</v>
      </c>
      <c r="P1160" s="12">
        <f>HLOOKUP(C1160,'Commission Criteria'!$A$2:$I$4,3,FALSE)</f>
        <v>6</v>
      </c>
      <c r="Q1160" s="8">
        <f t="shared" si="55"/>
        <v>1632</v>
      </c>
      <c r="R1160" s="8">
        <f t="shared" si="56"/>
        <v>4914</v>
      </c>
      <c r="S1160" s="36">
        <f>VLOOKUP(R1160,'Commission Criteria'!$L$3:$M$11,2,TRUE)</f>
        <v>0.01</v>
      </c>
      <c r="T1160" s="36">
        <f>IF(P1160&lt;5,VLOOKUP(R1160,'Commission Criteria'!$L$3:$M$11,2,1),VLOOKUP('Order SUmmary'!R1160,'Commission Criteria'!$P$3:$Q$11,2,1))</f>
        <v>0.02</v>
      </c>
      <c r="U1160" s="36">
        <f>VLOOKUP(R1160,IF(P1160&lt;5,'Commission Criteria'!$L$3:$M$11,'Commission Criteria'!$P$3:$Q$11),2,1)</f>
        <v>0.02</v>
      </c>
      <c r="V1160" s="8" t="s">
        <v>43</v>
      </c>
      <c r="W1160" s="36">
        <f t="shared" ca="1" si="57"/>
        <v>0.01</v>
      </c>
      <c r="X1160" s="8" t="str">
        <f>_xlfn.XLOOKUP(F1160,'Product List'!$B$1:$B$299,'Product List'!$A$1:$A$299)</f>
        <v>Avery 486</v>
      </c>
      <c r="Y1160" s="8"/>
      <c r="Z1160" s="8" t="str" cm="1">
        <f t="array" ref="Z1160:AD1160">_xlfn.XLOOKUP(D1160,'Customer Details'!$A$1:$A$17,'Customer Details'!$B$1:$F$17,"No such customer",0,1)</f>
        <v>Fortis Healthcare Ltd.</v>
      </c>
      <c r="AA1160" s="8" t="str">
        <v>14 Elsworthy Terrace</v>
      </c>
      <c r="AB1160" s="8" t="str">
        <v>Goleta</v>
      </c>
      <c r="AC1160" s="8" t="str">
        <v>CA</v>
      </c>
      <c r="AD1160" s="8" t="str">
        <v>93117</v>
      </c>
    </row>
    <row r="1161" spans="1:30">
      <c r="A1161" s="8" t="s">
        <v>1103</v>
      </c>
      <c r="B1161" s="19">
        <v>42278</v>
      </c>
      <c r="C1161" s="8" t="s">
        <v>46</v>
      </c>
      <c r="D1161" s="8">
        <v>10013</v>
      </c>
      <c r="E1161" s="8" t="str">
        <f>VLOOKUP($D1161,'Customer Details'!$A$1:$F$17,4,FALSE)</f>
        <v>Naugatuck</v>
      </c>
      <c r="F1161" s="8" t="s">
        <v>118</v>
      </c>
      <c r="G1161" s="8">
        <v>2</v>
      </c>
      <c r="H1161" s="2" t="str">
        <f>VLOOKUP($D1161,'Customer Details'!$A$1:$F$17,MATCH('Order SUmmary'!H$2,'Customer Details'!$A$1:$F$1,0),0)</f>
        <v>GMR Infrastructure Ltd.</v>
      </c>
      <c r="I1161" s="2" t="str">
        <f>VLOOKUP($D1161,'Customer Details'!$A$1:$F$17,4,0)</f>
        <v>Naugatuck</v>
      </c>
      <c r="J1161" s="2" t="str">
        <f>VLOOKUP($D1161,'Customer Details'!$A$1:$F$17,6,0)</f>
        <v>06770</v>
      </c>
      <c r="K1161" s="8" t="str">
        <f>VLOOKUP(VLOOKUP(D1161,'Customer Details'!$A$1:$F$17,5,0),'Region INfo'!$A$1:$C$52,3,0)</f>
        <v xml:space="preserve">Northern </v>
      </c>
      <c r="L1161" s="8" t="str">
        <f>INDEX(Product_List,MATCH($F1161,'Product List'!$B$1:$B$299,0),MATCH('Order SUmmary'!L$2,'Product List'!$A$1:$E$1,0))</f>
        <v>Xerox 1998</v>
      </c>
      <c r="M1161" s="8">
        <f>INDEX(Product_List,MATCH($F1161,'Product List'!$B$1:$B$299,0),MATCH('Order SUmmary'!M$2,'Product List'!$A$1:$E$1,0))</f>
        <v>4003</v>
      </c>
      <c r="N1161" s="8">
        <f>INDEX(Product_List,MATCH($F1161,'Product List'!$B$1:$B$299,0),MATCH('Order SUmmary'!N$2,'Product List'!$A$1:$E$1,0))</f>
        <v>2255</v>
      </c>
      <c r="O1161" s="8" t="str">
        <f>INDEX(Product_List,MATCH($F1161,'Product List'!$B$1:$B$299,0),MATCH('Order SUmmary'!O$2,'Product List'!$A$1:$E$1,0))</f>
        <v>Paper</v>
      </c>
      <c r="P1161" s="12">
        <f>HLOOKUP(C1161,'Commission Criteria'!$A$2:$I$4,3,FALSE)</f>
        <v>8</v>
      </c>
      <c r="Q1161" s="8">
        <f t="shared" si="55"/>
        <v>4510</v>
      </c>
      <c r="R1161" s="8">
        <f t="shared" si="56"/>
        <v>8006</v>
      </c>
      <c r="S1161" s="36">
        <f>VLOOKUP(R1161,'Commission Criteria'!$L$3:$M$11,2,TRUE)</f>
        <v>0.03</v>
      </c>
      <c r="T1161" s="36">
        <f>IF(P1161&lt;5,VLOOKUP(R1161,'Commission Criteria'!$L$3:$M$11,2,1),VLOOKUP('Order SUmmary'!R1161,'Commission Criteria'!$P$3:$Q$11,2,1))</f>
        <v>0.02</v>
      </c>
      <c r="U1161" s="36">
        <f>VLOOKUP(R1161,IF(P1161&lt;5,'Commission Criteria'!$L$3:$M$11,'Commission Criteria'!$P$3:$Q$11),2,1)</f>
        <v>0.02</v>
      </c>
      <c r="V1161" s="8" t="s">
        <v>40</v>
      </c>
      <c r="W1161" s="36">
        <f t="shared" ca="1" si="57"/>
        <v>0.01</v>
      </c>
      <c r="X1161" s="8" t="str">
        <f>_xlfn.XLOOKUP(F1161,'Product List'!$B$1:$B$299,'Product List'!$A$1:$A$299)</f>
        <v>Xerox 1998</v>
      </c>
      <c r="Y1161" s="8"/>
      <c r="Z1161" s="8" t="str" cm="1">
        <f t="array" ref="Z1161:AD1161">_xlfn.XLOOKUP(D1161,'Customer Details'!$A$1:$A$17,'Customer Details'!$B$1:$F$17,"No such customer",0,1)</f>
        <v>GMR Infrastructure Ltd.</v>
      </c>
      <c r="AA1161" s="8" t="str">
        <v>P.O. Box 4421</v>
      </c>
      <c r="AB1161" s="8" t="str">
        <v>Naugatuck</v>
      </c>
      <c r="AC1161" s="8" t="str">
        <v>CT</v>
      </c>
      <c r="AD1161" s="8" t="str">
        <v>06770</v>
      </c>
    </row>
    <row r="1162" spans="1:30">
      <c r="A1162" s="8" t="s">
        <v>1104</v>
      </c>
      <c r="B1162" s="19">
        <v>42278</v>
      </c>
      <c r="C1162" s="8" t="s">
        <v>51</v>
      </c>
      <c r="D1162" s="8">
        <v>10013</v>
      </c>
      <c r="E1162" s="8" t="str">
        <f>VLOOKUP($D1162,'Customer Details'!$A$1:$F$17,4,FALSE)</f>
        <v>Naugatuck</v>
      </c>
      <c r="F1162" s="8" t="s">
        <v>877</v>
      </c>
      <c r="G1162" s="8">
        <v>48</v>
      </c>
      <c r="H1162" s="2" t="str">
        <f>VLOOKUP($D1162,'Customer Details'!$A$1:$F$17,MATCH('Order SUmmary'!H$2,'Customer Details'!$A$1:$F$1,0),0)</f>
        <v>GMR Infrastructure Ltd.</v>
      </c>
      <c r="I1162" s="2" t="str">
        <f>VLOOKUP($D1162,'Customer Details'!$A$1:$F$17,4,0)</f>
        <v>Naugatuck</v>
      </c>
      <c r="J1162" s="2" t="str">
        <f>VLOOKUP($D1162,'Customer Details'!$A$1:$F$17,6,0)</f>
        <v>06770</v>
      </c>
      <c r="K1162" s="8" t="str">
        <f>VLOOKUP(VLOOKUP(D1162,'Customer Details'!$A$1:$F$17,5,0),'Region INfo'!$A$1:$C$52,3,0)</f>
        <v xml:space="preserve">Northern </v>
      </c>
      <c r="L1162" s="8" t="str">
        <f>INDEX(Product_List,MATCH($F1162,'Product List'!$B$1:$B$299,0),MATCH('Order SUmmary'!L$2,'Product List'!$A$1:$E$1,0))</f>
        <v>Avery 484</v>
      </c>
      <c r="M1162" s="8">
        <f>INDEX(Product_List,MATCH($F1162,'Product List'!$B$1:$B$299,0),MATCH('Order SUmmary'!M$2,'Product List'!$A$1:$E$1,0))</f>
        <v>4548</v>
      </c>
      <c r="N1162" s="8">
        <f>INDEX(Product_List,MATCH($F1162,'Product List'!$B$1:$B$299,0),MATCH('Order SUmmary'!N$2,'Product List'!$A$1:$E$1,0))</f>
        <v>1983</v>
      </c>
      <c r="O1162" s="8" t="str">
        <f>INDEX(Product_List,MATCH($F1162,'Product List'!$B$1:$B$299,0),MATCH('Order SUmmary'!O$2,'Product List'!$A$1:$E$1,0))</f>
        <v>Labels</v>
      </c>
      <c r="P1162" s="12">
        <f>HLOOKUP(C1162,'Commission Criteria'!$A$2:$I$4,3,FALSE)</f>
        <v>10</v>
      </c>
      <c r="Q1162" s="8">
        <f t="shared" si="55"/>
        <v>95184</v>
      </c>
      <c r="R1162" s="8">
        <f t="shared" si="56"/>
        <v>218304</v>
      </c>
      <c r="S1162" s="36">
        <f>VLOOKUP(R1162,'Commission Criteria'!$L$3:$M$11,2,TRUE)</f>
        <v>0.17</v>
      </c>
      <c r="T1162" s="36">
        <f>IF(P1162&lt;5,VLOOKUP(R1162,'Commission Criteria'!$L$3:$M$11,2,1),VLOOKUP('Order SUmmary'!R1162,'Commission Criteria'!$P$3:$Q$11,2,1))</f>
        <v>0.18</v>
      </c>
      <c r="U1162" s="36">
        <f>VLOOKUP(R1162,IF(P1162&lt;5,'Commission Criteria'!$L$3:$M$11,'Commission Criteria'!$P$3:$Q$11),2,1)</f>
        <v>0.18</v>
      </c>
      <c r="V1162" s="8" t="s">
        <v>32</v>
      </c>
      <c r="W1162" s="36">
        <f t="shared" ca="1" si="57"/>
        <v>0.02</v>
      </c>
      <c r="X1162" s="8" t="str">
        <f>_xlfn.XLOOKUP(F1162,'Product List'!$B$1:$B$299,'Product List'!$A$1:$A$299)</f>
        <v>Avery 484</v>
      </c>
      <c r="Y1162" s="8"/>
      <c r="Z1162" s="8" t="str" cm="1">
        <f t="array" ref="Z1162:AD1162">_xlfn.XLOOKUP(D1162,'Customer Details'!$A$1:$A$17,'Customer Details'!$B$1:$F$17,"No such customer",0,1)</f>
        <v>GMR Infrastructure Ltd.</v>
      </c>
      <c r="AA1162" s="8" t="str">
        <v>P.O. Box 4421</v>
      </c>
      <c r="AB1162" s="8" t="str">
        <v>Naugatuck</v>
      </c>
      <c r="AC1162" s="8" t="str">
        <v>CT</v>
      </c>
      <c r="AD1162" s="8" t="str">
        <v>06770</v>
      </c>
    </row>
    <row r="1163" spans="1:30">
      <c r="A1163" s="8" t="s">
        <v>1104</v>
      </c>
      <c r="B1163" s="19">
        <v>42278</v>
      </c>
      <c r="C1163" s="8" t="s">
        <v>51</v>
      </c>
      <c r="D1163" s="8">
        <v>10013</v>
      </c>
      <c r="E1163" s="8" t="str">
        <f>VLOOKUP($D1163,'Customer Details'!$A$1:$F$17,4,FALSE)</f>
        <v>Naugatuck</v>
      </c>
      <c r="F1163" s="8" t="s">
        <v>877</v>
      </c>
      <c r="G1163" s="8">
        <v>48</v>
      </c>
      <c r="H1163" s="2" t="str">
        <f>VLOOKUP($D1163,'Customer Details'!$A$1:$F$17,MATCH('Order SUmmary'!H$2,'Customer Details'!$A$1:$F$1,0),0)</f>
        <v>GMR Infrastructure Ltd.</v>
      </c>
      <c r="I1163" s="2" t="str">
        <f>VLOOKUP($D1163,'Customer Details'!$A$1:$F$17,4,0)</f>
        <v>Naugatuck</v>
      </c>
      <c r="J1163" s="2" t="str">
        <f>VLOOKUP($D1163,'Customer Details'!$A$1:$F$17,6,0)</f>
        <v>06770</v>
      </c>
      <c r="K1163" s="8" t="str">
        <f>VLOOKUP(VLOOKUP(D1163,'Customer Details'!$A$1:$F$17,5,0),'Region INfo'!$A$1:$C$52,3,0)</f>
        <v xml:space="preserve">Northern </v>
      </c>
      <c r="L1163" s="8" t="str">
        <f>INDEX(Product_List,MATCH($F1163,'Product List'!$B$1:$B$299,0),MATCH('Order SUmmary'!L$2,'Product List'!$A$1:$E$1,0))</f>
        <v>Avery 484</v>
      </c>
      <c r="M1163" s="8">
        <f>INDEX(Product_List,MATCH($F1163,'Product List'!$B$1:$B$299,0),MATCH('Order SUmmary'!M$2,'Product List'!$A$1:$E$1,0))</f>
        <v>4548</v>
      </c>
      <c r="N1163" s="8">
        <f>INDEX(Product_List,MATCH($F1163,'Product List'!$B$1:$B$299,0),MATCH('Order SUmmary'!N$2,'Product List'!$A$1:$E$1,0))</f>
        <v>1983</v>
      </c>
      <c r="O1163" s="8" t="str">
        <f>INDEX(Product_List,MATCH($F1163,'Product List'!$B$1:$B$299,0),MATCH('Order SUmmary'!O$2,'Product List'!$A$1:$E$1,0))</f>
        <v>Labels</v>
      </c>
      <c r="P1163" s="12">
        <f>HLOOKUP(C1163,'Commission Criteria'!$A$2:$I$4,3,FALSE)</f>
        <v>10</v>
      </c>
      <c r="Q1163" s="8">
        <f t="shared" si="55"/>
        <v>95184</v>
      </c>
      <c r="R1163" s="8">
        <f t="shared" si="56"/>
        <v>218304</v>
      </c>
      <c r="S1163" s="36">
        <f>VLOOKUP(R1163,'Commission Criteria'!$L$3:$M$11,2,TRUE)</f>
        <v>0.17</v>
      </c>
      <c r="T1163" s="36">
        <f>IF(P1163&lt;5,VLOOKUP(R1163,'Commission Criteria'!$L$3:$M$11,2,1),VLOOKUP('Order SUmmary'!R1163,'Commission Criteria'!$P$3:$Q$11,2,1))</f>
        <v>0.18</v>
      </c>
      <c r="U1163" s="36">
        <f>VLOOKUP(R1163,IF(P1163&lt;5,'Commission Criteria'!$L$3:$M$11,'Commission Criteria'!$P$3:$Q$11),2,1)</f>
        <v>0.18</v>
      </c>
      <c r="V1163" s="8" t="s">
        <v>32</v>
      </c>
      <c r="W1163" s="36">
        <f t="shared" ca="1" si="57"/>
        <v>0.02</v>
      </c>
      <c r="X1163" s="8" t="str">
        <f>_xlfn.XLOOKUP(F1163,'Product List'!$B$1:$B$299,'Product List'!$A$1:$A$299)</f>
        <v>Avery 484</v>
      </c>
      <c r="Y1163" s="8"/>
      <c r="Z1163" s="8" t="str" cm="1">
        <f t="array" ref="Z1163:AD1163">_xlfn.XLOOKUP(D1163,'Customer Details'!$A$1:$A$17,'Customer Details'!$B$1:$F$17,"No such customer",0,1)</f>
        <v>GMR Infrastructure Ltd.</v>
      </c>
      <c r="AA1163" s="8" t="str">
        <v>P.O. Box 4421</v>
      </c>
      <c r="AB1163" s="8" t="str">
        <v>Naugatuck</v>
      </c>
      <c r="AC1163" s="8" t="str">
        <v>CT</v>
      </c>
      <c r="AD1163" s="8" t="str">
        <v>06770</v>
      </c>
    </row>
    <row r="1164" spans="1:30">
      <c r="A1164" s="8" t="s">
        <v>1105</v>
      </c>
      <c r="B1164" s="19">
        <v>42280</v>
      </c>
      <c r="C1164" s="8" t="s">
        <v>51</v>
      </c>
      <c r="D1164" s="8">
        <v>10008</v>
      </c>
      <c r="E1164" s="8" t="str">
        <f>VLOOKUP($D1164,'Customer Details'!$A$1:$F$17,4,FALSE)</f>
        <v>Chestnut Ridge</v>
      </c>
      <c r="F1164" s="8" t="s">
        <v>322</v>
      </c>
      <c r="G1164" s="8">
        <v>1</v>
      </c>
      <c r="H1164" s="2" t="str">
        <f>VLOOKUP($D1164,'Customer Details'!$A$1:$F$17,MATCH('Order SUmmary'!H$2,'Customer Details'!$A$1:$F$1,0),0)</f>
        <v>Reliance Industries Limited</v>
      </c>
      <c r="I1164" s="2" t="str">
        <f>VLOOKUP($D1164,'Customer Details'!$A$1:$F$17,4,0)</f>
        <v>Chestnut Ridge</v>
      </c>
      <c r="J1164" s="2" t="str">
        <f>VLOOKUP($D1164,'Customer Details'!$A$1:$F$17,6,0)</f>
        <v>10977</v>
      </c>
      <c r="K1164" s="8" t="str">
        <f>VLOOKUP(VLOOKUP(D1164,'Customer Details'!$A$1:$F$17,5,0),'Region INfo'!$A$1:$C$52,3,0)</f>
        <v xml:space="preserve">Northern </v>
      </c>
      <c r="L1164" s="8" t="str">
        <f>INDEX(Product_List,MATCH($F1164,'Product List'!$B$1:$B$299,0),MATCH('Order SUmmary'!L$2,'Product List'!$A$1:$E$1,0))</f>
        <v>Xerox 1966</v>
      </c>
      <c r="M1164" s="8">
        <f>INDEX(Product_List,MATCH($F1164,'Product List'!$B$1:$B$299,0),MATCH('Order SUmmary'!M$2,'Product List'!$A$1:$E$1,0))</f>
        <v>4476</v>
      </c>
      <c r="N1164" s="8">
        <f>INDEX(Product_List,MATCH($F1164,'Product List'!$B$1:$B$299,0),MATCH('Order SUmmary'!N$2,'Product List'!$A$1:$E$1,0))</f>
        <v>2494</v>
      </c>
      <c r="O1164" s="8" t="str">
        <f>INDEX(Product_List,MATCH($F1164,'Product List'!$B$1:$B$299,0),MATCH('Order SUmmary'!O$2,'Product List'!$A$1:$E$1,0))</f>
        <v>Paper</v>
      </c>
      <c r="P1164" s="12">
        <f>HLOOKUP(C1164,'Commission Criteria'!$A$2:$I$4,3,FALSE)</f>
        <v>10</v>
      </c>
      <c r="Q1164" s="8">
        <f t="shared" si="55"/>
        <v>2494</v>
      </c>
      <c r="R1164" s="8">
        <f t="shared" si="56"/>
        <v>4476</v>
      </c>
      <c r="S1164" s="36">
        <f>VLOOKUP(R1164,'Commission Criteria'!$L$3:$M$11,2,TRUE)</f>
        <v>0.01</v>
      </c>
      <c r="T1164" s="36">
        <f>IF(P1164&lt;5,VLOOKUP(R1164,'Commission Criteria'!$L$3:$M$11,2,1),VLOOKUP('Order SUmmary'!R1164,'Commission Criteria'!$P$3:$Q$11,2,1))</f>
        <v>0.02</v>
      </c>
      <c r="U1164" s="36">
        <f>VLOOKUP(R1164,IF(P1164&lt;5,'Commission Criteria'!$L$3:$M$11,'Commission Criteria'!$P$3:$Q$11),2,1)</f>
        <v>0.02</v>
      </c>
      <c r="V1164" s="8" t="s">
        <v>43</v>
      </c>
      <c r="W1164" s="36">
        <f t="shared" ca="1" si="57"/>
        <v>0.05</v>
      </c>
      <c r="X1164" s="8" t="str">
        <f>_xlfn.XLOOKUP(F1164,'Product List'!$B$1:$B$299,'Product List'!$A$1:$A$299)</f>
        <v>Xerox 1966</v>
      </c>
      <c r="Y1164" s="8"/>
      <c r="Z1164" s="8" t="str" cm="1">
        <f t="array" ref="Z1164:AD1164">_xlfn.XLOOKUP(D1164,'Customer Details'!$A$1:$A$17,'Customer Details'!$B$1:$F$17,"No such customer",0,1)</f>
        <v>Reliance Industries Limited</v>
      </c>
      <c r="AA1164" s="8" t="str">
        <v>12020 Shamrock Rd., Suite 333</v>
      </c>
      <c r="AB1164" s="8" t="str">
        <v>Chestnut Ridge</v>
      </c>
      <c r="AC1164" s="8" t="str">
        <v>NY</v>
      </c>
      <c r="AD1164" s="8" t="str">
        <v>10977</v>
      </c>
    </row>
    <row r="1165" spans="1:30">
      <c r="A1165" s="8" t="s">
        <v>1106</v>
      </c>
      <c r="B1165" s="19">
        <v>42281</v>
      </c>
      <c r="C1165" s="8" t="s">
        <v>51</v>
      </c>
      <c r="D1165" s="8">
        <v>10004</v>
      </c>
      <c r="E1165" s="8" t="str">
        <f>VLOOKUP($D1165,'Customer Details'!$A$1:$F$17,4,FALSE)</f>
        <v>New York</v>
      </c>
      <c r="F1165" s="8" t="s">
        <v>105</v>
      </c>
      <c r="G1165" s="8">
        <v>2</v>
      </c>
      <c r="H1165" s="2" t="str">
        <f>VLOOKUP($D1165,'Customer Details'!$A$1:$F$17,MATCH('Order SUmmary'!H$2,'Customer Details'!$A$1:$F$1,0),0)</f>
        <v>Lupin Ltd.</v>
      </c>
      <c r="I1165" s="2" t="str">
        <f>VLOOKUP($D1165,'Customer Details'!$A$1:$F$17,4,0)</f>
        <v>New York</v>
      </c>
      <c r="J1165" s="2" t="str">
        <f>VLOOKUP($D1165,'Customer Details'!$A$1:$F$17,6,0)</f>
        <v>10019</v>
      </c>
      <c r="K1165" s="8" t="str">
        <f>VLOOKUP(VLOOKUP(D1165,'Customer Details'!$A$1:$F$17,5,0),'Region INfo'!$A$1:$C$52,3,0)</f>
        <v xml:space="preserve">Northern </v>
      </c>
      <c r="L1165" s="8" t="str">
        <f>INDEX(Product_List,MATCH($F1165,'Product List'!$B$1:$B$299,0),MATCH('Order SUmmary'!L$2,'Product List'!$A$1:$E$1,0))</f>
        <v>Xerox 201</v>
      </c>
      <c r="M1165" s="8">
        <f>INDEX(Product_List,MATCH($F1165,'Product List'!$B$1:$B$299,0),MATCH('Order SUmmary'!M$2,'Product List'!$A$1:$E$1,0))</f>
        <v>2509</v>
      </c>
      <c r="N1165" s="8">
        <f>INDEX(Product_List,MATCH($F1165,'Product List'!$B$1:$B$299,0),MATCH('Order SUmmary'!N$2,'Product List'!$A$1:$E$1,0))</f>
        <v>1452</v>
      </c>
      <c r="O1165" s="8" t="str">
        <f>INDEX(Product_List,MATCH($F1165,'Product List'!$B$1:$B$299,0),MATCH('Order SUmmary'!O$2,'Product List'!$A$1:$E$1,0))</f>
        <v>Paper</v>
      </c>
      <c r="P1165" s="12">
        <f>HLOOKUP(C1165,'Commission Criteria'!$A$2:$I$4,3,FALSE)</f>
        <v>10</v>
      </c>
      <c r="Q1165" s="8">
        <f t="shared" si="55"/>
        <v>2904</v>
      </c>
      <c r="R1165" s="8">
        <f t="shared" si="56"/>
        <v>5018</v>
      </c>
      <c r="S1165" s="36">
        <f>VLOOKUP(R1165,'Commission Criteria'!$L$3:$M$11,2,TRUE)</f>
        <v>0.03</v>
      </c>
      <c r="T1165" s="36">
        <f>IF(P1165&lt;5,VLOOKUP(R1165,'Commission Criteria'!$L$3:$M$11,2,1),VLOOKUP('Order SUmmary'!R1165,'Commission Criteria'!$P$3:$Q$11,2,1))</f>
        <v>0.02</v>
      </c>
      <c r="U1165" s="36">
        <f>VLOOKUP(R1165,IF(P1165&lt;5,'Commission Criteria'!$L$3:$M$11,'Commission Criteria'!$P$3:$Q$11),2,1)</f>
        <v>0.02</v>
      </c>
      <c r="V1165" s="8" t="s">
        <v>32</v>
      </c>
      <c r="W1165" s="36">
        <f t="shared" ca="1" si="57"/>
        <v>0.01</v>
      </c>
      <c r="X1165" s="8" t="str">
        <f>_xlfn.XLOOKUP(F1165,'Product List'!$B$1:$B$299,'Product List'!$A$1:$A$299)</f>
        <v>Xerox 201</v>
      </c>
      <c r="Y1165" s="8"/>
      <c r="Z1165" s="8" t="str" cm="1">
        <f t="array" ref="Z1165:AD1165">_xlfn.XLOOKUP(D1165,'Customer Details'!$A$1:$A$17,'Customer Details'!$B$1:$F$17,"No such customer",0,1)</f>
        <v>Lupin Ltd.</v>
      </c>
      <c r="AA1165" s="8" t="str">
        <v>Abbey Wood</v>
      </c>
      <c r="AB1165" s="8" t="str">
        <v>New York</v>
      </c>
      <c r="AC1165" s="8" t="str">
        <v>NY</v>
      </c>
      <c r="AD1165" s="8" t="str">
        <v>10019</v>
      </c>
    </row>
    <row r="1166" spans="1:30">
      <c r="A1166" s="8" t="s">
        <v>1107</v>
      </c>
      <c r="B1166" s="19">
        <v>42286</v>
      </c>
      <c r="C1166" s="8" t="s">
        <v>36</v>
      </c>
      <c r="D1166" s="8">
        <v>10001</v>
      </c>
      <c r="E1166" s="8" t="str">
        <f>VLOOKUP($D1166,'Customer Details'!$A$1:$F$17,4,FALSE)</f>
        <v>New York</v>
      </c>
      <c r="F1166" s="8" t="s">
        <v>211</v>
      </c>
      <c r="G1166" s="8">
        <v>1</v>
      </c>
      <c r="H1166" s="2" t="str">
        <f>VLOOKUP($D1166,'Customer Details'!$A$1:$F$17,MATCH('Order SUmmary'!H$2,'Customer Details'!$A$1:$F$1,0),0)</f>
        <v>Chambal Fertilisers and Chemicals Ltd.</v>
      </c>
      <c r="I1166" s="2" t="str">
        <f>VLOOKUP($D1166,'Customer Details'!$A$1:$F$17,4,0)</f>
        <v>New York</v>
      </c>
      <c r="J1166" s="2" t="str">
        <f>VLOOKUP($D1166,'Customer Details'!$A$1:$F$17,6,0)</f>
        <v>10025</v>
      </c>
      <c r="K1166" s="8" t="str">
        <f>VLOOKUP(VLOOKUP(D1166,'Customer Details'!$A$1:$F$17,5,0),'Region INfo'!$A$1:$C$52,3,0)</f>
        <v xml:space="preserve">Northern </v>
      </c>
      <c r="L1166" s="8" t="str">
        <f>INDEX(Product_List,MATCH($F1166,'Product List'!$B$1:$B$299,0),MATCH('Order SUmmary'!L$2,'Product List'!$A$1:$E$1,0))</f>
        <v>Xerox 1993</v>
      </c>
      <c r="M1166" s="8">
        <f>INDEX(Product_List,MATCH($F1166,'Product List'!$B$1:$B$299,0),MATCH('Order SUmmary'!M$2,'Product List'!$A$1:$E$1,0))</f>
        <v>4610</v>
      </c>
      <c r="N1166" s="8">
        <f>INDEX(Product_List,MATCH($F1166,'Product List'!$B$1:$B$299,0),MATCH('Order SUmmary'!N$2,'Product List'!$A$1:$E$1,0))</f>
        <v>2176</v>
      </c>
      <c r="O1166" s="8" t="str">
        <f>INDEX(Product_List,MATCH($F1166,'Product List'!$B$1:$B$299,0),MATCH('Order SUmmary'!O$2,'Product List'!$A$1:$E$1,0))</f>
        <v>Paper</v>
      </c>
      <c r="P1166" s="12">
        <f>HLOOKUP(C1166,'Commission Criteria'!$A$2:$I$4,3,FALSE)</f>
        <v>6</v>
      </c>
      <c r="Q1166" s="8">
        <f t="shared" si="55"/>
        <v>2176</v>
      </c>
      <c r="R1166" s="8">
        <f t="shared" si="56"/>
        <v>4610</v>
      </c>
      <c r="S1166" s="36">
        <f>VLOOKUP(R1166,'Commission Criteria'!$L$3:$M$11,2,TRUE)</f>
        <v>0.01</v>
      </c>
      <c r="T1166" s="36">
        <f>IF(P1166&lt;5,VLOOKUP(R1166,'Commission Criteria'!$L$3:$M$11,2,1),VLOOKUP('Order SUmmary'!R1166,'Commission Criteria'!$P$3:$Q$11,2,1))</f>
        <v>0.02</v>
      </c>
      <c r="U1166" s="36">
        <f>VLOOKUP(R1166,IF(P1166&lt;5,'Commission Criteria'!$L$3:$M$11,'Commission Criteria'!$P$3:$Q$11),2,1)</f>
        <v>0.02</v>
      </c>
      <c r="V1166" s="8" t="s">
        <v>40</v>
      </c>
      <c r="W1166" s="36">
        <f t="shared" ca="1" si="57"/>
        <v>0.02</v>
      </c>
      <c r="X1166" s="8" t="str">
        <f>_xlfn.XLOOKUP(F1166,'Product List'!$B$1:$B$299,'Product List'!$A$1:$A$299)</f>
        <v>Xerox 1993</v>
      </c>
      <c r="Y1166" s="8"/>
      <c r="Z1166" s="8" t="str" cm="1">
        <f t="array" ref="Z1166:AD1166">_xlfn.XLOOKUP(D1166,'Customer Details'!$A$1:$A$17,'Customer Details'!$B$1:$F$17,"No such customer",0,1)</f>
        <v>Chambal Fertilisers and Chemicals Ltd.</v>
      </c>
      <c r="AA1166" s="8" t="str">
        <v>4951 Indiana Ave.</v>
      </c>
      <c r="AB1166" s="8" t="str">
        <v>New York</v>
      </c>
      <c r="AC1166" s="8" t="str">
        <v>NY</v>
      </c>
      <c r="AD1166" s="8" t="str">
        <v>10025</v>
      </c>
    </row>
    <row r="1167" spans="1:30">
      <c r="A1167" s="8" t="s">
        <v>1108</v>
      </c>
      <c r="B1167" s="19">
        <v>42287</v>
      </c>
      <c r="C1167" s="8" t="s">
        <v>36</v>
      </c>
      <c r="D1167" s="8">
        <v>10003</v>
      </c>
      <c r="E1167" s="8" t="str">
        <f>VLOOKUP($D1167,'Customer Details'!$A$1:$F$17,4,FALSE)</f>
        <v>Miami</v>
      </c>
      <c r="F1167" s="8" t="s">
        <v>467</v>
      </c>
      <c r="G1167" s="8">
        <v>3</v>
      </c>
      <c r="H1167" s="2" t="str">
        <f>VLOOKUP($D1167,'Customer Details'!$A$1:$F$17,MATCH('Order SUmmary'!H$2,'Customer Details'!$A$1:$F$1,0),0)</f>
        <v>Honeywell Automation</v>
      </c>
      <c r="I1167" s="2" t="str">
        <f>VLOOKUP($D1167,'Customer Details'!$A$1:$F$17,4,0)</f>
        <v>Miami</v>
      </c>
      <c r="J1167" s="2" t="str">
        <f>VLOOKUP($D1167,'Customer Details'!$A$1:$F$17,6,0)</f>
        <v>33732</v>
      </c>
      <c r="K1167" s="8" t="str">
        <f>VLOOKUP(VLOOKUP(D1167,'Customer Details'!$A$1:$F$17,5,0),'Region INfo'!$A$1:$C$52,3,0)</f>
        <v>Southern</v>
      </c>
      <c r="L1167" s="8" t="str">
        <f>INDEX(Product_List,MATCH($F1167,'Product List'!$B$1:$B$299,0),MATCH('Order SUmmary'!L$2,'Product List'!$A$1:$E$1,0))</f>
        <v>Xerox 215</v>
      </c>
      <c r="M1167" s="8">
        <f>INDEX(Product_List,MATCH($F1167,'Product List'!$B$1:$B$299,0),MATCH('Order SUmmary'!M$2,'Product List'!$A$1:$E$1,0))</f>
        <v>4574</v>
      </c>
      <c r="N1167" s="8">
        <f>INDEX(Product_List,MATCH($F1167,'Product List'!$B$1:$B$299,0),MATCH('Order SUmmary'!N$2,'Product List'!$A$1:$E$1,0))</f>
        <v>2068</v>
      </c>
      <c r="O1167" s="8" t="str">
        <f>INDEX(Product_List,MATCH($F1167,'Product List'!$B$1:$B$299,0),MATCH('Order SUmmary'!O$2,'Product List'!$A$1:$E$1,0))</f>
        <v>Paper</v>
      </c>
      <c r="P1167" s="12">
        <f>HLOOKUP(C1167,'Commission Criteria'!$A$2:$I$4,3,FALSE)</f>
        <v>6</v>
      </c>
      <c r="Q1167" s="8">
        <f t="shared" si="55"/>
        <v>6204</v>
      </c>
      <c r="R1167" s="8">
        <f t="shared" si="56"/>
        <v>13722</v>
      </c>
      <c r="S1167" s="36">
        <f>VLOOKUP(R1167,'Commission Criteria'!$L$3:$M$11,2,TRUE)</f>
        <v>0.03</v>
      </c>
      <c r="T1167" s="36">
        <f>IF(P1167&lt;5,VLOOKUP(R1167,'Commission Criteria'!$L$3:$M$11,2,1),VLOOKUP('Order SUmmary'!R1167,'Commission Criteria'!$P$3:$Q$11,2,1))</f>
        <v>0.02</v>
      </c>
      <c r="U1167" s="36">
        <f>VLOOKUP(R1167,IF(P1167&lt;5,'Commission Criteria'!$L$3:$M$11,'Commission Criteria'!$P$3:$Q$11),2,1)</f>
        <v>0.02</v>
      </c>
      <c r="V1167" s="8" t="s">
        <v>35</v>
      </c>
      <c r="W1167" s="36">
        <f t="shared" ca="1" si="57"/>
        <v>0.05</v>
      </c>
      <c r="X1167" s="8" t="str">
        <f>_xlfn.XLOOKUP(F1167,'Product List'!$B$1:$B$299,'Product List'!$A$1:$A$299)</f>
        <v>Xerox 215</v>
      </c>
      <c r="Y1167" s="8"/>
      <c r="Z1167" s="8" t="str" cm="1">
        <f t="array" ref="Z1167:AD1167">_xlfn.XLOOKUP(D1167,'Customer Details'!$A$1:$A$17,'Customer Details'!$B$1:$F$17,"No such customer",0,1)</f>
        <v>Honeywell Automation</v>
      </c>
      <c r="AA1167" s="8" t="str">
        <v>1272 Harbor Road</v>
      </c>
      <c r="AB1167" s="8" t="str">
        <v>Miami</v>
      </c>
      <c r="AC1167" s="8" t="str">
        <v>FL</v>
      </c>
      <c r="AD1167" s="8" t="str">
        <v>33732</v>
      </c>
    </row>
    <row r="1168" spans="1:30">
      <c r="A1168" s="8" t="s">
        <v>1109</v>
      </c>
      <c r="B1168" s="19">
        <v>42289</v>
      </c>
      <c r="C1168" s="8" t="s">
        <v>54</v>
      </c>
      <c r="D1168" s="8">
        <v>10010</v>
      </c>
      <c r="E1168" s="8" t="str">
        <f>VLOOKUP($D1168,'Customer Details'!$A$1:$F$17,4,FALSE)</f>
        <v>Tracy</v>
      </c>
      <c r="F1168" s="8" t="s">
        <v>143</v>
      </c>
      <c r="G1168" s="8">
        <v>1</v>
      </c>
      <c r="H1168" s="2" t="str">
        <f>VLOOKUP($D1168,'Customer Details'!$A$1:$F$17,MATCH('Order SUmmary'!H$2,'Customer Details'!$A$1:$F$1,0),0)</f>
        <v>Suzlon Energy Ltd.</v>
      </c>
      <c r="I1168" s="2" t="str">
        <f>VLOOKUP($D1168,'Customer Details'!$A$1:$F$17,4,0)</f>
        <v>Tracy</v>
      </c>
      <c r="J1168" s="2" t="str">
        <f>VLOOKUP($D1168,'Customer Details'!$A$1:$F$17,6,0)</f>
        <v>95376</v>
      </c>
      <c r="K1168" s="8" t="str">
        <f>VLOOKUP(VLOOKUP(D1168,'Customer Details'!$A$1:$F$17,5,0),'Region INfo'!$A$1:$C$52,3,0)</f>
        <v xml:space="preserve">Pacific   </v>
      </c>
      <c r="L1168" s="8" t="str">
        <f>INDEX(Product_List,MATCH($F1168,'Product List'!$B$1:$B$299,0),MATCH('Order SUmmary'!L$2,'Product List'!$A$1:$E$1,0))</f>
        <v>Xerox 1932</v>
      </c>
      <c r="M1168" s="8">
        <f>INDEX(Product_List,MATCH($F1168,'Product List'!$B$1:$B$299,0),MATCH('Order SUmmary'!M$2,'Product List'!$A$1:$E$1,0))</f>
        <v>4309</v>
      </c>
      <c r="N1168" s="8">
        <f>INDEX(Product_List,MATCH($F1168,'Product List'!$B$1:$B$299,0),MATCH('Order SUmmary'!N$2,'Product List'!$A$1:$E$1,0))</f>
        <v>1779</v>
      </c>
      <c r="O1168" s="8" t="str">
        <f>INDEX(Product_List,MATCH($F1168,'Product List'!$B$1:$B$299,0),MATCH('Order SUmmary'!O$2,'Product List'!$A$1:$E$1,0))</f>
        <v>Paper</v>
      </c>
      <c r="P1168" s="12">
        <f>HLOOKUP(C1168,'Commission Criteria'!$A$2:$I$4,3,FALSE)</f>
        <v>3</v>
      </c>
      <c r="Q1168" s="8">
        <f t="shared" si="55"/>
        <v>1779</v>
      </c>
      <c r="R1168" s="8">
        <f t="shared" si="56"/>
        <v>4309</v>
      </c>
      <c r="S1168" s="36">
        <f>VLOOKUP(R1168,'Commission Criteria'!$L$3:$M$11,2,TRUE)</f>
        <v>0.01</v>
      </c>
      <c r="T1168" s="36">
        <f>IF(P1168&lt;5,VLOOKUP(R1168,'Commission Criteria'!$L$3:$M$11,2,1),VLOOKUP('Order SUmmary'!R1168,'Commission Criteria'!$P$3:$Q$11,2,1))</f>
        <v>0.01</v>
      </c>
      <c r="U1168" s="36">
        <f>VLOOKUP(R1168,IF(P1168&lt;5,'Commission Criteria'!$L$3:$M$11,'Commission Criteria'!$P$3:$Q$11),2,1)</f>
        <v>0.01</v>
      </c>
      <c r="V1168" s="8" t="s">
        <v>29</v>
      </c>
      <c r="W1168" s="36">
        <f t="shared" ca="1" si="57"/>
        <v>0.03</v>
      </c>
      <c r="X1168" s="8" t="str">
        <f>_xlfn.XLOOKUP(F1168,'Product List'!$B$1:$B$299,'Product List'!$A$1:$A$299)</f>
        <v>Xerox 1932</v>
      </c>
      <c r="Y1168" s="8"/>
      <c r="Z1168" s="8" t="str" cm="1">
        <f t="array" ref="Z1168:AD1168">_xlfn.XLOOKUP(D1168,'Customer Details'!$A$1:$A$17,'Customer Details'!$B$1:$F$17,"No such customer",0,1)</f>
        <v>Suzlon Energy Ltd.</v>
      </c>
      <c r="AA1168" s="8" t="str">
        <v>501 Marsh Trail Circle</v>
      </c>
      <c r="AB1168" s="8" t="str">
        <v>Tracy</v>
      </c>
      <c r="AC1168" s="8" t="str">
        <v>CA</v>
      </c>
      <c r="AD1168" s="8" t="str">
        <v>95376</v>
      </c>
    </row>
    <row r="1169" spans="1:30">
      <c r="A1169" s="8" t="s">
        <v>1110</v>
      </c>
      <c r="B1169" s="19">
        <v>42291</v>
      </c>
      <c r="C1169" s="8" t="s">
        <v>36</v>
      </c>
      <c r="D1169" s="8">
        <v>10005</v>
      </c>
      <c r="E1169" s="8" t="str">
        <f>VLOOKUP($D1169,'Customer Details'!$A$1:$F$17,4,FALSE)</f>
        <v>Goleta</v>
      </c>
      <c r="F1169" s="8" t="s">
        <v>470</v>
      </c>
      <c r="G1169" s="8">
        <v>1</v>
      </c>
      <c r="H1169" s="2" t="str">
        <f>VLOOKUP($D1169,'Customer Details'!$A$1:$F$17,MATCH('Order SUmmary'!H$2,'Customer Details'!$A$1:$F$1,0),0)</f>
        <v>Fortis Healthcare Ltd.</v>
      </c>
      <c r="I1169" s="2" t="str">
        <f>VLOOKUP($D1169,'Customer Details'!$A$1:$F$17,4,0)</f>
        <v>Goleta</v>
      </c>
      <c r="J1169" s="2" t="str">
        <f>VLOOKUP($D1169,'Customer Details'!$A$1:$F$17,6,0)</f>
        <v>93117</v>
      </c>
      <c r="K1169" s="8" t="str">
        <f>VLOOKUP(VLOOKUP(D1169,'Customer Details'!$A$1:$F$17,5,0),'Region INfo'!$A$1:$C$52,3,0)</f>
        <v xml:space="preserve">Pacific   </v>
      </c>
      <c r="L1169" s="8" t="str">
        <f>INDEX(Product_List,MATCH($F1169,'Product List'!$B$1:$B$299,0),MATCH('Order SUmmary'!L$2,'Product List'!$A$1:$E$1,0))</f>
        <v>Xerox 1884</v>
      </c>
      <c r="M1169" s="8">
        <f>INDEX(Product_List,MATCH($F1169,'Product List'!$B$1:$B$299,0),MATCH('Order SUmmary'!M$2,'Product List'!$A$1:$E$1,0))</f>
        <v>3025</v>
      </c>
      <c r="N1169" s="8">
        <f>INDEX(Product_List,MATCH($F1169,'Product List'!$B$1:$B$299,0),MATCH('Order SUmmary'!N$2,'Product List'!$A$1:$E$1,0))</f>
        <v>1863</v>
      </c>
      <c r="O1169" s="8" t="str">
        <f>INDEX(Product_List,MATCH($F1169,'Product List'!$B$1:$B$299,0),MATCH('Order SUmmary'!O$2,'Product List'!$A$1:$E$1,0))</f>
        <v>Paper</v>
      </c>
      <c r="P1169" s="12">
        <f>HLOOKUP(C1169,'Commission Criteria'!$A$2:$I$4,3,FALSE)</f>
        <v>6</v>
      </c>
      <c r="Q1169" s="8">
        <f t="shared" si="55"/>
        <v>1863</v>
      </c>
      <c r="R1169" s="8">
        <f t="shared" si="56"/>
        <v>3025</v>
      </c>
      <c r="S1169" s="36">
        <f>VLOOKUP(R1169,'Commission Criteria'!$L$3:$M$11,2,TRUE)</f>
        <v>0.01</v>
      </c>
      <c r="T1169" s="36">
        <f>IF(P1169&lt;5,VLOOKUP(R1169,'Commission Criteria'!$L$3:$M$11,2,1),VLOOKUP('Order SUmmary'!R1169,'Commission Criteria'!$P$3:$Q$11,2,1))</f>
        <v>0.02</v>
      </c>
      <c r="U1169" s="36">
        <f>VLOOKUP(R1169,IF(P1169&lt;5,'Commission Criteria'!$L$3:$M$11,'Commission Criteria'!$P$3:$Q$11),2,1)</f>
        <v>0.02</v>
      </c>
      <c r="V1169" s="8" t="s">
        <v>35</v>
      </c>
      <c r="W1169" s="36">
        <f t="shared" ca="1" si="57"/>
        <v>0.04</v>
      </c>
      <c r="X1169" s="8" t="str">
        <f>_xlfn.XLOOKUP(F1169,'Product List'!$B$1:$B$299,'Product List'!$A$1:$A$299)</f>
        <v>Xerox 1884</v>
      </c>
      <c r="Y1169" s="8"/>
      <c r="Z1169" s="8" t="str" cm="1">
        <f t="array" ref="Z1169:AD1169">_xlfn.XLOOKUP(D1169,'Customer Details'!$A$1:$A$17,'Customer Details'!$B$1:$F$17,"No such customer",0,1)</f>
        <v>Fortis Healthcare Ltd.</v>
      </c>
      <c r="AA1169" s="8" t="str">
        <v>14 Elsworthy Terrace</v>
      </c>
      <c r="AB1169" s="8" t="str">
        <v>Goleta</v>
      </c>
      <c r="AC1169" s="8" t="str">
        <v>CA</v>
      </c>
      <c r="AD1169" s="8" t="str">
        <v>93117</v>
      </c>
    </row>
    <row r="1170" spans="1:30">
      <c r="A1170" s="8" t="s">
        <v>1111</v>
      </c>
      <c r="B1170" s="19">
        <v>42293</v>
      </c>
      <c r="C1170" s="8" t="s">
        <v>36</v>
      </c>
      <c r="D1170" s="8">
        <v>10003</v>
      </c>
      <c r="E1170" s="8" t="str">
        <f>VLOOKUP($D1170,'Customer Details'!$A$1:$F$17,4,FALSE)</f>
        <v>Miami</v>
      </c>
      <c r="F1170" s="8" t="s">
        <v>420</v>
      </c>
      <c r="G1170" s="8">
        <v>1</v>
      </c>
      <c r="H1170" s="2" t="str">
        <f>VLOOKUP($D1170,'Customer Details'!$A$1:$F$17,MATCH('Order SUmmary'!H$2,'Customer Details'!$A$1:$F$1,0),0)</f>
        <v>Honeywell Automation</v>
      </c>
      <c r="I1170" s="2" t="str">
        <f>VLOOKUP($D1170,'Customer Details'!$A$1:$F$17,4,0)</f>
        <v>Miami</v>
      </c>
      <c r="J1170" s="2" t="str">
        <f>VLOOKUP($D1170,'Customer Details'!$A$1:$F$17,6,0)</f>
        <v>33732</v>
      </c>
      <c r="K1170" s="8" t="str">
        <f>VLOOKUP(VLOOKUP(D1170,'Customer Details'!$A$1:$F$17,5,0),'Region INfo'!$A$1:$C$52,3,0)</f>
        <v>Southern</v>
      </c>
      <c r="L1170" s="8" t="str">
        <f>INDEX(Product_List,MATCH($F1170,'Product List'!$B$1:$B$299,0),MATCH('Order SUmmary'!L$2,'Product List'!$A$1:$E$1,0))</f>
        <v>Xerox 1972</v>
      </c>
      <c r="M1170" s="8">
        <f>INDEX(Product_List,MATCH($F1170,'Product List'!$B$1:$B$299,0),MATCH('Order SUmmary'!M$2,'Product List'!$A$1:$E$1,0))</f>
        <v>3566</v>
      </c>
      <c r="N1170" s="8">
        <f>INDEX(Product_List,MATCH($F1170,'Product List'!$B$1:$B$299,0),MATCH('Order SUmmary'!N$2,'Product List'!$A$1:$E$1,0))</f>
        <v>2276</v>
      </c>
      <c r="O1170" s="8" t="str">
        <f>INDEX(Product_List,MATCH($F1170,'Product List'!$B$1:$B$299,0),MATCH('Order SUmmary'!O$2,'Product List'!$A$1:$E$1,0))</f>
        <v>Paper</v>
      </c>
      <c r="P1170" s="12">
        <f>HLOOKUP(C1170,'Commission Criteria'!$A$2:$I$4,3,FALSE)</f>
        <v>6</v>
      </c>
      <c r="Q1170" s="8">
        <f t="shared" si="55"/>
        <v>2276</v>
      </c>
      <c r="R1170" s="8">
        <f t="shared" si="56"/>
        <v>3566</v>
      </c>
      <c r="S1170" s="36">
        <f>VLOOKUP(R1170,'Commission Criteria'!$L$3:$M$11,2,TRUE)</f>
        <v>0.01</v>
      </c>
      <c r="T1170" s="36">
        <f>IF(P1170&lt;5,VLOOKUP(R1170,'Commission Criteria'!$L$3:$M$11,2,1),VLOOKUP('Order SUmmary'!R1170,'Commission Criteria'!$P$3:$Q$11,2,1))</f>
        <v>0.02</v>
      </c>
      <c r="U1170" s="36">
        <f>VLOOKUP(R1170,IF(P1170&lt;5,'Commission Criteria'!$L$3:$M$11,'Commission Criteria'!$P$3:$Q$11),2,1)</f>
        <v>0.02</v>
      </c>
      <c r="V1170" s="8" t="s">
        <v>35</v>
      </c>
      <c r="W1170" s="36">
        <f t="shared" ca="1" si="57"/>
        <v>0.05</v>
      </c>
      <c r="X1170" s="8" t="str">
        <f>_xlfn.XLOOKUP(F1170,'Product List'!$B$1:$B$299,'Product List'!$A$1:$A$299)</f>
        <v>Xerox 1972</v>
      </c>
      <c r="Y1170" s="8"/>
      <c r="Z1170" s="8" t="str" cm="1">
        <f t="array" ref="Z1170:AD1170">_xlfn.XLOOKUP(D1170,'Customer Details'!$A$1:$A$17,'Customer Details'!$B$1:$F$17,"No such customer",0,1)</f>
        <v>Honeywell Automation</v>
      </c>
      <c r="AA1170" s="8" t="str">
        <v>1272 Harbor Road</v>
      </c>
      <c r="AB1170" s="8" t="str">
        <v>Miami</v>
      </c>
      <c r="AC1170" s="8" t="str">
        <v>FL</v>
      </c>
      <c r="AD1170" s="8" t="str">
        <v>33732</v>
      </c>
    </row>
    <row r="1171" spans="1:30">
      <c r="A1171" s="8" t="s">
        <v>1112</v>
      </c>
      <c r="B1171" s="19">
        <v>42295</v>
      </c>
      <c r="C1171" s="8" t="s">
        <v>51</v>
      </c>
      <c r="D1171" s="8">
        <v>10005</v>
      </c>
      <c r="E1171" s="8" t="str">
        <f>VLOOKUP($D1171,'Customer Details'!$A$1:$F$17,4,FALSE)</f>
        <v>Goleta</v>
      </c>
      <c r="F1171" s="8" t="s">
        <v>588</v>
      </c>
      <c r="G1171" s="8">
        <v>1</v>
      </c>
      <c r="H1171" s="2" t="str">
        <f>VLOOKUP($D1171,'Customer Details'!$A$1:$F$17,MATCH('Order SUmmary'!H$2,'Customer Details'!$A$1:$F$1,0),0)</f>
        <v>Fortis Healthcare Ltd.</v>
      </c>
      <c r="I1171" s="2" t="str">
        <f>VLOOKUP($D1171,'Customer Details'!$A$1:$F$17,4,0)</f>
        <v>Goleta</v>
      </c>
      <c r="J1171" s="2" t="str">
        <f>VLOOKUP($D1171,'Customer Details'!$A$1:$F$17,6,0)</f>
        <v>93117</v>
      </c>
      <c r="K1171" s="8" t="str">
        <f>VLOOKUP(VLOOKUP(D1171,'Customer Details'!$A$1:$F$17,5,0),'Region INfo'!$A$1:$C$52,3,0)</f>
        <v xml:space="preserve">Pacific   </v>
      </c>
      <c r="L1171" s="8" t="str">
        <f>INDEX(Product_List,MATCH($F1171,'Product List'!$B$1:$B$299,0),MATCH('Order SUmmary'!L$2,'Product List'!$A$1:$E$1,0))</f>
        <v>Xerox 1947</v>
      </c>
      <c r="M1171" s="8">
        <f>INDEX(Product_List,MATCH($F1171,'Product List'!$B$1:$B$299,0),MATCH('Order SUmmary'!M$2,'Product List'!$A$1:$E$1,0))</f>
        <v>3994</v>
      </c>
      <c r="N1171" s="8">
        <f>INDEX(Product_List,MATCH($F1171,'Product List'!$B$1:$B$299,0),MATCH('Order SUmmary'!N$2,'Product List'!$A$1:$E$1,0))</f>
        <v>1799</v>
      </c>
      <c r="O1171" s="8" t="str">
        <f>INDEX(Product_List,MATCH($F1171,'Product List'!$B$1:$B$299,0),MATCH('Order SUmmary'!O$2,'Product List'!$A$1:$E$1,0))</f>
        <v>Paper</v>
      </c>
      <c r="P1171" s="12">
        <f>HLOOKUP(C1171,'Commission Criteria'!$A$2:$I$4,3,FALSE)</f>
        <v>10</v>
      </c>
      <c r="Q1171" s="8">
        <f t="shared" si="55"/>
        <v>1799</v>
      </c>
      <c r="R1171" s="8">
        <f t="shared" si="56"/>
        <v>3994</v>
      </c>
      <c r="S1171" s="36">
        <f>VLOOKUP(R1171,'Commission Criteria'!$L$3:$M$11,2,TRUE)</f>
        <v>0.01</v>
      </c>
      <c r="T1171" s="36">
        <f>IF(P1171&lt;5,VLOOKUP(R1171,'Commission Criteria'!$L$3:$M$11,2,1),VLOOKUP('Order SUmmary'!R1171,'Commission Criteria'!$P$3:$Q$11,2,1))</f>
        <v>0.02</v>
      </c>
      <c r="U1171" s="36">
        <f>VLOOKUP(R1171,IF(P1171&lt;5,'Commission Criteria'!$L$3:$M$11,'Commission Criteria'!$P$3:$Q$11),2,1)</f>
        <v>0.02</v>
      </c>
      <c r="V1171" s="8" t="s">
        <v>29</v>
      </c>
      <c r="W1171" s="36">
        <f t="shared" ca="1" si="57"/>
        <v>0.02</v>
      </c>
      <c r="X1171" s="8" t="str">
        <f>_xlfn.XLOOKUP(F1171,'Product List'!$B$1:$B$299,'Product List'!$A$1:$A$299)</f>
        <v>Xerox 1947</v>
      </c>
      <c r="Y1171" s="8"/>
      <c r="Z1171" s="8" t="str" cm="1">
        <f t="array" ref="Z1171:AD1171">_xlfn.XLOOKUP(D1171,'Customer Details'!$A$1:$A$17,'Customer Details'!$B$1:$F$17,"No such customer",0,1)</f>
        <v>Fortis Healthcare Ltd.</v>
      </c>
      <c r="AA1171" s="8" t="str">
        <v>14 Elsworthy Terrace</v>
      </c>
      <c r="AB1171" s="8" t="str">
        <v>Goleta</v>
      </c>
      <c r="AC1171" s="8" t="str">
        <v>CA</v>
      </c>
      <c r="AD1171" s="8" t="str">
        <v>93117</v>
      </c>
    </row>
    <row r="1172" spans="1:30">
      <c r="A1172" s="8" t="s">
        <v>1113</v>
      </c>
      <c r="B1172" s="19">
        <v>42295</v>
      </c>
      <c r="C1172" s="8" t="s">
        <v>46</v>
      </c>
      <c r="D1172" s="8">
        <v>10003</v>
      </c>
      <c r="E1172" s="8" t="str">
        <f>VLOOKUP($D1172,'Customer Details'!$A$1:$F$17,4,FALSE)</f>
        <v>Miami</v>
      </c>
      <c r="F1172" s="8" t="s">
        <v>28</v>
      </c>
      <c r="G1172" s="8">
        <v>1</v>
      </c>
      <c r="H1172" s="2" t="str">
        <f>VLOOKUP($D1172,'Customer Details'!$A$1:$F$17,MATCH('Order SUmmary'!H$2,'Customer Details'!$A$1:$F$1,0),0)</f>
        <v>Honeywell Automation</v>
      </c>
      <c r="I1172" s="2" t="str">
        <f>VLOOKUP($D1172,'Customer Details'!$A$1:$F$17,4,0)</f>
        <v>Miami</v>
      </c>
      <c r="J1172" s="2" t="str">
        <f>VLOOKUP($D1172,'Customer Details'!$A$1:$F$17,6,0)</f>
        <v>33732</v>
      </c>
      <c r="K1172" s="8" t="str">
        <f>VLOOKUP(VLOOKUP(D1172,'Customer Details'!$A$1:$F$17,5,0),'Region INfo'!$A$1:$C$52,3,0)</f>
        <v>Southern</v>
      </c>
      <c r="L1172" s="8" t="str">
        <f>INDEX(Product_List,MATCH($F1172,'Product List'!$B$1:$B$299,0),MATCH('Order SUmmary'!L$2,'Product List'!$A$1:$E$1,0))</f>
        <v>Xerox 1951</v>
      </c>
      <c r="M1172" s="8">
        <f>INDEX(Product_List,MATCH($F1172,'Product List'!$B$1:$B$299,0),MATCH('Order SUmmary'!M$2,'Product List'!$A$1:$E$1,0))</f>
        <v>4006</v>
      </c>
      <c r="N1172" s="8">
        <f>INDEX(Product_List,MATCH($F1172,'Product List'!$B$1:$B$299,0),MATCH('Order SUmmary'!N$2,'Product List'!$A$1:$E$1,0))</f>
        <v>1898</v>
      </c>
      <c r="O1172" s="8" t="str">
        <f>INDEX(Product_List,MATCH($F1172,'Product List'!$B$1:$B$299,0),MATCH('Order SUmmary'!O$2,'Product List'!$A$1:$E$1,0))</f>
        <v>Paper</v>
      </c>
      <c r="P1172" s="12">
        <f>HLOOKUP(C1172,'Commission Criteria'!$A$2:$I$4,3,FALSE)</f>
        <v>8</v>
      </c>
      <c r="Q1172" s="8">
        <f t="shared" si="55"/>
        <v>1898</v>
      </c>
      <c r="R1172" s="8">
        <f t="shared" si="56"/>
        <v>4006</v>
      </c>
      <c r="S1172" s="36">
        <f>VLOOKUP(R1172,'Commission Criteria'!$L$3:$M$11,2,TRUE)</f>
        <v>0.01</v>
      </c>
      <c r="T1172" s="36">
        <f>IF(P1172&lt;5,VLOOKUP(R1172,'Commission Criteria'!$L$3:$M$11,2,1),VLOOKUP('Order SUmmary'!R1172,'Commission Criteria'!$P$3:$Q$11,2,1))</f>
        <v>0.02</v>
      </c>
      <c r="U1172" s="36">
        <f>VLOOKUP(R1172,IF(P1172&lt;5,'Commission Criteria'!$L$3:$M$11,'Commission Criteria'!$P$3:$Q$11),2,1)</f>
        <v>0.02</v>
      </c>
      <c r="V1172" s="8" t="s">
        <v>29</v>
      </c>
      <c r="W1172" s="36">
        <f t="shared" ca="1" si="57"/>
        <v>0.01</v>
      </c>
      <c r="X1172" s="8" t="str">
        <f>_xlfn.XLOOKUP(F1172,'Product List'!$B$1:$B$299,'Product List'!$A$1:$A$299)</f>
        <v>Xerox 1951</v>
      </c>
      <c r="Y1172" s="8"/>
      <c r="Z1172" s="8" t="str" cm="1">
        <f t="array" ref="Z1172:AD1172">_xlfn.XLOOKUP(D1172,'Customer Details'!$A$1:$A$17,'Customer Details'!$B$1:$F$17,"No such customer",0,1)</f>
        <v>Honeywell Automation</v>
      </c>
      <c r="AA1172" s="8" t="str">
        <v>1272 Harbor Road</v>
      </c>
      <c r="AB1172" s="8" t="str">
        <v>Miami</v>
      </c>
      <c r="AC1172" s="8" t="str">
        <v>FL</v>
      </c>
      <c r="AD1172" s="8" t="str">
        <v>33732</v>
      </c>
    </row>
    <row r="1173" spans="1:30">
      <c r="A1173" s="8" t="s">
        <v>1112</v>
      </c>
      <c r="B1173" s="19">
        <v>42295</v>
      </c>
      <c r="C1173" s="8" t="s">
        <v>54</v>
      </c>
      <c r="D1173" s="8">
        <v>10001</v>
      </c>
      <c r="E1173" s="8" t="str">
        <f>VLOOKUP($D1173,'Customer Details'!$A$1:$F$17,4,FALSE)</f>
        <v>New York</v>
      </c>
      <c r="F1173" s="8" t="s">
        <v>153</v>
      </c>
      <c r="G1173" s="8">
        <v>3</v>
      </c>
      <c r="H1173" s="2" t="str">
        <f>VLOOKUP($D1173,'Customer Details'!$A$1:$F$17,MATCH('Order SUmmary'!H$2,'Customer Details'!$A$1:$F$1,0),0)</f>
        <v>Chambal Fertilisers and Chemicals Ltd.</v>
      </c>
      <c r="I1173" s="2" t="str">
        <f>VLOOKUP($D1173,'Customer Details'!$A$1:$F$17,4,0)</f>
        <v>New York</v>
      </c>
      <c r="J1173" s="2" t="str">
        <f>VLOOKUP($D1173,'Customer Details'!$A$1:$F$17,6,0)</f>
        <v>10025</v>
      </c>
      <c r="K1173" s="8" t="str">
        <f>VLOOKUP(VLOOKUP(D1173,'Customer Details'!$A$1:$F$17,5,0),'Region INfo'!$A$1:$C$52,3,0)</f>
        <v xml:space="preserve">Northern </v>
      </c>
      <c r="L1173" s="8" t="str">
        <f>INDEX(Product_List,MATCH($F1173,'Product List'!$B$1:$B$299,0),MATCH('Order SUmmary'!L$2,'Product List'!$A$1:$E$1,0))</f>
        <v>LG G2</v>
      </c>
      <c r="M1173" s="8">
        <f>INDEX(Product_List,MATCH($F1173,'Product List'!$B$1:$B$299,0),MATCH('Order SUmmary'!M$2,'Product List'!$A$1:$E$1,0))</f>
        <v>4305</v>
      </c>
      <c r="N1173" s="8">
        <f>INDEX(Product_List,MATCH($F1173,'Product List'!$B$1:$B$299,0),MATCH('Order SUmmary'!N$2,'Product List'!$A$1:$E$1,0))</f>
        <v>1703</v>
      </c>
      <c r="O1173" s="8" t="str">
        <f>INDEX(Product_List,MATCH($F1173,'Product List'!$B$1:$B$299,0),MATCH('Order SUmmary'!O$2,'Product List'!$A$1:$E$1,0))</f>
        <v>Phones</v>
      </c>
      <c r="P1173" s="12">
        <f>HLOOKUP(C1173,'Commission Criteria'!$A$2:$I$4,3,FALSE)</f>
        <v>3</v>
      </c>
      <c r="Q1173" s="8">
        <f t="shared" si="55"/>
        <v>5109</v>
      </c>
      <c r="R1173" s="8">
        <f t="shared" si="56"/>
        <v>12915</v>
      </c>
      <c r="S1173" s="36">
        <f>VLOOKUP(R1173,'Commission Criteria'!$L$3:$M$11,2,TRUE)</f>
        <v>0.03</v>
      </c>
      <c r="T1173" s="36">
        <f>IF(P1173&lt;5,VLOOKUP(R1173,'Commission Criteria'!$L$3:$M$11,2,1),VLOOKUP('Order SUmmary'!R1173,'Commission Criteria'!$P$3:$Q$11,2,1))</f>
        <v>0.03</v>
      </c>
      <c r="U1173" s="36">
        <f>VLOOKUP(R1173,IF(P1173&lt;5,'Commission Criteria'!$L$3:$M$11,'Commission Criteria'!$P$3:$Q$11),2,1)</f>
        <v>0.03</v>
      </c>
      <c r="V1173" s="8" t="s">
        <v>29</v>
      </c>
      <c r="W1173" s="36">
        <f t="shared" ca="1" si="57"/>
        <v>0.02</v>
      </c>
      <c r="X1173" s="8" t="str">
        <f>_xlfn.XLOOKUP(F1173,'Product List'!$B$1:$B$299,'Product List'!$A$1:$A$299)</f>
        <v>LG G2</v>
      </c>
      <c r="Y1173" s="8"/>
      <c r="Z1173" s="8" t="str" cm="1">
        <f t="array" ref="Z1173:AD1173">_xlfn.XLOOKUP(D1173,'Customer Details'!$A$1:$A$17,'Customer Details'!$B$1:$F$17,"No such customer",0,1)</f>
        <v>Chambal Fertilisers and Chemicals Ltd.</v>
      </c>
      <c r="AA1173" s="8" t="str">
        <v>4951 Indiana Ave.</v>
      </c>
      <c r="AB1173" s="8" t="str">
        <v>New York</v>
      </c>
      <c r="AC1173" s="8" t="str">
        <v>NY</v>
      </c>
      <c r="AD1173" s="8" t="str">
        <v>10025</v>
      </c>
    </row>
    <row r="1174" spans="1:30">
      <c r="A1174" s="8" t="s">
        <v>1114</v>
      </c>
      <c r="B1174" s="19">
        <v>42297</v>
      </c>
      <c r="C1174" s="8" t="s">
        <v>33</v>
      </c>
      <c r="D1174" s="8">
        <v>10014</v>
      </c>
      <c r="E1174" s="8" t="str">
        <f>VLOOKUP($D1174,'Customer Details'!$A$1:$F$17,4,FALSE)</f>
        <v>Honolulu</v>
      </c>
      <c r="F1174" s="8" t="s">
        <v>65</v>
      </c>
      <c r="G1174" s="8">
        <v>1</v>
      </c>
      <c r="H1174" s="2" t="str">
        <f>VLOOKUP($D1174,'Customer Details'!$A$1:$F$17,MATCH('Order SUmmary'!H$2,'Customer Details'!$A$1:$F$1,0),0)</f>
        <v>Hindusthan National Glass &amp; Industries Ltd.</v>
      </c>
      <c r="I1174" s="2" t="str">
        <f>VLOOKUP($D1174,'Customer Details'!$A$1:$F$17,4,0)</f>
        <v>Honolulu</v>
      </c>
      <c r="J1174" s="2" t="str">
        <f>VLOOKUP($D1174,'Customer Details'!$A$1:$F$17,6,0)</f>
        <v>96825</v>
      </c>
      <c r="K1174" s="8" t="str">
        <f>VLOOKUP(VLOOKUP(D1174,'Customer Details'!$A$1:$F$17,5,0),'Region INfo'!$A$1:$C$52,3,0)</f>
        <v xml:space="preserve">Pacific   </v>
      </c>
      <c r="L1174" s="8" t="str">
        <f>INDEX(Product_List,MATCH($F1174,'Product List'!$B$1:$B$299,0),MATCH('Order SUmmary'!L$2,'Product List'!$A$1:$E$1,0))</f>
        <v>Xerox 1963</v>
      </c>
      <c r="M1174" s="8">
        <f>INDEX(Product_List,MATCH($F1174,'Product List'!$B$1:$B$299,0),MATCH('Order SUmmary'!M$2,'Product List'!$A$1:$E$1,0))</f>
        <v>3339</v>
      </c>
      <c r="N1174" s="8">
        <f>INDEX(Product_List,MATCH($F1174,'Product List'!$B$1:$B$299,0),MATCH('Order SUmmary'!N$2,'Product List'!$A$1:$E$1,0))</f>
        <v>2274</v>
      </c>
      <c r="O1174" s="8" t="str">
        <f>INDEX(Product_List,MATCH($F1174,'Product List'!$B$1:$B$299,0),MATCH('Order SUmmary'!O$2,'Product List'!$A$1:$E$1,0))</f>
        <v>Paper</v>
      </c>
      <c r="P1174" s="12">
        <f>HLOOKUP(C1174,'Commission Criteria'!$A$2:$I$4,3,FALSE)</f>
        <v>1</v>
      </c>
      <c r="Q1174" s="8">
        <f t="shared" si="55"/>
        <v>2274</v>
      </c>
      <c r="R1174" s="8">
        <f t="shared" si="56"/>
        <v>3339</v>
      </c>
      <c r="S1174" s="36">
        <f>VLOOKUP(R1174,'Commission Criteria'!$L$3:$M$11,2,TRUE)</f>
        <v>0.01</v>
      </c>
      <c r="T1174" s="36">
        <f>IF(P1174&lt;5,VLOOKUP(R1174,'Commission Criteria'!$L$3:$M$11,2,1),VLOOKUP('Order SUmmary'!R1174,'Commission Criteria'!$P$3:$Q$11,2,1))</f>
        <v>0.01</v>
      </c>
      <c r="U1174" s="36">
        <f>VLOOKUP(R1174,IF(P1174&lt;5,'Commission Criteria'!$L$3:$M$11,'Commission Criteria'!$P$3:$Q$11),2,1)</f>
        <v>0.01</v>
      </c>
      <c r="V1174" s="8" t="s">
        <v>50</v>
      </c>
      <c r="W1174" s="36">
        <f t="shared" ca="1" si="57"/>
        <v>0.05</v>
      </c>
      <c r="X1174" s="8" t="str">
        <f>_xlfn.XLOOKUP(F1174,'Product List'!$B$1:$B$299,'Product List'!$A$1:$A$299)</f>
        <v>Xerox 1963</v>
      </c>
      <c r="Y1174" s="8"/>
      <c r="Z1174" s="8" t="str" cm="1">
        <f t="array" ref="Z1174:AD1174">_xlfn.XLOOKUP(D1174,'Customer Details'!$A$1:$A$17,'Customer Details'!$B$1:$F$17,"No such customer",0,1)</f>
        <v>Hindusthan National Glass &amp; Industries Ltd.</v>
      </c>
      <c r="AA1174" s="8" t="str">
        <v>11 Cathy St.</v>
      </c>
      <c r="AB1174" s="8" t="str">
        <v>Honolulu</v>
      </c>
      <c r="AC1174" s="8" t="str">
        <v>HI</v>
      </c>
      <c r="AD1174" s="8" t="str">
        <v>96825</v>
      </c>
    </row>
    <row r="1175" spans="1:30">
      <c r="A1175" s="8" t="s">
        <v>1115</v>
      </c>
      <c r="B1175" s="19">
        <v>42297</v>
      </c>
      <c r="C1175" s="8" t="s">
        <v>66</v>
      </c>
      <c r="D1175" s="8">
        <v>10009</v>
      </c>
      <c r="E1175" s="8" t="str">
        <f>VLOOKUP($D1175,'Customer Details'!$A$1:$F$17,4,FALSE)</f>
        <v>Salt Lake City</v>
      </c>
      <c r="F1175" s="8" t="s">
        <v>926</v>
      </c>
      <c r="G1175" s="8">
        <v>1</v>
      </c>
      <c r="H1175" s="2" t="str">
        <f>VLOOKUP($D1175,'Customer Details'!$A$1:$F$17,MATCH('Order SUmmary'!H$2,'Customer Details'!$A$1:$F$1,0),0)</f>
        <v>Godfrey Philips India Ltd.</v>
      </c>
      <c r="I1175" s="2" t="str">
        <f>VLOOKUP($D1175,'Customer Details'!$A$1:$F$17,4,0)</f>
        <v>Salt Lake City</v>
      </c>
      <c r="J1175" s="2" t="str">
        <f>VLOOKUP($D1175,'Customer Details'!$A$1:$F$17,6,0)</f>
        <v>84118</v>
      </c>
      <c r="K1175" s="8" t="str">
        <f>VLOOKUP(VLOOKUP(D1175,'Customer Details'!$A$1:$F$17,5,0),'Region INfo'!$A$1:$C$52,3,0)</f>
        <v xml:space="preserve">Pacific   </v>
      </c>
      <c r="L1175" s="8" t="str">
        <f>INDEX(Product_List,MATCH($F1175,'Product List'!$B$1:$B$299,0),MATCH('Order SUmmary'!L$2,'Product List'!$A$1:$E$1,0))</f>
        <v>Newell 33</v>
      </c>
      <c r="M1175" s="8">
        <f>INDEX(Product_List,MATCH($F1175,'Product List'!$B$1:$B$299,0),MATCH('Order SUmmary'!M$2,'Product List'!$A$1:$E$1,0))</f>
        <v>3580</v>
      </c>
      <c r="N1175" s="8">
        <f>INDEX(Product_List,MATCH($F1175,'Product List'!$B$1:$B$299,0),MATCH('Order SUmmary'!N$2,'Product List'!$A$1:$E$1,0))</f>
        <v>2012</v>
      </c>
      <c r="O1175" s="8" t="str">
        <f>INDEX(Product_List,MATCH($F1175,'Product List'!$B$1:$B$299,0),MATCH('Order SUmmary'!O$2,'Product List'!$A$1:$E$1,0))</f>
        <v>Art</v>
      </c>
      <c r="P1175" s="12">
        <f>HLOOKUP(C1175,'Commission Criteria'!$A$2:$I$4,3,FALSE)</f>
        <v>5</v>
      </c>
      <c r="Q1175" s="8">
        <f t="shared" si="55"/>
        <v>2012</v>
      </c>
      <c r="R1175" s="8">
        <f t="shared" si="56"/>
        <v>3580</v>
      </c>
      <c r="S1175" s="36">
        <f>VLOOKUP(R1175,'Commission Criteria'!$L$3:$M$11,2,TRUE)</f>
        <v>0.01</v>
      </c>
      <c r="T1175" s="36">
        <f>IF(P1175&lt;5,VLOOKUP(R1175,'Commission Criteria'!$L$3:$M$11,2,1),VLOOKUP('Order SUmmary'!R1175,'Commission Criteria'!$P$3:$Q$11,2,1))</f>
        <v>0.02</v>
      </c>
      <c r="U1175" s="36">
        <f>VLOOKUP(R1175,IF(P1175&lt;5,'Commission Criteria'!$L$3:$M$11,'Commission Criteria'!$P$3:$Q$11),2,1)</f>
        <v>0.02</v>
      </c>
      <c r="V1175" s="8" t="s">
        <v>32</v>
      </c>
      <c r="W1175" s="36">
        <f t="shared" ca="1" si="57"/>
        <v>0.02</v>
      </c>
      <c r="X1175" s="8" t="str">
        <f>_xlfn.XLOOKUP(F1175,'Product List'!$B$1:$B$299,'Product List'!$A$1:$A$299)</f>
        <v>Newell 33</v>
      </c>
      <c r="Y1175" s="8"/>
      <c r="Z1175" s="8" t="str" cm="1">
        <f t="array" ref="Z1175:AD1175">_xlfn.XLOOKUP(D1175,'Customer Details'!$A$1:$A$17,'Customer Details'!$B$1:$F$17,"No such customer",0,1)</f>
        <v>Godfrey Philips India Ltd.</v>
      </c>
      <c r="AA1175" s="8" t="str">
        <v>20501 Ania Ave #2</v>
      </c>
      <c r="AB1175" s="8" t="str">
        <v>Salt Lake City</v>
      </c>
      <c r="AC1175" s="8" t="str">
        <v>UT</v>
      </c>
      <c r="AD1175" s="8" t="str">
        <v>84118</v>
      </c>
    </row>
    <row r="1176" spans="1:30">
      <c r="A1176" s="8" t="s">
        <v>1114</v>
      </c>
      <c r="B1176" s="19">
        <v>42297</v>
      </c>
      <c r="C1176" s="8" t="s">
        <v>46</v>
      </c>
      <c r="D1176" s="8">
        <v>10012</v>
      </c>
      <c r="E1176" s="8" t="str">
        <f>VLOOKUP($D1176,'Customer Details'!$A$1:$F$17,4,FALSE)</f>
        <v>Santa Barbara</v>
      </c>
      <c r="F1176" s="8" t="s">
        <v>300</v>
      </c>
      <c r="G1176" s="8">
        <v>3</v>
      </c>
      <c r="H1176" s="2" t="str">
        <f>VLOOKUP($D1176,'Customer Details'!$A$1:$F$17,MATCH('Order SUmmary'!H$2,'Customer Details'!$A$1:$F$1,0),0)</f>
        <v>Dynamatic Technologies Ltd.</v>
      </c>
      <c r="I1176" s="2" t="str">
        <f>VLOOKUP($D1176,'Customer Details'!$A$1:$F$17,4,0)</f>
        <v>Santa Barbara</v>
      </c>
      <c r="J1176" s="2" t="str">
        <f>VLOOKUP($D1176,'Customer Details'!$A$1:$F$17,6,0)</f>
        <v>93110</v>
      </c>
      <c r="K1176" s="8" t="str">
        <f>VLOOKUP(VLOOKUP(D1176,'Customer Details'!$A$1:$F$17,5,0),'Region INfo'!$A$1:$C$52,3,0)</f>
        <v xml:space="preserve">Pacific   </v>
      </c>
      <c r="L1176" s="8" t="str">
        <f>INDEX(Product_List,MATCH($F1176,'Product List'!$B$1:$B$299,0),MATCH('Order SUmmary'!L$2,'Product List'!$A$1:$E$1,0))</f>
        <v>Xerox 1892</v>
      </c>
      <c r="M1176" s="8">
        <f>INDEX(Product_List,MATCH($F1176,'Product List'!$B$1:$B$299,0),MATCH('Order SUmmary'!M$2,'Product List'!$A$1:$E$1,0))</f>
        <v>4069</v>
      </c>
      <c r="N1176" s="8">
        <f>INDEX(Product_List,MATCH($F1176,'Product List'!$B$1:$B$299,0),MATCH('Order SUmmary'!N$2,'Product List'!$A$1:$E$1,0))</f>
        <v>1545</v>
      </c>
      <c r="O1176" s="8" t="str">
        <f>INDEX(Product_List,MATCH($F1176,'Product List'!$B$1:$B$299,0),MATCH('Order SUmmary'!O$2,'Product List'!$A$1:$E$1,0))</f>
        <v>Paper</v>
      </c>
      <c r="P1176" s="12">
        <f>HLOOKUP(C1176,'Commission Criteria'!$A$2:$I$4,3,FALSE)</f>
        <v>8</v>
      </c>
      <c r="Q1176" s="8">
        <f t="shared" si="55"/>
        <v>4635</v>
      </c>
      <c r="R1176" s="8">
        <f t="shared" si="56"/>
        <v>12207</v>
      </c>
      <c r="S1176" s="36">
        <f>VLOOKUP(R1176,'Commission Criteria'!$L$3:$M$11,2,TRUE)</f>
        <v>0.03</v>
      </c>
      <c r="T1176" s="36">
        <f>IF(P1176&lt;5,VLOOKUP(R1176,'Commission Criteria'!$L$3:$M$11,2,1),VLOOKUP('Order SUmmary'!R1176,'Commission Criteria'!$P$3:$Q$11,2,1))</f>
        <v>0.02</v>
      </c>
      <c r="U1176" s="36">
        <f>VLOOKUP(R1176,IF(P1176&lt;5,'Commission Criteria'!$L$3:$M$11,'Commission Criteria'!$P$3:$Q$11),2,1)</f>
        <v>0.02</v>
      </c>
      <c r="V1176" s="8" t="s">
        <v>29</v>
      </c>
      <c r="W1176" s="36">
        <f t="shared" ca="1" si="57"/>
        <v>0.03</v>
      </c>
      <c r="X1176" s="8" t="str">
        <f>_xlfn.XLOOKUP(F1176,'Product List'!$B$1:$B$299,'Product List'!$A$1:$A$299)</f>
        <v>Xerox 1892</v>
      </c>
      <c r="Y1176" s="8"/>
      <c r="Z1176" s="8" t="str" cm="1">
        <f t="array" ref="Z1176:AD1176">_xlfn.XLOOKUP(D1176,'Customer Details'!$A$1:$A$17,'Customer Details'!$B$1:$F$17,"No such customer",0,1)</f>
        <v>Dynamatic Technologies Ltd.</v>
      </c>
      <c r="AA1176" s="8" t="str">
        <v>402 Pinkster Lane</v>
      </c>
      <c r="AB1176" s="8" t="str">
        <v>Santa Barbara</v>
      </c>
      <c r="AC1176" s="8" t="str">
        <v>CA</v>
      </c>
      <c r="AD1176" s="8" t="str">
        <v>93110</v>
      </c>
    </row>
    <row r="1177" spans="1:30">
      <c r="A1177" s="8" t="s">
        <v>1116</v>
      </c>
      <c r="B1177" s="19">
        <v>42299</v>
      </c>
      <c r="C1177" s="8" t="s">
        <v>36</v>
      </c>
      <c r="D1177" s="8">
        <v>10001</v>
      </c>
      <c r="E1177" s="8" t="str">
        <f>VLOOKUP($D1177,'Customer Details'!$A$1:$F$17,4,FALSE)</f>
        <v>New York</v>
      </c>
      <c r="F1177" s="8" t="s">
        <v>592</v>
      </c>
      <c r="G1177" s="8">
        <v>1</v>
      </c>
      <c r="H1177" s="2" t="str">
        <f>VLOOKUP($D1177,'Customer Details'!$A$1:$F$17,MATCH('Order SUmmary'!H$2,'Customer Details'!$A$1:$F$1,0),0)</f>
        <v>Chambal Fertilisers and Chemicals Ltd.</v>
      </c>
      <c r="I1177" s="2" t="str">
        <f>VLOOKUP($D1177,'Customer Details'!$A$1:$F$17,4,0)</f>
        <v>New York</v>
      </c>
      <c r="J1177" s="2" t="str">
        <f>VLOOKUP($D1177,'Customer Details'!$A$1:$F$17,6,0)</f>
        <v>10025</v>
      </c>
      <c r="K1177" s="8" t="str">
        <f>VLOOKUP(VLOOKUP(D1177,'Customer Details'!$A$1:$F$17,5,0),'Region INfo'!$A$1:$C$52,3,0)</f>
        <v xml:space="preserve">Northern </v>
      </c>
      <c r="L1177" s="8" t="str">
        <f>INDEX(Product_List,MATCH($F1177,'Product List'!$B$1:$B$299,0),MATCH('Order SUmmary'!L$2,'Product List'!$A$1:$E$1,0))</f>
        <v>Avery 5</v>
      </c>
      <c r="M1177" s="8">
        <f>INDEX(Product_List,MATCH($F1177,'Product List'!$B$1:$B$299,0),MATCH('Order SUmmary'!M$2,'Product List'!$A$1:$E$1,0))</f>
        <v>3388</v>
      </c>
      <c r="N1177" s="8">
        <f>INDEX(Product_List,MATCH($F1177,'Product List'!$B$1:$B$299,0),MATCH('Order SUmmary'!N$2,'Product List'!$A$1:$E$1,0))</f>
        <v>1454</v>
      </c>
      <c r="O1177" s="8" t="str">
        <f>INDEX(Product_List,MATCH($F1177,'Product List'!$B$1:$B$299,0),MATCH('Order SUmmary'!O$2,'Product List'!$A$1:$E$1,0))</f>
        <v>Labels</v>
      </c>
      <c r="P1177" s="12">
        <f>HLOOKUP(C1177,'Commission Criteria'!$A$2:$I$4,3,FALSE)</f>
        <v>6</v>
      </c>
      <c r="Q1177" s="8">
        <f t="shared" si="55"/>
        <v>1454</v>
      </c>
      <c r="R1177" s="8">
        <f t="shared" si="56"/>
        <v>3388</v>
      </c>
      <c r="S1177" s="36">
        <f>VLOOKUP(R1177,'Commission Criteria'!$L$3:$M$11,2,TRUE)</f>
        <v>0.01</v>
      </c>
      <c r="T1177" s="36">
        <f>IF(P1177&lt;5,VLOOKUP(R1177,'Commission Criteria'!$L$3:$M$11,2,1),VLOOKUP('Order SUmmary'!R1177,'Commission Criteria'!$P$3:$Q$11,2,1))</f>
        <v>0.02</v>
      </c>
      <c r="U1177" s="36">
        <f>VLOOKUP(R1177,IF(P1177&lt;5,'Commission Criteria'!$L$3:$M$11,'Commission Criteria'!$P$3:$Q$11),2,1)</f>
        <v>0.02</v>
      </c>
      <c r="V1177" s="8" t="s">
        <v>40</v>
      </c>
      <c r="W1177" s="36">
        <f t="shared" ca="1" si="57"/>
        <v>0.05</v>
      </c>
      <c r="X1177" s="8" t="str">
        <f>_xlfn.XLOOKUP(F1177,'Product List'!$B$1:$B$299,'Product List'!$A$1:$A$299)</f>
        <v>Avery 5</v>
      </c>
      <c r="Y1177" s="8"/>
      <c r="Z1177" s="8" t="str" cm="1">
        <f t="array" ref="Z1177:AD1177">_xlfn.XLOOKUP(D1177,'Customer Details'!$A$1:$A$17,'Customer Details'!$B$1:$F$17,"No such customer",0,1)</f>
        <v>Chambal Fertilisers and Chemicals Ltd.</v>
      </c>
      <c r="AA1177" s="8" t="str">
        <v>4951 Indiana Ave.</v>
      </c>
      <c r="AB1177" s="8" t="str">
        <v>New York</v>
      </c>
      <c r="AC1177" s="8" t="str">
        <v>NY</v>
      </c>
      <c r="AD1177" s="8" t="str">
        <v>10025</v>
      </c>
    </row>
    <row r="1178" spans="1:30">
      <c r="A1178" s="8" t="s">
        <v>1116</v>
      </c>
      <c r="B1178" s="19">
        <v>42299</v>
      </c>
      <c r="C1178" s="8" t="s">
        <v>44</v>
      </c>
      <c r="D1178" s="8">
        <v>10010</v>
      </c>
      <c r="E1178" s="8" t="str">
        <f>VLOOKUP($D1178,'Customer Details'!$A$1:$F$17,4,FALSE)</f>
        <v>Tracy</v>
      </c>
      <c r="F1178" s="8" t="s">
        <v>515</v>
      </c>
      <c r="G1178" s="8">
        <v>2</v>
      </c>
      <c r="H1178" s="2" t="str">
        <f>VLOOKUP($D1178,'Customer Details'!$A$1:$F$17,MATCH('Order SUmmary'!H$2,'Customer Details'!$A$1:$F$1,0),0)</f>
        <v>Suzlon Energy Ltd.</v>
      </c>
      <c r="I1178" s="2" t="str">
        <f>VLOOKUP($D1178,'Customer Details'!$A$1:$F$17,4,0)</f>
        <v>Tracy</v>
      </c>
      <c r="J1178" s="2" t="str">
        <f>VLOOKUP($D1178,'Customer Details'!$A$1:$F$17,6,0)</f>
        <v>95376</v>
      </c>
      <c r="K1178" s="8" t="str">
        <f>VLOOKUP(VLOOKUP(D1178,'Customer Details'!$A$1:$F$17,5,0),'Region INfo'!$A$1:$C$52,3,0)</f>
        <v xml:space="preserve">Pacific   </v>
      </c>
      <c r="L1178" s="8" t="str">
        <f>INDEX(Product_List,MATCH($F1178,'Product List'!$B$1:$B$299,0),MATCH('Order SUmmary'!L$2,'Product List'!$A$1:$E$1,0))</f>
        <v>Staple holder</v>
      </c>
      <c r="M1178" s="8">
        <f>INDEX(Product_List,MATCH($F1178,'Product List'!$B$1:$B$299,0),MATCH('Order SUmmary'!M$2,'Product List'!$A$1:$E$1,0))</f>
        <v>2500</v>
      </c>
      <c r="N1178" s="8">
        <f>INDEX(Product_List,MATCH($F1178,'Product List'!$B$1:$B$299,0),MATCH('Order SUmmary'!N$2,'Product List'!$A$1:$E$1,0))</f>
        <v>1914</v>
      </c>
      <c r="O1178" s="8" t="str">
        <f>INDEX(Product_List,MATCH($F1178,'Product List'!$B$1:$B$299,0),MATCH('Order SUmmary'!O$2,'Product List'!$A$1:$E$1,0))</f>
        <v>Appliances</v>
      </c>
      <c r="P1178" s="12">
        <f>HLOOKUP(C1178,'Commission Criteria'!$A$2:$I$4,3,FALSE)</f>
        <v>4</v>
      </c>
      <c r="Q1178" s="8">
        <f t="shared" si="55"/>
        <v>3828</v>
      </c>
      <c r="R1178" s="8">
        <f t="shared" si="56"/>
        <v>5000</v>
      </c>
      <c r="S1178" s="36">
        <f>VLOOKUP(R1178,'Commission Criteria'!$L$3:$M$11,2,TRUE)</f>
        <v>0.03</v>
      </c>
      <c r="T1178" s="36">
        <f>IF(P1178&lt;5,VLOOKUP(R1178,'Commission Criteria'!$L$3:$M$11,2,1),VLOOKUP('Order SUmmary'!R1178,'Commission Criteria'!$P$3:$Q$11,2,1))</f>
        <v>0.03</v>
      </c>
      <c r="U1178" s="36">
        <f>VLOOKUP(R1178,IF(P1178&lt;5,'Commission Criteria'!$L$3:$M$11,'Commission Criteria'!$P$3:$Q$11),2,1)</f>
        <v>0.03</v>
      </c>
      <c r="V1178" s="8" t="s">
        <v>29</v>
      </c>
      <c r="W1178" s="36">
        <f t="shared" ca="1" si="57"/>
        <v>0.01</v>
      </c>
      <c r="X1178" s="8" t="str">
        <f>_xlfn.XLOOKUP(F1178,'Product List'!$B$1:$B$299,'Product List'!$A$1:$A$299)</f>
        <v>Staple holder</v>
      </c>
      <c r="Y1178" s="8"/>
      <c r="Z1178" s="8" t="str" cm="1">
        <f t="array" ref="Z1178:AD1178">_xlfn.XLOOKUP(D1178,'Customer Details'!$A$1:$A$17,'Customer Details'!$B$1:$F$17,"No such customer",0,1)</f>
        <v>Suzlon Energy Ltd.</v>
      </c>
      <c r="AA1178" s="8" t="str">
        <v>501 Marsh Trail Circle</v>
      </c>
      <c r="AB1178" s="8" t="str">
        <v>Tracy</v>
      </c>
      <c r="AC1178" s="8" t="str">
        <v>CA</v>
      </c>
      <c r="AD1178" s="8" t="str">
        <v>95376</v>
      </c>
    </row>
    <row r="1179" spans="1:30">
      <c r="A1179" s="8" t="s">
        <v>1117</v>
      </c>
      <c r="B1179" s="19">
        <v>42300</v>
      </c>
      <c r="C1179" s="8" t="s">
        <v>54</v>
      </c>
      <c r="D1179" s="8">
        <v>10014</v>
      </c>
      <c r="E1179" s="8" t="str">
        <f>VLOOKUP($D1179,'Customer Details'!$A$1:$F$17,4,FALSE)</f>
        <v>Honolulu</v>
      </c>
      <c r="F1179" s="8" t="s">
        <v>275</v>
      </c>
      <c r="G1179" s="8">
        <v>1</v>
      </c>
      <c r="H1179" s="2" t="str">
        <f>VLOOKUP($D1179,'Customer Details'!$A$1:$F$17,MATCH('Order SUmmary'!H$2,'Customer Details'!$A$1:$F$1,0),0)</f>
        <v>Hindusthan National Glass &amp; Industries Ltd.</v>
      </c>
      <c r="I1179" s="2" t="str">
        <f>VLOOKUP($D1179,'Customer Details'!$A$1:$F$17,4,0)</f>
        <v>Honolulu</v>
      </c>
      <c r="J1179" s="2" t="str">
        <f>VLOOKUP($D1179,'Customer Details'!$A$1:$F$17,6,0)</f>
        <v>96825</v>
      </c>
      <c r="K1179" s="8" t="str">
        <f>VLOOKUP(VLOOKUP(D1179,'Customer Details'!$A$1:$F$17,5,0),'Region INfo'!$A$1:$C$52,3,0)</f>
        <v xml:space="preserve">Pacific   </v>
      </c>
      <c r="L1179" s="8" t="str">
        <f>INDEX(Product_List,MATCH($F1179,'Product List'!$B$1:$B$299,0),MATCH('Order SUmmary'!L$2,'Product List'!$A$1:$E$1,0))</f>
        <v>Xerox 218</v>
      </c>
      <c r="M1179" s="8">
        <f>INDEX(Product_List,MATCH($F1179,'Product List'!$B$1:$B$299,0),MATCH('Order SUmmary'!M$2,'Product List'!$A$1:$E$1,0))</f>
        <v>4239</v>
      </c>
      <c r="N1179" s="8">
        <f>INDEX(Product_List,MATCH($F1179,'Product List'!$B$1:$B$299,0),MATCH('Order SUmmary'!N$2,'Product List'!$A$1:$E$1,0))</f>
        <v>1860</v>
      </c>
      <c r="O1179" s="8" t="str">
        <f>INDEX(Product_List,MATCH($F1179,'Product List'!$B$1:$B$299,0),MATCH('Order SUmmary'!O$2,'Product List'!$A$1:$E$1,0))</f>
        <v>Paper</v>
      </c>
      <c r="P1179" s="12">
        <f>HLOOKUP(C1179,'Commission Criteria'!$A$2:$I$4,3,FALSE)</f>
        <v>3</v>
      </c>
      <c r="Q1179" s="8">
        <f t="shared" si="55"/>
        <v>1860</v>
      </c>
      <c r="R1179" s="8">
        <f t="shared" si="56"/>
        <v>4239</v>
      </c>
      <c r="S1179" s="36">
        <f>VLOOKUP(R1179,'Commission Criteria'!$L$3:$M$11,2,TRUE)</f>
        <v>0.01</v>
      </c>
      <c r="T1179" s="36">
        <f>IF(P1179&lt;5,VLOOKUP(R1179,'Commission Criteria'!$L$3:$M$11,2,1),VLOOKUP('Order SUmmary'!R1179,'Commission Criteria'!$P$3:$Q$11,2,1))</f>
        <v>0.01</v>
      </c>
      <c r="U1179" s="36">
        <f>VLOOKUP(R1179,IF(P1179&lt;5,'Commission Criteria'!$L$3:$M$11,'Commission Criteria'!$P$3:$Q$11),2,1)</f>
        <v>0.01</v>
      </c>
      <c r="V1179" s="8" t="s">
        <v>32</v>
      </c>
      <c r="W1179" s="36">
        <f t="shared" ca="1" si="57"/>
        <v>0</v>
      </c>
      <c r="X1179" s="8" t="str">
        <f>_xlfn.XLOOKUP(F1179,'Product List'!$B$1:$B$299,'Product List'!$A$1:$A$299)</f>
        <v>Xerox 218</v>
      </c>
      <c r="Y1179" s="8"/>
      <c r="Z1179" s="8" t="str" cm="1">
        <f t="array" ref="Z1179:AD1179">_xlfn.XLOOKUP(D1179,'Customer Details'!$A$1:$A$17,'Customer Details'!$B$1:$F$17,"No such customer",0,1)</f>
        <v>Hindusthan National Glass &amp; Industries Ltd.</v>
      </c>
      <c r="AA1179" s="8" t="str">
        <v>11 Cathy St.</v>
      </c>
      <c r="AB1179" s="8" t="str">
        <v>Honolulu</v>
      </c>
      <c r="AC1179" s="8" t="str">
        <v>HI</v>
      </c>
      <c r="AD1179" s="8" t="str">
        <v>96825</v>
      </c>
    </row>
    <row r="1180" spans="1:30">
      <c r="A1180" s="8" t="s">
        <v>1118</v>
      </c>
      <c r="B1180" s="19">
        <v>42300</v>
      </c>
      <c r="C1180" s="8" t="s">
        <v>46</v>
      </c>
      <c r="D1180" s="8">
        <v>10004</v>
      </c>
      <c r="E1180" s="8" t="str">
        <f>VLOOKUP($D1180,'Customer Details'!$A$1:$F$17,4,FALSE)</f>
        <v>New York</v>
      </c>
      <c r="F1180" s="8" t="s">
        <v>286</v>
      </c>
      <c r="G1180" s="8">
        <v>1</v>
      </c>
      <c r="H1180" s="2" t="str">
        <f>VLOOKUP($D1180,'Customer Details'!$A$1:$F$17,MATCH('Order SUmmary'!H$2,'Customer Details'!$A$1:$F$1,0),0)</f>
        <v>Lupin Ltd.</v>
      </c>
      <c r="I1180" s="2" t="str">
        <f>VLOOKUP($D1180,'Customer Details'!$A$1:$F$17,4,0)</f>
        <v>New York</v>
      </c>
      <c r="J1180" s="2" t="str">
        <f>VLOOKUP($D1180,'Customer Details'!$A$1:$F$17,6,0)</f>
        <v>10019</v>
      </c>
      <c r="K1180" s="8" t="str">
        <f>VLOOKUP(VLOOKUP(D1180,'Customer Details'!$A$1:$F$17,5,0),'Region INfo'!$A$1:$C$52,3,0)</f>
        <v xml:space="preserve">Northern </v>
      </c>
      <c r="L1180" s="8" t="str">
        <f>INDEX(Product_List,MATCH($F1180,'Product List'!$B$1:$B$299,0),MATCH('Order SUmmary'!L$2,'Product List'!$A$1:$E$1,0))</f>
        <v>Avery 479</v>
      </c>
      <c r="M1180" s="8">
        <f>INDEX(Product_List,MATCH($F1180,'Product List'!$B$1:$B$299,0),MATCH('Order SUmmary'!M$2,'Product List'!$A$1:$E$1,0))</f>
        <v>4382</v>
      </c>
      <c r="N1180" s="8">
        <f>INDEX(Product_List,MATCH($F1180,'Product List'!$B$1:$B$299,0),MATCH('Order SUmmary'!N$2,'Product List'!$A$1:$E$1,0))</f>
        <v>1298</v>
      </c>
      <c r="O1180" s="8" t="str">
        <f>INDEX(Product_List,MATCH($F1180,'Product List'!$B$1:$B$299,0),MATCH('Order SUmmary'!O$2,'Product List'!$A$1:$E$1,0))</f>
        <v>Labels</v>
      </c>
      <c r="P1180" s="12">
        <f>HLOOKUP(C1180,'Commission Criteria'!$A$2:$I$4,3,FALSE)</f>
        <v>8</v>
      </c>
      <c r="Q1180" s="8">
        <f t="shared" si="55"/>
        <v>1298</v>
      </c>
      <c r="R1180" s="8">
        <f t="shared" si="56"/>
        <v>4382</v>
      </c>
      <c r="S1180" s="36">
        <f>VLOOKUP(R1180,'Commission Criteria'!$L$3:$M$11,2,TRUE)</f>
        <v>0.01</v>
      </c>
      <c r="T1180" s="36">
        <f>IF(P1180&lt;5,VLOOKUP(R1180,'Commission Criteria'!$L$3:$M$11,2,1),VLOOKUP('Order SUmmary'!R1180,'Commission Criteria'!$P$3:$Q$11,2,1))</f>
        <v>0.02</v>
      </c>
      <c r="U1180" s="36">
        <f>VLOOKUP(R1180,IF(P1180&lt;5,'Commission Criteria'!$L$3:$M$11,'Commission Criteria'!$P$3:$Q$11),2,1)</f>
        <v>0.02</v>
      </c>
      <c r="V1180" s="8" t="s">
        <v>32</v>
      </c>
      <c r="W1180" s="36">
        <f t="shared" ca="1" si="57"/>
        <v>0.05</v>
      </c>
      <c r="X1180" s="8" t="str">
        <f>_xlfn.XLOOKUP(F1180,'Product List'!$B$1:$B$299,'Product List'!$A$1:$A$299)</f>
        <v>Avery 479</v>
      </c>
      <c r="Y1180" s="8"/>
      <c r="Z1180" s="8" t="str" cm="1">
        <f t="array" ref="Z1180:AD1180">_xlfn.XLOOKUP(D1180,'Customer Details'!$A$1:$A$17,'Customer Details'!$B$1:$F$17,"No such customer",0,1)</f>
        <v>Lupin Ltd.</v>
      </c>
      <c r="AA1180" s="8" t="str">
        <v>Abbey Wood</v>
      </c>
      <c r="AB1180" s="8" t="str">
        <v>New York</v>
      </c>
      <c r="AC1180" s="8" t="str">
        <v>NY</v>
      </c>
      <c r="AD1180" s="8" t="str">
        <v>10019</v>
      </c>
    </row>
    <row r="1181" spans="1:30">
      <c r="A1181" s="8" t="s">
        <v>1119</v>
      </c>
      <c r="B1181" s="19">
        <v>42302</v>
      </c>
      <c r="C1181" s="8" t="s">
        <v>33</v>
      </c>
      <c r="D1181" s="8">
        <v>10015</v>
      </c>
      <c r="E1181" s="8" t="str">
        <f>VLOOKUP($D1181,'Customer Details'!$A$1:$F$17,4,FALSE)</f>
        <v>South Windsor</v>
      </c>
      <c r="F1181" s="8" t="s">
        <v>476</v>
      </c>
      <c r="G1181" s="8">
        <v>1</v>
      </c>
      <c r="H1181" s="2" t="str">
        <f>VLOOKUP($D1181,'Customer Details'!$A$1:$F$17,MATCH('Order SUmmary'!H$2,'Customer Details'!$A$1:$F$1,0),0)</f>
        <v>Punj Lloyd Ltd.</v>
      </c>
      <c r="I1181" s="2" t="str">
        <f>VLOOKUP($D1181,'Customer Details'!$A$1:$F$17,4,0)</f>
        <v>South Windsor</v>
      </c>
      <c r="J1181" s="2" t="str">
        <f>VLOOKUP($D1181,'Customer Details'!$A$1:$F$17,6,0)</f>
        <v>06074</v>
      </c>
      <c r="K1181" s="8" t="str">
        <f>VLOOKUP(VLOOKUP(D1181,'Customer Details'!$A$1:$F$17,5,0),'Region INfo'!$A$1:$C$52,3,0)</f>
        <v xml:space="preserve">Northern </v>
      </c>
      <c r="L1181" s="8" t="str">
        <f>INDEX(Product_List,MATCH($F1181,'Product List'!$B$1:$B$299,0),MATCH('Order SUmmary'!L$2,'Product List'!$A$1:$E$1,0))</f>
        <v>Xerox 200</v>
      </c>
      <c r="M1181" s="8">
        <f>INDEX(Product_List,MATCH($F1181,'Product List'!$B$1:$B$299,0),MATCH('Order SUmmary'!M$2,'Product List'!$A$1:$E$1,0))</f>
        <v>3555</v>
      </c>
      <c r="N1181" s="8">
        <f>INDEX(Product_List,MATCH($F1181,'Product List'!$B$1:$B$299,0),MATCH('Order SUmmary'!N$2,'Product List'!$A$1:$E$1,0))</f>
        <v>1564</v>
      </c>
      <c r="O1181" s="8" t="str">
        <f>INDEX(Product_List,MATCH($F1181,'Product List'!$B$1:$B$299,0),MATCH('Order SUmmary'!O$2,'Product List'!$A$1:$E$1,0))</f>
        <v>Paper</v>
      </c>
      <c r="P1181" s="12">
        <f>HLOOKUP(C1181,'Commission Criteria'!$A$2:$I$4,3,FALSE)</f>
        <v>1</v>
      </c>
      <c r="Q1181" s="8">
        <f t="shared" si="55"/>
        <v>1564</v>
      </c>
      <c r="R1181" s="8">
        <f t="shared" si="56"/>
        <v>3555</v>
      </c>
      <c r="S1181" s="36">
        <f>VLOOKUP(R1181,'Commission Criteria'!$L$3:$M$11,2,TRUE)</f>
        <v>0.01</v>
      </c>
      <c r="T1181" s="36">
        <f>IF(P1181&lt;5,VLOOKUP(R1181,'Commission Criteria'!$L$3:$M$11,2,1),VLOOKUP('Order SUmmary'!R1181,'Commission Criteria'!$P$3:$Q$11,2,1))</f>
        <v>0.01</v>
      </c>
      <c r="U1181" s="36">
        <f>VLOOKUP(R1181,IF(P1181&lt;5,'Commission Criteria'!$L$3:$M$11,'Commission Criteria'!$P$3:$Q$11),2,1)</f>
        <v>0.01</v>
      </c>
      <c r="V1181" s="8" t="s">
        <v>35</v>
      </c>
      <c r="W1181" s="36">
        <f t="shared" ca="1" si="57"/>
        <v>0.04</v>
      </c>
      <c r="X1181" s="8" t="str">
        <f>_xlfn.XLOOKUP(F1181,'Product List'!$B$1:$B$299,'Product List'!$A$1:$A$299)</f>
        <v>Xerox 200</v>
      </c>
      <c r="Y1181" s="8"/>
      <c r="Z1181" s="8" t="str" cm="1">
        <f t="array" ref="Z1181:AD1181">_xlfn.XLOOKUP(D1181,'Customer Details'!$A$1:$A$17,'Customer Details'!$B$1:$F$17,"No such customer",0,1)</f>
        <v>Punj Lloyd Ltd.</v>
      </c>
      <c r="AA1181" s="8" t="str">
        <v>Box 3263</v>
      </c>
      <c r="AB1181" s="8" t="str">
        <v>South Windsor</v>
      </c>
      <c r="AC1181" s="8" t="str">
        <v>CT</v>
      </c>
      <c r="AD1181" s="8" t="str">
        <v>06074</v>
      </c>
    </row>
    <row r="1182" spans="1:30">
      <c r="A1182" s="8" t="s">
        <v>1120</v>
      </c>
      <c r="B1182" s="19">
        <v>42302</v>
      </c>
      <c r="C1182" s="8" t="s">
        <v>33</v>
      </c>
      <c r="D1182" s="8">
        <v>10009</v>
      </c>
      <c r="E1182" s="8" t="str">
        <f>VLOOKUP($D1182,'Customer Details'!$A$1:$F$17,4,FALSE)</f>
        <v>Salt Lake City</v>
      </c>
      <c r="F1182" s="8" t="s">
        <v>162</v>
      </c>
      <c r="G1182" s="8">
        <v>1</v>
      </c>
      <c r="H1182" s="2" t="str">
        <f>VLOOKUP($D1182,'Customer Details'!$A$1:$F$17,MATCH('Order SUmmary'!H$2,'Customer Details'!$A$1:$F$1,0),0)</f>
        <v>Godfrey Philips India Ltd.</v>
      </c>
      <c r="I1182" s="2" t="str">
        <f>VLOOKUP($D1182,'Customer Details'!$A$1:$F$17,4,0)</f>
        <v>Salt Lake City</v>
      </c>
      <c r="J1182" s="2" t="str">
        <f>VLOOKUP($D1182,'Customer Details'!$A$1:$F$17,6,0)</f>
        <v>84118</v>
      </c>
      <c r="K1182" s="8" t="str">
        <f>VLOOKUP(VLOOKUP(D1182,'Customer Details'!$A$1:$F$17,5,0),'Region INfo'!$A$1:$C$52,3,0)</f>
        <v xml:space="preserve">Pacific   </v>
      </c>
      <c r="L1182" s="8" t="str">
        <f>INDEX(Product_List,MATCH($F1182,'Product List'!$B$1:$B$299,0),MATCH('Order SUmmary'!L$2,'Product List'!$A$1:$E$1,0))</f>
        <v>Avery 483</v>
      </c>
      <c r="M1182" s="8">
        <f>INDEX(Product_List,MATCH($F1182,'Product List'!$B$1:$B$299,0),MATCH('Order SUmmary'!M$2,'Product List'!$A$1:$E$1,0))</f>
        <v>3694</v>
      </c>
      <c r="N1182" s="8">
        <f>INDEX(Product_List,MATCH($F1182,'Product List'!$B$1:$B$299,0),MATCH('Order SUmmary'!N$2,'Product List'!$A$1:$E$1,0))</f>
        <v>1616</v>
      </c>
      <c r="O1182" s="8" t="str">
        <f>INDEX(Product_List,MATCH($F1182,'Product List'!$B$1:$B$299,0),MATCH('Order SUmmary'!O$2,'Product List'!$A$1:$E$1,0))</f>
        <v>Labels</v>
      </c>
      <c r="P1182" s="12">
        <f>HLOOKUP(C1182,'Commission Criteria'!$A$2:$I$4,3,FALSE)</f>
        <v>1</v>
      </c>
      <c r="Q1182" s="8">
        <f t="shared" si="55"/>
        <v>1616</v>
      </c>
      <c r="R1182" s="8">
        <f t="shared" si="56"/>
        <v>3694</v>
      </c>
      <c r="S1182" s="36">
        <f>VLOOKUP(R1182,'Commission Criteria'!$L$3:$M$11,2,TRUE)</f>
        <v>0.01</v>
      </c>
      <c r="T1182" s="36">
        <f>IF(P1182&lt;5,VLOOKUP(R1182,'Commission Criteria'!$L$3:$M$11,2,1),VLOOKUP('Order SUmmary'!R1182,'Commission Criteria'!$P$3:$Q$11,2,1))</f>
        <v>0.01</v>
      </c>
      <c r="U1182" s="36">
        <f>VLOOKUP(R1182,IF(P1182&lt;5,'Commission Criteria'!$L$3:$M$11,'Commission Criteria'!$P$3:$Q$11),2,1)</f>
        <v>0.01</v>
      </c>
      <c r="V1182" s="8" t="s">
        <v>32</v>
      </c>
      <c r="W1182" s="36">
        <f t="shared" ca="1" si="57"/>
        <v>0.02</v>
      </c>
      <c r="X1182" s="8" t="str">
        <f>_xlfn.XLOOKUP(F1182,'Product List'!$B$1:$B$299,'Product List'!$A$1:$A$299)</f>
        <v>Avery 483</v>
      </c>
      <c r="Y1182" s="8"/>
      <c r="Z1182" s="8" t="str" cm="1">
        <f t="array" ref="Z1182:AD1182">_xlfn.XLOOKUP(D1182,'Customer Details'!$A$1:$A$17,'Customer Details'!$B$1:$F$17,"No such customer",0,1)</f>
        <v>Godfrey Philips India Ltd.</v>
      </c>
      <c r="AA1182" s="8" t="str">
        <v>20501 Ania Ave #2</v>
      </c>
      <c r="AB1182" s="8" t="str">
        <v>Salt Lake City</v>
      </c>
      <c r="AC1182" s="8" t="str">
        <v>UT</v>
      </c>
      <c r="AD1182" s="8" t="str">
        <v>84118</v>
      </c>
    </row>
    <row r="1183" spans="1:30">
      <c r="A1183" s="8" t="s">
        <v>1120</v>
      </c>
      <c r="B1183" s="19">
        <v>42302</v>
      </c>
      <c r="C1183" s="8" t="s">
        <v>51</v>
      </c>
      <c r="D1183" s="8">
        <v>10005</v>
      </c>
      <c r="E1183" s="8" t="str">
        <f>VLOOKUP($D1183,'Customer Details'!$A$1:$F$17,4,FALSE)</f>
        <v>Goleta</v>
      </c>
      <c r="F1183" s="8" t="s">
        <v>154</v>
      </c>
      <c r="G1183" s="8">
        <v>1</v>
      </c>
      <c r="H1183" s="2" t="str">
        <f>VLOOKUP($D1183,'Customer Details'!$A$1:$F$17,MATCH('Order SUmmary'!H$2,'Customer Details'!$A$1:$F$1,0),0)</f>
        <v>Fortis Healthcare Ltd.</v>
      </c>
      <c r="I1183" s="2" t="str">
        <f>VLOOKUP($D1183,'Customer Details'!$A$1:$F$17,4,0)</f>
        <v>Goleta</v>
      </c>
      <c r="J1183" s="2" t="str">
        <f>VLOOKUP($D1183,'Customer Details'!$A$1:$F$17,6,0)</f>
        <v>93117</v>
      </c>
      <c r="K1183" s="8" t="str">
        <f>VLOOKUP(VLOOKUP(D1183,'Customer Details'!$A$1:$F$17,5,0),'Region INfo'!$A$1:$C$52,3,0)</f>
        <v xml:space="preserve">Pacific   </v>
      </c>
      <c r="L1183" s="8" t="str">
        <f>INDEX(Product_List,MATCH($F1183,'Product List'!$B$1:$B$299,0),MATCH('Order SUmmary'!L$2,'Product List'!$A$1:$E$1,0))</f>
        <v>Xerox 228</v>
      </c>
      <c r="M1183" s="8">
        <f>INDEX(Product_List,MATCH($F1183,'Product List'!$B$1:$B$299,0),MATCH('Order SUmmary'!M$2,'Product List'!$A$1:$E$1,0))</f>
        <v>3912</v>
      </c>
      <c r="N1183" s="8">
        <f>INDEX(Product_List,MATCH($F1183,'Product List'!$B$1:$B$299,0),MATCH('Order SUmmary'!N$2,'Product List'!$A$1:$E$1,0))</f>
        <v>1569</v>
      </c>
      <c r="O1183" s="8" t="str">
        <f>INDEX(Product_List,MATCH($F1183,'Product List'!$B$1:$B$299,0),MATCH('Order SUmmary'!O$2,'Product List'!$A$1:$E$1,0))</f>
        <v>Paper</v>
      </c>
      <c r="P1183" s="12">
        <f>HLOOKUP(C1183,'Commission Criteria'!$A$2:$I$4,3,FALSE)</f>
        <v>10</v>
      </c>
      <c r="Q1183" s="8">
        <f t="shared" si="55"/>
        <v>1569</v>
      </c>
      <c r="R1183" s="8">
        <f t="shared" si="56"/>
        <v>3912</v>
      </c>
      <c r="S1183" s="36">
        <f>VLOOKUP(R1183,'Commission Criteria'!$L$3:$M$11,2,TRUE)</f>
        <v>0.01</v>
      </c>
      <c r="T1183" s="36">
        <f>IF(P1183&lt;5,VLOOKUP(R1183,'Commission Criteria'!$L$3:$M$11,2,1),VLOOKUP('Order SUmmary'!R1183,'Commission Criteria'!$P$3:$Q$11,2,1))</f>
        <v>0.02</v>
      </c>
      <c r="U1183" s="36">
        <f>VLOOKUP(R1183,IF(P1183&lt;5,'Commission Criteria'!$L$3:$M$11,'Commission Criteria'!$P$3:$Q$11),2,1)</f>
        <v>0.02</v>
      </c>
      <c r="V1183" s="8" t="s">
        <v>40</v>
      </c>
      <c r="W1183" s="36">
        <f t="shared" ca="1" si="57"/>
        <v>0.01</v>
      </c>
      <c r="X1183" s="8" t="str">
        <f>_xlfn.XLOOKUP(F1183,'Product List'!$B$1:$B$299,'Product List'!$A$1:$A$299)</f>
        <v>Xerox 228</v>
      </c>
      <c r="Y1183" s="8"/>
      <c r="Z1183" s="8" t="str" cm="1">
        <f t="array" ref="Z1183:AD1183">_xlfn.XLOOKUP(D1183,'Customer Details'!$A$1:$A$17,'Customer Details'!$B$1:$F$17,"No such customer",0,1)</f>
        <v>Fortis Healthcare Ltd.</v>
      </c>
      <c r="AA1183" s="8" t="str">
        <v>14 Elsworthy Terrace</v>
      </c>
      <c r="AB1183" s="8" t="str">
        <v>Goleta</v>
      </c>
      <c r="AC1183" s="8" t="str">
        <v>CA</v>
      </c>
      <c r="AD1183" s="8" t="str">
        <v>93117</v>
      </c>
    </row>
    <row r="1184" spans="1:30">
      <c r="A1184" s="8" t="s">
        <v>1120</v>
      </c>
      <c r="B1184" s="19">
        <v>42302</v>
      </c>
      <c r="C1184" s="8" t="s">
        <v>46</v>
      </c>
      <c r="D1184" s="8">
        <v>10012</v>
      </c>
      <c r="E1184" s="8" t="str">
        <f>VLOOKUP($D1184,'Customer Details'!$A$1:$F$17,4,FALSE)</f>
        <v>Santa Barbara</v>
      </c>
      <c r="F1184" s="8" t="s">
        <v>100</v>
      </c>
      <c r="G1184" s="8">
        <v>1</v>
      </c>
      <c r="H1184" s="2" t="str">
        <f>VLOOKUP($D1184,'Customer Details'!$A$1:$F$17,MATCH('Order SUmmary'!H$2,'Customer Details'!$A$1:$F$1,0),0)</f>
        <v>Dynamatic Technologies Ltd.</v>
      </c>
      <c r="I1184" s="2" t="str">
        <f>VLOOKUP($D1184,'Customer Details'!$A$1:$F$17,4,0)</f>
        <v>Santa Barbara</v>
      </c>
      <c r="J1184" s="2" t="str">
        <f>VLOOKUP($D1184,'Customer Details'!$A$1:$F$17,6,0)</f>
        <v>93110</v>
      </c>
      <c r="K1184" s="8" t="str">
        <f>VLOOKUP(VLOOKUP(D1184,'Customer Details'!$A$1:$F$17,5,0),'Region INfo'!$A$1:$C$52,3,0)</f>
        <v xml:space="preserve">Pacific   </v>
      </c>
      <c r="L1184" s="8" t="str">
        <f>INDEX(Product_List,MATCH($F1184,'Product List'!$B$1:$B$299,0),MATCH('Order SUmmary'!L$2,'Product List'!$A$1:$E$1,0))</f>
        <v>Xerox 1893</v>
      </c>
      <c r="M1184" s="8">
        <f>INDEX(Product_List,MATCH($F1184,'Product List'!$B$1:$B$299,0),MATCH('Order SUmmary'!M$2,'Product List'!$A$1:$E$1,0))</f>
        <v>4874</v>
      </c>
      <c r="N1184" s="8">
        <f>INDEX(Product_List,MATCH($F1184,'Product List'!$B$1:$B$299,0),MATCH('Order SUmmary'!N$2,'Product List'!$A$1:$E$1,0))</f>
        <v>1503</v>
      </c>
      <c r="O1184" s="8" t="str">
        <f>INDEX(Product_List,MATCH($F1184,'Product List'!$B$1:$B$299,0),MATCH('Order SUmmary'!O$2,'Product List'!$A$1:$E$1,0))</f>
        <v>Paper</v>
      </c>
      <c r="P1184" s="12">
        <f>HLOOKUP(C1184,'Commission Criteria'!$A$2:$I$4,3,FALSE)</f>
        <v>8</v>
      </c>
      <c r="Q1184" s="8">
        <f t="shared" si="55"/>
        <v>1503</v>
      </c>
      <c r="R1184" s="8">
        <f t="shared" si="56"/>
        <v>4874</v>
      </c>
      <c r="S1184" s="36">
        <f>VLOOKUP(R1184,'Commission Criteria'!$L$3:$M$11,2,TRUE)</f>
        <v>0.01</v>
      </c>
      <c r="T1184" s="36">
        <f>IF(P1184&lt;5,VLOOKUP(R1184,'Commission Criteria'!$L$3:$M$11,2,1),VLOOKUP('Order SUmmary'!R1184,'Commission Criteria'!$P$3:$Q$11,2,1))</f>
        <v>0.02</v>
      </c>
      <c r="U1184" s="36">
        <f>VLOOKUP(R1184,IF(P1184&lt;5,'Commission Criteria'!$L$3:$M$11,'Commission Criteria'!$P$3:$Q$11),2,1)</f>
        <v>0.02</v>
      </c>
      <c r="V1184" s="8" t="s">
        <v>43</v>
      </c>
      <c r="W1184" s="36">
        <f t="shared" ca="1" si="57"/>
        <v>0.05</v>
      </c>
      <c r="X1184" s="8" t="str">
        <f>_xlfn.XLOOKUP(F1184,'Product List'!$B$1:$B$299,'Product List'!$A$1:$A$299)</f>
        <v>Xerox 1893</v>
      </c>
      <c r="Y1184" s="8"/>
      <c r="Z1184" s="8" t="str" cm="1">
        <f t="array" ref="Z1184:AD1184">_xlfn.XLOOKUP(D1184,'Customer Details'!$A$1:$A$17,'Customer Details'!$B$1:$F$17,"No such customer",0,1)</f>
        <v>Dynamatic Technologies Ltd.</v>
      </c>
      <c r="AA1184" s="8" t="str">
        <v>402 Pinkster Lane</v>
      </c>
      <c r="AB1184" s="8" t="str">
        <v>Santa Barbara</v>
      </c>
      <c r="AC1184" s="8" t="str">
        <v>CA</v>
      </c>
      <c r="AD1184" s="8" t="str">
        <v>93110</v>
      </c>
    </row>
    <row r="1185" spans="1:30">
      <c r="A1185" s="8" t="s">
        <v>1121</v>
      </c>
      <c r="B1185" s="19">
        <v>42302</v>
      </c>
      <c r="C1185" s="8" t="s">
        <v>54</v>
      </c>
      <c r="D1185" s="8">
        <v>10001</v>
      </c>
      <c r="E1185" s="8" t="str">
        <f>VLOOKUP($D1185,'Customer Details'!$A$1:$F$17,4,FALSE)</f>
        <v>New York</v>
      </c>
      <c r="F1185" s="8" t="s">
        <v>361</v>
      </c>
      <c r="G1185" s="8">
        <v>3</v>
      </c>
      <c r="H1185" s="2" t="str">
        <f>VLOOKUP($D1185,'Customer Details'!$A$1:$F$17,MATCH('Order SUmmary'!H$2,'Customer Details'!$A$1:$F$1,0),0)</f>
        <v>Chambal Fertilisers and Chemicals Ltd.</v>
      </c>
      <c r="I1185" s="2" t="str">
        <f>VLOOKUP($D1185,'Customer Details'!$A$1:$F$17,4,0)</f>
        <v>New York</v>
      </c>
      <c r="J1185" s="2" t="str">
        <f>VLOOKUP($D1185,'Customer Details'!$A$1:$F$17,6,0)</f>
        <v>10025</v>
      </c>
      <c r="K1185" s="8" t="str">
        <f>VLOOKUP(VLOOKUP(D1185,'Customer Details'!$A$1:$F$17,5,0),'Region INfo'!$A$1:$C$52,3,0)</f>
        <v xml:space="preserve">Northern </v>
      </c>
      <c r="L1185" s="8" t="str">
        <f>INDEX(Product_List,MATCH($F1185,'Product List'!$B$1:$B$299,0),MATCH('Order SUmmary'!L$2,'Product List'!$A$1:$E$1,0))</f>
        <v>Avery 518</v>
      </c>
      <c r="M1185" s="8">
        <f>INDEX(Product_List,MATCH($F1185,'Product List'!$B$1:$B$299,0),MATCH('Order SUmmary'!M$2,'Product List'!$A$1:$E$1,0))</f>
        <v>4741</v>
      </c>
      <c r="N1185" s="8">
        <f>INDEX(Product_List,MATCH($F1185,'Product List'!$B$1:$B$299,0),MATCH('Order SUmmary'!N$2,'Product List'!$A$1:$E$1,0))</f>
        <v>1849</v>
      </c>
      <c r="O1185" s="8" t="str">
        <f>INDEX(Product_List,MATCH($F1185,'Product List'!$B$1:$B$299,0),MATCH('Order SUmmary'!O$2,'Product List'!$A$1:$E$1,0))</f>
        <v>Labels</v>
      </c>
      <c r="P1185" s="12">
        <f>HLOOKUP(C1185,'Commission Criteria'!$A$2:$I$4,3,FALSE)</f>
        <v>3</v>
      </c>
      <c r="Q1185" s="8">
        <f t="shared" si="55"/>
        <v>5547</v>
      </c>
      <c r="R1185" s="8">
        <f t="shared" si="56"/>
        <v>14223</v>
      </c>
      <c r="S1185" s="36">
        <f>VLOOKUP(R1185,'Commission Criteria'!$L$3:$M$11,2,TRUE)</f>
        <v>0.03</v>
      </c>
      <c r="T1185" s="36">
        <f>IF(P1185&lt;5,VLOOKUP(R1185,'Commission Criteria'!$L$3:$M$11,2,1),VLOOKUP('Order SUmmary'!R1185,'Commission Criteria'!$P$3:$Q$11,2,1))</f>
        <v>0.03</v>
      </c>
      <c r="U1185" s="36">
        <f>VLOOKUP(R1185,IF(P1185&lt;5,'Commission Criteria'!$L$3:$M$11,'Commission Criteria'!$P$3:$Q$11),2,1)</f>
        <v>0.03</v>
      </c>
      <c r="V1185" s="8" t="s">
        <v>43</v>
      </c>
      <c r="W1185" s="36">
        <f t="shared" ca="1" si="57"/>
        <v>0</v>
      </c>
      <c r="X1185" s="8" t="str">
        <f>_xlfn.XLOOKUP(F1185,'Product List'!$B$1:$B$299,'Product List'!$A$1:$A$299)</f>
        <v>Avery 518</v>
      </c>
      <c r="Y1185" s="8"/>
      <c r="Z1185" s="8" t="str" cm="1">
        <f t="array" ref="Z1185:AD1185">_xlfn.XLOOKUP(D1185,'Customer Details'!$A$1:$A$17,'Customer Details'!$B$1:$F$17,"No such customer",0,1)</f>
        <v>Chambal Fertilisers and Chemicals Ltd.</v>
      </c>
      <c r="AA1185" s="8" t="str">
        <v>4951 Indiana Ave.</v>
      </c>
      <c r="AB1185" s="8" t="str">
        <v>New York</v>
      </c>
      <c r="AC1185" s="8" t="str">
        <v>NY</v>
      </c>
      <c r="AD1185" s="8" t="str">
        <v>10025</v>
      </c>
    </row>
    <row r="1186" spans="1:30">
      <c r="A1186" s="8" t="s">
        <v>1122</v>
      </c>
      <c r="B1186" s="19">
        <v>42303</v>
      </c>
      <c r="C1186" s="8" t="s">
        <v>33</v>
      </c>
      <c r="D1186" s="8">
        <v>10004</v>
      </c>
      <c r="E1186" s="8" t="str">
        <f>VLOOKUP($D1186,'Customer Details'!$A$1:$F$17,4,FALSE)</f>
        <v>New York</v>
      </c>
      <c r="F1186" s="8" t="s">
        <v>778</v>
      </c>
      <c r="G1186" s="8">
        <v>1</v>
      </c>
      <c r="H1186" s="2" t="str">
        <f>VLOOKUP($D1186,'Customer Details'!$A$1:$F$17,MATCH('Order SUmmary'!H$2,'Customer Details'!$A$1:$F$1,0),0)</f>
        <v>Lupin Ltd.</v>
      </c>
      <c r="I1186" s="2" t="str">
        <f>VLOOKUP($D1186,'Customer Details'!$A$1:$F$17,4,0)</f>
        <v>New York</v>
      </c>
      <c r="J1186" s="2" t="str">
        <f>VLOOKUP($D1186,'Customer Details'!$A$1:$F$17,6,0)</f>
        <v>10019</v>
      </c>
      <c r="K1186" s="8" t="str">
        <f>VLOOKUP(VLOOKUP(D1186,'Customer Details'!$A$1:$F$17,5,0),'Region INfo'!$A$1:$C$52,3,0)</f>
        <v xml:space="preserve">Northern </v>
      </c>
      <c r="L1186" s="8" t="str">
        <f>INDEX(Product_List,MATCH($F1186,'Product List'!$B$1:$B$299,0),MATCH('Order SUmmary'!L$2,'Product List'!$A$1:$E$1,0))</f>
        <v>Xerox 197</v>
      </c>
      <c r="M1186" s="8">
        <f>INDEX(Product_List,MATCH($F1186,'Product List'!$B$1:$B$299,0),MATCH('Order SUmmary'!M$2,'Product List'!$A$1:$E$1,0))</f>
        <v>2671</v>
      </c>
      <c r="N1186" s="8">
        <f>INDEX(Product_List,MATCH($F1186,'Product List'!$B$1:$B$299,0),MATCH('Order SUmmary'!N$2,'Product List'!$A$1:$E$1,0))</f>
        <v>1591</v>
      </c>
      <c r="O1186" s="8" t="str">
        <f>INDEX(Product_List,MATCH($F1186,'Product List'!$B$1:$B$299,0),MATCH('Order SUmmary'!O$2,'Product List'!$A$1:$E$1,0))</f>
        <v>Paper</v>
      </c>
      <c r="P1186" s="12">
        <f>HLOOKUP(C1186,'Commission Criteria'!$A$2:$I$4,3,FALSE)</f>
        <v>1</v>
      </c>
      <c r="Q1186" s="8">
        <f t="shared" si="55"/>
        <v>1591</v>
      </c>
      <c r="R1186" s="8">
        <f t="shared" si="56"/>
        <v>2671</v>
      </c>
      <c r="S1186" s="36">
        <f>VLOOKUP(R1186,'Commission Criteria'!$L$3:$M$11,2,TRUE)</f>
        <v>0.01</v>
      </c>
      <c r="T1186" s="36">
        <f>IF(P1186&lt;5,VLOOKUP(R1186,'Commission Criteria'!$L$3:$M$11,2,1),VLOOKUP('Order SUmmary'!R1186,'Commission Criteria'!$P$3:$Q$11,2,1))</f>
        <v>0.01</v>
      </c>
      <c r="U1186" s="36">
        <f>VLOOKUP(R1186,IF(P1186&lt;5,'Commission Criteria'!$L$3:$M$11,'Commission Criteria'!$P$3:$Q$11),2,1)</f>
        <v>0.01</v>
      </c>
      <c r="V1186" s="8" t="s">
        <v>32</v>
      </c>
      <c r="W1186" s="36">
        <f t="shared" ca="1" si="57"/>
        <v>0.02</v>
      </c>
      <c r="X1186" s="8" t="str">
        <f>_xlfn.XLOOKUP(F1186,'Product List'!$B$1:$B$299,'Product List'!$A$1:$A$299)</f>
        <v>Xerox 197</v>
      </c>
      <c r="Y1186" s="8"/>
      <c r="Z1186" s="8" t="str" cm="1">
        <f t="array" ref="Z1186:AD1186">_xlfn.XLOOKUP(D1186,'Customer Details'!$A$1:$A$17,'Customer Details'!$B$1:$F$17,"No such customer",0,1)</f>
        <v>Lupin Ltd.</v>
      </c>
      <c r="AA1186" s="8" t="str">
        <v>Abbey Wood</v>
      </c>
      <c r="AB1186" s="8" t="str">
        <v>New York</v>
      </c>
      <c r="AC1186" s="8" t="str">
        <v>NY</v>
      </c>
      <c r="AD1186" s="8" t="str">
        <v>10019</v>
      </c>
    </row>
    <row r="1187" spans="1:30">
      <c r="A1187" s="8" t="s">
        <v>1123</v>
      </c>
      <c r="B1187" s="19">
        <v>42303</v>
      </c>
      <c r="C1187" s="8" t="s">
        <v>46</v>
      </c>
      <c r="D1187" s="8">
        <v>10002</v>
      </c>
      <c r="E1187" s="8" t="str">
        <f>VLOOKUP($D1187,'Customer Details'!$A$1:$F$17,4,FALSE)</f>
        <v>Omaha</v>
      </c>
      <c r="F1187" s="8" t="s">
        <v>130</v>
      </c>
      <c r="G1187" s="8">
        <v>1</v>
      </c>
      <c r="H1187" s="2" t="str">
        <f>VLOOKUP($D1187,'Customer Details'!$A$1:$F$17,MATCH('Order SUmmary'!H$2,'Customer Details'!$A$1:$F$1,0),0)</f>
        <v>Elder Pharmaceuticals</v>
      </c>
      <c r="I1187" s="2" t="str">
        <f>VLOOKUP($D1187,'Customer Details'!$A$1:$F$17,4,0)</f>
        <v>Omaha</v>
      </c>
      <c r="J1187" s="2" t="str">
        <f>VLOOKUP($D1187,'Customer Details'!$A$1:$F$17,6,0)</f>
        <v>68127</v>
      </c>
      <c r="K1187" s="8" t="str">
        <f>VLOOKUP(VLOOKUP(D1187,'Customer Details'!$A$1:$F$17,5,0),'Region INfo'!$A$1:$C$52,3,0)</f>
        <v>Western</v>
      </c>
      <c r="L1187" s="8" t="str">
        <f>INDEX(Product_List,MATCH($F1187,'Product List'!$B$1:$B$299,0),MATCH('Order SUmmary'!L$2,'Product List'!$A$1:$E$1,0))</f>
        <v>Xerox 212</v>
      </c>
      <c r="M1187" s="8">
        <f>INDEX(Product_List,MATCH($F1187,'Product List'!$B$1:$B$299,0),MATCH('Order SUmmary'!M$2,'Product List'!$A$1:$E$1,0))</f>
        <v>4564</v>
      </c>
      <c r="N1187" s="8">
        <f>INDEX(Product_List,MATCH($F1187,'Product List'!$B$1:$B$299,0),MATCH('Order SUmmary'!N$2,'Product List'!$A$1:$E$1,0))</f>
        <v>1823</v>
      </c>
      <c r="O1187" s="8" t="str">
        <f>INDEX(Product_List,MATCH($F1187,'Product List'!$B$1:$B$299,0),MATCH('Order SUmmary'!O$2,'Product List'!$A$1:$E$1,0))</f>
        <v>Paper</v>
      </c>
      <c r="P1187" s="12">
        <f>HLOOKUP(C1187,'Commission Criteria'!$A$2:$I$4,3,FALSE)</f>
        <v>8</v>
      </c>
      <c r="Q1187" s="8">
        <f t="shared" si="55"/>
        <v>1823</v>
      </c>
      <c r="R1187" s="8">
        <f t="shared" si="56"/>
        <v>4564</v>
      </c>
      <c r="S1187" s="36">
        <f>VLOOKUP(R1187,'Commission Criteria'!$L$3:$M$11,2,TRUE)</f>
        <v>0.01</v>
      </c>
      <c r="T1187" s="36">
        <f>IF(P1187&lt;5,VLOOKUP(R1187,'Commission Criteria'!$L$3:$M$11,2,1),VLOOKUP('Order SUmmary'!R1187,'Commission Criteria'!$P$3:$Q$11,2,1))</f>
        <v>0.02</v>
      </c>
      <c r="U1187" s="36">
        <f>VLOOKUP(R1187,IF(P1187&lt;5,'Commission Criteria'!$L$3:$M$11,'Commission Criteria'!$P$3:$Q$11),2,1)</f>
        <v>0.02</v>
      </c>
      <c r="V1187" s="8" t="s">
        <v>50</v>
      </c>
      <c r="W1187" s="36">
        <f t="shared" ca="1" si="57"/>
        <v>0.03</v>
      </c>
      <c r="X1187" s="8" t="str">
        <f>_xlfn.XLOOKUP(F1187,'Product List'!$B$1:$B$299,'Product List'!$A$1:$A$299)</f>
        <v>Xerox 212</v>
      </c>
      <c r="Y1187" s="8"/>
      <c r="Z1187" s="8" t="str" cm="1">
        <f t="array" ref="Z1187:AD1187">_xlfn.XLOOKUP(D1187,'Customer Details'!$A$1:$A$17,'Customer Details'!$B$1:$F$17,"No such customer",0,1)</f>
        <v>Elder Pharmaceuticals</v>
      </c>
      <c r="AA1187" s="8" t="str">
        <v>57 Neriba Cres</v>
      </c>
      <c r="AB1187" s="8" t="str">
        <v>Omaha</v>
      </c>
      <c r="AC1187" s="8" t="str">
        <v>NE</v>
      </c>
      <c r="AD1187" s="8" t="str">
        <v>68127</v>
      </c>
    </row>
    <row r="1188" spans="1:30">
      <c r="A1188" s="8" t="s">
        <v>1122</v>
      </c>
      <c r="B1188" s="19">
        <v>42303</v>
      </c>
      <c r="C1188" s="8" t="s">
        <v>54</v>
      </c>
      <c r="D1188" s="8">
        <v>10001</v>
      </c>
      <c r="E1188" s="8" t="str">
        <f>VLOOKUP($D1188,'Customer Details'!$A$1:$F$17,4,FALSE)</f>
        <v>New York</v>
      </c>
      <c r="F1188" s="8" t="s">
        <v>141</v>
      </c>
      <c r="G1188" s="8">
        <v>1</v>
      </c>
      <c r="H1188" s="2" t="str">
        <f>VLOOKUP($D1188,'Customer Details'!$A$1:$F$17,MATCH('Order SUmmary'!H$2,'Customer Details'!$A$1:$F$1,0),0)</f>
        <v>Chambal Fertilisers and Chemicals Ltd.</v>
      </c>
      <c r="I1188" s="2" t="str">
        <f>VLOOKUP($D1188,'Customer Details'!$A$1:$F$17,4,0)</f>
        <v>New York</v>
      </c>
      <c r="J1188" s="2" t="str">
        <f>VLOOKUP($D1188,'Customer Details'!$A$1:$F$17,6,0)</f>
        <v>10025</v>
      </c>
      <c r="K1188" s="8" t="str">
        <f>VLOOKUP(VLOOKUP(D1188,'Customer Details'!$A$1:$F$17,5,0),'Region INfo'!$A$1:$C$52,3,0)</f>
        <v xml:space="preserve">Northern </v>
      </c>
      <c r="L1188" s="8" t="str">
        <f>INDEX(Product_List,MATCH($F1188,'Product List'!$B$1:$B$299,0),MATCH('Order SUmmary'!L$2,'Product List'!$A$1:$E$1,0))</f>
        <v>Xerox 1994</v>
      </c>
      <c r="M1188" s="8">
        <f>INDEX(Product_List,MATCH($F1188,'Product List'!$B$1:$B$299,0),MATCH('Order SUmmary'!M$2,'Product List'!$A$1:$E$1,0))</f>
        <v>4901</v>
      </c>
      <c r="N1188" s="8">
        <f>INDEX(Product_List,MATCH($F1188,'Product List'!$B$1:$B$299,0),MATCH('Order SUmmary'!N$2,'Product List'!$A$1:$E$1,0))</f>
        <v>1789</v>
      </c>
      <c r="O1188" s="8" t="str">
        <f>INDEX(Product_List,MATCH($F1188,'Product List'!$B$1:$B$299,0),MATCH('Order SUmmary'!O$2,'Product List'!$A$1:$E$1,0))</f>
        <v>Paper</v>
      </c>
      <c r="P1188" s="12">
        <f>HLOOKUP(C1188,'Commission Criteria'!$A$2:$I$4,3,FALSE)</f>
        <v>3</v>
      </c>
      <c r="Q1188" s="8">
        <f t="shared" si="55"/>
        <v>1789</v>
      </c>
      <c r="R1188" s="8">
        <f t="shared" si="56"/>
        <v>4901</v>
      </c>
      <c r="S1188" s="36">
        <f>VLOOKUP(R1188,'Commission Criteria'!$L$3:$M$11,2,TRUE)</f>
        <v>0.01</v>
      </c>
      <c r="T1188" s="36">
        <f>IF(P1188&lt;5,VLOOKUP(R1188,'Commission Criteria'!$L$3:$M$11,2,1),VLOOKUP('Order SUmmary'!R1188,'Commission Criteria'!$P$3:$Q$11,2,1))</f>
        <v>0.01</v>
      </c>
      <c r="U1188" s="36">
        <f>VLOOKUP(R1188,IF(P1188&lt;5,'Commission Criteria'!$L$3:$M$11,'Commission Criteria'!$P$3:$Q$11),2,1)</f>
        <v>0.01</v>
      </c>
      <c r="V1188" s="8" t="s">
        <v>40</v>
      </c>
      <c r="W1188" s="36">
        <f t="shared" ca="1" si="57"/>
        <v>0.03</v>
      </c>
      <c r="X1188" s="8" t="str">
        <f>_xlfn.XLOOKUP(F1188,'Product List'!$B$1:$B$299,'Product List'!$A$1:$A$299)</f>
        <v>Xerox 1994</v>
      </c>
      <c r="Y1188" s="8"/>
      <c r="Z1188" s="8" t="str" cm="1">
        <f t="array" ref="Z1188:AD1188">_xlfn.XLOOKUP(D1188,'Customer Details'!$A$1:$A$17,'Customer Details'!$B$1:$F$17,"No such customer",0,1)</f>
        <v>Chambal Fertilisers and Chemicals Ltd.</v>
      </c>
      <c r="AA1188" s="8" t="str">
        <v>4951 Indiana Ave.</v>
      </c>
      <c r="AB1188" s="8" t="str">
        <v>New York</v>
      </c>
      <c r="AC1188" s="8" t="str">
        <v>NY</v>
      </c>
      <c r="AD1188" s="8" t="str">
        <v>10025</v>
      </c>
    </row>
    <row r="1189" spans="1:30">
      <c r="A1189" s="8" t="s">
        <v>1123</v>
      </c>
      <c r="B1189" s="19">
        <v>42303</v>
      </c>
      <c r="C1189" s="8" t="s">
        <v>36</v>
      </c>
      <c r="D1189" s="8">
        <v>10008</v>
      </c>
      <c r="E1189" s="8" t="str">
        <f>VLOOKUP($D1189,'Customer Details'!$A$1:$F$17,4,FALSE)</f>
        <v>Chestnut Ridge</v>
      </c>
      <c r="F1189" s="8" t="s">
        <v>684</v>
      </c>
      <c r="G1189" s="8">
        <v>2</v>
      </c>
      <c r="H1189" s="2" t="str">
        <f>VLOOKUP($D1189,'Customer Details'!$A$1:$F$17,MATCH('Order SUmmary'!H$2,'Customer Details'!$A$1:$F$1,0),0)</f>
        <v>Reliance Industries Limited</v>
      </c>
      <c r="I1189" s="2" t="str">
        <f>VLOOKUP($D1189,'Customer Details'!$A$1:$F$17,4,0)</f>
        <v>Chestnut Ridge</v>
      </c>
      <c r="J1189" s="2" t="str">
        <f>VLOOKUP($D1189,'Customer Details'!$A$1:$F$17,6,0)</f>
        <v>10977</v>
      </c>
      <c r="K1189" s="8" t="str">
        <f>VLOOKUP(VLOOKUP(D1189,'Customer Details'!$A$1:$F$17,5,0),'Region INfo'!$A$1:$C$52,3,0)</f>
        <v xml:space="preserve">Northern </v>
      </c>
      <c r="L1189" s="8" t="str">
        <f>INDEX(Product_List,MATCH($F1189,'Product List'!$B$1:$B$299,0),MATCH('Order SUmmary'!L$2,'Product List'!$A$1:$E$1,0))</f>
        <v>Xerox 1988</v>
      </c>
      <c r="M1189" s="8">
        <f>INDEX(Product_List,MATCH($F1189,'Product List'!$B$1:$B$299,0),MATCH('Order SUmmary'!M$2,'Product List'!$A$1:$E$1,0))</f>
        <v>4110</v>
      </c>
      <c r="N1189" s="8">
        <f>INDEX(Product_List,MATCH($F1189,'Product List'!$B$1:$B$299,0),MATCH('Order SUmmary'!N$2,'Product List'!$A$1:$E$1,0))</f>
        <v>1788</v>
      </c>
      <c r="O1189" s="8" t="str">
        <f>INDEX(Product_List,MATCH($F1189,'Product List'!$B$1:$B$299,0),MATCH('Order SUmmary'!O$2,'Product List'!$A$1:$E$1,0))</f>
        <v>Paper</v>
      </c>
      <c r="P1189" s="12">
        <f>HLOOKUP(C1189,'Commission Criteria'!$A$2:$I$4,3,FALSE)</f>
        <v>6</v>
      </c>
      <c r="Q1189" s="8">
        <f t="shared" si="55"/>
        <v>3576</v>
      </c>
      <c r="R1189" s="8">
        <f t="shared" si="56"/>
        <v>8220</v>
      </c>
      <c r="S1189" s="36">
        <f>VLOOKUP(R1189,'Commission Criteria'!$L$3:$M$11,2,TRUE)</f>
        <v>0.03</v>
      </c>
      <c r="T1189" s="36">
        <f>IF(P1189&lt;5,VLOOKUP(R1189,'Commission Criteria'!$L$3:$M$11,2,1),VLOOKUP('Order SUmmary'!R1189,'Commission Criteria'!$P$3:$Q$11,2,1))</f>
        <v>0.02</v>
      </c>
      <c r="U1189" s="36">
        <f>VLOOKUP(R1189,IF(P1189&lt;5,'Commission Criteria'!$L$3:$M$11,'Commission Criteria'!$P$3:$Q$11),2,1)</f>
        <v>0.02</v>
      </c>
      <c r="V1189" s="8" t="s">
        <v>50</v>
      </c>
      <c r="W1189" s="36">
        <f t="shared" ca="1" si="57"/>
        <v>0.03</v>
      </c>
      <c r="X1189" s="8" t="str">
        <f>_xlfn.XLOOKUP(F1189,'Product List'!$B$1:$B$299,'Product List'!$A$1:$A$299)</f>
        <v>Xerox 1988</v>
      </c>
      <c r="Y1189" s="8"/>
      <c r="Z1189" s="8" t="str" cm="1">
        <f t="array" ref="Z1189:AD1189">_xlfn.XLOOKUP(D1189,'Customer Details'!$A$1:$A$17,'Customer Details'!$B$1:$F$17,"No such customer",0,1)</f>
        <v>Reliance Industries Limited</v>
      </c>
      <c r="AA1189" s="8" t="str">
        <v>12020 Shamrock Rd., Suite 333</v>
      </c>
      <c r="AB1189" s="8" t="str">
        <v>Chestnut Ridge</v>
      </c>
      <c r="AC1189" s="8" t="str">
        <v>NY</v>
      </c>
      <c r="AD1189" s="8" t="str">
        <v>10977</v>
      </c>
    </row>
    <row r="1190" spans="1:30">
      <c r="A1190" s="8" t="s">
        <v>1122</v>
      </c>
      <c r="B1190" s="19">
        <v>42303</v>
      </c>
      <c r="C1190" s="8" t="s">
        <v>44</v>
      </c>
      <c r="D1190" s="8">
        <v>10005</v>
      </c>
      <c r="E1190" s="8" t="str">
        <f>VLOOKUP($D1190,'Customer Details'!$A$1:$F$17,4,FALSE)</f>
        <v>Goleta</v>
      </c>
      <c r="F1190" s="8" t="s">
        <v>238</v>
      </c>
      <c r="G1190" s="8">
        <v>3</v>
      </c>
      <c r="H1190" s="2" t="str">
        <f>VLOOKUP($D1190,'Customer Details'!$A$1:$F$17,MATCH('Order SUmmary'!H$2,'Customer Details'!$A$1:$F$1,0),0)</f>
        <v>Fortis Healthcare Ltd.</v>
      </c>
      <c r="I1190" s="2" t="str">
        <f>VLOOKUP($D1190,'Customer Details'!$A$1:$F$17,4,0)</f>
        <v>Goleta</v>
      </c>
      <c r="J1190" s="2" t="str">
        <f>VLOOKUP($D1190,'Customer Details'!$A$1:$F$17,6,0)</f>
        <v>93117</v>
      </c>
      <c r="K1190" s="8" t="str">
        <f>VLOOKUP(VLOOKUP(D1190,'Customer Details'!$A$1:$F$17,5,0),'Region INfo'!$A$1:$C$52,3,0)</f>
        <v xml:space="preserve">Pacific   </v>
      </c>
      <c r="L1190" s="8" t="str">
        <f>INDEX(Product_List,MATCH($F1190,'Product List'!$B$1:$B$299,0),MATCH('Order SUmmary'!L$2,'Product List'!$A$1:$E$1,0))</f>
        <v>Xerox 202</v>
      </c>
      <c r="M1190" s="8">
        <f>INDEX(Product_List,MATCH($F1190,'Product List'!$B$1:$B$299,0),MATCH('Order SUmmary'!M$2,'Product List'!$A$1:$E$1,0))</f>
        <v>4262</v>
      </c>
      <c r="N1190" s="8">
        <f>INDEX(Product_List,MATCH($F1190,'Product List'!$B$1:$B$299,0),MATCH('Order SUmmary'!N$2,'Product List'!$A$1:$E$1,0))</f>
        <v>2486</v>
      </c>
      <c r="O1190" s="8" t="str">
        <f>INDEX(Product_List,MATCH($F1190,'Product List'!$B$1:$B$299,0),MATCH('Order SUmmary'!O$2,'Product List'!$A$1:$E$1,0))</f>
        <v>Paper</v>
      </c>
      <c r="P1190" s="12">
        <f>HLOOKUP(C1190,'Commission Criteria'!$A$2:$I$4,3,FALSE)</f>
        <v>4</v>
      </c>
      <c r="Q1190" s="8">
        <f t="shared" si="55"/>
        <v>7458</v>
      </c>
      <c r="R1190" s="8">
        <f t="shared" si="56"/>
        <v>12786</v>
      </c>
      <c r="S1190" s="36">
        <f>VLOOKUP(R1190,'Commission Criteria'!$L$3:$M$11,2,TRUE)</f>
        <v>0.03</v>
      </c>
      <c r="T1190" s="36">
        <f>IF(P1190&lt;5,VLOOKUP(R1190,'Commission Criteria'!$L$3:$M$11,2,1),VLOOKUP('Order SUmmary'!R1190,'Commission Criteria'!$P$3:$Q$11,2,1))</f>
        <v>0.03</v>
      </c>
      <c r="U1190" s="36">
        <f>VLOOKUP(R1190,IF(P1190&lt;5,'Commission Criteria'!$L$3:$M$11,'Commission Criteria'!$P$3:$Q$11),2,1)</f>
        <v>0.03</v>
      </c>
      <c r="V1190" s="8" t="s">
        <v>40</v>
      </c>
      <c r="W1190" s="36">
        <f t="shared" ca="1" si="57"/>
        <v>0.05</v>
      </c>
      <c r="X1190" s="8" t="str">
        <f>_xlfn.XLOOKUP(F1190,'Product List'!$B$1:$B$299,'Product List'!$A$1:$A$299)</f>
        <v>Xerox 202</v>
      </c>
      <c r="Y1190" s="8"/>
      <c r="Z1190" s="8" t="str" cm="1">
        <f t="array" ref="Z1190:AD1190">_xlfn.XLOOKUP(D1190,'Customer Details'!$A$1:$A$17,'Customer Details'!$B$1:$F$17,"No such customer",0,1)</f>
        <v>Fortis Healthcare Ltd.</v>
      </c>
      <c r="AA1190" s="8" t="str">
        <v>14 Elsworthy Terrace</v>
      </c>
      <c r="AB1190" s="8" t="str">
        <v>Goleta</v>
      </c>
      <c r="AC1190" s="8" t="str">
        <v>CA</v>
      </c>
      <c r="AD1190" s="8" t="str">
        <v>93117</v>
      </c>
    </row>
    <row r="1191" spans="1:30">
      <c r="A1191" s="8" t="s">
        <v>1124</v>
      </c>
      <c r="B1191" s="19">
        <v>42304</v>
      </c>
      <c r="C1191" s="8" t="s">
        <v>46</v>
      </c>
      <c r="D1191" s="8">
        <v>10007</v>
      </c>
      <c r="E1191" s="8" t="str">
        <f>VLOOKUP($D1191,'Customer Details'!$A$1:$F$17,4,FALSE)</f>
        <v>Richmond</v>
      </c>
      <c r="F1191" s="8" t="s">
        <v>776</v>
      </c>
      <c r="G1191" s="8">
        <v>1</v>
      </c>
      <c r="H1191" s="2" t="str">
        <f>VLOOKUP($D1191,'Customer Details'!$A$1:$F$17,MATCH('Order SUmmary'!H$2,'Customer Details'!$A$1:$F$1,0),0)</f>
        <v>GHCL Ltd.</v>
      </c>
      <c r="I1191" s="2" t="str">
        <f>VLOOKUP($D1191,'Customer Details'!$A$1:$F$17,4,0)</f>
        <v>Richmond</v>
      </c>
      <c r="J1191" s="2" t="str">
        <f>VLOOKUP($D1191,'Customer Details'!$A$1:$F$17,6,0)</f>
        <v>94805</v>
      </c>
      <c r="K1191" s="8" t="str">
        <f>VLOOKUP(VLOOKUP(D1191,'Customer Details'!$A$1:$F$17,5,0),'Region INfo'!$A$1:$C$52,3,0)</f>
        <v xml:space="preserve">Pacific   </v>
      </c>
      <c r="L1191" s="8" t="str">
        <f>INDEX(Product_List,MATCH($F1191,'Product List'!$B$1:$B$299,0),MATCH('Order SUmmary'!L$2,'Product List'!$A$1:$E$1,0))</f>
        <v>Newell 347</v>
      </c>
      <c r="M1191" s="8">
        <f>INDEX(Product_List,MATCH($F1191,'Product List'!$B$1:$B$299,0),MATCH('Order SUmmary'!M$2,'Product List'!$A$1:$E$1,0))</f>
        <v>2856</v>
      </c>
      <c r="N1191" s="8">
        <f>INDEX(Product_List,MATCH($F1191,'Product List'!$B$1:$B$299,0),MATCH('Order SUmmary'!N$2,'Product List'!$A$1:$E$1,0))</f>
        <v>1236</v>
      </c>
      <c r="O1191" s="8" t="str">
        <f>INDEX(Product_List,MATCH($F1191,'Product List'!$B$1:$B$299,0),MATCH('Order SUmmary'!O$2,'Product List'!$A$1:$E$1,0))</f>
        <v>Art</v>
      </c>
      <c r="P1191" s="12">
        <f>HLOOKUP(C1191,'Commission Criteria'!$A$2:$I$4,3,FALSE)</f>
        <v>8</v>
      </c>
      <c r="Q1191" s="8">
        <f t="shared" si="55"/>
        <v>1236</v>
      </c>
      <c r="R1191" s="8">
        <f t="shared" si="56"/>
        <v>2856</v>
      </c>
      <c r="S1191" s="36">
        <f>VLOOKUP(R1191,'Commission Criteria'!$L$3:$M$11,2,TRUE)</f>
        <v>0.01</v>
      </c>
      <c r="T1191" s="36">
        <f>IF(P1191&lt;5,VLOOKUP(R1191,'Commission Criteria'!$L$3:$M$11,2,1),VLOOKUP('Order SUmmary'!R1191,'Commission Criteria'!$P$3:$Q$11,2,1))</f>
        <v>0.02</v>
      </c>
      <c r="U1191" s="36">
        <f>VLOOKUP(R1191,IF(P1191&lt;5,'Commission Criteria'!$L$3:$M$11,'Commission Criteria'!$P$3:$Q$11),2,1)</f>
        <v>0.02</v>
      </c>
      <c r="V1191" s="8" t="s">
        <v>40</v>
      </c>
      <c r="W1191" s="36">
        <f t="shared" ca="1" si="57"/>
        <v>0.01</v>
      </c>
      <c r="X1191" s="8" t="str">
        <f>_xlfn.XLOOKUP(F1191,'Product List'!$B$1:$B$299,'Product List'!$A$1:$A$299)</f>
        <v>Newell 347</v>
      </c>
      <c r="Y1191" s="8"/>
      <c r="Z1191" s="8" t="str" cm="1">
        <f t="array" ref="Z1191:AD1191">_xlfn.XLOOKUP(D1191,'Customer Details'!$A$1:$A$17,'Customer Details'!$B$1:$F$17,"No such customer",0,1)</f>
        <v>GHCL Ltd.</v>
      </c>
      <c r="AA1191" s="8" t="str">
        <v>58 Clarence St</v>
      </c>
      <c r="AB1191" s="8" t="str">
        <v>Richmond</v>
      </c>
      <c r="AC1191" s="8" t="str">
        <v>CA</v>
      </c>
      <c r="AD1191" s="8" t="str">
        <v>94805</v>
      </c>
    </row>
    <row r="1192" spans="1:30">
      <c r="A1192" s="8" t="s">
        <v>1125</v>
      </c>
      <c r="B1192" s="19">
        <v>42304</v>
      </c>
      <c r="C1192" s="8" t="s">
        <v>46</v>
      </c>
      <c r="D1192" s="8">
        <v>10012</v>
      </c>
      <c r="E1192" s="8" t="str">
        <f>VLOOKUP($D1192,'Customer Details'!$A$1:$F$17,4,FALSE)</f>
        <v>Santa Barbara</v>
      </c>
      <c r="F1192" s="8" t="s">
        <v>578</v>
      </c>
      <c r="G1192" s="8">
        <v>24</v>
      </c>
      <c r="H1192" s="2" t="str">
        <f>VLOOKUP($D1192,'Customer Details'!$A$1:$F$17,MATCH('Order SUmmary'!H$2,'Customer Details'!$A$1:$F$1,0),0)</f>
        <v>Dynamatic Technologies Ltd.</v>
      </c>
      <c r="I1192" s="2" t="str">
        <f>VLOOKUP($D1192,'Customer Details'!$A$1:$F$17,4,0)</f>
        <v>Santa Barbara</v>
      </c>
      <c r="J1192" s="2" t="str">
        <f>VLOOKUP($D1192,'Customer Details'!$A$1:$F$17,6,0)</f>
        <v>93110</v>
      </c>
      <c r="K1192" s="8" t="str">
        <f>VLOOKUP(VLOOKUP(D1192,'Customer Details'!$A$1:$F$17,5,0),'Region INfo'!$A$1:$C$52,3,0)</f>
        <v xml:space="preserve">Pacific   </v>
      </c>
      <c r="L1192" s="8" t="str">
        <f>INDEX(Product_List,MATCH($F1192,'Product List'!$B$1:$B$299,0),MATCH('Order SUmmary'!L$2,'Product List'!$A$1:$E$1,0))</f>
        <v>Xerox 1948</v>
      </c>
      <c r="M1192" s="8">
        <f>INDEX(Product_List,MATCH($F1192,'Product List'!$B$1:$B$299,0),MATCH('Order SUmmary'!M$2,'Product List'!$A$1:$E$1,0))</f>
        <v>4910</v>
      </c>
      <c r="N1192" s="8">
        <f>INDEX(Product_List,MATCH($F1192,'Product List'!$B$1:$B$299,0),MATCH('Order SUmmary'!N$2,'Product List'!$A$1:$E$1,0))</f>
        <v>2108</v>
      </c>
      <c r="O1192" s="8" t="str">
        <f>INDEX(Product_List,MATCH($F1192,'Product List'!$B$1:$B$299,0),MATCH('Order SUmmary'!O$2,'Product List'!$A$1:$E$1,0))</f>
        <v>Paper</v>
      </c>
      <c r="P1192" s="12">
        <f>HLOOKUP(C1192,'Commission Criteria'!$A$2:$I$4,3,FALSE)</f>
        <v>8</v>
      </c>
      <c r="Q1192" s="8">
        <f t="shared" si="55"/>
        <v>50592</v>
      </c>
      <c r="R1192" s="8">
        <f t="shared" si="56"/>
        <v>117840</v>
      </c>
      <c r="S1192" s="36">
        <f>VLOOKUP(R1192,'Commission Criteria'!$L$3:$M$11,2,TRUE)</f>
        <v>0.09</v>
      </c>
      <c r="T1192" s="36">
        <f>IF(P1192&lt;5,VLOOKUP(R1192,'Commission Criteria'!$L$3:$M$11,2,1),VLOOKUP('Order SUmmary'!R1192,'Commission Criteria'!$P$3:$Q$11,2,1))</f>
        <v>0.1</v>
      </c>
      <c r="U1192" s="36">
        <f>VLOOKUP(R1192,IF(P1192&lt;5,'Commission Criteria'!$L$3:$M$11,'Commission Criteria'!$P$3:$Q$11),2,1)</f>
        <v>0.1</v>
      </c>
      <c r="V1192" s="8" t="s">
        <v>32</v>
      </c>
      <c r="W1192" s="36">
        <f t="shared" ca="1" si="57"/>
        <v>0.05</v>
      </c>
      <c r="X1192" s="8" t="str">
        <f>_xlfn.XLOOKUP(F1192,'Product List'!$B$1:$B$299,'Product List'!$A$1:$A$299)</f>
        <v>Xerox 1948</v>
      </c>
      <c r="Y1192" s="8"/>
      <c r="Z1192" s="8" t="str" cm="1">
        <f t="array" ref="Z1192:AD1192">_xlfn.XLOOKUP(D1192,'Customer Details'!$A$1:$A$17,'Customer Details'!$B$1:$F$17,"No such customer",0,1)</f>
        <v>Dynamatic Technologies Ltd.</v>
      </c>
      <c r="AA1192" s="8" t="str">
        <v>402 Pinkster Lane</v>
      </c>
      <c r="AB1192" s="8" t="str">
        <v>Santa Barbara</v>
      </c>
      <c r="AC1192" s="8" t="str">
        <v>CA</v>
      </c>
      <c r="AD1192" s="8" t="str">
        <v>93110</v>
      </c>
    </row>
    <row r="1193" spans="1:30">
      <c r="A1193" s="8" t="s">
        <v>1126</v>
      </c>
      <c r="B1193" s="19">
        <v>42305</v>
      </c>
      <c r="C1193" s="8" t="s">
        <v>54</v>
      </c>
      <c r="D1193" s="8">
        <v>10015</v>
      </c>
      <c r="E1193" s="8" t="str">
        <f>VLOOKUP($D1193,'Customer Details'!$A$1:$F$17,4,FALSE)</f>
        <v>South Windsor</v>
      </c>
      <c r="F1193" s="8" t="s">
        <v>672</v>
      </c>
      <c r="G1193" s="8">
        <v>3</v>
      </c>
      <c r="H1193" s="2" t="str">
        <f>VLOOKUP($D1193,'Customer Details'!$A$1:$F$17,MATCH('Order SUmmary'!H$2,'Customer Details'!$A$1:$F$1,0),0)</f>
        <v>Punj Lloyd Ltd.</v>
      </c>
      <c r="I1193" s="2" t="str">
        <f>VLOOKUP($D1193,'Customer Details'!$A$1:$F$17,4,0)</f>
        <v>South Windsor</v>
      </c>
      <c r="J1193" s="2" t="str">
        <f>VLOOKUP($D1193,'Customer Details'!$A$1:$F$17,6,0)</f>
        <v>06074</v>
      </c>
      <c r="K1193" s="8" t="str">
        <f>VLOOKUP(VLOOKUP(D1193,'Customer Details'!$A$1:$F$17,5,0),'Region INfo'!$A$1:$C$52,3,0)</f>
        <v xml:space="preserve">Northern </v>
      </c>
      <c r="L1193" s="8" t="str">
        <f>INDEX(Product_List,MATCH($F1193,'Product List'!$B$1:$B$299,0),MATCH('Order SUmmary'!L$2,'Product List'!$A$1:$E$1,0))</f>
        <v>Newell 319</v>
      </c>
      <c r="M1193" s="8">
        <f>INDEX(Product_List,MATCH($F1193,'Product List'!$B$1:$B$299,0),MATCH('Order SUmmary'!M$2,'Product List'!$A$1:$E$1,0))</f>
        <v>2867</v>
      </c>
      <c r="N1193" s="8">
        <f>INDEX(Product_List,MATCH($F1193,'Product List'!$B$1:$B$299,0),MATCH('Order SUmmary'!N$2,'Product List'!$A$1:$E$1,0))</f>
        <v>2295</v>
      </c>
      <c r="O1193" s="8" t="str">
        <f>INDEX(Product_List,MATCH($F1193,'Product List'!$B$1:$B$299,0),MATCH('Order SUmmary'!O$2,'Product List'!$A$1:$E$1,0))</f>
        <v>Art</v>
      </c>
      <c r="P1193" s="12">
        <f>HLOOKUP(C1193,'Commission Criteria'!$A$2:$I$4,3,FALSE)</f>
        <v>3</v>
      </c>
      <c r="Q1193" s="8">
        <f t="shared" si="55"/>
        <v>6885</v>
      </c>
      <c r="R1193" s="8">
        <f t="shared" si="56"/>
        <v>8601</v>
      </c>
      <c r="S1193" s="36">
        <f>VLOOKUP(R1193,'Commission Criteria'!$L$3:$M$11,2,TRUE)</f>
        <v>0.03</v>
      </c>
      <c r="T1193" s="36">
        <f>IF(P1193&lt;5,VLOOKUP(R1193,'Commission Criteria'!$L$3:$M$11,2,1),VLOOKUP('Order SUmmary'!R1193,'Commission Criteria'!$P$3:$Q$11,2,1))</f>
        <v>0.03</v>
      </c>
      <c r="U1193" s="36">
        <f>VLOOKUP(R1193,IF(P1193&lt;5,'Commission Criteria'!$L$3:$M$11,'Commission Criteria'!$P$3:$Q$11),2,1)</f>
        <v>0.03</v>
      </c>
      <c r="V1193" s="8" t="s">
        <v>32</v>
      </c>
      <c r="W1193" s="36">
        <f t="shared" ca="1" si="57"/>
        <v>0.02</v>
      </c>
      <c r="X1193" s="8" t="str">
        <f>_xlfn.XLOOKUP(F1193,'Product List'!$B$1:$B$299,'Product List'!$A$1:$A$299)</f>
        <v>Newell 319</v>
      </c>
      <c r="Y1193" s="8"/>
      <c r="Z1193" s="8" t="str" cm="1">
        <f t="array" ref="Z1193:AD1193">_xlfn.XLOOKUP(D1193,'Customer Details'!$A$1:$A$17,'Customer Details'!$B$1:$F$17,"No such customer",0,1)</f>
        <v>Punj Lloyd Ltd.</v>
      </c>
      <c r="AA1193" s="8" t="str">
        <v>Box 3263</v>
      </c>
      <c r="AB1193" s="8" t="str">
        <v>South Windsor</v>
      </c>
      <c r="AC1193" s="8" t="str">
        <v>CT</v>
      </c>
      <c r="AD1193" s="8" t="str">
        <v>06074</v>
      </c>
    </row>
    <row r="1194" spans="1:30">
      <c r="A1194" s="8" t="s">
        <v>1127</v>
      </c>
      <c r="B1194" s="19">
        <v>42307</v>
      </c>
      <c r="C1194" s="8" t="s">
        <v>33</v>
      </c>
      <c r="D1194" s="8">
        <v>10004</v>
      </c>
      <c r="E1194" s="8" t="str">
        <f>VLOOKUP($D1194,'Customer Details'!$A$1:$F$17,4,FALSE)</f>
        <v>New York</v>
      </c>
      <c r="F1194" s="8" t="s">
        <v>522</v>
      </c>
      <c r="G1194" s="8">
        <v>2</v>
      </c>
      <c r="H1194" s="2" t="str">
        <f>VLOOKUP($D1194,'Customer Details'!$A$1:$F$17,MATCH('Order SUmmary'!H$2,'Customer Details'!$A$1:$F$1,0),0)</f>
        <v>Lupin Ltd.</v>
      </c>
      <c r="I1194" s="2" t="str">
        <f>VLOOKUP($D1194,'Customer Details'!$A$1:$F$17,4,0)</f>
        <v>New York</v>
      </c>
      <c r="J1194" s="2" t="str">
        <f>VLOOKUP($D1194,'Customer Details'!$A$1:$F$17,6,0)</f>
        <v>10019</v>
      </c>
      <c r="K1194" s="8" t="str">
        <f>VLOOKUP(VLOOKUP(D1194,'Customer Details'!$A$1:$F$17,5,0),'Region INfo'!$A$1:$C$52,3,0)</f>
        <v xml:space="preserve">Northern </v>
      </c>
      <c r="L1194" s="8" t="str">
        <f>INDEX(Product_List,MATCH($F1194,'Product List'!$B$1:$B$299,0),MATCH('Order SUmmary'!L$2,'Product List'!$A$1:$E$1,0))</f>
        <v>HTC One</v>
      </c>
      <c r="M1194" s="8">
        <f>INDEX(Product_List,MATCH($F1194,'Product List'!$B$1:$B$299,0),MATCH('Order SUmmary'!M$2,'Product List'!$A$1:$E$1,0))</f>
        <v>3536</v>
      </c>
      <c r="N1194" s="8">
        <f>INDEX(Product_List,MATCH($F1194,'Product List'!$B$1:$B$299,0),MATCH('Order SUmmary'!N$2,'Product List'!$A$1:$E$1,0))</f>
        <v>1644</v>
      </c>
      <c r="O1194" s="8" t="str">
        <f>INDEX(Product_List,MATCH($F1194,'Product List'!$B$1:$B$299,0),MATCH('Order SUmmary'!O$2,'Product List'!$A$1:$E$1,0))</f>
        <v>Phones</v>
      </c>
      <c r="P1194" s="12">
        <f>HLOOKUP(C1194,'Commission Criteria'!$A$2:$I$4,3,FALSE)</f>
        <v>1</v>
      </c>
      <c r="Q1194" s="8">
        <f t="shared" si="55"/>
        <v>3288</v>
      </c>
      <c r="R1194" s="8">
        <f t="shared" si="56"/>
        <v>7072</v>
      </c>
      <c r="S1194" s="36">
        <f>VLOOKUP(R1194,'Commission Criteria'!$L$3:$M$11,2,TRUE)</f>
        <v>0.03</v>
      </c>
      <c r="T1194" s="36">
        <f>IF(P1194&lt;5,VLOOKUP(R1194,'Commission Criteria'!$L$3:$M$11,2,1),VLOOKUP('Order SUmmary'!R1194,'Commission Criteria'!$P$3:$Q$11,2,1))</f>
        <v>0.03</v>
      </c>
      <c r="U1194" s="36">
        <f>VLOOKUP(R1194,IF(P1194&lt;5,'Commission Criteria'!$L$3:$M$11,'Commission Criteria'!$P$3:$Q$11),2,1)</f>
        <v>0.03</v>
      </c>
      <c r="V1194" s="8" t="s">
        <v>29</v>
      </c>
      <c r="W1194" s="36">
        <f t="shared" ca="1" si="57"/>
        <v>0.01</v>
      </c>
      <c r="X1194" s="8" t="str">
        <f>_xlfn.XLOOKUP(F1194,'Product List'!$B$1:$B$299,'Product List'!$A$1:$A$299)</f>
        <v>HTC One</v>
      </c>
      <c r="Y1194" s="8"/>
      <c r="Z1194" s="8" t="str" cm="1">
        <f t="array" ref="Z1194:AD1194">_xlfn.XLOOKUP(D1194,'Customer Details'!$A$1:$A$17,'Customer Details'!$B$1:$F$17,"No such customer",0,1)</f>
        <v>Lupin Ltd.</v>
      </c>
      <c r="AA1194" s="8" t="str">
        <v>Abbey Wood</v>
      </c>
      <c r="AB1194" s="8" t="str">
        <v>New York</v>
      </c>
      <c r="AC1194" s="8" t="str">
        <v>NY</v>
      </c>
      <c r="AD1194" s="8" t="str">
        <v>10019</v>
      </c>
    </row>
    <row r="1195" spans="1:30">
      <c r="A1195" s="8" t="s">
        <v>1127</v>
      </c>
      <c r="B1195" s="19">
        <v>42307</v>
      </c>
      <c r="C1195" s="8" t="s">
        <v>36</v>
      </c>
      <c r="D1195" s="8">
        <v>10002</v>
      </c>
      <c r="E1195" s="8" t="str">
        <f>VLOOKUP($D1195,'Customer Details'!$A$1:$F$17,4,FALSE)</f>
        <v>Omaha</v>
      </c>
      <c r="F1195" s="8" t="s">
        <v>84</v>
      </c>
      <c r="G1195" s="8">
        <v>2</v>
      </c>
      <c r="H1195" s="2" t="str">
        <f>VLOOKUP($D1195,'Customer Details'!$A$1:$F$17,MATCH('Order SUmmary'!H$2,'Customer Details'!$A$1:$F$1,0),0)</f>
        <v>Elder Pharmaceuticals</v>
      </c>
      <c r="I1195" s="2" t="str">
        <f>VLOOKUP($D1195,'Customer Details'!$A$1:$F$17,4,0)</f>
        <v>Omaha</v>
      </c>
      <c r="J1195" s="2" t="str">
        <f>VLOOKUP($D1195,'Customer Details'!$A$1:$F$17,6,0)</f>
        <v>68127</v>
      </c>
      <c r="K1195" s="8" t="str">
        <f>VLOOKUP(VLOOKUP(D1195,'Customer Details'!$A$1:$F$17,5,0),'Region INfo'!$A$1:$C$52,3,0)</f>
        <v>Western</v>
      </c>
      <c r="L1195" s="8" t="str">
        <f>INDEX(Product_List,MATCH($F1195,'Product List'!$B$1:$B$299,0),MATCH('Order SUmmary'!L$2,'Product List'!$A$1:$E$1,0))</f>
        <v>Xerox 1979</v>
      </c>
      <c r="M1195" s="8">
        <f>INDEX(Product_List,MATCH($F1195,'Product List'!$B$1:$B$299,0),MATCH('Order SUmmary'!M$2,'Product List'!$A$1:$E$1,0))</f>
        <v>4731</v>
      </c>
      <c r="N1195" s="8">
        <f>INDEX(Product_List,MATCH($F1195,'Product List'!$B$1:$B$299,0),MATCH('Order SUmmary'!N$2,'Product List'!$A$1:$E$1,0))</f>
        <v>1858</v>
      </c>
      <c r="O1195" s="8" t="str">
        <f>INDEX(Product_List,MATCH($F1195,'Product List'!$B$1:$B$299,0),MATCH('Order SUmmary'!O$2,'Product List'!$A$1:$E$1,0))</f>
        <v>Paper</v>
      </c>
      <c r="P1195" s="12">
        <f>HLOOKUP(C1195,'Commission Criteria'!$A$2:$I$4,3,FALSE)</f>
        <v>6</v>
      </c>
      <c r="Q1195" s="8">
        <f t="shared" si="55"/>
        <v>3716</v>
      </c>
      <c r="R1195" s="8">
        <f t="shared" si="56"/>
        <v>9462</v>
      </c>
      <c r="S1195" s="36">
        <f>VLOOKUP(R1195,'Commission Criteria'!$L$3:$M$11,2,TRUE)</f>
        <v>0.03</v>
      </c>
      <c r="T1195" s="36">
        <f>IF(P1195&lt;5,VLOOKUP(R1195,'Commission Criteria'!$L$3:$M$11,2,1),VLOOKUP('Order SUmmary'!R1195,'Commission Criteria'!$P$3:$Q$11,2,1))</f>
        <v>0.02</v>
      </c>
      <c r="U1195" s="36">
        <f>VLOOKUP(R1195,IF(P1195&lt;5,'Commission Criteria'!$L$3:$M$11,'Commission Criteria'!$P$3:$Q$11),2,1)</f>
        <v>0.02</v>
      </c>
      <c r="V1195" s="8" t="s">
        <v>40</v>
      </c>
      <c r="W1195" s="36">
        <f t="shared" ca="1" si="57"/>
        <v>0.02</v>
      </c>
      <c r="X1195" s="8" t="str">
        <f>_xlfn.XLOOKUP(F1195,'Product List'!$B$1:$B$299,'Product List'!$A$1:$A$299)</f>
        <v>Xerox 1979</v>
      </c>
      <c r="Y1195" s="8"/>
      <c r="Z1195" s="8" t="str" cm="1">
        <f t="array" ref="Z1195:AD1195">_xlfn.XLOOKUP(D1195,'Customer Details'!$A$1:$A$17,'Customer Details'!$B$1:$F$17,"No such customer",0,1)</f>
        <v>Elder Pharmaceuticals</v>
      </c>
      <c r="AA1195" s="8" t="str">
        <v>57 Neriba Cres</v>
      </c>
      <c r="AB1195" s="8" t="str">
        <v>Omaha</v>
      </c>
      <c r="AC1195" s="8" t="str">
        <v>NE</v>
      </c>
      <c r="AD1195" s="8" t="str">
        <v>68127</v>
      </c>
    </row>
    <row r="1196" spans="1:30">
      <c r="A1196" s="8" t="s">
        <v>1128</v>
      </c>
      <c r="B1196" s="19">
        <v>42309</v>
      </c>
      <c r="C1196" s="8" t="s">
        <v>44</v>
      </c>
      <c r="D1196" s="8">
        <v>10002</v>
      </c>
      <c r="E1196" s="8" t="str">
        <f>VLOOKUP($D1196,'Customer Details'!$A$1:$F$17,4,FALSE)</f>
        <v>Omaha</v>
      </c>
      <c r="F1196" s="8" t="s">
        <v>750</v>
      </c>
      <c r="G1196" s="8">
        <v>1</v>
      </c>
      <c r="H1196" s="2" t="str">
        <f>VLOOKUP($D1196,'Customer Details'!$A$1:$F$17,MATCH('Order SUmmary'!H$2,'Customer Details'!$A$1:$F$1,0),0)</f>
        <v>Elder Pharmaceuticals</v>
      </c>
      <c r="I1196" s="2" t="str">
        <f>VLOOKUP($D1196,'Customer Details'!$A$1:$F$17,4,0)</f>
        <v>Omaha</v>
      </c>
      <c r="J1196" s="2" t="str">
        <f>VLOOKUP($D1196,'Customer Details'!$A$1:$F$17,6,0)</f>
        <v>68127</v>
      </c>
      <c r="K1196" s="8" t="str">
        <f>VLOOKUP(VLOOKUP(D1196,'Customer Details'!$A$1:$F$17,5,0),'Region INfo'!$A$1:$C$52,3,0)</f>
        <v>Western</v>
      </c>
      <c r="L1196" s="8" t="str">
        <f>INDEX(Product_List,MATCH($F1196,'Product List'!$B$1:$B$299,0),MATCH('Order SUmmary'!L$2,'Product List'!$A$1:$E$1,0))</f>
        <v>Xerox 1897</v>
      </c>
      <c r="M1196" s="8">
        <f>INDEX(Product_List,MATCH($F1196,'Product List'!$B$1:$B$299,0),MATCH('Order SUmmary'!M$2,'Product List'!$A$1:$E$1,0))</f>
        <v>3836</v>
      </c>
      <c r="N1196" s="8">
        <f>INDEX(Product_List,MATCH($F1196,'Product List'!$B$1:$B$299,0),MATCH('Order SUmmary'!N$2,'Product List'!$A$1:$E$1,0))</f>
        <v>2089</v>
      </c>
      <c r="O1196" s="8" t="str">
        <f>INDEX(Product_List,MATCH($F1196,'Product List'!$B$1:$B$299,0),MATCH('Order SUmmary'!O$2,'Product List'!$A$1:$E$1,0))</f>
        <v>Paper</v>
      </c>
      <c r="P1196" s="12">
        <f>HLOOKUP(C1196,'Commission Criteria'!$A$2:$I$4,3,FALSE)</f>
        <v>4</v>
      </c>
      <c r="Q1196" s="8">
        <f t="shared" si="55"/>
        <v>2089</v>
      </c>
      <c r="R1196" s="8">
        <f t="shared" si="56"/>
        <v>3836</v>
      </c>
      <c r="S1196" s="36">
        <f>VLOOKUP(R1196,'Commission Criteria'!$L$3:$M$11,2,TRUE)</f>
        <v>0.01</v>
      </c>
      <c r="T1196" s="36">
        <f>IF(P1196&lt;5,VLOOKUP(R1196,'Commission Criteria'!$L$3:$M$11,2,1),VLOOKUP('Order SUmmary'!R1196,'Commission Criteria'!$P$3:$Q$11,2,1))</f>
        <v>0.01</v>
      </c>
      <c r="U1196" s="36">
        <f>VLOOKUP(R1196,IF(P1196&lt;5,'Commission Criteria'!$L$3:$M$11,'Commission Criteria'!$P$3:$Q$11),2,1)</f>
        <v>0.01</v>
      </c>
      <c r="V1196" s="8" t="s">
        <v>29</v>
      </c>
      <c r="W1196" s="36">
        <f t="shared" ca="1" si="57"/>
        <v>0.04</v>
      </c>
      <c r="X1196" s="8" t="str">
        <f>_xlfn.XLOOKUP(F1196,'Product List'!$B$1:$B$299,'Product List'!$A$1:$A$299)</f>
        <v>Xerox 1897</v>
      </c>
      <c r="Y1196" s="8"/>
      <c r="Z1196" s="8" t="str" cm="1">
        <f t="array" ref="Z1196:AD1196">_xlfn.XLOOKUP(D1196,'Customer Details'!$A$1:$A$17,'Customer Details'!$B$1:$F$17,"No such customer",0,1)</f>
        <v>Elder Pharmaceuticals</v>
      </c>
      <c r="AA1196" s="8" t="str">
        <v>57 Neriba Cres</v>
      </c>
      <c r="AB1196" s="8" t="str">
        <v>Omaha</v>
      </c>
      <c r="AC1196" s="8" t="str">
        <v>NE</v>
      </c>
      <c r="AD1196" s="8" t="str">
        <v>68127</v>
      </c>
    </row>
    <row r="1197" spans="1:30">
      <c r="A1197" s="8" t="s">
        <v>1129</v>
      </c>
      <c r="B1197" s="19">
        <v>42309</v>
      </c>
      <c r="C1197" s="8" t="s">
        <v>33</v>
      </c>
      <c r="D1197" s="8">
        <v>10001</v>
      </c>
      <c r="E1197" s="8" t="str">
        <f>VLOOKUP($D1197,'Customer Details'!$A$1:$F$17,4,FALSE)</f>
        <v>New York</v>
      </c>
      <c r="F1197" s="8" t="s">
        <v>586</v>
      </c>
      <c r="G1197" s="8">
        <v>1</v>
      </c>
      <c r="H1197" s="2" t="str">
        <f>VLOOKUP($D1197,'Customer Details'!$A$1:$F$17,MATCH('Order SUmmary'!H$2,'Customer Details'!$A$1:$F$1,0),0)</f>
        <v>Chambal Fertilisers and Chemicals Ltd.</v>
      </c>
      <c r="I1197" s="2" t="str">
        <f>VLOOKUP($D1197,'Customer Details'!$A$1:$F$17,4,0)</f>
        <v>New York</v>
      </c>
      <c r="J1197" s="2" t="str">
        <f>VLOOKUP($D1197,'Customer Details'!$A$1:$F$17,6,0)</f>
        <v>10025</v>
      </c>
      <c r="K1197" s="8" t="str">
        <f>VLOOKUP(VLOOKUP(D1197,'Customer Details'!$A$1:$F$17,5,0),'Region INfo'!$A$1:$C$52,3,0)</f>
        <v xml:space="preserve">Northern </v>
      </c>
      <c r="L1197" s="8" t="str">
        <f>INDEX(Product_List,MATCH($F1197,'Product List'!$B$1:$B$299,0),MATCH('Order SUmmary'!L$2,'Product List'!$A$1:$E$1,0))</f>
        <v>Xerox 222</v>
      </c>
      <c r="M1197" s="8">
        <f>INDEX(Product_List,MATCH($F1197,'Product List'!$B$1:$B$299,0),MATCH('Order SUmmary'!M$2,'Product List'!$A$1:$E$1,0))</f>
        <v>4952</v>
      </c>
      <c r="N1197" s="8">
        <f>INDEX(Product_List,MATCH($F1197,'Product List'!$B$1:$B$299,0),MATCH('Order SUmmary'!N$2,'Product List'!$A$1:$E$1,0))</f>
        <v>1567</v>
      </c>
      <c r="O1197" s="8" t="str">
        <f>INDEX(Product_List,MATCH($F1197,'Product List'!$B$1:$B$299,0),MATCH('Order SUmmary'!O$2,'Product List'!$A$1:$E$1,0))</f>
        <v>Paper</v>
      </c>
      <c r="P1197" s="12">
        <f>HLOOKUP(C1197,'Commission Criteria'!$A$2:$I$4,3,FALSE)</f>
        <v>1</v>
      </c>
      <c r="Q1197" s="8">
        <f t="shared" si="55"/>
        <v>1567</v>
      </c>
      <c r="R1197" s="8">
        <f t="shared" si="56"/>
        <v>4952</v>
      </c>
      <c r="S1197" s="36">
        <f>VLOOKUP(R1197,'Commission Criteria'!$L$3:$M$11,2,TRUE)</f>
        <v>0.01</v>
      </c>
      <c r="T1197" s="36">
        <f>IF(P1197&lt;5,VLOOKUP(R1197,'Commission Criteria'!$L$3:$M$11,2,1),VLOOKUP('Order SUmmary'!R1197,'Commission Criteria'!$P$3:$Q$11,2,1))</f>
        <v>0.01</v>
      </c>
      <c r="U1197" s="36">
        <f>VLOOKUP(R1197,IF(P1197&lt;5,'Commission Criteria'!$L$3:$M$11,'Commission Criteria'!$P$3:$Q$11),2,1)</f>
        <v>0.01</v>
      </c>
      <c r="V1197" s="8" t="s">
        <v>32</v>
      </c>
      <c r="W1197" s="36">
        <f t="shared" ca="1" si="57"/>
        <v>0.05</v>
      </c>
      <c r="X1197" s="8" t="str">
        <f>_xlfn.XLOOKUP(F1197,'Product List'!$B$1:$B$299,'Product List'!$A$1:$A$299)</f>
        <v>Xerox 222</v>
      </c>
      <c r="Y1197" s="8"/>
      <c r="Z1197" s="8" t="str" cm="1">
        <f t="array" ref="Z1197:AD1197">_xlfn.XLOOKUP(D1197,'Customer Details'!$A$1:$A$17,'Customer Details'!$B$1:$F$17,"No such customer",0,1)</f>
        <v>Chambal Fertilisers and Chemicals Ltd.</v>
      </c>
      <c r="AA1197" s="8" t="str">
        <v>4951 Indiana Ave.</v>
      </c>
      <c r="AB1197" s="8" t="str">
        <v>New York</v>
      </c>
      <c r="AC1197" s="8" t="str">
        <v>NY</v>
      </c>
      <c r="AD1197" s="8" t="str">
        <v>10025</v>
      </c>
    </row>
    <row r="1198" spans="1:30">
      <c r="A1198" s="8" t="s">
        <v>1128</v>
      </c>
      <c r="B1198" s="19">
        <v>42309</v>
      </c>
      <c r="C1198" s="8" t="s">
        <v>44</v>
      </c>
      <c r="D1198" s="8">
        <v>10006</v>
      </c>
      <c r="E1198" s="8" t="str">
        <f>VLOOKUP($D1198,'Customer Details'!$A$1:$F$17,4,FALSE)</f>
        <v>Midland</v>
      </c>
      <c r="F1198" s="8" t="s">
        <v>318</v>
      </c>
      <c r="G1198" s="8">
        <v>3</v>
      </c>
      <c r="H1198" s="2" t="str">
        <f>VLOOKUP($D1198,'Customer Details'!$A$1:$F$17,MATCH('Order SUmmary'!H$2,'Customer Details'!$A$1:$F$1,0),0)</f>
        <v>Supreme Ind</v>
      </c>
      <c r="I1198" s="2" t="str">
        <f>VLOOKUP($D1198,'Customer Details'!$A$1:$F$17,4,0)</f>
        <v>Midland</v>
      </c>
      <c r="J1198" s="2" t="str">
        <f>VLOOKUP($D1198,'Customer Details'!$A$1:$F$17,6,0)</f>
        <v>79706</v>
      </c>
      <c r="K1198" s="8" t="str">
        <f>VLOOKUP(VLOOKUP(D1198,'Customer Details'!$A$1:$F$17,5,0),'Region INfo'!$A$1:$C$52,3,0)</f>
        <v>Western</v>
      </c>
      <c r="L1198" s="8" t="str">
        <f>INDEX(Product_List,MATCH($F1198,'Product List'!$B$1:$B$299,0),MATCH('Order SUmmary'!L$2,'Product List'!$A$1:$E$1,0))</f>
        <v>Newell 331</v>
      </c>
      <c r="M1198" s="8">
        <f>INDEX(Product_List,MATCH($F1198,'Product List'!$B$1:$B$299,0),MATCH('Order SUmmary'!M$2,'Product List'!$A$1:$E$1,0))</f>
        <v>3048</v>
      </c>
      <c r="N1198" s="8">
        <f>INDEX(Product_List,MATCH($F1198,'Product List'!$B$1:$B$299,0),MATCH('Order SUmmary'!N$2,'Product List'!$A$1:$E$1,0))</f>
        <v>1616</v>
      </c>
      <c r="O1198" s="8" t="str">
        <f>INDEX(Product_List,MATCH($F1198,'Product List'!$B$1:$B$299,0),MATCH('Order SUmmary'!O$2,'Product List'!$A$1:$E$1,0))</f>
        <v>Art</v>
      </c>
      <c r="P1198" s="12">
        <f>HLOOKUP(C1198,'Commission Criteria'!$A$2:$I$4,3,FALSE)</f>
        <v>4</v>
      </c>
      <c r="Q1198" s="8">
        <f t="shared" si="55"/>
        <v>4848</v>
      </c>
      <c r="R1198" s="8">
        <f t="shared" si="56"/>
        <v>9144</v>
      </c>
      <c r="S1198" s="36">
        <f>VLOOKUP(R1198,'Commission Criteria'!$L$3:$M$11,2,TRUE)</f>
        <v>0.03</v>
      </c>
      <c r="T1198" s="36">
        <f>IF(P1198&lt;5,VLOOKUP(R1198,'Commission Criteria'!$L$3:$M$11,2,1),VLOOKUP('Order SUmmary'!R1198,'Commission Criteria'!$P$3:$Q$11,2,1))</f>
        <v>0.03</v>
      </c>
      <c r="U1198" s="36">
        <f>VLOOKUP(R1198,IF(P1198&lt;5,'Commission Criteria'!$L$3:$M$11,'Commission Criteria'!$P$3:$Q$11),2,1)</f>
        <v>0.03</v>
      </c>
      <c r="V1198" s="8" t="s">
        <v>50</v>
      </c>
      <c r="W1198" s="36">
        <f t="shared" ca="1" si="57"/>
        <v>0.05</v>
      </c>
      <c r="X1198" s="8" t="str">
        <f>_xlfn.XLOOKUP(F1198,'Product List'!$B$1:$B$299,'Product List'!$A$1:$A$299)</f>
        <v>Newell 331</v>
      </c>
      <c r="Y1198" s="8"/>
      <c r="Z1198" s="8" t="str" cm="1">
        <f t="array" ref="Z1198:AD1198">_xlfn.XLOOKUP(D1198,'Customer Details'!$A$1:$A$17,'Customer Details'!$B$1:$F$17,"No such customer",0,1)</f>
        <v>Supreme Ind</v>
      </c>
      <c r="AA1198" s="8" t="str">
        <v>P.O. Box 1367</v>
      </c>
      <c r="AB1198" s="8" t="str">
        <v>Midland</v>
      </c>
      <c r="AC1198" s="8" t="str">
        <v>TX</v>
      </c>
      <c r="AD1198" s="8" t="str">
        <v>79706</v>
      </c>
    </row>
    <row r="1199" spans="1:30">
      <c r="A1199" s="8" t="s">
        <v>1130</v>
      </c>
      <c r="B1199" s="19">
        <v>42310</v>
      </c>
      <c r="C1199" s="8" t="s">
        <v>46</v>
      </c>
      <c r="D1199" s="8">
        <v>10005</v>
      </c>
      <c r="E1199" s="8" t="str">
        <f>VLOOKUP($D1199,'Customer Details'!$A$1:$F$17,4,FALSE)</f>
        <v>Goleta</v>
      </c>
      <c r="F1199" s="8" t="s">
        <v>684</v>
      </c>
      <c r="G1199" s="8">
        <v>1</v>
      </c>
      <c r="H1199" s="2" t="str">
        <f>VLOOKUP($D1199,'Customer Details'!$A$1:$F$17,MATCH('Order SUmmary'!H$2,'Customer Details'!$A$1:$F$1,0),0)</f>
        <v>Fortis Healthcare Ltd.</v>
      </c>
      <c r="I1199" s="2" t="str">
        <f>VLOOKUP($D1199,'Customer Details'!$A$1:$F$17,4,0)</f>
        <v>Goleta</v>
      </c>
      <c r="J1199" s="2" t="str">
        <f>VLOOKUP($D1199,'Customer Details'!$A$1:$F$17,6,0)</f>
        <v>93117</v>
      </c>
      <c r="K1199" s="8" t="str">
        <f>VLOOKUP(VLOOKUP(D1199,'Customer Details'!$A$1:$F$17,5,0),'Region INfo'!$A$1:$C$52,3,0)</f>
        <v xml:space="preserve">Pacific   </v>
      </c>
      <c r="L1199" s="8" t="str">
        <f>INDEX(Product_List,MATCH($F1199,'Product List'!$B$1:$B$299,0),MATCH('Order SUmmary'!L$2,'Product List'!$A$1:$E$1,0))</f>
        <v>Xerox 1988</v>
      </c>
      <c r="M1199" s="8">
        <f>INDEX(Product_List,MATCH($F1199,'Product List'!$B$1:$B$299,0),MATCH('Order SUmmary'!M$2,'Product List'!$A$1:$E$1,0))</f>
        <v>4110</v>
      </c>
      <c r="N1199" s="8">
        <f>INDEX(Product_List,MATCH($F1199,'Product List'!$B$1:$B$299,0),MATCH('Order SUmmary'!N$2,'Product List'!$A$1:$E$1,0))</f>
        <v>1788</v>
      </c>
      <c r="O1199" s="8" t="str">
        <f>INDEX(Product_List,MATCH($F1199,'Product List'!$B$1:$B$299,0),MATCH('Order SUmmary'!O$2,'Product List'!$A$1:$E$1,0))</f>
        <v>Paper</v>
      </c>
      <c r="P1199" s="12">
        <f>HLOOKUP(C1199,'Commission Criteria'!$A$2:$I$4,3,FALSE)</f>
        <v>8</v>
      </c>
      <c r="Q1199" s="8">
        <f t="shared" si="55"/>
        <v>1788</v>
      </c>
      <c r="R1199" s="8">
        <f t="shared" si="56"/>
        <v>4110</v>
      </c>
      <c r="S1199" s="36">
        <f>VLOOKUP(R1199,'Commission Criteria'!$L$3:$M$11,2,TRUE)</f>
        <v>0.01</v>
      </c>
      <c r="T1199" s="36">
        <f>IF(P1199&lt;5,VLOOKUP(R1199,'Commission Criteria'!$L$3:$M$11,2,1),VLOOKUP('Order SUmmary'!R1199,'Commission Criteria'!$P$3:$Q$11,2,1))</f>
        <v>0.02</v>
      </c>
      <c r="U1199" s="36">
        <f>VLOOKUP(R1199,IF(P1199&lt;5,'Commission Criteria'!$L$3:$M$11,'Commission Criteria'!$P$3:$Q$11),2,1)</f>
        <v>0.02</v>
      </c>
      <c r="V1199" s="8" t="s">
        <v>40</v>
      </c>
      <c r="W1199" s="36">
        <f t="shared" ca="1" si="57"/>
        <v>0.03</v>
      </c>
      <c r="X1199" s="8" t="str">
        <f>_xlfn.XLOOKUP(F1199,'Product List'!$B$1:$B$299,'Product List'!$A$1:$A$299)</f>
        <v>Xerox 1988</v>
      </c>
      <c r="Y1199" s="8"/>
      <c r="Z1199" s="8" t="str" cm="1">
        <f t="array" ref="Z1199:AD1199">_xlfn.XLOOKUP(D1199,'Customer Details'!$A$1:$A$17,'Customer Details'!$B$1:$F$17,"No such customer",0,1)</f>
        <v>Fortis Healthcare Ltd.</v>
      </c>
      <c r="AA1199" s="8" t="str">
        <v>14 Elsworthy Terrace</v>
      </c>
      <c r="AB1199" s="8" t="str">
        <v>Goleta</v>
      </c>
      <c r="AC1199" s="8" t="str">
        <v>CA</v>
      </c>
      <c r="AD1199" s="8" t="str">
        <v>93117</v>
      </c>
    </row>
    <row r="1200" spans="1:30">
      <c r="A1200" s="8" t="s">
        <v>1131</v>
      </c>
      <c r="B1200" s="19">
        <v>42312</v>
      </c>
      <c r="C1200" s="8" t="s">
        <v>36</v>
      </c>
      <c r="D1200" s="8">
        <v>10003</v>
      </c>
      <c r="E1200" s="8" t="str">
        <f>VLOOKUP($D1200,'Customer Details'!$A$1:$F$17,4,FALSE)</f>
        <v>Miami</v>
      </c>
      <c r="F1200" s="8" t="s">
        <v>149</v>
      </c>
      <c r="G1200" s="8">
        <v>3</v>
      </c>
      <c r="H1200" s="2" t="str">
        <f>VLOOKUP($D1200,'Customer Details'!$A$1:$F$17,MATCH('Order SUmmary'!H$2,'Customer Details'!$A$1:$F$1,0),0)</f>
        <v>Honeywell Automation</v>
      </c>
      <c r="I1200" s="2" t="str">
        <f>VLOOKUP($D1200,'Customer Details'!$A$1:$F$17,4,0)</f>
        <v>Miami</v>
      </c>
      <c r="J1200" s="2" t="str">
        <f>VLOOKUP($D1200,'Customer Details'!$A$1:$F$17,6,0)</f>
        <v>33732</v>
      </c>
      <c r="K1200" s="8" t="str">
        <f>VLOOKUP(VLOOKUP(D1200,'Customer Details'!$A$1:$F$17,5,0),'Region INfo'!$A$1:$C$52,3,0)</f>
        <v>Southern</v>
      </c>
      <c r="L1200" s="8" t="str">
        <f>INDEX(Product_List,MATCH($F1200,'Product List'!$B$1:$B$299,0),MATCH('Order SUmmary'!L$2,'Product List'!$A$1:$E$1,0))</f>
        <v>Xerox 1992</v>
      </c>
      <c r="M1200" s="8">
        <f>INDEX(Product_List,MATCH($F1200,'Product List'!$B$1:$B$299,0),MATCH('Order SUmmary'!M$2,'Product List'!$A$1:$E$1,0))</f>
        <v>4218</v>
      </c>
      <c r="N1200" s="8">
        <f>INDEX(Product_List,MATCH($F1200,'Product List'!$B$1:$B$299,0),MATCH('Order SUmmary'!N$2,'Product List'!$A$1:$E$1,0))</f>
        <v>2421</v>
      </c>
      <c r="O1200" s="8" t="str">
        <f>INDEX(Product_List,MATCH($F1200,'Product List'!$B$1:$B$299,0),MATCH('Order SUmmary'!O$2,'Product List'!$A$1:$E$1,0))</f>
        <v>Paper</v>
      </c>
      <c r="P1200" s="12">
        <f>HLOOKUP(C1200,'Commission Criteria'!$A$2:$I$4,3,FALSE)</f>
        <v>6</v>
      </c>
      <c r="Q1200" s="8">
        <f t="shared" si="55"/>
        <v>7263</v>
      </c>
      <c r="R1200" s="8">
        <f t="shared" si="56"/>
        <v>12654</v>
      </c>
      <c r="S1200" s="36">
        <f>VLOOKUP(R1200,'Commission Criteria'!$L$3:$M$11,2,TRUE)</f>
        <v>0.03</v>
      </c>
      <c r="T1200" s="36">
        <f>IF(P1200&lt;5,VLOOKUP(R1200,'Commission Criteria'!$L$3:$M$11,2,1),VLOOKUP('Order SUmmary'!R1200,'Commission Criteria'!$P$3:$Q$11,2,1))</f>
        <v>0.02</v>
      </c>
      <c r="U1200" s="36">
        <f>VLOOKUP(R1200,IF(P1200&lt;5,'Commission Criteria'!$L$3:$M$11,'Commission Criteria'!$P$3:$Q$11),2,1)</f>
        <v>0.02</v>
      </c>
      <c r="V1200" s="8" t="s">
        <v>43</v>
      </c>
      <c r="W1200" s="36">
        <f t="shared" ca="1" si="57"/>
        <v>0.02</v>
      </c>
      <c r="X1200" s="8" t="str">
        <f>_xlfn.XLOOKUP(F1200,'Product List'!$B$1:$B$299,'Product List'!$A$1:$A$299)</f>
        <v>Xerox 1992</v>
      </c>
      <c r="Y1200" s="8"/>
      <c r="Z1200" s="8" t="str" cm="1">
        <f t="array" ref="Z1200:AD1200">_xlfn.XLOOKUP(D1200,'Customer Details'!$A$1:$A$17,'Customer Details'!$B$1:$F$17,"No such customer",0,1)</f>
        <v>Honeywell Automation</v>
      </c>
      <c r="AA1200" s="8" t="str">
        <v>1272 Harbor Road</v>
      </c>
      <c r="AB1200" s="8" t="str">
        <v>Miami</v>
      </c>
      <c r="AC1200" s="8" t="str">
        <v>FL</v>
      </c>
      <c r="AD1200" s="8" t="str">
        <v>33732</v>
      </c>
    </row>
    <row r="1201" spans="1:30">
      <c r="A1201" s="8" t="s">
        <v>1132</v>
      </c>
      <c r="B1201" s="19">
        <v>42314</v>
      </c>
      <c r="C1201" s="8" t="s">
        <v>44</v>
      </c>
      <c r="D1201" s="8">
        <v>10002</v>
      </c>
      <c r="E1201" s="8" t="str">
        <f>VLOOKUP($D1201,'Customer Details'!$A$1:$F$17,4,FALSE)</f>
        <v>Omaha</v>
      </c>
      <c r="F1201" s="8" t="s">
        <v>84</v>
      </c>
      <c r="G1201" s="8">
        <v>1</v>
      </c>
      <c r="H1201" s="2" t="str">
        <f>VLOOKUP($D1201,'Customer Details'!$A$1:$F$17,MATCH('Order SUmmary'!H$2,'Customer Details'!$A$1:$F$1,0),0)</f>
        <v>Elder Pharmaceuticals</v>
      </c>
      <c r="I1201" s="2" t="str">
        <f>VLOOKUP($D1201,'Customer Details'!$A$1:$F$17,4,0)</f>
        <v>Omaha</v>
      </c>
      <c r="J1201" s="2" t="str">
        <f>VLOOKUP($D1201,'Customer Details'!$A$1:$F$17,6,0)</f>
        <v>68127</v>
      </c>
      <c r="K1201" s="8" t="str">
        <f>VLOOKUP(VLOOKUP(D1201,'Customer Details'!$A$1:$F$17,5,0),'Region INfo'!$A$1:$C$52,3,0)</f>
        <v>Western</v>
      </c>
      <c r="L1201" s="8" t="str">
        <f>INDEX(Product_List,MATCH($F1201,'Product List'!$B$1:$B$299,0),MATCH('Order SUmmary'!L$2,'Product List'!$A$1:$E$1,0))</f>
        <v>Xerox 1979</v>
      </c>
      <c r="M1201" s="8">
        <f>INDEX(Product_List,MATCH($F1201,'Product List'!$B$1:$B$299,0),MATCH('Order SUmmary'!M$2,'Product List'!$A$1:$E$1,0))</f>
        <v>4731</v>
      </c>
      <c r="N1201" s="8">
        <f>INDEX(Product_List,MATCH($F1201,'Product List'!$B$1:$B$299,0),MATCH('Order SUmmary'!N$2,'Product List'!$A$1:$E$1,0))</f>
        <v>1858</v>
      </c>
      <c r="O1201" s="8" t="str">
        <f>INDEX(Product_List,MATCH($F1201,'Product List'!$B$1:$B$299,0),MATCH('Order SUmmary'!O$2,'Product List'!$A$1:$E$1,0))</f>
        <v>Paper</v>
      </c>
      <c r="P1201" s="12">
        <f>HLOOKUP(C1201,'Commission Criteria'!$A$2:$I$4,3,FALSE)</f>
        <v>4</v>
      </c>
      <c r="Q1201" s="8">
        <f t="shared" si="55"/>
        <v>1858</v>
      </c>
      <c r="R1201" s="8">
        <f t="shared" si="56"/>
        <v>4731</v>
      </c>
      <c r="S1201" s="36">
        <f>VLOOKUP(R1201,'Commission Criteria'!$L$3:$M$11,2,TRUE)</f>
        <v>0.01</v>
      </c>
      <c r="T1201" s="36">
        <f>IF(P1201&lt;5,VLOOKUP(R1201,'Commission Criteria'!$L$3:$M$11,2,1),VLOOKUP('Order SUmmary'!R1201,'Commission Criteria'!$P$3:$Q$11,2,1))</f>
        <v>0.01</v>
      </c>
      <c r="U1201" s="36">
        <f>VLOOKUP(R1201,IF(P1201&lt;5,'Commission Criteria'!$L$3:$M$11,'Commission Criteria'!$P$3:$Q$11),2,1)</f>
        <v>0.01</v>
      </c>
      <c r="V1201" s="8" t="s">
        <v>29</v>
      </c>
      <c r="W1201" s="36">
        <f t="shared" ca="1" si="57"/>
        <v>0.01</v>
      </c>
      <c r="X1201" s="8" t="str">
        <f>_xlfn.XLOOKUP(F1201,'Product List'!$B$1:$B$299,'Product List'!$A$1:$A$299)</f>
        <v>Xerox 1979</v>
      </c>
      <c r="Y1201" s="8"/>
      <c r="Z1201" s="8" t="str" cm="1">
        <f t="array" ref="Z1201:AD1201">_xlfn.XLOOKUP(D1201,'Customer Details'!$A$1:$A$17,'Customer Details'!$B$1:$F$17,"No such customer",0,1)</f>
        <v>Elder Pharmaceuticals</v>
      </c>
      <c r="AA1201" s="8" t="str">
        <v>57 Neriba Cres</v>
      </c>
      <c r="AB1201" s="8" t="str">
        <v>Omaha</v>
      </c>
      <c r="AC1201" s="8" t="str">
        <v>NE</v>
      </c>
      <c r="AD1201" s="8" t="str">
        <v>68127</v>
      </c>
    </row>
    <row r="1202" spans="1:30">
      <c r="A1202" s="8" t="s">
        <v>1133</v>
      </c>
      <c r="B1202" s="19">
        <v>42314</v>
      </c>
      <c r="C1202" s="8" t="s">
        <v>54</v>
      </c>
      <c r="D1202" s="8">
        <v>10011</v>
      </c>
      <c r="E1202" s="8" t="str">
        <f>VLOOKUP($D1202,'Customer Details'!$A$1:$F$17,4,FALSE)</f>
        <v>Olympia</v>
      </c>
      <c r="F1202" s="8" t="s">
        <v>158</v>
      </c>
      <c r="G1202" s="8">
        <v>2</v>
      </c>
      <c r="H1202" s="2" t="str">
        <f>VLOOKUP($D1202,'Customer Details'!$A$1:$F$17,MATCH('Order SUmmary'!H$2,'Customer Details'!$A$1:$F$1,0),0)</f>
        <v>Sonata Software</v>
      </c>
      <c r="I1202" s="2" t="str">
        <f>VLOOKUP($D1202,'Customer Details'!$A$1:$F$17,4,0)</f>
        <v>Olympia</v>
      </c>
      <c r="J1202" s="2" t="str">
        <f>VLOOKUP($D1202,'Customer Details'!$A$1:$F$17,6,0)</f>
        <v>98502</v>
      </c>
      <c r="K1202" s="8" t="str">
        <f>VLOOKUP(VLOOKUP(D1202,'Customer Details'!$A$1:$F$17,5,0),'Region INfo'!$A$1:$C$52,3,0)</f>
        <v xml:space="preserve">Pacific   </v>
      </c>
      <c r="L1202" s="8" t="str">
        <f>INDEX(Product_List,MATCH($F1202,'Product List'!$B$1:$B$299,0),MATCH('Order SUmmary'!L$2,'Product List'!$A$1:$E$1,0))</f>
        <v>Vtech CS6719</v>
      </c>
      <c r="M1202" s="8">
        <f>INDEX(Product_List,MATCH($F1202,'Product List'!$B$1:$B$299,0),MATCH('Order SUmmary'!M$2,'Product List'!$A$1:$E$1,0))</f>
        <v>3553</v>
      </c>
      <c r="N1202" s="8">
        <f>INDEX(Product_List,MATCH($F1202,'Product List'!$B$1:$B$299,0),MATCH('Order SUmmary'!N$2,'Product List'!$A$1:$E$1,0))</f>
        <v>2174</v>
      </c>
      <c r="O1202" s="8" t="str">
        <f>INDEX(Product_List,MATCH($F1202,'Product List'!$B$1:$B$299,0),MATCH('Order SUmmary'!O$2,'Product List'!$A$1:$E$1,0))</f>
        <v>Phones</v>
      </c>
      <c r="P1202" s="12">
        <f>HLOOKUP(C1202,'Commission Criteria'!$A$2:$I$4,3,FALSE)</f>
        <v>3</v>
      </c>
      <c r="Q1202" s="8">
        <f t="shared" si="55"/>
        <v>4348</v>
      </c>
      <c r="R1202" s="8">
        <f t="shared" si="56"/>
        <v>7106</v>
      </c>
      <c r="S1202" s="36">
        <f>VLOOKUP(R1202,'Commission Criteria'!$L$3:$M$11,2,TRUE)</f>
        <v>0.03</v>
      </c>
      <c r="T1202" s="36">
        <f>IF(P1202&lt;5,VLOOKUP(R1202,'Commission Criteria'!$L$3:$M$11,2,1),VLOOKUP('Order SUmmary'!R1202,'Commission Criteria'!$P$3:$Q$11,2,1))</f>
        <v>0.03</v>
      </c>
      <c r="U1202" s="36">
        <f>VLOOKUP(R1202,IF(P1202&lt;5,'Commission Criteria'!$L$3:$M$11,'Commission Criteria'!$P$3:$Q$11),2,1)</f>
        <v>0.03</v>
      </c>
      <c r="V1202" s="8" t="s">
        <v>32</v>
      </c>
      <c r="W1202" s="36">
        <f t="shared" ca="1" si="57"/>
        <v>0.05</v>
      </c>
      <c r="X1202" s="8" t="str">
        <f>_xlfn.XLOOKUP(F1202,'Product List'!$B$1:$B$299,'Product List'!$A$1:$A$299)</f>
        <v>Vtech CS6719</v>
      </c>
      <c r="Y1202" s="8"/>
      <c r="Z1202" s="8" t="str" cm="1">
        <f t="array" ref="Z1202:AD1202">_xlfn.XLOOKUP(D1202,'Customer Details'!$A$1:$A$17,'Customer Details'!$B$1:$F$17,"No such customer",0,1)</f>
        <v>Sonata Software</v>
      </c>
      <c r="AA1202" s="8" t="str">
        <v>1331 Kimberly Dr.</v>
      </c>
      <c r="AB1202" s="8" t="str">
        <v>Olympia</v>
      </c>
      <c r="AC1202" s="8" t="str">
        <v>WA</v>
      </c>
      <c r="AD1202" s="8" t="str">
        <v>98502</v>
      </c>
    </row>
    <row r="1203" spans="1:30">
      <c r="A1203" s="8" t="s">
        <v>1134</v>
      </c>
      <c r="B1203" s="19">
        <v>42316</v>
      </c>
      <c r="C1203" s="8" t="s">
        <v>51</v>
      </c>
      <c r="D1203" s="8">
        <v>10002</v>
      </c>
      <c r="E1203" s="8" t="str">
        <f>VLOOKUP($D1203,'Customer Details'!$A$1:$F$17,4,FALSE)</f>
        <v>Omaha</v>
      </c>
      <c r="F1203" s="8" t="s">
        <v>65</v>
      </c>
      <c r="G1203" s="8">
        <v>2</v>
      </c>
      <c r="H1203" s="2" t="str">
        <f>VLOOKUP($D1203,'Customer Details'!$A$1:$F$17,MATCH('Order SUmmary'!H$2,'Customer Details'!$A$1:$F$1,0),0)</f>
        <v>Elder Pharmaceuticals</v>
      </c>
      <c r="I1203" s="2" t="str">
        <f>VLOOKUP($D1203,'Customer Details'!$A$1:$F$17,4,0)</f>
        <v>Omaha</v>
      </c>
      <c r="J1203" s="2" t="str">
        <f>VLOOKUP($D1203,'Customer Details'!$A$1:$F$17,6,0)</f>
        <v>68127</v>
      </c>
      <c r="K1203" s="8" t="str">
        <f>VLOOKUP(VLOOKUP(D1203,'Customer Details'!$A$1:$F$17,5,0),'Region INfo'!$A$1:$C$52,3,0)</f>
        <v>Western</v>
      </c>
      <c r="L1203" s="8" t="str">
        <f>INDEX(Product_List,MATCH($F1203,'Product List'!$B$1:$B$299,0),MATCH('Order SUmmary'!L$2,'Product List'!$A$1:$E$1,0))</f>
        <v>Xerox 1963</v>
      </c>
      <c r="M1203" s="8">
        <f>INDEX(Product_List,MATCH($F1203,'Product List'!$B$1:$B$299,0),MATCH('Order SUmmary'!M$2,'Product List'!$A$1:$E$1,0))</f>
        <v>3339</v>
      </c>
      <c r="N1203" s="8">
        <f>INDEX(Product_List,MATCH($F1203,'Product List'!$B$1:$B$299,0),MATCH('Order SUmmary'!N$2,'Product List'!$A$1:$E$1,0))</f>
        <v>2274</v>
      </c>
      <c r="O1203" s="8" t="str">
        <f>INDEX(Product_List,MATCH($F1203,'Product List'!$B$1:$B$299,0),MATCH('Order SUmmary'!O$2,'Product List'!$A$1:$E$1,0))</f>
        <v>Paper</v>
      </c>
      <c r="P1203" s="12">
        <f>HLOOKUP(C1203,'Commission Criteria'!$A$2:$I$4,3,FALSE)</f>
        <v>10</v>
      </c>
      <c r="Q1203" s="8">
        <f t="shared" si="55"/>
        <v>4548</v>
      </c>
      <c r="R1203" s="8">
        <f t="shared" si="56"/>
        <v>6678</v>
      </c>
      <c r="S1203" s="36">
        <f>VLOOKUP(R1203,'Commission Criteria'!$L$3:$M$11,2,TRUE)</f>
        <v>0.03</v>
      </c>
      <c r="T1203" s="36">
        <f>IF(P1203&lt;5,VLOOKUP(R1203,'Commission Criteria'!$L$3:$M$11,2,1),VLOOKUP('Order SUmmary'!R1203,'Commission Criteria'!$P$3:$Q$11,2,1))</f>
        <v>0.02</v>
      </c>
      <c r="U1203" s="36">
        <f>VLOOKUP(R1203,IF(P1203&lt;5,'Commission Criteria'!$L$3:$M$11,'Commission Criteria'!$P$3:$Q$11),2,1)</f>
        <v>0.02</v>
      </c>
      <c r="V1203" s="8" t="s">
        <v>35</v>
      </c>
      <c r="W1203" s="36">
        <f t="shared" ca="1" si="57"/>
        <v>0</v>
      </c>
      <c r="X1203" s="8" t="str">
        <f>_xlfn.XLOOKUP(F1203,'Product List'!$B$1:$B$299,'Product List'!$A$1:$A$299)</f>
        <v>Xerox 1963</v>
      </c>
      <c r="Y1203" s="8"/>
      <c r="Z1203" s="8" t="str" cm="1">
        <f t="array" ref="Z1203:AD1203">_xlfn.XLOOKUP(D1203,'Customer Details'!$A$1:$A$17,'Customer Details'!$B$1:$F$17,"No such customer",0,1)</f>
        <v>Elder Pharmaceuticals</v>
      </c>
      <c r="AA1203" s="8" t="str">
        <v>57 Neriba Cres</v>
      </c>
      <c r="AB1203" s="8" t="str">
        <v>Omaha</v>
      </c>
      <c r="AC1203" s="8" t="str">
        <v>NE</v>
      </c>
      <c r="AD1203" s="8" t="str">
        <v>68127</v>
      </c>
    </row>
    <row r="1204" spans="1:30">
      <c r="A1204" s="8" t="s">
        <v>1135</v>
      </c>
      <c r="B1204" s="19">
        <v>42317</v>
      </c>
      <c r="C1204" s="8" t="s">
        <v>33</v>
      </c>
      <c r="D1204" s="8">
        <v>10009</v>
      </c>
      <c r="E1204" s="8" t="str">
        <f>VLOOKUP($D1204,'Customer Details'!$A$1:$F$17,4,FALSE)</f>
        <v>Salt Lake City</v>
      </c>
      <c r="F1204" s="8" t="s">
        <v>368</v>
      </c>
      <c r="G1204" s="8">
        <v>1</v>
      </c>
      <c r="H1204" s="2" t="str">
        <f>VLOOKUP($D1204,'Customer Details'!$A$1:$F$17,MATCH('Order SUmmary'!H$2,'Customer Details'!$A$1:$F$1,0),0)</f>
        <v>Godfrey Philips India Ltd.</v>
      </c>
      <c r="I1204" s="2" t="str">
        <f>VLOOKUP($D1204,'Customer Details'!$A$1:$F$17,4,0)</f>
        <v>Salt Lake City</v>
      </c>
      <c r="J1204" s="2" t="str">
        <f>VLOOKUP($D1204,'Customer Details'!$A$1:$F$17,6,0)</f>
        <v>84118</v>
      </c>
      <c r="K1204" s="8" t="str">
        <f>VLOOKUP(VLOOKUP(D1204,'Customer Details'!$A$1:$F$17,5,0),'Region INfo'!$A$1:$C$52,3,0)</f>
        <v xml:space="preserve">Pacific   </v>
      </c>
      <c r="L1204" s="8" t="str">
        <f>INDEX(Product_List,MATCH($F1204,'Product List'!$B$1:$B$299,0),MATCH('Order SUmmary'!L$2,'Product List'!$A$1:$E$1,0))</f>
        <v>Xerox 1978</v>
      </c>
      <c r="M1204" s="8">
        <f>INDEX(Product_List,MATCH($F1204,'Product List'!$B$1:$B$299,0),MATCH('Order SUmmary'!M$2,'Product List'!$A$1:$E$1,0))</f>
        <v>4757</v>
      </c>
      <c r="N1204" s="8">
        <f>INDEX(Product_List,MATCH($F1204,'Product List'!$B$1:$B$299,0),MATCH('Order SUmmary'!N$2,'Product List'!$A$1:$E$1,0))</f>
        <v>1534</v>
      </c>
      <c r="O1204" s="8" t="str">
        <f>INDEX(Product_List,MATCH($F1204,'Product List'!$B$1:$B$299,0),MATCH('Order SUmmary'!O$2,'Product List'!$A$1:$E$1,0))</f>
        <v>Paper</v>
      </c>
      <c r="P1204" s="12">
        <f>HLOOKUP(C1204,'Commission Criteria'!$A$2:$I$4,3,FALSE)</f>
        <v>1</v>
      </c>
      <c r="Q1204" s="8">
        <f t="shared" si="55"/>
        <v>1534</v>
      </c>
      <c r="R1204" s="8">
        <f t="shared" si="56"/>
        <v>4757</v>
      </c>
      <c r="S1204" s="36">
        <f>VLOOKUP(R1204,'Commission Criteria'!$L$3:$M$11,2,TRUE)</f>
        <v>0.01</v>
      </c>
      <c r="T1204" s="36">
        <f>IF(P1204&lt;5,VLOOKUP(R1204,'Commission Criteria'!$L$3:$M$11,2,1),VLOOKUP('Order SUmmary'!R1204,'Commission Criteria'!$P$3:$Q$11,2,1))</f>
        <v>0.01</v>
      </c>
      <c r="U1204" s="36">
        <f>VLOOKUP(R1204,IF(P1204&lt;5,'Commission Criteria'!$L$3:$M$11,'Commission Criteria'!$P$3:$Q$11),2,1)</f>
        <v>0.01</v>
      </c>
      <c r="V1204" s="8" t="s">
        <v>35</v>
      </c>
      <c r="W1204" s="36">
        <f t="shared" ca="1" si="57"/>
        <v>0</v>
      </c>
      <c r="X1204" s="8" t="str">
        <f>_xlfn.XLOOKUP(F1204,'Product List'!$B$1:$B$299,'Product List'!$A$1:$A$299)</f>
        <v>Xerox 1978</v>
      </c>
      <c r="Y1204" s="8"/>
      <c r="Z1204" s="8" t="str" cm="1">
        <f t="array" ref="Z1204:AD1204">_xlfn.XLOOKUP(D1204,'Customer Details'!$A$1:$A$17,'Customer Details'!$B$1:$F$17,"No such customer",0,1)</f>
        <v>Godfrey Philips India Ltd.</v>
      </c>
      <c r="AA1204" s="8" t="str">
        <v>20501 Ania Ave #2</v>
      </c>
      <c r="AB1204" s="8" t="str">
        <v>Salt Lake City</v>
      </c>
      <c r="AC1204" s="8" t="str">
        <v>UT</v>
      </c>
      <c r="AD1204" s="8" t="str">
        <v>84118</v>
      </c>
    </row>
    <row r="1205" spans="1:30">
      <c r="A1205" s="8" t="s">
        <v>1136</v>
      </c>
      <c r="B1205" s="19">
        <v>42317</v>
      </c>
      <c r="C1205" s="8" t="s">
        <v>44</v>
      </c>
      <c r="D1205" s="8">
        <v>10004</v>
      </c>
      <c r="E1205" s="8" t="str">
        <f>VLOOKUP($D1205,'Customer Details'!$A$1:$F$17,4,FALSE)</f>
        <v>New York</v>
      </c>
      <c r="F1205" s="8" t="s">
        <v>80</v>
      </c>
      <c r="G1205" s="8">
        <v>2</v>
      </c>
      <c r="H1205" s="2" t="str">
        <f>VLOOKUP($D1205,'Customer Details'!$A$1:$F$17,MATCH('Order SUmmary'!H$2,'Customer Details'!$A$1:$F$1,0),0)</f>
        <v>Lupin Ltd.</v>
      </c>
      <c r="I1205" s="2" t="str">
        <f>VLOOKUP($D1205,'Customer Details'!$A$1:$F$17,4,0)</f>
        <v>New York</v>
      </c>
      <c r="J1205" s="2" t="str">
        <f>VLOOKUP($D1205,'Customer Details'!$A$1:$F$17,6,0)</f>
        <v>10019</v>
      </c>
      <c r="K1205" s="8" t="str">
        <f>VLOOKUP(VLOOKUP(D1205,'Customer Details'!$A$1:$F$17,5,0),'Region INfo'!$A$1:$C$52,3,0)</f>
        <v xml:space="preserve">Northern </v>
      </c>
      <c r="L1205" s="8" t="str">
        <f>INDEX(Product_List,MATCH($F1205,'Product List'!$B$1:$B$299,0),MATCH('Order SUmmary'!L$2,'Product List'!$A$1:$E$1,0))</f>
        <v>Xerox 192</v>
      </c>
      <c r="M1205" s="8">
        <f>INDEX(Product_List,MATCH($F1205,'Product List'!$B$1:$B$299,0),MATCH('Order SUmmary'!M$2,'Product List'!$A$1:$E$1,0))</f>
        <v>3324</v>
      </c>
      <c r="N1205" s="8">
        <f>INDEX(Product_List,MATCH($F1205,'Product List'!$B$1:$B$299,0),MATCH('Order SUmmary'!N$2,'Product List'!$A$1:$E$1,0))</f>
        <v>1846</v>
      </c>
      <c r="O1205" s="8" t="str">
        <f>INDEX(Product_List,MATCH($F1205,'Product List'!$B$1:$B$299,0),MATCH('Order SUmmary'!O$2,'Product List'!$A$1:$E$1,0))</f>
        <v>Paper</v>
      </c>
      <c r="P1205" s="12">
        <f>HLOOKUP(C1205,'Commission Criteria'!$A$2:$I$4,3,FALSE)</f>
        <v>4</v>
      </c>
      <c r="Q1205" s="8">
        <f t="shared" si="55"/>
        <v>3692</v>
      </c>
      <c r="R1205" s="8">
        <f t="shared" si="56"/>
        <v>6648</v>
      </c>
      <c r="S1205" s="36">
        <f>VLOOKUP(R1205,'Commission Criteria'!$L$3:$M$11,2,TRUE)</f>
        <v>0.03</v>
      </c>
      <c r="T1205" s="36">
        <f>IF(P1205&lt;5,VLOOKUP(R1205,'Commission Criteria'!$L$3:$M$11,2,1),VLOOKUP('Order SUmmary'!R1205,'Commission Criteria'!$P$3:$Q$11,2,1))</f>
        <v>0.03</v>
      </c>
      <c r="U1205" s="36">
        <f>VLOOKUP(R1205,IF(P1205&lt;5,'Commission Criteria'!$L$3:$M$11,'Commission Criteria'!$P$3:$Q$11),2,1)</f>
        <v>0.03</v>
      </c>
      <c r="V1205" s="8" t="s">
        <v>40</v>
      </c>
      <c r="W1205" s="36">
        <f t="shared" ca="1" si="57"/>
        <v>0</v>
      </c>
      <c r="X1205" s="8" t="str">
        <f>_xlfn.XLOOKUP(F1205,'Product List'!$B$1:$B$299,'Product List'!$A$1:$A$299)</f>
        <v>Xerox 192</v>
      </c>
      <c r="Y1205" s="8"/>
      <c r="Z1205" s="8" t="str" cm="1">
        <f t="array" ref="Z1205:AD1205">_xlfn.XLOOKUP(D1205,'Customer Details'!$A$1:$A$17,'Customer Details'!$B$1:$F$17,"No such customer",0,1)</f>
        <v>Lupin Ltd.</v>
      </c>
      <c r="AA1205" s="8" t="str">
        <v>Abbey Wood</v>
      </c>
      <c r="AB1205" s="8" t="str">
        <v>New York</v>
      </c>
      <c r="AC1205" s="8" t="str">
        <v>NY</v>
      </c>
      <c r="AD1205" s="8" t="str">
        <v>10019</v>
      </c>
    </row>
    <row r="1206" spans="1:30">
      <c r="A1206" s="8" t="s">
        <v>1137</v>
      </c>
      <c r="B1206" s="19">
        <v>42317</v>
      </c>
      <c r="C1206" s="8" t="s">
        <v>46</v>
      </c>
      <c r="D1206" s="8">
        <v>10004</v>
      </c>
      <c r="E1206" s="8" t="str">
        <f>VLOOKUP($D1206,'Customer Details'!$A$1:$F$17,4,FALSE)</f>
        <v>New York</v>
      </c>
      <c r="F1206" s="8" t="s">
        <v>49</v>
      </c>
      <c r="G1206" s="8">
        <v>3</v>
      </c>
      <c r="H1206" s="2" t="str">
        <f>VLOOKUP($D1206,'Customer Details'!$A$1:$F$17,MATCH('Order SUmmary'!H$2,'Customer Details'!$A$1:$F$1,0),0)</f>
        <v>Lupin Ltd.</v>
      </c>
      <c r="I1206" s="2" t="str">
        <f>VLOOKUP($D1206,'Customer Details'!$A$1:$F$17,4,0)</f>
        <v>New York</v>
      </c>
      <c r="J1206" s="2" t="str">
        <f>VLOOKUP($D1206,'Customer Details'!$A$1:$F$17,6,0)</f>
        <v>10019</v>
      </c>
      <c r="K1206" s="8" t="str">
        <f>VLOOKUP(VLOOKUP(D1206,'Customer Details'!$A$1:$F$17,5,0),'Region INfo'!$A$1:$C$52,3,0)</f>
        <v xml:space="preserve">Northern </v>
      </c>
      <c r="L1206" s="8" t="str">
        <f>INDEX(Product_List,MATCH($F1206,'Product List'!$B$1:$B$299,0),MATCH('Order SUmmary'!L$2,'Product List'!$A$1:$E$1,0))</f>
        <v>Avery 477</v>
      </c>
      <c r="M1206" s="8">
        <f>INDEX(Product_List,MATCH($F1206,'Product List'!$B$1:$B$299,0),MATCH('Order SUmmary'!M$2,'Product List'!$A$1:$E$1,0))</f>
        <v>2633</v>
      </c>
      <c r="N1206" s="8">
        <f>INDEX(Product_List,MATCH($F1206,'Product List'!$B$1:$B$299,0),MATCH('Order SUmmary'!N$2,'Product List'!$A$1:$E$1,0))</f>
        <v>1742</v>
      </c>
      <c r="O1206" s="8" t="str">
        <f>INDEX(Product_List,MATCH($F1206,'Product List'!$B$1:$B$299,0),MATCH('Order SUmmary'!O$2,'Product List'!$A$1:$E$1,0))</f>
        <v>Labels</v>
      </c>
      <c r="P1206" s="12">
        <f>HLOOKUP(C1206,'Commission Criteria'!$A$2:$I$4,3,FALSE)</f>
        <v>8</v>
      </c>
      <c r="Q1206" s="8">
        <f t="shared" si="55"/>
        <v>5226</v>
      </c>
      <c r="R1206" s="8">
        <f t="shared" si="56"/>
        <v>7899</v>
      </c>
      <c r="S1206" s="36">
        <f>VLOOKUP(R1206,'Commission Criteria'!$L$3:$M$11,2,TRUE)</f>
        <v>0.03</v>
      </c>
      <c r="T1206" s="36">
        <f>IF(P1206&lt;5,VLOOKUP(R1206,'Commission Criteria'!$L$3:$M$11,2,1),VLOOKUP('Order SUmmary'!R1206,'Commission Criteria'!$P$3:$Q$11,2,1))</f>
        <v>0.02</v>
      </c>
      <c r="U1206" s="36">
        <f>VLOOKUP(R1206,IF(P1206&lt;5,'Commission Criteria'!$L$3:$M$11,'Commission Criteria'!$P$3:$Q$11),2,1)</f>
        <v>0.02</v>
      </c>
      <c r="V1206" s="8" t="s">
        <v>29</v>
      </c>
      <c r="W1206" s="36">
        <f t="shared" ca="1" si="57"/>
        <v>0.01</v>
      </c>
      <c r="X1206" s="8" t="str">
        <f>_xlfn.XLOOKUP(F1206,'Product List'!$B$1:$B$299,'Product List'!$A$1:$A$299)</f>
        <v>Avery 477</v>
      </c>
      <c r="Y1206" s="8"/>
      <c r="Z1206" s="8" t="str" cm="1">
        <f t="array" ref="Z1206:AD1206">_xlfn.XLOOKUP(D1206,'Customer Details'!$A$1:$A$17,'Customer Details'!$B$1:$F$17,"No such customer",0,1)</f>
        <v>Lupin Ltd.</v>
      </c>
      <c r="AA1206" s="8" t="str">
        <v>Abbey Wood</v>
      </c>
      <c r="AB1206" s="8" t="str">
        <v>New York</v>
      </c>
      <c r="AC1206" s="8" t="str">
        <v>NY</v>
      </c>
      <c r="AD1206" s="8" t="str">
        <v>10019</v>
      </c>
    </row>
    <row r="1207" spans="1:30">
      <c r="A1207" s="8" t="s">
        <v>1138</v>
      </c>
      <c r="B1207" s="19">
        <v>42319</v>
      </c>
      <c r="C1207" s="8" t="s">
        <v>33</v>
      </c>
      <c r="D1207" s="8">
        <v>10006</v>
      </c>
      <c r="E1207" s="8" t="str">
        <f>VLOOKUP($D1207,'Customer Details'!$A$1:$F$17,4,FALSE)</f>
        <v>Midland</v>
      </c>
      <c r="F1207" s="8" t="s">
        <v>147</v>
      </c>
      <c r="G1207" s="8">
        <v>3</v>
      </c>
      <c r="H1207" s="2" t="str">
        <f>VLOOKUP($D1207,'Customer Details'!$A$1:$F$17,MATCH('Order SUmmary'!H$2,'Customer Details'!$A$1:$F$1,0),0)</f>
        <v>Supreme Ind</v>
      </c>
      <c r="I1207" s="2" t="str">
        <f>VLOOKUP($D1207,'Customer Details'!$A$1:$F$17,4,0)</f>
        <v>Midland</v>
      </c>
      <c r="J1207" s="2" t="str">
        <f>VLOOKUP($D1207,'Customer Details'!$A$1:$F$17,6,0)</f>
        <v>79706</v>
      </c>
      <c r="K1207" s="8" t="str">
        <f>VLOOKUP(VLOOKUP(D1207,'Customer Details'!$A$1:$F$17,5,0),'Region INfo'!$A$1:$C$52,3,0)</f>
        <v>Western</v>
      </c>
      <c r="L1207" s="8" t="str">
        <f>INDEX(Product_List,MATCH($F1207,'Product List'!$B$1:$B$299,0),MATCH('Order SUmmary'!L$2,'Product List'!$A$1:$E$1,0))</f>
        <v>Xerox 1936</v>
      </c>
      <c r="M1207" s="8">
        <f>INDEX(Product_List,MATCH($F1207,'Product List'!$B$1:$B$299,0),MATCH('Order SUmmary'!M$2,'Product List'!$A$1:$E$1,0))</f>
        <v>2539</v>
      </c>
      <c r="N1207" s="8">
        <f>INDEX(Product_List,MATCH($F1207,'Product List'!$B$1:$B$299,0),MATCH('Order SUmmary'!N$2,'Product List'!$A$1:$E$1,0))</f>
        <v>1656</v>
      </c>
      <c r="O1207" s="8" t="str">
        <f>INDEX(Product_List,MATCH($F1207,'Product List'!$B$1:$B$299,0),MATCH('Order SUmmary'!O$2,'Product List'!$A$1:$E$1,0))</f>
        <v>Paper</v>
      </c>
      <c r="P1207" s="12">
        <f>HLOOKUP(C1207,'Commission Criteria'!$A$2:$I$4,3,FALSE)</f>
        <v>1</v>
      </c>
      <c r="Q1207" s="8">
        <f t="shared" si="55"/>
        <v>4968</v>
      </c>
      <c r="R1207" s="8">
        <f t="shared" si="56"/>
        <v>7617</v>
      </c>
      <c r="S1207" s="36">
        <f>VLOOKUP(R1207,'Commission Criteria'!$L$3:$M$11,2,TRUE)</f>
        <v>0.03</v>
      </c>
      <c r="T1207" s="36">
        <f>IF(P1207&lt;5,VLOOKUP(R1207,'Commission Criteria'!$L$3:$M$11,2,1),VLOOKUP('Order SUmmary'!R1207,'Commission Criteria'!$P$3:$Q$11,2,1))</f>
        <v>0.03</v>
      </c>
      <c r="U1207" s="36">
        <f>VLOOKUP(R1207,IF(P1207&lt;5,'Commission Criteria'!$L$3:$M$11,'Commission Criteria'!$P$3:$Q$11),2,1)</f>
        <v>0.03</v>
      </c>
      <c r="V1207" s="8" t="s">
        <v>29</v>
      </c>
      <c r="W1207" s="36">
        <f t="shared" ca="1" si="57"/>
        <v>0.05</v>
      </c>
      <c r="X1207" s="8" t="str">
        <f>_xlfn.XLOOKUP(F1207,'Product List'!$B$1:$B$299,'Product List'!$A$1:$A$299)</f>
        <v>Xerox 1936</v>
      </c>
      <c r="Y1207" s="8"/>
      <c r="Z1207" s="8" t="str" cm="1">
        <f t="array" ref="Z1207:AD1207">_xlfn.XLOOKUP(D1207,'Customer Details'!$A$1:$A$17,'Customer Details'!$B$1:$F$17,"No such customer",0,1)</f>
        <v>Supreme Ind</v>
      </c>
      <c r="AA1207" s="8" t="str">
        <v>P.O. Box 1367</v>
      </c>
      <c r="AB1207" s="8" t="str">
        <v>Midland</v>
      </c>
      <c r="AC1207" s="8" t="str">
        <v>TX</v>
      </c>
      <c r="AD1207" s="8" t="str">
        <v>79706</v>
      </c>
    </row>
    <row r="1208" spans="1:30">
      <c r="A1208" s="8" t="s">
        <v>1138</v>
      </c>
      <c r="B1208" s="19">
        <v>42319</v>
      </c>
      <c r="C1208" s="8" t="s">
        <v>36</v>
      </c>
      <c r="D1208" s="8">
        <v>10007</v>
      </c>
      <c r="E1208" s="8" t="str">
        <f>VLOOKUP($D1208,'Customer Details'!$A$1:$F$17,4,FALSE)</f>
        <v>Richmond</v>
      </c>
      <c r="F1208" s="8" t="s">
        <v>695</v>
      </c>
      <c r="G1208" s="8">
        <v>2</v>
      </c>
      <c r="H1208" s="2" t="str">
        <f>VLOOKUP($D1208,'Customer Details'!$A$1:$F$17,MATCH('Order SUmmary'!H$2,'Customer Details'!$A$1:$F$1,0),0)</f>
        <v>GHCL Ltd.</v>
      </c>
      <c r="I1208" s="2" t="str">
        <f>VLOOKUP($D1208,'Customer Details'!$A$1:$F$17,4,0)</f>
        <v>Richmond</v>
      </c>
      <c r="J1208" s="2" t="str">
        <f>VLOOKUP($D1208,'Customer Details'!$A$1:$F$17,6,0)</f>
        <v>94805</v>
      </c>
      <c r="K1208" s="8" t="str">
        <f>VLOOKUP(VLOOKUP(D1208,'Customer Details'!$A$1:$F$17,5,0),'Region INfo'!$A$1:$C$52,3,0)</f>
        <v xml:space="preserve">Pacific   </v>
      </c>
      <c r="L1208" s="8" t="str">
        <f>INDEX(Product_List,MATCH($F1208,'Product List'!$B$1:$B$299,0),MATCH('Order SUmmary'!L$2,'Product List'!$A$1:$E$1,0))</f>
        <v>Newell 318</v>
      </c>
      <c r="M1208" s="8">
        <f>INDEX(Product_List,MATCH($F1208,'Product List'!$B$1:$B$299,0),MATCH('Order SUmmary'!M$2,'Product List'!$A$1:$E$1,0))</f>
        <v>4099</v>
      </c>
      <c r="N1208" s="8">
        <f>INDEX(Product_List,MATCH($F1208,'Product List'!$B$1:$B$299,0),MATCH('Order SUmmary'!N$2,'Product List'!$A$1:$E$1,0))</f>
        <v>1530</v>
      </c>
      <c r="O1208" s="8" t="str">
        <f>INDEX(Product_List,MATCH($F1208,'Product List'!$B$1:$B$299,0),MATCH('Order SUmmary'!O$2,'Product List'!$A$1:$E$1,0))</f>
        <v>Art</v>
      </c>
      <c r="P1208" s="12">
        <f>HLOOKUP(C1208,'Commission Criteria'!$A$2:$I$4,3,FALSE)</f>
        <v>6</v>
      </c>
      <c r="Q1208" s="8">
        <f t="shared" si="55"/>
        <v>3060</v>
      </c>
      <c r="R1208" s="8">
        <f t="shared" si="56"/>
        <v>8198</v>
      </c>
      <c r="S1208" s="36">
        <f>VLOOKUP(R1208,'Commission Criteria'!$L$3:$M$11,2,TRUE)</f>
        <v>0.03</v>
      </c>
      <c r="T1208" s="36">
        <f>IF(P1208&lt;5,VLOOKUP(R1208,'Commission Criteria'!$L$3:$M$11,2,1),VLOOKUP('Order SUmmary'!R1208,'Commission Criteria'!$P$3:$Q$11,2,1))</f>
        <v>0.02</v>
      </c>
      <c r="U1208" s="36">
        <f>VLOOKUP(R1208,IF(P1208&lt;5,'Commission Criteria'!$L$3:$M$11,'Commission Criteria'!$P$3:$Q$11),2,1)</f>
        <v>0.02</v>
      </c>
      <c r="V1208" s="8" t="s">
        <v>32</v>
      </c>
      <c r="W1208" s="36">
        <f t="shared" ca="1" si="57"/>
        <v>0.03</v>
      </c>
      <c r="X1208" s="8" t="str">
        <f>_xlfn.XLOOKUP(F1208,'Product List'!$B$1:$B$299,'Product List'!$A$1:$A$299)</f>
        <v>Newell 318</v>
      </c>
      <c r="Y1208" s="8"/>
      <c r="Z1208" s="8" t="str" cm="1">
        <f t="array" ref="Z1208:AD1208">_xlfn.XLOOKUP(D1208,'Customer Details'!$A$1:$A$17,'Customer Details'!$B$1:$F$17,"No such customer",0,1)</f>
        <v>GHCL Ltd.</v>
      </c>
      <c r="AA1208" s="8" t="str">
        <v>58 Clarence St</v>
      </c>
      <c r="AB1208" s="8" t="str">
        <v>Richmond</v>
      </c>
      <c r="AC1208" s="8" t="str">
        <v>CA</v>
      </c>
      <c r="AD1208" s="8" t="str">
        <v>94805</v>
      </c>
    </row>
    <row r="1209" spans="1:30">
      <c r="A1209" s="8" t="s">
        <v>1138</v>
      </c>
      <c r="B1209" s="19">
        <v>42319</v>
      </c>
      <c r="C1209" s="8" t="s">
        <v>54</v>
      </c>
      <c r="D1209" s="8">
        <v>10005</v>
      </c>
      <c r="E1209" s="8" t="str">
        <f>VLOOKUP($D1209,'Customer Details'!$A$1:$F$17,4,FALSE)</f>
        <v>Goleta</v>
      </c>
      <c r="F1209" s="8" t="s">
        <v>158</v>
      </c>
      <c r="G1209" s="8">
        <v>3</v>
      </c>
      <c r="H1209" s="2" t="str">
        <f>VLOOKUP($D1209,'Customer Details'!$A$1:$F$17,MATCH('Order SUmmary'!H$2,'Customer Details'!$A$1:$F$1,0),0)</f>
        <v>Fortis Healthcare Ltd.</v>
      </c>
      <c r="I1209" s="2" t="str">
        <f>VLOOKUP($D1209,'Customer Details'!$A$1:$F$17,4,0)</f>
        <v>Goleta</v>
      </c>
      <c r="J1209" s="2" t="str">
        <f>VLOOKUP($D1209,'Customer Details'!$A$1:$F$17,6,0)</f>
        <v>93117</v>
      </c>
      <c r="K1209" s="8" t="str">
        <f>VLOOKUP(VLOOKUP(D1209,'Customer Details'!$A$1:$F$17,5,0),'Region INfo'!$A$1:$C$52,3,0)</f>
        <v xml:space="preserve">Pacific   </v>
      </c>
      <c r="L1209" s="8" t="str">
        <f>INDEX(Product_List,MATCH($F1209,'Product List'!$B$1:$B$299,0),MATCH('Order SUmmary'!L$2,'Product List'!$A$1:$E$1,0))</f>
        <v>Vtech CS6719</v>
      </c>
      <c r="M1209" s="8">
        <f>INDEX(Product_List,MATCH($F1209,'Product List'!$B$1:$B$299,0),MATCH('Order SUmmary'!M$2,'Product List'!$A$1:$E$1,0))</f>
        <v>3553</v>
      </c>
      <c r="N1209" s="8">
        <f>INDEX(Product_List,MATCH($F1209,'Product List'!$B$1:$B$299,0),MATCH('Order SUmmary'!N$2,'Product List'!$A$1:$E$1,0))</f>
        <v>2174</v>
      </c>
      <c r="O1209" s="8" t="str">
        <f>INDEX(Product_List,MATCH($F1209,'Product List'!$B$1:$B$299,0),MATCH('Order SUmmary'!O$2,'Product List'!$A$1:$E$1,0))</f>
        <v>Phones</v>
      </c>
      <c r="P1209" s="12">
        <f>HLOOKUP(C1209,'Commission Criteria'!$A$2:$I$4,3,FALSE)</f>
        <v>3</v>
      </c>
      <c r="Q1209" s="8">
        <f t="shared" si="55"/>
        <v>6522</v>
      </c>
      <c r="R1209" s="8">
        <f t="shared" si="56"/>
        <v>10659</v>
      </c>
      <c r="S1209" s="36">
        <f>VLOOKUP(R1209,'Commission Criteria'!$L$3:$M$11,2,TRUE)</f>
        <v>0.03</v>
      </c>
      <c r="T1209" s="36">
        <f>IF(P1209&lt;5,VLOOKUP(R1209,'Commission Criteria'!$L$3:$M$11,2,1),VLOOKUP('Order SUmmary'!R1209,'Commission Criteria'!$P$3:$Q$11,2,1))</f>
        <v>0.03</v>
      </c>
      <c r="U1209" s="36">
        <f>VLOOKUP(R1209,IF(P1209&lt;5,'Commission Criteria'!$L$3:$M$11,'Commission Criteria'!$P$3:$Q$11),2,1)</f>
        <v>0.03</v>
      </c>
      <c r="V1209" s="8" t="s">
        <v>43</v>
      </c>
      <c r="W1209" s="36">
        <f t="shared" ca="1" si="57"/>
        <v>0.03</v>
      </c>
      <c r="X1209" s="8" t="str">
        <f>_xlfn.XLOOKUP(F1209,'Product List'!$B$1:$B$299,'Product List'!$A$1:$A$299)</f>
        <v>Vtech CS6719</v>
      </c>
      <c r="Y1209" s="8"/>
      <c r="Z1209" s="8" t="str" cm="1">
        <f t="array" ref="Z1209:AD1209">_xlfn.XLOOKUP(D1209,'Customer Details'!$A$1:$A$17,'Customer Details'!$B$1:$F$17,"No such customer",0,1)</f>
        <v>Fortis Healthcare Ltd.</v>
      </c>
      <c r="AA1209" s="8" t="str">
        <v>14 Elsworthy Terrace</v>
      </c>
      <c r="AB1209" s="8" t="str">
        <v>Goleta</v>
      </c>
      <c r="AC1209" s="8" t="str">
        <v>CA</v>
      </c>
      <c r="AD1209" s="8" t="str">
        <v>93117</v>
      </c>
    </row>
    <row r="1210" spans="1:30">
      <c r="A1210" s="8" t="s">
        <v>1139</v>
      </c>
      <c r="B1210" s="19">
        <v>42321</v>
      </c>
      <c r="C1210" s="8" t="s">
        <v>44</v>
      </c>
      <c r="D1210" s="8">
        <v>10007</v>
      </c>
      <c r="E1210" s="8" t="str">
        <f>VLOOKUP($D1210,'Customer Details'!$A$1:$F$17,4,FALSE)</f>
        <v>Richmond</v>
      </c>
      <c r="F1210" s="8" t="s">
        <v>289</v>
      </c>
      <c r="G1210" s="8">
        <v>1</v>
      </c>
      <c r="H1210" s="2" t="str">
        <f>VLOOKUP($D1210,'Customer Details'!$A$1:$F$17,MATCH('Order SUmmary'!H$2,'Customer Details'!$A$1:$F$1,0),0)</f>
        <v>GHCL Ltd.</v>
      </c>
      <c r="I1210" s="2" t="str">
        <f>VLOOKUP($D1210,'Customer Details'!$A$1:$F$17,4,0)</f>
        <v>Richmond</v>
      </c>
      <c r="J1210" s="2" t="str">
        <f>VLOOKUP($D1210,'Customer Details'!$A$1:$F$17,6,0)</f>
        <v>94805</v>
      </c>
      <c r="K1210" s="8" t="str">
        <f>VLOOKUP(VLOOKUP(D1210,'Customer Details'!$A$1:$F$17,5,0),'Region INfo'!$A$1:$C$52,3,0)</f>
        <v xml:space="preserve">Pacific   </v>
      </c>
      <c r="L1210" s="8" t="str">
        <f>INDEX(Product_List,MATCH($F1210,'Product List'!$B$1:$B$299,0),MATCH('Order SUmmary'!L$2,'Product List'!$A$1:$E$1,0))</f>
        <v>Newell 348</v>
      </c>
      <c r="M1210" s="8">
        <f>INDEX(Product_List,MATCH($F1210,'Product List'!$B$1:$B$299,0),MATCH('Order SUmmary'!M$2,'Product List'!$A$1:$E$1,0))</f>
        <v>2898</v>
      </c>
      <c r="N1210" s="8">
        <f>INDEX(Product_List,MATCH($F1210,'Product List'!$B$1:$B$299,0),MATCH('Order SUmmary'!N$2,'Product List'!$A$1:$E$1,0))</f>
        <v>1324</v>
      </c>
      <c r="O1210" s="8" t="str">
        <f>INDEX(Product_List,MATCH($F1210,'Product List'!$B$1:$B$299,0),MATCH('Order SUmmary'!O$2,'Product List'!$A$1:$E$1,0))</f>
        <v>Art</v>
      </c>
      <c r="P1210" s="12">
        <f>HLOOKUP(C1210,'Commission Criteria'!$A$2:$I$4,3,FALSE)</f>
        <v>4</v>
      </c>
      <c r="Q1210" s="8">
        <f t="shared" si="55"/>
        <v>1324</v>
      </c>
      <c r="R1210" s="8">
        <f t="shared" si="56"/>
        <v>2898</v>
      </c>
      <c r="S1210" s="36">
        <f>VLOOKUP(R1210,'Commission Criteria'!$L$3:$M$11,2,TRUE)</f>
        <v>0.01</v>
      </c>
      <c r="T1210" s="36">
        <f>IF(P1210&lt;5,VLOOKUP(R1210,'Commission Criteria'!$L$3:$M$11,2,1),VLOOKUP('Order SUmmary'!R1210,'Commission Criteria'!$P$3:$Q$11,2,1))</f>
        <v>0.01</v>
      </c>
      <c r="U1210" s="36">
        <f>VLOOKUP(R1210,IF(P1210&lt;5,'Commission Criteria'!$L$3:$M$11,'Commission Criteria'!$P$3:$Q$11),2,1)</f>
        <v>0.01</v>
      </c>
      <c r="V1210" s="8" t="s">
        <v>35</v>
      </c>
      <c r="W1210" s="36">
        <f t="shared" ca="1" si="57"/>
        <v>0.03</v>
      </c>
      <c r="X1210" s="8" t="str">
        <f>_xlfn.XLOOKUP(F1210,'Product List'!$B$1:$B$299,'Product List'!$A$1:$A$299)</f>
        <v>Newell 348</v>
      </c>
      <c r="Y1210" s="8"/>
      <c r="Z1210" s="8" t="str" cm="1">
        <f t="array" ref="Z1210:AD1210">_xlfn.XLOOKUP(D1210,'Customer Details'!$A$1:$A$17,'Customer Details'!$B$1:$F$17,"No such customer",0,1)</f>
        <v>GHCL Ltd.</v>
      </c>
      <c r="AA1210" s="8" t="str">
        <v>58 Clarence St</v>
      </c>
      <c r="AB1210" s="8" t="str">
        <v>Richmond</v>
      </c>
      <c r="AC1210" s="8" t="str">
        <v>CA</v>
      </c>
      <c r="AD1210" s="8" t="str">
        <v>94805</v>
      </c>
    </row>
    <row r="1211" spans="1:30">
      <c r="A1211" s="8" t="s">
        <v>1140</v>
      </c>
      <c r="B1211" s="19">
        <v>42321</v>
      </c>
      <c r="C1211" s="8" t="s">
        <v>33</v>
      </c>
      <c r="D1211" s="8">
        <v>10008</v>
      </c>
      <c r="E1211" s="8" t="str">
        <f>VLOOKUP($D1211,'Customer Details'!$A$1:$F$17,4,FALSE)</f>
        <v>Chestnut Ridge</v>
      </c>
      <c r="F1211" s="8" t="s">
        <v>226</v>
      </c>
      <c r="G1211" s="8">
        <v>2</v>
      </c>
      <c r="H1211" s="2" t="str">
        <f>VLOOKUP($D1211,'Customer Details'!$A$1:$F$17,MATCH('Order SUmmary'!H$2,'Customer Details'!$A$1:$F$1,0),0)</f>
        <v>Reliance Industries Limited</v>
      </c>
      <c r="I1211" s="2" t="str">
        <f>VLOOKUP($D1211,'Customer Details'!$A$1:$F$17,4,0)</f>
        <v>Chestnut Ridge</v>
      </c>
      <c r="J1211" s="2" t="str">
        <f>VLOOKUP($D1211,'Customer Details'!$A$1:$F$17,6,0)</f>
        <v>10977</v>
      </c>
      <c r="K1211" s="8" t="str">
        <f>VLOOKUP(VLOOKUP(D1211,'Customer Details'!$A$1:$F$17,5,0),'Region INfo'!$A$1:$C$52,3,0)</f>
        <v xml:space="preserve">Northern </v>
      </c>
      <c r="L1211" s="8" t="str">
        <f>INDEX(Product_List,MATCH($F1211,'Product List'!$B$1:$B$299,0),MATCH('Order SUmmary'!L$2,'Product List'!$A$1:$E$1,0))</f>
        <v>Avery 517</v>
      </c>
      <c r="M1211" s="8">
        <f>INDEX(Product_List,MATCH($F1211,'Product List'!$B$1:$B$299,0),MATCH('Order SUmmary'!M$2,'Product List'!$A$1:$E$1,0))</f>
        <v>3065</v>
      </c>
      <c r="N1211" s="8">
        <f>INDEX(Product_List,MATCH($F1211,'Product List'!$B$1:$B$299,0),MATCH('Order SUmmary'!N$2,'Product List'!$A$1:$E$1,0))</f>
        <v>1426</v>
      </c>
      <c r="O1211" s="8" t="str">
        <f>INDEX(Product_List,MATCH($F1211,'Product List'!$B$1:$B$299,0),MATCH('Order SUmmary'!O$2,'Product List'!$A$1:$E$1,0))</f>
        <v>Labels</v>
      </c>
      <c r="P1211" s="12">
        <f>HLOOKUP(C1211,'Commission Criteria'!$A$2:$I$4,3,FALSE)</f>
        <v>1</v>
      </c>
      <c r="Q1211" s="8">
        <f t="shared" si="55"/>
        <v>2852</v>
      </c>
      <c r="R1211" s="8">
        <f t="shared" si="56"/>
        <v>6130</v>
      </c>
      <c r="S1211" s="36">
        <f>VLOOKUP(R1211,'Commission Criteria'!$L$3:$M$11,2,TRUE)</f>
        <v>0.03</v>
      </c>
      <c r="T1211" s="36">
        <f>IF(P1211&lt;5,VLOOKUP(R1211,'Commission Criteria'!$L$3:$M$11,2,1),VLOOKUP('Order SUmmary'!R1211,'Commission Criteria'!$P$3:$Q$11,2,1))</f>
        <v>0.03</v>
      </c>
      <c r="U1211" s="36">
        <f>VLOOKUP(R1211,IF(P1211&lt;5,'Commission Criteria'!$L$3:$M$11,'Commission Criteria'!$P$3:$Q$11),2,1)</f>
        <v>0.03</v>
      </c>
      <c r="V1211" s="8" t="s">
        <v>32</v>
      </c>
      <c r="W1211" s="36">
        <f t="shared" ca="1" si="57"/>
        <v>0.05</v>
      </c>
      <c r="X1211" s="8" t="str">
        <f>_xlfn.XLOOKUP(F1211,'Product List'!$B$1:$B$299,'Product List'!$A$1:$A$299)</f>
        <v>Avery 517</v>
      </c>
      <c r="Y1211" s="8"/>
      <c r="Z1211" s="8" t="str" cm="1">
        <f t="array" ref="Z1211:AD1211">_xlfn.XLOOKUP(D1211,'Customer Details'!$A$1:$A$17,'Customer Details'!$B$1:$F$17,"No such customer",0,1)</f>
        <v>Reliance Industries Limited</v>
      </c>
      <c r="AA1211" s="8" t="str">
        <v>12020 Shamrock Rd., Suite 333</v>
      </c>
      <c r="AB1211" s="8" t="str">
        <v>Chestnut Ridge</v>
      </c>
      <c r="AC1211" s="8" t="str">
        <v>NY</v>
      </c>
      <c r="AD1211" s="8" t="str">
        <v>10977</v>
      </c>
    </row>
    <row r="1212" spans="1:30">
      <c r="A1212" s="8" t="s">
        <v>1141</v>
      </c>
      <c r="B1212" s="19">
        <v>42323</v>
      </c>
      <c r="C1212" s="8" t="s">
        <v>66</v>
      </c>
      <c r="D1212" s="8">
        <v>10008</v>
      </c>
      <c r="E1212" s="8" t="str">
        <f>VLOOKUP($D1212,'Customer Details'!$A$1:$F$17,4,FALSE)</f>
        <v>Chestnut Ridge</v>
      </c>
      <c r="F1212" s="8" t="s">
        <v>750</v>
      </c>
      <c r="G1212" s="8">
        <v>1</v>
      </c>
      <c r="H1212" s="2" t="str">
        <f>VLOOKUP($D1212,'Customer Details'!$A$1:$F$17,MATCH('Order SUmmary'!H$2,'Customer Details'!$A$1:$F$1,0),0)</f>
        <v>Reliance Industries Limited</v>
      </c>
      <c r="I1212" s="2" t="str">
        <f>VLOOKUP($D1212,'Customer Details'!$A$1:$F$17,4,0)</f>
        <v>Chestnut Ridge</v>
      </c>
      <c r="J1212" s="2" t="str">
        <f>VLOOKUP($D1212,'Customer Details'!$A$1:$F$17,6,0)</f>
        <v>10977</v>
      </c>
      <c r="K1212" s="8" t="str">
        <f>VLOOKUP(VLOOKUP(D1212,'Customer Details'!$A$1:$F$17,5,0),'Region INfo'!$A$1:$C$52,3,0)</f>
        <v xml:space="preserve">Northern </v>
      </c>
      <c r="L1212" s="8" t="str">
        <f>INDEX(Product_List,MATCH($F1212,'Product List'!$B$1:$B$299,0),MATCH('Order SUmmary'!L$2,'Product List'!$A$1:$E$1,0))</f>
        <v>Xerox 1897</v>
      </c>
      <c r="M1212" s="8">
        <f>INDEX(Product_List,MATCH($F1212,'Product List'!$B$1:$B$299,0),MATCH('Order SUmmary'!M$2,'Product List'!$A$1:$E$1,0))</f>
        <v>3836</v>
      </c>
      <c r="N1212" s="8">
        <f>INDEX(Product_List,MATCH($F1212,'Product List'!$B$1:$B$299,0),MATCH('Order SUmmary'!N$2,'Product List'!$A$1:$E$1,0))</f>
        <v>2089</v>
      </c>
      <c r="O1212" s="8" t="str">
        <f>INDEX(Product_List,MATCH($F1212,'Product List'!$B$1:$B$299,0),MATCH('Order SUmmary'!O$2,'Product List'!$A$1:$E$1,0))</f>
        <v>Paper</v>
      </c>
      <c r="P1212" s="12">
        <f>HLOOKUP(C1212,'Commission Criteria'!$A$2:$I$4,3,FALSE)</f>
        <v>5</v>
      </c>
      <c r="Q1212" s="8">
        <f t="shared" si="55"/>
        <v>2089</v>
      </c>
      <c r="R1212" s="8">
        <f t="shared" si="56"/>
        <v>3836</v>
      </c>
      <c r="S1212" s="36">
        <f>VLOOKUP(R1212,'Commission Criteria'!$L$3:$M$11,2,TRUE)</f>
        <v>0.01</v>
      </c>
      <c r="T1212" s="36">
        <f>IF(P1212&lt;5,VLOOKUP(R1212,'Commission Criteria'!$L$3:$M$11,2,1),VLOOKUP('Order SUmmary'!R1212,'Commission Criteria'!$P$3:$Q$11,2,1))</f>
        <v>0.02</v>
      </c>
      <c r="U1212" s="36">
        <f>VLOOKUP(R1212,IF(P1212&lt;5,'Commission Criteria'!$L$3:$M$11,'Commission Criteria'!$P$3:$Q$11),2,1)</f>
        <v>0.02</v>
      </c>
      <c r="V1212" s="8" t="s">
        <v>32</v>
      </c>
      <c r="W1212" s="36">
        <f t="shared" ca="1" si="57"/>
        <v>0.04</v>
      </c>
      <c r="X1212" s="8" t="str">
        <f>_xlfn.XLOOKUP(F1212,'Product List'!$B$1:$B$299,'Product List'!$A$1:$A$299)</f>
        <v>Xerox 1897</v>
      </c>
      <c r="Y1212" s="8"/>
      <c r="Z1212" s="8" t="str" cm="1">
        <f t="array" ref="Z1212:AD1212">_xlfn.XLOOKUP(D1212,'Customer Details'!$A$1:$A$17,'Customer Details'!$B$1:$F$17,"No such customer",0,1)</f>
        <v>Reliance Industries Limited</v>
      </c>
      <c r="AA1212" s="8" t="str">
        <v>12020 Shamrock Rd., Suite 333</v>
      </c>
      <c r="AB1212" s="8" t="str">
        <v>Chestnut Ridge</v>
      </c>
      <c r="AC1212" s="8" t="str">
        <v>NY</v>
      </c>
      <c r="AD1212" s="8" t="str">
        <v>10977</v>
      </c>
    </row>
    <row r="1213" spans="1:30">
      <c r="A1213" s="8" t="s">
        <v>1142</v>
      </c>
      <c r="B1213" s="19">
        <v>42324</v>
      </c>
      <c r="C1213" s="8" t="s">
        <v>66</v>
      </c>
      <c r="D1213" s="8">
        <v>10013</v>
      </c>
      <c r="E1213" s="8" t="str">
        <f>VLOOKUP($D1213,'Customer Details'!$A$1:$F$17,4,FALSE)</f>
        <v>Naugatuck</v>
      </c>
      <c r="F1213" s="8" t="s">
        <v>659</v>
      </c>
      <c r="G1213" s="8">
        <v>6</v>
      </c>
      <c r="H1213" s="2" t="str">
        <f>VLOOKUP($D1213,'Customer Details'!$A$1:$F$17,MATCH('Order SUmmary'!H$2,'Customer Details'!$A$1:$F$1,0),0)</f>
        <v>GMR Infrastructure Ltd.</v>
      </c>
      <c r="I1213" s="2" t="str">
        <f>VLOOKUP($D1213,'Customer Details'!$A$1:$F$17,4,0)</f>
        <v>Naugatuck</v>
      </c>
      <c r="J1213" s="2" t="str">
        <f>VLOOKUP($D1213,'Customer Details'!$A$1:$F$17,6,0)</f>
        <v>06770</v>
      </c>
      <c r="K1213" s="8" t="str">
        <f>VLOOKUP(VLOOKUP(D1213,'Customer Details'!$A$1:$F$17,5,0),'Region INfo'!$A$1:$C$52,3,0)</f>
        <v xml:space="preserve">Northern </v>
      </c>
      <c r="L1213" s="8" t="str">
        <f>INDEX(Product_List,MATCH($F1213,'Product List'!$B$1:$B$299,0),MATCH('Order SUmmary'!L$2,'Product List'!$A$1:$E$1,0))</f>
        <v>Newell 312</v>
      </c>
      <c r="M1213" s="8">
        <f>INDEX(Product_List,MATCH($F1213,'Product List'!$B$1:$B$299,0),MATCH('Order SUmmary'!M$2,'Product List'!$A$1:$E$1,0))</f>
        <v>4325</v>
      </c>
      <c r="N1213" s="8">
        <f>INDEX(Product_List,MATCH($F1213,'Product List'!$B$1:$B$299,0),MATCH('Order SUmmary'!N$2,'Product List'!$A$1:$E$1,0))</f>
        <v>1734</v>
      </c>
      <c r="O1213" s="8" t="str">
        <f>INDEX(Product_List,MATCH($F1213,'Product List'!$B$1:$B$299,0),MATCH('Order SUmmary'!O$2,'Product List'!$A$1:$E$1,0))</f>
        <v>Art</v>
      </c>
      <c r="P1213" s="12">
        <f>HLOOKUP(C1213,'Commission Criteria'!$A$2:$I$4,3,FALSE)</f>
        <v>5</v>
      </c>
      <c r="Q1213" s="8">
        <f t="shared" si="55"/>
        <v>10404</v>
      </c>
      <c r="R1213" s="8">
        <f t="shared" si="56"/>
        <v>25950</v>
      </c>
      <c r="S1213" s="36">
        <f>VLOOKUP(R1213,'Commission Criteria'!$L$3:$M$11,2,TRUE)</f>
        <v>0.05</v>
      </c>
      <c r="T1213" s="36">
        <f>IF(P1213&lt;5,VLOOKUP(R1213,'Commission Criteria'!$L$3:$M$11,2,1),VLOOKUP('Order SUmmary'!R1213,'Commission Criteria'!$P$3:$Q$11,2,1))</f>
        <v>0.04</v>
      </c>
      <c r="U1213" s="36">
        <f>VLOOKUP(R1213,IF(P1213&lt;5,'Commission Criteria'!$L$3:$M$11,'Commission Criteria'!$P$3:$Q$11),2,1)</f>
        <v>0.04</v>
      </c>
      <c r="V1213" s="8" t="s">
        <v>35</v>
      </c>
      <c r="W1213" s="36">
        <f t="shared" ca="1" si="57"/>
        <v>0.02</v>
      </c>
      <c r="X1213" s="8" t="str">
        <f>_xlfn.XLOOKUP(F1213,'Product List'!$B$1:$B$299,'Product List'!$A$1:$A$299)</f>
        <v>Newell 312</v>
      </c>
      <c r="Y1213" s="8"/>
      <c r="Z1213" s="8" t="str" cm="1">
        <f t="array" ref="Z1213:AD1213">_xlfn.XLOOKUP(D1213,'Customer Details'!$A$1:$A$17,'Customer Details'!$B$1:$F$17,"No such customer",0,1)</f>
        <v>GMR Infrastructure Ltd.</v>
      </c>
      <c r="AA1213" s="8" t="str">
        <v>P.O. Box 4421</v>
      </c>
      <c r="AB1213" s="8" t="str">
        <v>Naugatuck</v>
      </c>
      <c r="AC1213" s="8" t="str">
        <v>CT</v>
      </c>
      <c r="AD1213" s="8" t="str">
        <v>06770</v>
      </c>
    </row>
    <row r="1214" spans="1:30">
      <c r="A1214" s="8" t="s">
        <v>1143</v>
      </c>
      <c r="B1214" s="19">
        <v>42324</v>
      </c>
      <c r="C1214" s="8" t="s">
        <v>44</v>
      </c>
      <c r="D1214" s="8">
        <v>10004</v>
      </c>
      <c r="E1214" s="8" t="str">
        <f>VLOOKUP($D1214,'Customer Details'!$A$1:$F$17,4,FALSE)</f>
        <v>New York</v>
      </c>
      <c r="F1214" s="8" t="s">
        <v>28</v>
      </c>
      <c r="G1214" s="8">
        <v>12</v>
      </c>
      <c r="H1214" s="2" t="str">
        <f>VLOOKUP($D1214,'Customer Details'!$A$1:$F$17,MATCH('Order SUmmary'!H$2,'Customer Details'!$A$1:$F$1,0),0)</f>
        <v>Lupin Ltd.</v>
      </c>
      <c r="I1214" s="2" t="str">
        <f>VLOOKUP($D1214,'Customer Details'!$A$1:$F$17,4,0)</f>
        <v>New York</v>
      </c>
      <c r="J1214" s="2" t="str">
        <f>VLOOKUP($D1214,'Customer Details'!$A$1:$F$17,6,0)</f>
        <v>10019</v>
      </c>
      <c r="K1214" s="8" t="str">
        <f>VLOOKUP(VLOOKUP(D1214,'Customer Details'!$A$1:$F$17,5,0),'Region INfo'!$A$1:$C$52,3,0)</f>
        <v xml:space="preserve">Northern </v>
      </c>
      <c r="L1214" s="8" t="str">
        <f>INDEX(Product_List,MATCH($F1214,'Product List'!$B$1:$B$299,0),MATCH('Order SUmmary'!L$2,'Product List'!$A$1:$E$1,0))</f>
        <v>Xerox 1951</v>
      </c>
      <c r="M1214" s="8">
        <f>INDEX(Product_List,MATCH($F1214,'Product List'!$B$1:$B$299,0),MATCH('Order SUmmary'!M$2,'Product List'!$A$1:$E$1,0))</f>
        <v>4006</v>
      </c>
      <c r="N1214" s="8">
        <f>INDEX(Product_List,MATCH($F1214,'Product List'!$B$1:$B$299,0),MATCH('Order SUmmary'!N$2,'Product List'!$A$1:$E$1,0))</f>
        <v>1898</v>
      </c>
      <c r="O1214" s="8" t="str">
        <f>INDEX(Product_List,MATCH($F1214,'Product List'!$B$1:$B$299,0),MATCH('Order SUmmary'!O$2,'Product List'!$A$1:$E$1,0))</f>
        <v>Paper</v>
      </c>
      <c r="P1214" s="12">
        <f>HLOOKUP(C1214,'Commission Criteria'!$A$2:$I$4,3,FALSE)</f>
        <v>4</v>
      </c>
      <c r="Q1214" s="8">
        <f t="shared" si="55"/>
        <v>22776</v>
      </c>
      <c r="R1214" s="8">
        <f t="shared" si="56"/>
        <v>48072</v>
      </c>
      <c r="S1214" s="36">
        <f>VLOOKUP(R1214,'Commission Criteria'!$L$3:$M$11,2,TRUE)</f>
        <v>0.05</v>
      </c>
      <c r="T1214" s="36">
        <f>IF(P1214&lt;5,VLOOKUP(R1214,'Commission Criteria'!$L$3:$M$11,2,1),VLOOKUP('Order SUmmary'!R1214,'Commission Criteria'!$P$3:$Q$11,2,1))</f>
        <v>0.05</v>
      </c>
      <c r="U1214" s="36">
        <f>VLOOKUP(R1214,IF(P1214&lt;5,'Commission Criteria'!$L$3:$M$11,'Commission Criteria'!$P$3:$Q$11),2,1)</f>
        <v>0.05</v>
      </c>
      <c r="V1214" s="8" t="s">
        <v>40</v>
      </c>
      <c r="W1214" s="36">
        <f t="shared" ca="1" si="57"/>
        <v>0.05</v>
      </c>
      <c r="X1214" s="8" t="str">
        <f>_xlfn.XLOOKUP(F1214,'Product List'!$B$1:$B$299,'Product List'!$A$1:$A$299)</f>
        <v>Xerox 1951</v>
      </c>
      <c r="Y1214" s="8"/>
      <c r="Z1214" s="8" t="str" cm="1">
        <f t="array" ref="Z1214:AD1214">_xlfn.XLOOKUP(D1214,'Customer Details'!$A$1:$A$17,'Customer Details'!$B$1:$F$17,"No such customer",0,1)</f>
        <v>Lupin Ltd.</v>
      </c>
      <c r="AA1214" s="8" t="str">
        <v>Abbey Wood</v>
      </c>
      <c r="AB1214" s="8" t="str">
        <v>New York</v>
      </c>
      <c r="AC1214" s="8" t="str">
        <v>NY</v>
      </c>
      <c r="AD1214" s="8" t="str">
        <v>10019</v>
      </c>
    </row>
    <row r="1215" spans="1:30">
      <c r="A1215" s="8" t="s">
        <v>1144</v>
      </c>
      <c r="B1215" s="19">
        <v>42325</v>
      </c>
      <c r="C1215" s="8" t="s">
        <v>44</v>
      </c>
      <c r="D1215" s="8">
        <v>10002</v>
      </c>
      <c r="E1215" s="8" t="str">
        <f>VLOOKUP($D1215,'Customer Details'!$A$1:$F$17,4,FALSE)</f>
        <v>Omaha</v>
      </c>
      <c r="F1215" s="8" t="s">
        <v>300</v>
      </c>
      <c r="G1215" s="8">
        <v>1</v>
      </c>
      <c r="H1215" s="2" t="str">
        <f>VLOOKUP($D1215,'Customer Details'!$A$1:$F$17,MATCH('Order SUmmary'!H$2,'Customer Details'!$A$1:$F$1,0),0)</f>
        <v>Elder Pharmaceuticals</v>
      </c>
      <c r="I1215" s="2" t="str">
        <f>VLOOKUP($D1215,'Customer Details'!$A$1:$F$17,4,0)</f>
        <v>Omaha</v>
      </c>
      <c r="J1215" s="2" t="str">
        <f>VLOOKUP($D1215,'Customer Details'!$A$1:$F$17,6,0)</f>
        <v>68127</v>
      </c>
      <c r="K1215" s="8" t="str">
        <f>VLOOKUP(VLOOKUP(D1215,'Customer Details'!$A$1:$F$17,5,0),'Region INfo'!$A$1:$C$52,3,0)</f>
        <v>Western</v>
      </c>
      <c r="L1215" s="8" t="str">
        <f>INDEX(Product_List,MATCH($F1215,'Product List'!$B$1:$B$299,0),MATCH('Order SUmmary'!L$2,'Product List'!$A$1:$E$1,0))</f>
        <v>Xerox 1892</v>
      </c>
      <c r="M1215" s="8">
        <f>INDEX(Product_List,MATCH($F1215,'Product List'!$B$1:$B$299,0),MATCH('Order SUmmary'!M$2,'Product List'!$A$1:$E$1,0))</f>
        <v>4069</v>
      </c>
      <c r="N1215" s="8">
        <f>INDEX(Product_List,MATCH($F1215,'Product List'!$B$1:$B$299,0),MATCH('Order SUmmary'!N$2,'Product List'!$A$1:$E$1,0))</f>
        <v>1545</v>
      </c>
      <c r="O1215" s="8" t="str">
        <f>INDEX(Product_List,MATCH($F1215,'Product List'!$B$1:$B$299,0),MATCH('Order SUmmary'!O$2,'Product List'!$A$1:$E$1,0))</f>
        <v>Paper</v>
      </c>
      <c r="P1215" s="12">
        <f>HLOOKUP(C1215,'Commission Criteria'!$A$2:$I$4,3,FALSE)</f>
        <v>4</v>
      </c>
      <c r="Q1215" s="8">
        <f t="shared" si="55"/>
        <v>1545</v>
      </c>
      <c r="R1215" s="8">
        <f t="shared" si="56"/>
        <v>4069</v>
      </c>
      <c r="S1215" s="36">
        <f>VLOOKUP(R1215,'Commission Criteria'!$L$3:$M$11,2,TRUE)</f>
        <v>0.01</v>
      </c>
      <c r="T1215" s="36">
        <f>IF(P1215&lt;5,VLOOKUP(R1215,'Commission Criteria'!$L$3:$M$11,2,1),VLOOKUP('Order SUmmary'!R1215,'Commission Criteria'!$P$3:$Q$11,2,1))</f>
        <v>0.01</v>
      </c>
      <c r="U1215" s="36">
        <f>VLOOKUP(R1215,IF(P1215&lt;5,'Commission Criteria'!$L$3:$M$11,'Commission Criteria'!$P$3:$Q$11),2,1)</f>
        <v>0.01</v>
      </c>
      <c r="V1215" s="8" t="s">
        <v>35</v>
      </c>
      <c r="W1215" s="36">
        <f t="shared" ca="1" si="57"/>
        <v>0.04</v>
      </c>
      <c r="X1215" s="8" t="str">
        <f>_xlfn.XLOOKUP(F1215,'Product List'!$B$1:$B$299,'Product List'!$A$1:$A$299)</f>
        <v>Xerox 1892</v>
      </c>
      <c r="Y1215" s="8"/>
      <c r="Z1215" s="8" t="str" cm="1">
        <f t="array" ref="Z1215:AD1215">_xlfn.XLOOKUP(D1215,'Customer Details'!$A$1:$A$17,'Customer Details'!$B$1:$F$17,"No such customer",0,1)</f>
        <v>Elder Pharmaceuticals</v>
      </c>
      <c r="AA1215" s="8" t="str">
        <v>57 Neriba Cres</v>
      </c>
      <c r="AB1215" s="8" t="str">
        <v>Omaha</v>
      </c>
      <c r="AC1215" s="8" t="str">
        <v>NE</v>
      </c>
      <c r="AD1215" s="8" t="str">
        <v>68127</v>
      </c>
    </row>
    <row r="1216" spans="1:30">
      <c r="A1216" s="8" t="s">
        <v>1145</v>
      </c>
      <c r="B1216" s="19">
        <v>42327</v>
      </c>
      <c r="C1216" s="8" t="s">
        <v>36</v>
      </c>
      <c r="D1216" s="8">
        <v>10005</v>
      </c>
      <c r="E1216" s="8" t="str">
        <f>VLOOKUP($D1216,'Customer Details'!$A$1:$F$17,4,FALSE)</f>
        <v>Goleta</v>
      </c>
      <c r="F1216" s="8" t="s">
        <v>322</v>
      </c>
      <c r="G1216" s="8">
        <v>3</v>
      </c>
      <c r="H1216" s="2" t="str">
        <f>VLOOKUP($D1216,'Customer Details'!$A$1:$F$17,MATCH('Order SUmmary'!H$2,'Customer Details'!$A$1:$F$1,0),0)</f>
        <v>Fortis Healthcare Ltd.</v>
      </c>
      <c r="I1216" s="2" t="str">
        <f>VLOOKUP($D1216,'Customer Details'!$A$1:$F$17,4,0)</f>
        <v>Goleta</v>
      </c>
      <c r="J1216" s="2" t="str">
        <f>VLOOKUP($D1216,'Customer Details'!$A$1:$F$17,6,0)</f>
        <v>93117</v>
      </c>
      <c r="K1216" s="8" t="str">
        <f>VLOOKUP(VLOOKUP(D1216,'Customer Details'!$A$1:$F$17,5,0),'Region INfo'!$A$1:$C$52,3,0)</f>
        <v xml:space="preserve">Pacific   </v>
      </c>
      <c r="L1216" s="8" t="str">
        <f>INDEX(Product_List,MATCH($F1216,'Product List'!$B$1:$B$299,0),MATCH('Order SUmmary'!L$2,'Product List'!$A$1:$E$1,0))</f>
        <v>Xerox 1966</v>
      </c>
      <c r="M1216" s="8">
        <f>INDEX(Product_List,MATCH($F1216,'Product List'!$B$1:$B$299,0),MATCH('Order SUmmary'!M$2,'Product List'!$A$1:$E$1,0))</f>
        <v>4476</v>
      </c>
      <c r="N1216" s="8">
        <f>INDEX(Product_List,MATCH($F1216,'Product List'!$B$1:$B$299,0),MATCH('Order SUmmary'!N$2,'Product List'!$A$1:$E$1,0))</f>
        <v>2494</v>
      </c>
      <c r="O1216" s="8" t="str">
        <f>INDEX(Product_List,MATCH($F1216,'Product List'!$B$1:$B$299,0),MATCH('Order SUmmary'!O$2,'Product List'!$A$1:$E$1,0))</f>
        <v>Paper</v>
      </c>
      <c r="P1216" s="12">
        <f>HLOOKUP(C1216,'Commission Criteria'!$A$2:$I$4,3,FALSE)</f>
        <v>6</v>
      </c>
      <c r="Q1216" s="8">
        <f t="shared" si="55"/>
        <v>7482</v>
      </c>
      <c r="R1216" s="8">
        <f t="shared" si="56"/>
        <v>13428</v>
      </c>
      <c r="S1216" s="36">
        <f>VLOOKUP(R1216,'Commission Criteria'!$L$3:$M$11,2,TRUE)</f>
        <v>0.03</v>
      </c>
      <c r="T1216" s="36">
        <f>IF(P1216&lt;5,VLOOKUP(R1216,'Commission Criteria'!$L$3:$M$11,2,1),VLOOKUP('Order SUmmary'!R1216,'Commission Criteria'!$P$3:$Q$11,2,1))</f>
        <v>0.02</v>
      </c>
      <c r="U1216" s="36">
        <f>VLOOKUP(R1216,IF(P1216&lt;5,'Commission Criteria'!$L$3:$M$11,'Commission Criteria'!$P$3:$Q$11),2,1)</f>
        <v>0.02</v>
      </c>
      <c r="V1216" s="8" t="s">
        <v>43</v>
      </c>
      <c r="W1216" s="36">
        <f t="shared" ca="1" si="57"/>
        <v>0.05</v>
      </c>
      <c r="X1216" s="8" t="str">
        <f>_xlfn.XLOOKUP(F1216,'Product List'!$B$1:$B$299,'Product List'!$A$1:$A$299)</f>
        <v>Xerox 1966</v>
      </c>
      <c r="Y1216" s="8"/>
      <c r="Z1216" s="8" t="str" cm="1">
        <f t="array" ref="Z1216:AD1216">_xlfn.XLOOKUP(D1216,'Customer Details'!$A$1:$A$17,'Customer Details'!$B$1:$F$17,"No such customer",0,1)</f>
        <v>Fortis Healthcare Ltd.</v>
      </c>
      <c r="AA1216" s="8" t="str">
        <v>14 Elsworthy Terrace</v>
      </c>
      <c r="AB1216" s="8" t="str">
        <v>Goleta</v>
      </c>
      <c r="AC1216" s="8" t="str">
        <v>CA</v>
      </c>
      <c r="AD1216" s="8" t="str">
        <v>93117</v>
      </c>
    </row>
    <row r="1217" spans="1:30">
      <c r="A1217" s="8" t="s">
        <v>1146</v>
      </c>
      <c r="B1217" s="19">
        <v>42331</v>
      </c>
      <c r="C1217" s="8" t="s">
        <v>36</v>
      </c>
      <c r="D1217" s="8">
        <v>10005</v>
      </c>
      <c r="E1217" s="8" t="str">
        <f>VLOOKUP($D1217,'Customer Details'!$A$1:$F$17,4,FALSE)</f>
        <v>Goleta</v>
      </c>
      <c r="F1217" s="8" t="s">
        <v>455</v>
      </c>
      <c r="G1217" s="8">
        <v>2</v>
      </c>
      <c r="H1217" s="2" t="str">
        <f>VLOOKUP($D1217,'Customer Details'!$A$1:$F$17,MATCH('Order SUmmary'!H$2,'Customer Details'!$A$1:$F$1,0),0)</f>
        <v>Fortis Healthcare Ltd.</v>
      </c>
      <c r="I1217" s="2" t="str">
        <f>VLOOKUP($D1217,'Customer Details'!$A$1:$F$17,4,0)</f>
        <v>Goleta</v>
      </c>
      <c r="J1217" s="2" t="str">
        <f>VLOOKUP($D1217,'Customer Details'!$A$1:$F$17,6,0)</f>
        <v>93117</v>
      </c>
      <c r="K1217" s="8" t="str">
        <f>VLOOKUP(VLOOKUP(D1217,'Customer Details'!$A$1:$F$17,5,0),'Region INfo'!$A$1:$C$52,3,0)</f>
        <v xml:space="preserve">Pacific   </v>
      </c>
      <c r="L1217" s="8" t="str">
        <f>INDEX(Product_List,MATCH($F1217,'Product List'!$B$1:$B$299,0),MATCH('Order SUmmary'!L$2,'Product List'!$A$1:$E$1,0))</f>
        <v>Newell 307</v>
      </c>
      <c r="M1217" s="8">
        <f>INDEX(Product_List,MATCH($F1217,'Product List'!$B$1:$B$299,0),MATCH('Order SUmmary'!M$2,'Product List'!$A$1:$E$1,0))</f>
        <v>4230</v>
      </c>
      <c r="N1217" s="8">
        <f>INDEX(Product_List,MATCH($F1217,'Product List'!$B$1:$B$299,0),MATCH('Order SUmmary'!N$2,'Product List'!$A$1:$E$1,0))</f>
        <v>1812</v>
      </c>
      <c r="O1217" s="8" t="str">
        <f>INDEX(Product_List,MATCH($F1217,'Product List'!$B$1:$B$299,0),MATCH('Order SUmmary'!O$2,'Product List'!$A$1:$E$1,0))</f>
        <v>Art</v>
      </c>
      <c r="P1217" s="12">
        <f>HLOOKUP(C1217,'Commission Criteria'!$A$2:$I$4,3,FALSE)</f>
        <v>6</v>
      </c>
      <c r="Q1217" s="8">
        <f t="shared" si="55"/>
        <v>3624</v>
      </c>
      <c r="R1217" s="8">
        <f t="shared" si="56"/>
        <v>8460</v>
      </c>
      <c r="S1217" s="36">
        <f>VLOOKUP(R1217,'Commission Criteria'!$L$3:$M$11,2,TRUE)</f>
        <v>0.03</v>
      </c>
      <c r="T1217" s="36">
        <f>IF(P1217&lt;5,VLOOKUP(R1217,'Commission Criteria'!$L$3:$M$11,2,1),VLOOKUP('Order SUmmary'!R1217,'Commission Criteria'!$P$3:$Q$11,2,1))</f>
        <v>0.02</v>
      </c>
      <c r="U1217" s="36">
        <f>VLOOKUP(R1217,IF(P1217&lt;5,'Commission Criteria'!$L$3:$M$11,'Commission Criteria'!$P$3:$Q$11),2,1)</f>
        <v>0.02</v>
      </c>
      <c r="V1217" s="8" t="s">
        <v>43</v>
      </c>
      <c r="W1217" s="36">
        <f t="shared" ca="1" si="57"/>
        <v>0.05</v>
      </c>
      <c r="X1217" s="8" t="str">
        <f>_xlfn.XLOOKUP(F1217,'Product List'!$B$1:$B$299,'Product List'!$A$1:$A$299)</f>
        <v>Newell 307</v>
      </c>
      <c r="Y1217" s="8"/>
      <c r="Z1217" s="8" t="str" cm="1">
        <f t="array" ref="Z1217:AD1217">_xlfn.XLOOKUP(D1217,'Customer Details'!$A$1:$A$17,'Customer Details'!$B$1:$F$17,"No such customer",0,1)</f>
        <v>Fortis Healthcare Ltd.</v>
      </c>
      <c r="AA1217" s="8" t="str">
        <v>14 Elsworthy Terrace</v>
      </c>
      <c r="AB1217" s="8" t="str">
        <v>Goleta</v>
      </c>
      <c r="AC1217" s="8" t="str">
        <v>CA</v>
      </c>
      <c r="AD1217" s="8" t="str">
        <v>93117</v>
      </c>
    </row>
    <row r="1218" spans="1:30">
      <c r="A1218" s="8" t="s">
        <v>1146</v>
      </c>
      <c r="B1218" s="19">
        <v>42331</v>
      </c>
      <c r="C1218" s="8" t="s">
        <v>46</v>
      </c>
      <c r="D1218" s="8">
        <v>10005</v>
      </c>
      <c r="E1218" s="8" t="str">
        <f>VLOOKUP($D1218,'Customer Details'!$A$1:$F$17,4,FALSE)</f>
        <v>Goleta</v>
      </c>
      <c r="F1218" s="8" t="s">
        <v>257</v>
      </c>
      <c r="G1218" s="8">
        <v>3</v>
      </c>
      <c r="H1218" s="2" t="str">
        <f>VLOOKUP($D1218,'Customer Details'!$A$1:$F$17,MATCH('Order SUmmary'!H$2,'Customer Details'!$A$1:$F$1,0),0)</f>
        <v>Fortis Healthcare Ltd.</v>
      </c>
      <c r="I1218" s="2" t="str">
        <f>VLOOKUP($D1218,'Customer Details'!$A$1:$F$17,4,0)</f>
        <v>Goleta</v>
      </c>
      <c r="J1218" s="2" t="str">
        <f>VLOOKUP($D1218,'Customer Details'!$A$1:$F$17,6,0)</f>
        <v>93117</v>
      </c>
      <c r="K1218" s="8" t="str">
        <f>VLOOKUP(VLOOKUP(D1218,'Customer Details'!$A$1:$F$17,5,0),'Region INfo'!$A$1:$C$52,3,0)</f>
        <v xml:space="preserve">Pacific   </v>
      </c>
      <c r="L1218" s="8" t="str">
        <f>INDEX(Product_List,MATCH($F1218,'Product List'!$B$1:$B$299,0),MATCH('Order SUmmary'!L$2,'Product List'!$A$1:$E$1,0))</f>
        <v>Xerox 1977</v>
      </c>
      <c r="M1218" s="8">
        <f>INDEX(Product_List,MATCH($F1218,'Product List'!$B$1:$B$299,0),MATCH('Order SUmmary'!M$2,'Product List'!$A$1:$E$1,0))</f>
        <v>3649</v>
      </c>
      <c r="N1218" s="8">
        <f>INDEX(Product_List,MATCH($F1218,'Product List'!$B$1:$B$299,0),MATCH('Order SUmmary'!N$2,'Product List'!$A$1:$E$1,0))</f>
        <v>2295</v>
      </c>
      <c r="O1218" s="8" t="str">
        <f>INDEX(Product_List,MATCH($F1218,'Product List'!$B$1:$B$299,0),MATCH('Order SUmmary'!O$2,'Product List'!$A$1:$E$1,0))</f>
        <v>Paper</v>
      </c>
      <c r="P1218" s="12">
        <f>HLOOKUP(C1218,'Commission Criteria'!$A$2:$I$4,3,FALSE)</f>
        <v>8</v>
      </c>
      <c r="Q1218" s="8">
        <f t="shared" si="55"/>
        <v>6885</v>
      </c>
      <c r="R1218" s="8">
        <f t="shared" si="56"/>
        <v>10947</v>
      </c>
      <c r="S1218" s="36">
        <f>VLOOKUP(R1218,'Commission Criteria'!$L$3:$M$11,2,TRUE)</f>
        <v>0.03</v>
      </c>
      <c r="T1218" s="36">
        <f>IF(P1218&lt;5,VLOOKUP(R1218,'Commission Criteria'!$L$3:$M$11,2,1),VLOOKUP('Order SUmmary'!R1218,'Commission Criteria'!$P$3:$Q$11,2,1))</f>
        <v>0.02</v>
      </c>
      <c r="U1218" s="36">
        <f>VLOOKUP(R1218,IF(P1218&lt;5,'Commission Criteria'!$L$3:$M$11,'Commission Criteria'!$P$3:$Q$11),2,1)</f>
        <v>0.02</v>
      </c>
      <c r="V1218" s="8" t="s">
        <v>40</v>
      </c>
      <c r="W1218" s="36">
        <f t="shared" ca="1" si="57"/>
        <v>0.01</v>
      </c>
      <c r="X1218" s="8" t="str">
        <f>_xlfn.XLOOKUP(F1218,'Product List'!$B$1:$B$299,'Product List'!$A$1:$A$299)</f>
        <v>Xerox 1977</v>
      </c>
      <c r="Y1218" s="8"/>
      <c r="Z1218" s="8" t="str" cm="1">
        <f t="array" ref="Z1218:AD1218">_xlfn.XLOOKUP(D1218,'Customer Details'!$A$1:$A$17,'Customer Details'!$B$1:$F$17,"No such customer",0,1)</f>
        <v>Fortis Healthcare Ltd.</v>
      </c>
      <c r="AA1218" s="8" t="str">
        <v>14 Elsworthy Terrace</v>
      </c>
      <c r="AB1218" s="8" t="str">
        <v>Goleta</v>
      </c>
      <c r="AC1218" s="8" t="str">
        <v>CA</v>
      </c>
      <c r="AD1218" s="8" t="str">
        <v>93117</v>
      </c>
    </row>
    <row r="1219" spans="1:30">
      <c r="A1219" s="8" t="s">
        <v>1146</v>
      </c>
      <c r="B1219" s="19">
        <v>42331</v>
      </c>
      <c r="C1219" s="8" t="s">
        <v>46</v>
      </c>
      <c r="D1219" s="8">
        <v>10013</v>
      </c>
      <c r="E1219" s="8" t="str">
        <f>VLOOKUP($D1219,'Customer Details'!$A$1:$F$17,4,FALSE)</f>
        <v>Naugatuck</v>
      </c>
      <c r="F1219" s="8" t="s">
        <v>501</v>
      </c>
      <c r="G1219" s="8">
        <v>3</v>
      </c>
      <c r="H1219" s="2" t="str">
        <f>VLOOKUP($D1219,'Customer Details'!$A$1:$F$17,MATCH('Order SUmmary'!H$2,'Customer Details'!$A$1:$F$1,0),0)</f>
        <v>GMR Infrastructure Ltd.</v>
      </c>
      <c r="I1219" s="2" t="str">
        <f>VLOOKUP($D1219,'Customer Details'!$A$1:$F$17,4,0)</f>
        <v>Naugatuck</v>
      </c>
      <c r="J1219" s="2" t="str">
        <f>VLOOKUP($D1219,'Customer Details'!$A$1:$F$17,6,0)</f>
        <v>06770</v>
      </c>
      <c r="K1219" s="8" t="str">
        <f>VLOOKUP(VLOOKUP(D1219,'Customer Details'!$A$1:$F$17,5,0),'Region INfo'!$A$1:$C$52,3,0)</f>
        <v xml:space="preserve">Northern </v>
      </c>
      <c r="L1219" s="8" t="str">
        <f>INDEX(Product_List,MATCH($F1219,'Product List'!$B$1:$B$299,0),MATCH('Order SUmmary'!L$2,'Product List'!$A$1:$E$1,0))</f>
        <v>Avery 500</v>
      </c>
      <c r="M1219" s="8">
        <f>INDEX(Product_List,MATCH($F1219,'Product List'!$B$1:$B$299,0),MATCH('Order SUmmary'!M$2,'Product List'!$A$1:$E$1,0))</f>
        <v>4234</v>
      </c>
      <c r="N1219" s="8">
        <f>INDEX(Product_List,MATCH($F1219,'Product List'!$B$1:$B$299,0),MATCH('Order SUmmary'!N$2,'Product List'!$A$1:$E$1,0))</f>
        <v>1212</v>
      </c>
      <c r="O1219" s="8" t="str">
        <f>INDEX(Product_List,MATCH($F1219,'Product List'!$B$1:$B$299,0),MATCH('Order SUmmary'!O$2,'Product List'!$A$1:$E$1,0))</f>
        <v>Labels</v>
      </c>
      <c r="P1219" s="12">
        <f>HLOOKUP(C1219,'Commission Criteria'!$A$2:$I$4,3,FALSE)</f>
        <v>8</v>
      </c>
      <c r="Q1219" s="8">
        <f t="shared" si="55"/>
        <v>3636</v>
      </c>
      <c r="R1219" s="8">
        <f t="shared" si="56"/>
        <v>12702</v>
      </c>
      <c r="S1219" s="36">
        <f>VLOOKUP(R1219,'Commission Criteria'!$L$3:$M$11,2,TRUE)</f>
        <v>0.03</v>
      </c>
      <c r="T1219" s="36">
        <f>IF(P1219&lt;5,VLOOKUP(R1219,'Commission Criteria'!$L$3:$M$11,2,1),VLOOKUP('Order SUmmary'!R1219,'Commission Criteria'!$P$3:$Q$11,2,1))</f>
        <v>0.02</v>
      </c>
      <c r="U1219" s="36">
        <f>VLOOKUP(R1219,IF(P1219&lt;5,'Commission Criteria'!$L$3:$M$11,'Commission Criteria'!$P$3:$Q$11),2,1)</f>
        <v>0.02</v>
      </c>
      <c r="V1219" s="8" t="s">
        <v>50</v>
      </c>
      <c r="W1219" s="36">
        <f t="shared" ca="1" si="57"/>
        <v>0</v>
      </c>
      <c r="X1219" s="8" t="str">
        <f>_xlfn.XLOOKUP(F1219,'Product List'!$B$1:$B$299,'Product List'!$A$1:$A$299)</f>
        <v>Avery 500</v>
      </c>
      <c r="Y1219" s="8"/>
      <c r="Z1219" s="8" t="str" cm="1">
        <f t="array" ref="Z1219:AD1219">_xlfn.XLOOKUP(D1219,'Customer Details'!$A$1:$A$17,'Customer Details'!$B$1:$F$17,"No such customer",0,1)</f>
        <v>GMR Infrastructure Ltd.</v>
      </c>
      <c r="AA1219" s="8" t="str">
        <v>P.O. Box 4421</v>
      </c>
      <c r="AB1219" s="8" t="str">
        <v>Naugatuck</v>
      </c>
      <c r="AC1219" s="8" t="str">
        <v>CT</v>
      </c>
      <c r="AD1219" s="8" t="str">
        <v>06770</v>
      </c>
    </row>
    <row r="1220" spans="1:30">
      <c r="A1220" s="8" t="s">
        <v>1147</v>
      </c>
      <c r="B1220" s="19">
        <v>42334</v>
      </c>
      <c r="C1220" s="8" t="s">
        <v>66</v>
      </c>
      <c r="D1220" s="8">
        <v>10012</v>
      </c>
      <c r="E1220" s="8" t="str">
        <f>VLOOKUP($D1220,'Customer Details'!$A$1:$F$17,4,FALSE)</f>
        <v>Santa Barbara</v>
      </c>
      <c r="F1220" s="8" t="s">
        <v>188</v>
      </c>
      <c r="G1220" s="8">
        <v>12</v>
      </c>
      <c r="H1220" s="2" t="str">
        <f>VLOOKUP($D1220,'Customer Details'!$A$1:$F$17,MATCH('Order SUmmary'!H$2,'Customer Details'!$A$1:$F$1,0),0)</f>
        <v>Dynamatic Technologies Ltd.</v>
      </c>
      <c r="I1220" s="2" t="str">
        <f>VLOOKUP($D1220,'Customer Details'!$A$1:$F$17,4,0)</f>
        <v>Santa Barbara</v>
      </c>
      <c r="J1220" s="2" t="str">
        <f>VLOOKUP($D1220,'Customer Details'!$A$1:$F$17,6,0)</f>
        <v>93110</v>
      </c>
      <c r="K1220" s="8" t="str">
        <f>VLOOKUP(VLOOKUP(D1220,'Customer Details'!$A$1:$F$17,5,0),'Region INfo'!$A$1:$C$52,3,0)</f>
        <v xml:space="preserve">Pacific   </v>
      </c>
      <c r="L1220" s="8" t="str">
        <f>INDEX(Product_List,MATCH($F1220,'Product List'!$B$1:$B$299,0),MATCH('Order SUmmary'!L$2,'Product List'!$A$1:$E$1,0))</f>
        <v>Xerox 1953</v>
      </c>
      <c r="M1220" s="8">
        <f>INDEX(Product_List,MATCH($F1220,'Product List'!$B$1:$B$299,0),MATCH('Order SUmmary'!M$2,'Product List'!$A$1:$E$1,0))</f>
        <v>2579</v>
      </c>
      <c r="N1220" s="8">
        <f>INDEX(Product_List,MATCH($F1220,'Product List'!$B$1:$B$299,0),MATCH('Order SUmmary'!N$2,'Product List'!$A$1:$E$1,0))</f>
        <v>1455</v>
      </c>
      <c r="O1220" s="8" t="str">
        <f>INDEX(Product_List,MATCH($F1220,'Product List'!$B$1:$B$299,0),MATCH('Order SUmmary'!O$2,'Product List'!$A$1:$E$1,0))</f>
        <v>Paper</v>
      </c>
      <c r="P1220" s="12">
        <f>HLOOKUP(C1220,'Commission Criteria'!$A$2:$I$4,3,FALSE)</f>
        <v>5</v>
      </c>
      <c r="Q1220" s="8">
        <f t="shared" ref="Q1220:Q1275" si="58">N1220*G1220</f>
        <v>17460</v>
      </c>
      <c r="R1220" s="8">
        <f t="shared" ref="R1220:R1275" si="59">M1220*G1220</f>
        <v>30948</v>
      </c>
      <c r="S1220" s="36">
        <f>VLOOKUP(R1220,'Commission Criteria'!$L$3:$M$11,2,TRUE)</f>
        <v>0.05</v>
      </c>
      <c r="T1220" s="36">
        <f>IF(P1220&lt;5,VLOOKUP(R1220,'Commission Criteria'!$L$3:$M$11,2,1),VLOOKUP('Order SUmmary'!R1220,'Commission Criteria'!$P$3:$Q$11,2,1))</f>
        <v>0.04</v>
      </c>
      <c r="U1220" s="36">
        <f>VLOOKUP(R1220,IF(P1220&lt;5,'Commission Criteria'!$L$3:$M$11,'Commission Criteria'!$P$3:$Q$11),2,1)</f>
        <v>0.04</v>
      </c>
      <c r="V1220" s="8" t="s">
        <v>43</v>
      </c>
      <c r="W1220" s="36">
        <f t="shared" ref="W1220:W1275" ca="1" si="60">VLOOKUP(F1220,INDIRECT(V1220&amp;"!$A$1:$B$296"),2,0)</f>
        <v>0.04</v>
      </c>
      <c r="X1220" s="8" t="str">
        <f>_xlfn.XLOOKUP(F1220,'Product List'!$B$1:$B$299,'Product List'!$A$1:$A$299)</f>
        <v>Xerox 1953</v>
      </c>
      <c r="Y1220" s="8"/>
      <c r="Z1220" s="8" t="str" cm="1">
        <f t="array" ref="Z1220:AD1220">_xlfn.XLOOKUP(D1220,'Customer Details'!$A$1:$A$17,'Customer Details'!$B$1:$F$17,"No such customer",0,1)</f>
        <v>Dynamatic Technologies Ltd.</v>
      </c>
      <c r="AA1220" s="8" t="str">
        <v>402 Pinkster Lane</v>
      </c>
      <c r="AB1220" s="8" t="str">
        <v>Santa Barbara</v>
      </c>
      <c r="AC1220" s="8" t="str">
        <v>CA</v>
      </c>
      <c r="AD1220" s="8" t="str">
        <v>93110</v>
      </c>
    </row>
    <row r="1221" spans="1:30">
      <c r="A1221" s="8" t="s">
        <v>1148</v>
      </c>
      <c r="B1221" s="19">
        <v>42335</v>
      </c>
      <c r="C1221" s="8" t="s">
        <v>33</v>
      </c>
      <c r="D1221" s="8">
        <v>10014</v>
      </c>
      <c r="E1221" s="8" t="str">
        <f>VLOOKUP($D1221,'Customer Details'!$A$1:$F$17,4,FALSE)</f>
        <v>Honolulu</v>
      </c>
      <c r="F1221" s="8" t="s">
        <v>1149</v>
      </c>
      <c r="G1221" s="8">
        <v>1</v>
      </c>
      <c r="H1221" s="2" t="str">
        <f>VLOOKUP($D1221,'Customer Details'!$A$1:$F$17,MATCH('Order SUmmary'!H$2,'Customer Details'!$A$1:$F$1,0),0)</f>
        <v>Hindusthan National Glass &amp; Industries Ltd.</v>
      </c>
      <c r="I1221" s="2" t="str">
        <f>VLOOKUP($D1221,'Customer Details'!$A$1:$F$17,4,0)</f>
        <v>Honolulu</v>
      </c>
      <c r="J1221" s="2" t="str">
        <f>VLOOKUP($D1221,'Customer Details'!$A$1:$F$17,6,0)</f>
        <v>96825</v>
      </c>
      <c r="K1221" s="8" t="str">
        <f>VLOOKUP(VLOOKUP(D1221,'Customer Details'!$A$1:$F$17,5,0),'Region INfo'!$A$1:$C$52,3,0)</f>
        <v xml:space="preserve">Pacific   </v>
      </c>
      <c r="L1221" s="8" t="str">
        <f>INDEX(Product_List,MATCH($F1221,'Product List'!$B$1:$B$299,0),MATCH('Order SUmmary'!L$2,'Product List'!$A$1:$E$1,0))</f>
        <v>Xerox 1982</v>
      </c>
      <c r="M1221" s="8">
        <f>INDEX(Product_List,MATCH($F1221,'Product List'!$B$1:$B$299,0),MATCH('Order SUmmary'!M$2,'Product List'!$A$1:$E$1,0))</f>
        <v>4391</v>
      </c>
      <c r="N1221" s="8">
        <f>INDEX(Product_List,MATCH($F1221,'Product List'!$B$1:$B$299,0),MATCH('Order SUmmary'!N$2,'Product List'!$A$1:$E$1,0))</f>
        <v>2304</v>
      </c>
      <c r="O1221" s="8" t="str">
        <f>INDEX(Product_List,MATCH($F1221,'Product List'!$B$1:$B$299,0),MATCH('Order SUmmary'!O$2,'Product List'!$A$1:$E$1,0))</f>
        <v>Paper</v>
      </c>
      <c r="P1221" s="12">
        <f>HLOOKUP(C1221,'Commission Criteria'!$A$2:$I$4,3,FALSE)</f>
        <v>1</v>
      </c>
      <c r="Q1221" s="8">
        <f t="shared" si="58"/>
        <v>2304</v>
      </c>
      <c r="R1221" s="8">
        <f t="shared" si="59"/>
        <v>4391</v>
      </c>
      <c r="S1221" s="36">
        <f>VLOOKUP(R1221,'Commission Criteria'!$L$3:$M$11,2,TRUE)</f>
        <v>0.01</v>
      </c>
      <c r="T1221" s="36">
        <f>IF(P1221&lt;5,VLOOKUP(R1221,'Commission Criteria'!$L$3:$M$11,2,1),VLOOKUP('Order SUmmary'!R1221,'Commission Criteria'!$P$3:$Q$11,2,1))</f>
        <v>0.01</v>
      </c>
      <c r="U1221" s="36">
        <f>VLOOKUP(R1221,IF(P1221&lt;5,'Commission Criteria'!$L$3:$M$11,'Commission Criteria'!$P$3:$Q$11),2,1)</f>
        <v>0.01</v>
      </c>
      <c r="V1221" s="8" t="s">
        <v>32</v>
      </c>
      <c r="W1221" s="36">
        <f t="shared" ca="1" si="60"/>
        <v>0.03</v>
      </c>
      <c r="X1221" s="8" t="str">
        <f>_xlfn.XLOOKUP(F1221,'Product List'!$B$1:$B$299,'Product List'!$A$1:$A$299)</f>
        <v>Xerox 1982</v>
      </c>
      <c r="Y1221" s="8"/>
      <c r="Z1221" s="8" t="str" cm="1">
        <f t="array" ref="Z1221:AD1221">_xlfn.XLOOKUP(D1221,'Customer Details'!$A$1:$A$17,'Customer Details'!$B$1:$F$17,"No such customer",0,1)</f>
        <v>Hindusthan National Glass &amp; Industries Ltd.</v>
      </c>
      <c r="AA1221" s="8" t="str">
        <v>11 Cathy St.</v>
      </c>
      <c r="AB1221" s="8" t="str">
        <v>Honolulu</v>
      </c>
      <c r="AC1221" s="8" t="str">
        <v>HI</v>
      </c>
      <c r="AD1221" s="8" t="str">
        <v>96825</v>
      </c>
    </row>
    <row r="1222" spans="1:30">
      <c r="A1222" s="8" t="s">
        <v>1148</v>
      </c>
      <c r="B1222" s="19">
        <v>42335</v>
      </c>
      <c r="C1222" s="8" t="s">
        <v>33</v>
      </c>
      <c r="D1222" s="8">
        <v>10002</v>
      </c>
      <c r="E1222" s="8" t="str">
        <f>VLOOKUP($D1222,'Customer Details'!$A$1:$F$17,4,FALSE)</f>
        <v>Omaha</v>
      </c>
      <c r="F1222" s="8" t="s">
        <v>137</v>
      </c>
      <c r="G1222" s="8">
        <v>2</v>
      </c>
      <c r="H1222" s="2" t="str">
        <f>VLOOKUP($D1222,'Customer Details'!$A$1:$F$17,MATCH('Order SUmmary'!H$2,'Customer Details'!$A$1:$F$1,0),0)</f>
        <v>Elder Pharmaceuticals</v>
      </c>
      <c r="I1222" s="2" t="str">
        <f>VLOOKUP($D1222,'Customer Details'!$A$1:$F$17,4,0)</f>
        <v>Omaha</v>
      </c>
      <c r="J1222" s="2" t="str">
        <f>VLOOKUP($D1222,'Customer Details'!$A$1:$F$17,6,0)</f>
        <v>68127</v>
      </c>
      <c r="K1222" s="8" t="str">
        <f>VLOOKUP(VLOOKUP(D1222,'Customer Details'!$A$1:$F$17,5,0),'Region INfo'!$A$1:$C$52,3,0)</f>
        <v>Western</v>
      </c>
      <c r="L1222" s="8" t="str">
        <f>INDEX(Product_List,MATCH($F1222,'Product List'!$B$1:$B$299,0),MATCH('Order SUmmary'!L$2,'Product List'!$A$1:$E$1,0))</f>
        <v>Newell 35</v>
      </c>
      <c r="M1222" s="8">
        <f>INDEX(Product_List,MATCH($F1222,'Product List'!$B$1:$B$299,0),MATCH('Order SUmmary'!M$2,'Product List'!$A$1:$E$1,0))</f>
        <v>4209</v>
      </c>
      <c r="N1222" s="8">
        <f>INDEX(Product_List,MATCH($F1222,'Product List'!$B$1:$B$299,0),MATCH('Order SUmmary'!N$2,'Product List'!$A$1:$E$1,0))</f>
        <v>1692</v>
      </c>
      <c r="O1222" s="8" t="str">
        <f>INDEX(Product_List,MATCH($F1222,'Product List'!$B$1:$B$299,0),MATCH('Order SUmmary'!O$2,'Product List'!$A$1:$E$1,0))</f>
        <v>Art</v>
      </c>
      <c r="P1222" s="12">
        <f>HLOOKUP(C1222,'Commission Criteria'!$A$2:$I$4,3,FALSE)</f>
        <v>1</v>
      </c>
      <c r="Q1222" s="8">
        <f t="shared" si="58"/>
        <v>3384</v>
      </c>
      <c r="R1222" s="8">
        <f t="shared" si="59"/>
        <v>8418</v>
      </c>
      <c r="S1222" s="36">
        <f>VLOOKUP(R1222,'Commission Criteria'!$L$3:$M$11,2,TRUE)</f>
        <v>0.03</v>
      </c>
      <c r="T1222" s="36">
        <f>IF(P1222&lt;5,VLOOKUP(R1222,'Commission Criteria'!$L$3:$M$11,2,1),VLOOKUP('Order SUmmary'!R1222,'Commission Criteria'!$P$3:$Q$11,2,1))</f>
        <v>0.03</v>
      </c>
      <c r="U1222" s="36">
        <f>VLOOKUP(R1222,IF(P1222&lt;5,'Commission Criteria'!$L$3:$M$11,'Commission Criteria'!$P$3:$Q$11),2,1)</f>
        <v>0.03</v>
      </c>
      <c r="V1222" s="8" t="s">
        <v>29</v>
      </c>
      <c r="W1222" s="36">
        <f t="shared" ca="1" si="60"/>
        <v>0.04</v>
      </c>
      <c r="X1222" s="8" t="str">
        <f>_xlfn.XLOOKUP(F1222,'Product List'!$B$1:$B$299,'Product List'!$A$1:$A$299)</f>
        <v>Newell 35</v>
      </c>
      <c r="Y1222" s="8"/>
      <c r="Z1222" s="8" t="str" cm="1">
        <f t="array" ref="Z1222:AD1222">_xlfn.XLOOKUP(D1222,'Customer Details'!$A$1:$A$17,'Customer Details'!$B$1:$F$17,"No such customer",0,1)</f>
        <v>Elder Pharmaceuticals</v>
      </c>
      <c r="AA1222" s="8" t="str">
        <v>57 Neriba Cres</v>
      </c>
      <c r="AB1222" s="8" t="str">
        <v>Omaha</v>
      </c>
      <c r="AC1222" s="8" t="str">
        <v>NE</v>
      </c>
      <c r="AD1222" s="8" t="str">
        <v>68127</v>
      </c>
    </row>
    <row r="1223" spans="1:30">
      <c r="A1223" s="8" t="s">
        <v>1148</v>
      </c>
      <c r="B1223" s="19">
        <v>42335</v>
      </c>
      <c r="C1223" s="8" t="s">
        <v>33</v>
      </c>
      <c r="D1223" s="8">
        <v>10007</v>
      </c>
      <c r="E1223" s="8" t="str">
        <f>VLOOKUP($D1223,'Customer Details'!$A$1:$F$17,4,FALSE)</f>
        <v>Richmond</v>
      </c>
      <c r="F1223" s="8" t="s">
        <v>263</v>
      </c>
      <c r="G1223" s="8">
        <v>3</v>
      </c>
      <c r="H1223" s="2" t="str">
        <f>VLOOKUP($D1223,'Customer Details'!$A$1:$F$17,MATCH('Order SUmmary'!H$2,'Customer Details'!$A$1:$F$1,0),0)</f>
        <v>GHCL Ltd.</v>
      </c>
      <c r="I1223" s="2" t="str">
        <f>VLOOKUP($D1223,'Customer Details'!$A$1:$F$17,4,0)</f>
        <v>Richmond</v>
      </c>
      <c r="J1223" s="2" t="str">
        <f>VLOOKUP($D1223,'Customer Details'!$A$1:$F$17,6,0)</f>
        <v>94805</v>
      </c>
      <c r="K1223" s="8" t="str">
        <f>VLOOKUP(VLOOKUP(D1223,'Customer Details'!$A$1:$F$17,5,0),'Region INfo'!$A$1:$C$52,3,0)</f>
        <v xml:space="preserve">Pacific   </v>
      </c>
      <c r="L1223" s="8" t="str">
        <f>INDEX(Product_List,MATCH($F1223,'Product List'!$B$1:$B$299,0),MATCH('Order SUmmary'!L$2,'Product List'!$A$1:$E$1,0))</f>
        <v>Xerox 1976</v>
      </c>
      <c r="M1223" s="8">
        <f>INDEX(Product_List,MATCH($F1223,'Product List'!$B$1:$B$299,0),MATCH('Order SUmmary'!M$2,'Product List'!$A$1:$E$1,0))</f>
        <v>3479</v>
      </c>
      <c r="N1223" s="8">
        <f>INDEX(Product_List,MATCH($F1223,'Product List'!$B$1:$B$299,0),MATCH('Order SUmmary'!N$2,'Product List'!$A$1:$E$1,0))</f>
        <v>2056</v>
      </c>
      <c r="O1223" s="8" t="str">
        <f>INDEX(Product_List,MATCH($F1223,'Product List'!$B$1:$B$299,0),MATCH('Order SUmmary'!O$2,'Product List'!$A$1:$E$1,0))</f>
        <v>Paper</v>
      </c>
      <c r="P1223" s="12">
        <f>HLOOKUP(C1223,'Commission Criteria'!$A$2:$I$4,3,FALSE)</f>
        <v>1</v>
      </c>
      <c r="Q1223" s="8">
        <f t="shared" si="58"/>
        <v>6168</v>
      </c>
      <c r="R1223" s="8">
        <f t="shared" si="59"/>
        <v>10437</v>
      </c>
      <c r="S1223" s="36">
        <f>VLOOKUP(R1223,'Commission Criteria'!$L$3:$M$11,2,TRUE)</f>
        <v>0.03</v>
      </c>
      <c r="T1223" s="36">
        <f>IF(P1223&lt;5,VLOOKUP(R1223,'Commission Criteria'!$L$3:$M$11,2,1),VLOOKUP('Order SUmmary'!R1223,'Commission Criteria'!$P$3:$Q$11,2,1))</f>
        <v>0.03</v>
      </c>
      <c r="U1223" s="36">
        <f>VLOOKUP(R1223,IF(P1223&lt;5,'Commission Criteria'!$L$3:$M$11,'Commission Criteria'!$P$3:$Q$11),2,1)</f>
        <v>0.03</v>
      </c>
      <c r="V1223" s="8" t="s">
        <v>43</v>
      </c>
      <c r="W1223" s="36">
        <f t="shared" ca="1" si="60"/>
        <v>0.04</v>
      </c>
      <c r="X1223" s="8" t="str">
        <f>_xlfn.XLOOKUP(F1223,'Product List'!$B$1:$B$299,'Product List'!$A$1:$A$299)</f>
        <v>Xerox 1976</v>
      </c>
      <c r="Y1223" s="8"/>
      <c r="Z1223" s="8" t="str" cm="1">
        <f t="array" ref="Z1223:AD1223">_xlfn.XLOOKUP(D1223,'Customer Details'!$A$1:$A$17,'Customer Details'!$B$1:$F$17,"No such customer",0,1)</f>
        <v>GHCL Ltd.</v>
      </c>
      <c r="AA1223" s="8" t="str">
        <v>58 Clarence St</v>
      </c>
      <c r="AB1223" s="8" t="str">
        <v>Richmond</v>
      </c>
      <c r="AC1223" s="8" t="str">
        <v>CA</v>
      </c>
      <c r="AD1223" s="8" t="str">
        <v>94805</v>
      </c>
    </row>
    <row r="1224" spans="1:30">
      <c r="A1224" s="8" t="s">
        <v>1150</v>
      </c>
      <c r="B1224" s="19">
        <v>42335</v>
      </c>
      <c r="C1224" s="8" t="s">
        <v>27</v>
      </c>
      <c r="D1224" s="8">
        <v>10011</v>
      </c>
      <c r="E1224" s="8" t="str">
        <f>VLOOKUP($D1224,'Customer Details'!$A$1:$F$17,4,FALSE)</f>
        <v>Olympia</v>
      </c>
      <c r="F1224" s="8" t="s">
        <v>445</v>
      </c>
      <c r="G1224" s="8">
        <v>3</v>
      </c>
      <c r="H1224" s="2" t="str">
        <f>VLOOKUP($D1224,'Customer Details'!$A$1:$F$17,MATCH('Order SUmmary'!H$2,'Customer Details'!$A$1:$F$1,0),0)</f>
        <v>Sonata Software</v>
      </c>
      <c r="I1224" s="2" t="str">
        <f>VLOOKUP($D1224,'Customer Details'!$A$1:$F$17,4,0)</f>
        <v>Olympia</v>
      </c>
      <c r="J1224" s="2" t="str">
        <f>VLOOKUP($D1224,'Customer Details'!$A$1:$F$17,6,0)</f>
        <v>98502</v>
      </c>
      <c r="K1224" s="8" t="str">
        <f>VLOOKUP(VLOOKUP(D1224,'Customer Details'!$A$1:$F$17,5,0),'Region INfo'!$A$1:$C$52,3,0)</f>
        <v xml:space="preserve">Pacific   </v>
      </c>
      <c r="L1224" s="8" t="str">
        <f>INDEX(Product_List,MATCH($F1224,'Product List'!$B$1:$B$299,0),MATCH('Order SUmmary'!L$2,'Product List'!$A$1:$E$1,0))</f>
        <v>Xerox 1882</v>
      </c>
      <c r="M1224" s="8">
        <f>INDEX(Product_List,MATCH($F1224,'Product List'!$B$1:$B$299,0),MATCH('Order SUmmary'!M$2,'Product List'!$A$1:$E$1,0))</f>
        <v>4206</v>
      </c>
      <c r="N1224" s="8">
        <f>INDEX(Product_List,MATCH($F1224,'Product List'!$B$1:$B$299,0),MATCH('Order SUmmary'!N$2,'Product List'!$A$1:$E$1,0))</f>
        <v>1201</v>
      </c>
      <c r="O1224" s="8" t="str">
        <f>INDEX(Product_List,MATCH($F1224,'Product List'!$B$1:$B$299,0),MATCH('Order SUmmary'!O$2,'Product List'!$A$1:$E$1,0))</f>
        <v>Paper</v>
      </c>
      <c r="P1224" s="12">
        <f>HLOOKUP(C1224,'Commission Criteria'!$A$2:$I$4,3,FALSE)</f>
        <v>4</v>
      </c>
      <c r="Q1224" s="8">
        <f t="shared" si="58"/>
        <v>3603</v>
      </c>
      <c r="R1224" s="8">
        <f t="shared" si="59"/>
        <v>12618</v>
      </c>
      <c r="S1224" s="36">
        <f>VLOOKUP(R1224,'Commission Criteria'!$L$3:$M$11,2,TRUE)</f>
        <v>0.03</v>
      </c>
      <c r="T1224" s="36">
        <f>IF(P1224&lt;5,VLOOKUP(R1224,'Commission Criteria'!$L$3:$M$11,2,1),VLOOKUP('Order SUmmary'!R1224,'Commission Criteria'!$P$3:$Q$11,2,1))</f>
        <v>0.03</v>
      </c>
      <c r="U1224" s="36">
        <f>VLOOKUP(R1224,IF(P1224&lt;5,'Commission Criteria'!$L$3:$M$11,'Commission Criteria'!$P$3:$Q$11),2,1)</f>
        <v>0.03</v>
      </c>
      <c r="V1224" s="8" t="s">
        <v>50</v>
      </c>
      <c r="W1224" s="36">
        <f t="shared" ca="1" si="60"/>
        <v>0.01</v>
      </c>
      <c r="X1224" s="8" t="str">
        <f>_xlfn.XLOOKUP(F1224,'Product List'!$B$1:$B$299,'Product List'!$A$1:$A$299)</f>
        <v>Xerox 1882</v>
      </c>
      <c r="Y1224" s="8"/>
      <c r="Z1224" s="8" t="str" cm="1">
        <f t="array" ref="Z1224:AD1224">_xlfn.XLOOKUP(D1224,'Customer Details'!$A$1:$A$17,'Customer Details'!$B$1:$F$17,"No such customer",0,1)</f>
        <v>Sonata Software</v>
      </c>
      <c r="AA1224" s="8" t="str">
        <v>1331 Kimberly Dr.</v>
      </c>
      <c r="AB1224" s="8" t="str">
        <v>Olympia</v>
      </c>
      <c r="AC1224" s="8" t="str">
        <v>WA</v>
      </c>
      <c r="AD1224" s="8" t="str">
        <v>98502</v>
      </c>
    </row>
    <row r="1225" spans="1:30">
      <c r="A1225" s="8" t="s">
        <v>1151</v>
      </c>
      <c r="B1225" s="19">
        <v>42336</v>
      </c>
      <c r="C1225" s="8" t="s">
        <v>46</v>
      </c>
      <c r="D1225" s="8">
        <v>10003</v>
      </c>
      <c r="E1225" s="8" t="str">
        <f>VLOOKUP($D1225,'Customer Details'!$A$1:$F$17,4,FALSE)</f>
        <v>Miami</v>
      </c>
      <c r="F1225" s="8" t="s">
        <v>128</v>
      </c>
      <c r="G1225" s="8">
        <v>1</v>
      </c>
      <c r="H1225" s="2" t="str">
        <f>VLOOKUP($D1225,'Customer Details'!$A$1:$F$17,MATCH('Order SUmmary'!H$2,'Customer Details'!$A$1:$F$1,0),0)</f>
        <v>Honeywell Automation</v>
      </c>
      <c r="I1225" s="2" t="str">
        <f>VLOOKUP($D1225,'Customer Details'!$A$1:$F$17,4,0)</f>
        <v>Miami</v>
      </c>
      <c r="J1225" s="2" t="str">
        <f>VLOOKUP($D1225,'Customer Details'!$A$1:$F$17,6,0)</f>
        <v>33732</v>
      </c>
      <c r="K1225" s="8" t="str">
        <f>VLOOKUP(VLOOKUP(D1225,'Customer Details'!$A$1:$F$17,5,0),'Region INfo'!$A$1:$C$52,3,0)</f>
        <v>Southern</v>
      </c>
      <c r="L1225" s="8" t="str">
        <f>INDEX(Product_List,MATCH($F1225,'Product List'!$B$1:$B$299,0),MATCH('Order SUmmary'!L$2,'Product List'!$A$1:$E$1,0))</f>
        <v>Xerox 19</v>
      </c>
      <c r="M1225" s="8">
        <f>INDEX(Product_List,MATCH($F1225,'Product List'!$B$1:$B$299,0),MATCH('Order SUmmary'!M$2,'Product List'!$A$1:$E$1,0))</f>
        <v>4845</v>
      </c>
      <c r="N1225" s="8">
        <f>INDEX(Product_List,MATCH($F1225,'Product List'!$B$1:$B$299,0),MATCH('Order SUmmary'!N$2,'Product List'!$A$1:$E$1,0))</f>
        <v>1433</v>
      </c>
      <c r="O1225" s="8" t="str">
        <f>INDEX(Product_List,MATCH($F1225,'Product List'!$B$1:$B$299,0),MATCH('Order SUmmary'!O$2,'Product List'!$A$1:$E$1,0))</f>
        <v>Paper</v>
      </c>
      <c r="P1225" s="12">
        <f>HLOOKUP(C1225,'Commission Criteria'!$A$2:$I$4,3,FALSE)</f>
        <v>8</v>
      </c>
      <c r="Q1225" s="8">
        <f t="shared" si="58"/>
        <v>1433</v>
      </c>
      <c r="R1225" s="8">
        <f t="shared" si="59"/>
        <v>4845</v>
      </c>
      <c r="S1225" s="36">
        <f>VLOOKUP(R1225,'Commission Criteria'!$L$3:$M$11,2,TRUE)</f>
        <v>0.01</v>
      </c>
      <c r="T1225" s="36">
        <f>IF(P1225&lt;5,VLOOKUP(R1225,'Commission Criteria'!$L$3:$M$11,2,1),VLOOKUP('Order SUmmary'!R1225,'Commission Criteria'!$P$3:$Q$11,2,1))</f>
        <v>0.02</v>
      </c>
      <c r="U1225" s="36">
        <f>VLOOKUP(R1225,IF(P1225&lt;5,'Commission Criteria'!$L$3:$M$11,'Commission Criteria'!$P$3:$Q$11),2,1)</f>
        <v>0.02</v>
      </c>
      <c r="V1225" s="8" t="s">
        <v>29</v>
      </c>
      <c r="W1225" s="36">
        <f t="shared" ca="1" si="60"/>
        <v>0.01</v>
      </c>
      <c r="X1225" s="8" t="str">
        <f>_xlfn.XLOOKUP(F1225,'Product List'!$B$1:$B$299,'Product List'!$A$1:$A$299)</f>
        <v>Xerox 19</v>
      </c>
      <c r="Y1225" s="8"/>
      <c r="Z1225" s="8" t="str" cm="1">
        <f t="array" ref="Z1225:AD1225">_xlfn.XLOOKUP(D1225,'Customer Details'!$A$1:$A$17,'Customer Details'!$B$1:$F$17,"No such customer",0,1)</f>
        <v>Honeywell Automation</v>
      </c>
      <c r="AA1225" s="8" t="str">
        <v>1272 Harbor Road</v>
      </c>
      <c r="AB1225" s="8" t="str">
        <v>Miami</v>
      </c>
      <c r="AC1225" s="8" t="str">
        <v>FL</v>
      </c>
      <c r="AD1225" s="8" t="str">
        <v>33732</v>
      </c>
    </row>
    <row r="1226" spans="1:30">
      <c r="A1226" s="8" t="s">
        <v>1152</v>
      </c>
      <c r="B1226" s="19">
        <v>42336</v>
      </c>
      <c r="C1226" s="8" t="s">
        <v>44</v>
      </c>
      <c r="D1226" s="8">
        <v>10008</v>
      </c>
      <c r="E1226" s="8" t="str">
        <f>VLOOKUP($D1226,'Customer Details'!$A$1:$F$17,4,FALSE)</f>
        <v>Chestnut Ridge</v>
      </c>
      <c r="F1226" s="8" t="s">
        <v>65</v>
      </c>
      <c r="G1226" s="8">
        <v>3</v>
      </c>
      <c r="H1226" s="2" t="str">
        <f>VLOOKUP($D1226,'Customer Details'!$A$1:$F$17,MATCH('Order SUmmary'!H$2,'Customer Details'!$A$1:$F$1,0),0)</f>
        <v>Reliance Industries Limited</v>
      </c>
      <c r="I1226" s="2" t="str">
        <f>VLOOKUP($D1226,'Customer Details'!$A$1:$F$17,4,0)</f>
        <v>Chestnut Ridge</v>
      </c>
      <c r="J1226" s="2" t="str">
        <f>VLOOKUP($D1226,'Customer Details'!$A$1:$F$17,6,0)</f>
        <v>10977</v>
      </c>
      <c r="K1226" s="8" t="str">
        <f>VLOOKUP(VLOOKUP(D1226,'Customer Details'!$A$1:$F$17,5,0),'Region INfo'!$A$1:$C$52,3,0)</f>
        <v xml:space="preserve">Northern </v>
      </c>
      <c r="L1226" s="8" t="str">
        <f>INDEX(Product_List,MATCH($F1226,'Product List'!$B$1:$B$299,0),MATCH('Order SUmmary'!L$2,'Product List'!$A$1:$E$1,0))</f>
        <v>Xerox 1963</v>
      </c>
      <c r="M1226" s="8">
        <f>INDEX(Product_List,MATCH($F1226,'Product List'!$B$1:$B$299,0),MATCH('Order SUmmary'!M$2,'Product List'!$A$1:$E$1,0))</f>
        <v>3339</v>
      </c>
      <c r="N1226" s="8">
        <f>INDEX(Product_List,MATCH($F1226,'Product List'!$B$1:$B$299,0),MATCH('Order SUmmary'!N$2,'Product List'!$A$1:$E$1,0))</f>
        <v>2274</v>
      </c>
      <c r="O1226" s="8" t="str">
        <f>INDEX(Product_List,MATCH($F1226,'Product List'!$B$1:$B$299,0),MATCH('Order SUmmary'!O$2,'Product List'!$A$1:$E$1,0))</f>
        <v>Paper</v>
      </c>
      <c r="P1226" s="12">
        <f>HLOOKUP(C1226,'Commission Criteria'!$A$2:$I$4,3,FALSE)</f>
        <v>4</v>
      </c>
      <c r="Q1226" s="8">
        <f t="shared" si="58"/>
        <v>6822</v>
      </c>
      <c r="R1226" s="8">
        <f t="shared" si="59"/>
        <v>10017</v>
      </c>
      <c r="S1226" s="36">
        <f>VLOOKUP(R1226,'Commission Criteria'!$L$3:$M$11,2,TRUE)</f>
        <v>0.03</v>
      </c>
      <c r="T1226" s="36">
        <f>IF(P1226&lt;5,VLOOKUP(R1226,'Commission Criteria'!$L$3:$M$11,2,1),VLOOKUP('Order SUmmary'!R1226,'Commission Criteria'!$P$3:$Q$11,2,1))</f>
        <v>0.03</v>
      </c>
      <c r="U1226" s="36">
        <f>VLOOKUP(R1226,IF(P1226&lt;5,'Commission Criteria'!$L$3:$M$11,'Commission Criteria'!$P$3:$Q$11),2,1)</f>
        <v>0.03</v>
      </c>
      <c r="V1226" s="8" t="s">
        <v>40</v>
      </c>
      <c r="W1226" s="36">
        <f t="shared" ca="1" si="60"/>
        <v>0</v>
      </c>
      <c r="X1226" s="8" t="str">
        <f>_xlfn.XLOOKUP(F1226,'Product List'!$B$1:$B$299,'Product List'!$A$1:$A$299)</f>
        <v>Xerox 1963</v>
      </c>
      <c r="Y1226" s="8"/>
      <c r="Z1226" s="8" t="str" cm="1">
        <f t="array" ref="Z1226:AD1226">_xlfn.XLOOKUP(D1226,'Customer Details'!$A$1:$A$17,'Customer Details'!$B$1:$F$17,"No such customer",0,1)</f>
        <v>Reliance Industries Limited</v>
      </c>
      <c r="AA1226" s="8" t="str">
        <v>12020 Shamrock Rd., Suite 333</v>
      </c>
      <c r="AB1226" s="8" t="str">
        <v>Chestnut Ridge</v>
      </c>
      <c r="AC1226" s="8" t="str">
        <v>NY</v>
      </c>
      <c r="AD1226" s="8" t="str">
        <v>10977</v>
      </c>
    </row>
    <row r="1227" spans="1:30">
      <c r="A1227" s="8" t="s">
        <v>1152</v>
      </c>
      <c r="B1227" s="19">
        <v>42336</v>
      </c>
      <c r="C1227" s="8" t="s">
        <v>66</v>
      </c>
      <c r="D1227" s="8">
        <v>10001</v>
      </c>
      <c r="E1227" s="8" t="str">
        <f>VLOOKUP($D1227,'Customer Details'!$A$1:$F$17,4,FALSE)</f>
        <v>New York</v>
      </c>
      <c r="F1227" s="8" t="s">
        <v>160</v>
      </c>
      <c r="G1227" s="8">
        <v>12</v>
      </c>
      <c r="H1227" s="2" t="str">
        <f>VLOOKUP($D1227,'Customer Details'!$A$1:$F$17,MATCH('Order SUmmary'!H$2,'Customer Details'!$A$1:$F$1,0),0)</f>
        <v>Chambal Fertilisers and Chemicals Ltd.</v>
      </c>
      <c r="I1227" s="2" t="str">
        <f>VLOOKUP($D1227,'Customer Details'!$A$1:$F$17,4,0)</f>
        <v>New York</v>
      </c>
      <c r="J1227" s="2" t="str">
        <f>VLOOKUP($D1227,'Customer Details'!$A$1:$F$17,6,0)</f>
        <v>10025</v>
      </c>
      <c r="K1227" s="8" t="str">
        <f>VLOOKUP(VLOOKUP(D1227,'Customer Details'!$A$1:$F$17,5,0),'Region INfo'!$A$1:$C$52,3,0)</f>
        <v xml:space="preserve">Northern </v>
      </c>
      <c r="L1227" s="8" t="str">
        <f>INDEX(Product_List,MATCH($F1227,'Product List'!$B$1:$B$299,0),MATCH('Order SUmmary'!L$2,'Product List'!$A$1:$E$1,0))</f>
        <v>Newell 34</v>
      </c>
      <c r="M1227" s="8">
        <f>INDEX(Product_List,MATCH($F1227,'Product List'!$B$1:$B$299,0),MATCH('Order SUmmary'!M$2,'Product List'!$A$1:$E$1,0))</f>
        <v>2616</v>
      </c>
      <c r="N1227" s="8">
        <f>INDEX(Product_List,MATCH($F1227,'Product List'!$B$1:$B$299,0),MATCH('Order SUmmary'!N$2,'Product List'!$A$1:$E$1,0))</f>
        <v>1965</v>
      </c>
      <c r="O1227" s="8" t="str">
        <f>INDEX(Product_List,MATCH($F1227,'Product List'!$B$1:$B$299,0),MATCH('Order SUmmary'!O$2,'Product List'!$A$1:$E$1,0))</f>
        <v>Art</v>
      </c>
      <c r="P1227" s="12">
        <f>HLOOKUP(C1227,'Commission Criteria'!$A$2:$I$4,3,FALSE)</f>
        <v>5</v>
      </c>
      <c r="Q1227" s="8">
        <f t="shared" si="58"/>
        <v>23580</v>
      </c>
      <c r="R1227" s="8">
        <f t="shared" si="59"/>
        <v>31392</v>
      </c>
      <c r="S1227" s="36">
        <f>VLOOKUP(R1227,'Commission Criteria'!$L$3:$M$11,2,TRUE)</f>
        <v>0.05</v>
      </c>
      <c r="T1227" s="36">
        <f>IF(P1227&lt;5,VLOOKUP(R1227,'Commission Criteria'!$L$3:$M$11,2,1),VLOOKUP('Order SUmmary'!R1227,'Commission Criteria'!$P$3:$Q$11,2,1))</f>
        <v>0.04</v>
      </c>
      <c r="U1227" s="36">
        <f>VLOOKUP(R1227,IF(P1227&lt;5,'Commission Criteria'!$L$3:$M$11,'Commission Criteria'!$P$3:$Q$11),2,1)</f>
        <v>0.04</v>
      </c>
      <c r="V1227" s="8" t="s">
        <v>40</v>
      </c>
      <c r="W1227" s="36">
        <f t="shared" ca="1" si="60"/>
        <v>0.01</v>
      </c>
      <c r="X1227" s="8" t="str">
        <f>_xlfn.XLOOKUP(F1227,'Product List'!$B$1:$B$299,'Product List'!$A$1:$A$299)</f>
        <v>Newell 34</v>
      </c>
      <c r="Y1227" s="8"/>
      <c r="Z1227" s="8" t="str" cm="1">
        <f t="array" ref="Z1227:AD1227">_xlfn.XLOOKUP(D1227,'Customer Details'!$A$1:$A$17,'Customer Details'!$B$1:$F$17,"No such customer",0,1)</f>
        <v>Chambal Fertilisers and Chemicals Ltd.</v>
      </c>
      <c r="AA1227" s="8" t="str">
        <v>4951 Indiana Ave.</v>
      </c>
      <c r="AB1227" s="8" t="str">
        <v>New York</v>
      </c>
      <c r="AC1227" s="8" t="str">
        <v>NY</v>
      </c>
      <c r="AD1227" s="8" t="str">
        <v>10025</v>
      </c>
    </row>
    <row r="1228" spans="1:30">
      <c r="A1228" s="8" t="s">
        <v>1153</v>
      </c>
      <c r="B1228" s="19">
        <v>42338</v>
      </c>
      <c r="C1228" s="8" t="s">
        <v>51</v>
      </c>
      <c r="D1228" s="8">
        <v>10009</v>
      </c>
      <c r="E1228" s="8" t="str">
        <f>VLOOKUP($D1228,'Customer Details'!$A$1:$F$17,4,FALSE)</f>
        <v>Salt Lake City</v>
      </c>
      <c r="F1228" s="8" t="s">
        <v>311</v>
      </c>
      <c r="G1228" s="8">
        <v>3</v>
      </c>
      <c r="H1228" s="2" t="str">
        <f>VLOOKUP($D1228,'Customer Details'!$A$1:$F$17,MATCH('Order SUmmary'!H$2,'Customer Details'!$A$1:$F$1,0),0)</f>
        <v>Godfrey Philips India Ltd.</v>
      </c>
      <c r="I1228" s="2" t="str">
        <f>VLOOKUP($D1228,'Customer Details'!$A$1:$F$17,4,0)</f>
        <v>Salt Lake City</v>
      </c>
      <c r="J1228" s="2" t="str">
        <f>VLOOKUP($D1228,'Customer Details'!$A$1:$F$17,6,0)</f>
        <v>84118</v>
      </c>
      <c r="K1228" s="8" t="str">
        <f>VLOOKUP(VLOOKUP(D1228,'Customer Details'!$A$1:$F$17,5,0),'Region INfo'!$A$1:$C$52,3,0)</f>
        <v xml:space="preserve">Pacific   </v>
      </c>
      <c r="L1228" s="8" t="str">
        <f>INDEX(Product_List,MATCH($F1228,'Product List'!$B$1:$B$299,0),MATCH('Order SUmmary'!L$2,'Product List'!$A$1:$E$1,0))</f>
        <v>Xerox 1923</v>
      </c>
      <c r="M1228" s="8">
        <f>INDEX(Product_List,MATCH($F1228,'Product List'!$B$1:$B$299,0),MATCH('Order SUmmary'!M$2,'Product List'!$A$1:$E$1,0))</f>
        <v>3039</v>
      </c>
      <c r="N1228" s="8">
        <f>INDEX(Product_List,MATCH($F1228,'Product List'!$B$1:$B$299,0),MATCH('Order SUmmary'!N$2,'Product List'!$A$1:$E$1,0))</f>
        <v>1730</v>
      </c>
      <c r="O1228" s="8" t="str">
        <f>INDEX(Product_List,MATCH($F1228,'Product List'!$B$1:$B$299,0),MATCH('Order SUmmary'!O$2,'Product List'!$A$1:$E$1,0))</f>
        <v>Paper</v>
      </c>
      <c r="P1228" s="12">
        <f>HLOOKUP(C1228,'Commission Criteria'!$A$2:$I$4,3,FALSE)</f>
        <v>10</v>
      </c>
      <c r="Q1228" s="8">
        <f t="shared" si="58"/>
        <v>5190</v>
      </c>
      <c r="R1228" s="8">
        <f t="shared" si="59"/>
        <v>9117</v>
      </c>
      <c r="S1228" s="36">
        <f>VLOOKUP(R1228,'Commission Criteria'!$L$3:$M$11,2,TRUE)</f>
        <v>0.03</v>
      </c>
      <c r="T1228" s="36">
        <f>IF(P1228&lt;5,VLOOKUP(R1228,'Commission Criteria'!$L$3:$M$11,2,1),VLOOKUP('Order SUmmary'!R1228,'Commission Criteria'!$P$3:$Q$11,2,1))</f>
        <v>0.02</v>
      </c>
      <c r="U1228" s="36">
        <f>VLOOKUP(R1228,IF(P1228&lt;5,'Commission Criteria'!$L$3:$M$11,'Commission Criteria'!$P$3:$Q$11),2,1)</f>
        <v>0.02</v>
      </c>
      <c r="V1228" s="8" t="s">
        <v>29</v>
      </c>
      <c r="W1228" s="36">
        <f t="shared" ca="1" si="60"/>
        <v>0</v>
      </c>
      <c r="X1228" s="8" t="str">
        <f>_xlfn.XLOOKUP(F1228,'Product List'!$B$1:$B$299,'Product List'!$A$1:$A$299)</f>
        <v>Xerox 1923</v>
      </c>
      <c r="Y1228" s="8"/>
      <c r="Z1228" s="8" t="str" cm="1">
        <f t="array" ref="Z1228:AD1228">_xlfn.XLOOKUP(D1228,'Customer Details'!$A$1:$A$17,'Customer Details'!$B$1:$F$17,"No such customer",0,1)</f>
        <v>Godfrey Philips India Ltd.</v>
      </c>
      <c r="AA1228" s="8" t="str">
        <v>20501 Ania Ave #2</v>
      </c>
      <c r="AB1228" s="8" t="str">
        <v>Salt Lake City</v>
      </c>
      <c r="AC1228" s="8" t="str">
        <v>UT</v>
      </c>
      <c r="AD1228" s="8" t="str">
        <v>84118</v>
      </c>
    </row>
    <row r="1229" spans="1:30">
      <c r="A1229" s="8" t="s">
        <v>1154</v>
      </c>
      <c r="B1229" s="19">
        <v>42340</v>
      </c>
      <c r="C1229" s="8" t="s">
        <v>36</v>
      </c>
      <c r="D1229" s="8">
        <v>10001</v>
      </c>
      <c r="E1229" s="8" t="str">
        <f>VLOOKUP($D1229,'Customer Details'!$A$1:$F$17,4,FALSE)</f>
        <v>New York</v>
      </c>
      <c r="F1229" s="8" t="s">
        <v>84</v>
      </c>
      <c r="G1229" s="8">
        <v>3</v>
      </c>
      <c r="H1229" s="2" t="str">
        <f>VLOOKUP($D1229,'Customer Details'!$A$1:$F$17,MATCH('Order SUmmary'!H$2,'Customer Details'!$A$1:$F$1,0),0)</f>
        <v>Chambal Fertilisers and Chemicals Ltd.</v>
      </c>
      <c r="I1229" s="2" t="str">
        <f>VLOOKUP($D1229,'Customer Details'!$A$1:$F$17,4,0)</f>
        <v>New York</v>
      </c>
      <c r="J1229" s="2" t="str">
        <f>VLOOKUP($D1229,'Customer Details'!$A$1:$F$17,6,0)</f>
        <v>10025</v>
      </c>
      <c r="K1229" s="8" t="str">
        <f>VLOOKUP(VLOOKUP(D1229,'Customer Details'!$A$1:$F$17,5,0),'Region INfo'!$A$1:$C$52,3,0)</f>
        <v xml:space="preserve">Northern </v>
      </c>
      <c r="L1229" s="8" t="str">
        <f>INDEX(Product_List,MATCH($F1229,'Product List'!$B$1:$B$299,0),MATCH('Order SUmmary'!L$2,'Product List'!$A$1:$E$1,0))</f>
        <v>Xerox 1979</v>
      </c>
      <c r="M1229" s="8">
        <f>INDEX(Product_List,MATCH($F1229,'Product List'!$B$1:$B$299,0),MATCH('Order SUmmary'!M$2,'Product List'!$A$1:$E$1,0))</f>
        <v>4731</v>
      </c>
      <c r="N1229" s="8">
        <f>INDEX(Product_List,MATCH($F1229,'Product List'!$B$1:$B$299,0),MATCH('Order SUmmary'!N$2,'Product List'!$A$1:$E$1,0))</f>
        <v>1858</v>
      </c>
      <c r="O1229" s="8" t="str">
        <f>INDEX(Product_List,MATCH($F1229,'Product List'!$B$1:$B$299,0),MATCH('Order SUmmary'!O$2,'Product List'!$A$1:$E$1,0))</f>
        <v>Paper</v>
      </c>
      <c r="P1229" s="12">
        <f>HLOOKUP(C1229,'Commission Criteria'!$A$2:$I$4,3,FALSE)</f>
        <v>6</v>
      </c>
      <c r="Q1229" s="8">
        <f t="shared" si="58"/>
        <v>5574</v>
      </c>
      <c r="R1229" s="8">
        <f t="shared" si="59"/>
        <v>14193</v>
      </c>
      <c r="S1229" s="36">
        <f>VLOOKUP(R1229,'Commission Criteria'!$L$3:$M$11,2,TRUE)</f>
        <v>0.03</v>
      </c>
      <c r="T1229" s="36">
        <f>IF(P1229&lt;5,VLOOKUP(R1229,'Commission Criteria'!$L$3:$M$11,2,1),VLOOKUP('Order SUmmary'!R1229,'Commission Criteria'!$P$3:$Q$11,2,1))</f>
        <v>0.02</v>
      </c>
      <c r="U1229" s="36">
        <f>VLOOKUP(R1229,IF(P1229&lt;5,'Commission Criteria'!$L$3:$M$11,'Commission Criteria'!$P$3:$Q$11),2,1)</f>
        <v>0.02</v>
      </c>
      <c r="V1229" s="8" t="s">
        <v>50</v>
      </c>
      <c r="W1229" s="36">
        <f t="shared" ca="1" si="60"/>
        <v>0.01</v>
      </c>
      <c r="X1229" s="8" t="str">
        <f>_xlfn.XLOOKUP(F1229,'Product List'!$B$1:$B$299,'Product List'!$A$1:$A$299)</f>
        <v>Xerox 1979</v>
      </c>
      <c r="Y1229" s="8"/>
      <c r="Z1229" s="8" t="str" cm="1">
        <f t="array" ref="Z1229:AD1229">_xlfn.XLOOKUP(D1229,'Customer Details'!$A$1:$A$17,'Customer Details'!$B$1:$F$17,"No such customer",0,1)</f>
        <v>Chambal Fertilisers and Chemicals Ltd.</v>
      </c>
      <c r="AA1229" s="8" t="str">
        <v>4951 Indiana Ave.</v>
      </c>
      <c r="AB1229" s="8" t="str">
        <v>New York</v>
      </c>
      <c r="AC1229" s="8" t="str">
        <v>NY</v>
      </c>
      <c r="AD1229" s="8" t="str">
        <v>10025</v>
      </c>
    </row>
    <row r="1230" spans="1:30">
      <c r="A1230" s="8" t="s">
        <v>1155</v>
      </c>
      <c r="B1230" s="19">
        <v>42341</v>
      </c>
      <c r="C1230" s="8" t="s">
        <v>44</v>
      </c>
      <c r="D1230" s="8">
        <v>10012</v>
      </c>
      <c r="E1230" s="8" t="str">
        <f>VLOOKUP($D1230,'Customer Details'!$A$1:$F$17,4,FALSE)</f>
        <v>Santa Barbara</v>
      </c>
      <c r="F1230" s="8" t="s">
        <v>716</v>
      </c>
      <c r="G1230" s="8">
        <v>2</v>
      </c>
      <c r="H1230" s="2" t="str">
        <f>VLOOKUP($D1230,'Customer Details'!$A$1:$F$17,MATCH('Order SUmmary'!H$2,'Customer Details'!$A$1:$F$1,0),0)</f>
        <v>Dynamatic Technologies Ltd.</v>
      </c>
      <c r="I1230" s="2" t="str">
        <f>VLOOKUP($D1230,'Customer Details'!$A$1:$F$17,4,0)</f>
        <v>Santa Barbara</v>
      </c>
      <c r="J1230" s="2" t="str">
        <f>VLOOKUP($D1230,'Customer Details'!$A$1:$F$17,6,0)</f>
        <v>93110</v>
      </c>
      <c r="K1230" s="8" t="str">
        <f>VLOOKUP(VLOOKUP(D1230,'Customer Details'!$A$1:$F$17,5,0),'Region INfo'!$A$1:$C$52,3,0)</f>
        <v xml:space="preserve">Pacific   </v>
      </c>
      <c r="L1230" s="8" t="str">
        <f>INDEX(Product_List,MATCH($F1230,'Product List'!$B$1:$B$299,0),MATCH('Order SUmmary'!L$2,'Product List'!$A$1:$E$1,0))</f>
        <v>Xerox 1954</v>
      </c>
      <c r="M1230" s="8">
        <f>INDEX(Product_List,MATCH($F1230,'Product List'!$B$1:$B$299,0),MATCH('Order SUmmary'!M$2,'Product List'!$A$1:$E$1,0))</f>
        <v>3575</v>
      </c>
      <c r="N1230" s="8">
        <f>INDEX(Product_List,MATCH($F1230,'Product List'!$B$1:$B$299,0),MATCH('Order SUmmary'!N$2,'Product List'!$A$1:$E$1,0))</f>
        <v>1937</v>
      </c>
      <c r="O1230" s="8" t="str">
        <f>INDEX(Product_List,MATCH($F1230,'Product List'!$B$1:$B$299,0),MATCH('Order SUmmary'!O$2,'Product List'!$A$1:$E$1,0))</f>
        <v>Paper</v>
      </c>
      <c r="P1230" s="12">
        <f>HLOOKUP(C1230,'Commission Criteria'!$A$2:$I$4,3,FALSE)</f>
        <v>4</v>
      </c>
      <c r="Q1230" s="8">
        <f t="shared" si="58"/>
        <v>3874</v>
      </c>
      <c r="R1230" s="8">
        <f t="shared" si="59"/>
        <v>7150</v>
      </c>
      <c r="S1230" s="36">
        <f>VLOOKUP(R1230,'Commission Criteria'!$L$3:$M$11,2,TRUE)</f>
        <v>0.03</v>
      </c>
      <c r="T1230" s="36">
        <f>IF(P1230&lt;5,VLOOKUP(R1230,'Commission Criteria'!$L$3:$M$11,2,1),VLOOKUP('Order SUmmary'!R1230,'Commission Criteria'!$P$3:$Q$11,2,1))</f>
        <v>0.03</v>
      </c>
      <c r="U1230" s="36">
        <f>VLOOKUP(R1230,IF(P1230&lt;5,'Commission Criteria'!$L$3:$M$11,'Commission Criteria'!$P$3:$Q$11),2,1)</f>
        <v>0.03</v>
      </c>
      <c r="V1230" s="8" t="s">
        <v>50</v>
      </c>
      <c r="W1230" s="36">
        <f t="shared" ca="1" si="60"/>
        <v>0.01</v>
      </c>
      <c r="X1230" s="8" t="str">
        <f>_xlfn.XLOOKUP(F1230,'Product List'!$B$1:$B$299,'Product List'!$A$1:$A$299)</f>
        <v>Xerox 1954</v>
      </c>
      <c r="Y1230" s="8"/>
      <c r="Z1230" s="8" t="str" cm="1">
        <f t="array" ref="Z1230:AD1230">_xlfn.XLOOKUP(D1230,'Customer Details'!$A$1:$A$17,'Customer Details'!$B$1:$F$17,"No such customer",0,1)</f>
        <v>Dynamatic Technologies Ltd.</v>
      </c>
      <c r="AA1230" s="8" t="str">
        <v>402 Pinkster Lane</v>
      </c>
      <c r="AB1230" s="8" t="str">
        <v>Santa Barbara</v>
      </c>
      <c r="AC1230" s="8" t="str">
        <v>CA</v>
      </c>
      <c r="AD1230" s="8" t="str">
        <v>93110</v>
      </c>
    </row>
    <row r="1231" spans="1:30">
      <c r="A1231" s="8" t="s">
        <v>1155</v>
      </c>
      <c r="B1231" s="19">
        <v>42341</v>
      </c>
      <c r="C1231" s="8" t="s">
        <v>51</v>
      </c>
      <c r="D1231" s="8">
        <v>10005</v>
      </c>
      <c r="E1231" s="8" t="str">
        <f>VLOOKUP($D1231,'Customer Details'!$A$1:$F$17,4,FALSE)</f>
        <v>Goleta</v>
      </c>
      <c r="F1231" s="8" t="s">
        <v>93</v>
      </c>
      <c r="G1231" s="8">
        <v>3</v>
      </c>
      <c r="H1231" s="2" t="str">
        <f>VLOOKUP($D1231,'Customer Details'!$A$1:$F$17,MATCH('Order SUmmary'!H$2,'Customer Details'!$A$1:$F$1,0),0)</f>
        <v>Fortis Healthcare Ltd.</v>
      </c>
      <c r="I1231" s="2" t="str">
        <f>VLOOKUP($D1231,'Customer Details'!$A$1:$F$17,4,0)</f>
        <v>Goleta</v>
      </c>
      <c r="J1231" s="2" t="str">
        <f>VLOOKUP($D1231,'Customer Details'!$A$1:$F$17,6,0)</f>
        <v>93117</v>
      </c>
      <c r="K1231" s="8" t="str">
        <f>VLOOKUP(VLOOKUP(D1231,'Customer Details'!$A$1:$F$17,5,0),'Region INfo'!$A$1:$C$52,3,0)</f>
        <v xml:space="preserve">Pacific   </v>
      </c>
      <c r="L1231" s="8" t="str">
        <f>INDEX(Product_List,MATCH($F1231,'Product List'!$B$1:$B$299,0),MATCH('Order SUmmary'!L$2,'Product List'!$A$1:$E$1,0))</f>
        <v>Xerox 1943</v>
      </c>
      <c r="M1231" s="8">
        <f>INDEX(Product_List,MATCH($F1231,'Product List'!$B$1:$B$299,0),MATCH('Order SUmmary'!M$2,'Product List'!$A$1:$E$1,0))</f>
        <v>2529</v>
      </c>
      <c r="N1231" s="8">
        <f>INDEX(Product_List,MATCH($F1231,'Product List'!$B$1:$B$299,0),MATCH('Order SUmmary'!N$2,'Product List'!$A$1:$E$1,0))</f>
        <v>1630</v>
      </c>
      <c r="O1231" s="8" t="str">
        <f>INDEX(Product_List,MATCH($F1231,'Product List'!$B$1:$B$299,0),MATCH('Order SUmmary'!O$2,'Product List'!$A$1:$E$1,0))</f>
        <v>Paper</v>
      </c>
      <c r="P1231" s="12">
        <f>HLOOKUP(C1231,'Commission Criteria'!$A$2:$I$4,3,FALSE)</f>
        <v>10</v>
      </c>
      <c r="Q1231" s="8">
        <f t="shared" si="58"/>
        <v>4890</v>
      </c>
      <c r="R1231" s="8">
        <f t="shared" si="59"/>
        <v>7587</v>
      </c>
      <c r="S1231" s="36">
        <f>VLOOKUP(R1231,'Commission Criteria'!$L$3:$M$11,2,TRUE)</f>
        <v>0.03</v>
      </c>
      <c r="T1231" s="36">
        <f>IF(P1231&lt;5,VLOOKUP(R1231,'Commission Criteria'!$L$3:$M$11,2,1),VLOOKUP('Order SUmmary'!R1231,'Commission Criteria'!$P$3:$Q$11,2,1))</f>
        <v>0.02</v>
      </c>
      <c r="U1231" s="36">
        <f>VLOOKUP(R1231,IF(P1231&lt;5,'Commission Criteria'!$L$3:$M$11,'Commission Criteria'!$P$3:$Q$11),2,1)</f>
        <v>0.02</v>
      </c>
      <c r="V1231" s="8" t="s">
        <v>32</v>
      </c>
      <c r="W1231" s="36">
        <f t="shared" ca="1" si="60"/>
        <v>0</v>
      </c>
      <c r="X1231" s="8" t="str">
        <f>_xlfn.XLOOKUP(F1231,'Product List'!$B$1:$B$299,'Product List'!$A$1:$A$299)</f>
        <v>Xerox 1943</v>
      </c>
      <c r="Y1231" s="8"/>
      <c r="Z1231" s="8" t="str" cm="1">
        <f t="array" ref="Z1231:AD1231">_xlfn.XLOOKUP(D1231,'Customer Details'!$A$1:$A$17,'Customer Details'!$B$1:$F$17,"No such customer",0,1)</f>
        <v>Fortis Healthcare Ltd.</v>
      </c>
      <c r="AA1231" s="8" t="str">
        <v>14 Elsworthy Terrace</v>
      </c>
      <c r="AB1231" s="8" t="str">
        <v>Goleta</v>
      </c>
      <c r="AC1231" s="8" t="str">
        <v>CA</v>
      </c>
      <c r="AD1231" s="8" t="str">
        <v>93117</v>
      </c>
    </row>
    <row r="1232" spans="1:30">
      <c r="A1232" s="8" t="s">
        <v>1156</v>
      </c>
      <c r="B1232" s="19">
        <v>42342</v>
      </c>
      <c r="C1232" s="8" t="s">
        <v>27</v>
      </c>
      <c r="D1232" s="8">
        <v>10006</v>
      </c>
      <c r="E1232" s="8" t="str">
        <f>VLOOKUP($D1232,'Customer Details'!$A$1:$F$17,4,FALSE)</f>
        <v>Midland</v>
      </c>
      <c r="F1232" s="8" t="s">
        <v>462</v>
      </c>
      <c r="G1232" s="8">
        <v>1</v>
      </c>
      <c r="H1232" s="2" t="str">
        <f>VLOOKUP($D1232,'Customer Details'!$A$1:$F$17,MATCH('Order SUmmary'!H$2,'Customer Details'!$A$1:$F$1,0),0)</f>
        <v>Supreme Ind</v>
      </c>
      <c r="I1232" s="2" t="str">
        <f>VLOOKUP($D1232,'Customer Details'!$A$1:$F$17,4,0)</f>
        <v>Midland</v>
      </c>
      <c r="J1232" s="2" t="str">
        <f>VLOOKUP($D1232,'Customer Details'!$A$1:$F$17,6,0)</f>
        <v>79706</v>
      </c>
      <c r="K1232" s="8" t="str">
        <f>VLOOKUP(VLOOKUP(D1232,'Customer Details'!$A$1:$F$17,5,0),'Region INfo'!$A$1:$C$52,3,0)</f>
        <v>Western</v>
      </c>
      <c r="L1232" s="8" t="str">
        <f>INDEX(Product_List,MATCH($F1232,'Product List'!$B$1:$B$299,0),MATCH('Order SUmmary'!L$2,'Product List'!$A$1:$E$1,0))</f>
        <v>Newell 322</v>
      </c>
      <c r="M1232" s="8">
        <f>INDEX(Product_List,MATCH($F1232,'Product List'!$B$1:$B$299,0),MATCH('Order SUmmary'!M$2,'Product List'!$A$1:$E$1,0))</f>
        <v>3472</v>
      </c>
      <c r="N1232" s="8">
        <f>INDEX(Product_List,MATCH($F1232,'Product List'!$B$1:$B$299,0),MATCH('Order SUmmary'!N$2,'Product List'!$A$1:$E$1,0))</f>
        <v>2239</v>
      </c>
      <c r="O1232" s="8" t="str">
        <f>INDEX(Product_List,MATCH($F1232,'Product List'!$B$1:$B$299,0),MATCH('Order SUmmary'!O$2,'Product List'!$A$1:$E$1,0))</f>
        <v>Art</v>
      </c>
      <c r="P1232" s="12">
        <f>HLOOKUP(C1232,'Commission Criteria'!$A$2:$I$4,3,FALSE)</f>
        <v>4</v>
      </c>
      <c r="Q1232" s="8">
        <f t="shared" si="58"/>
        <v>2239</v>
      </c>
      <c r="R1232" s="8">
        <f t="shared" si="59"/>
        <v>3472</v>
      </c>
      <c r="S1232" s="36">
        <f>VLOOKUP(R1232,'Commission Criteria'!$L$3:$M$11,2,TRUE)</f>
        <v>0.01</v>
      </c>
      <c r="T1232" s="36">
        <f>IF(P1232&lt;5,VLOOKUP(R1232,'Commission Criteria'!$L$3:$M$11,2,1),VLOOKUP('Order SUmmary'!R1232,'Commission Criteria'!$P$3:$Q$11,2,1))</f>
        <v>0.01</v>
      </c>
      <c r="U1232" s="36">
        <f>VLOOKUP(R1232,IF(P1232&lt;5,'Commission Criteria'!$L$3:$M$11,'Commission Criteria'!$P$3:$Q$11),2,1)</f>
        <v>0.01</v>
      </c>
      <c r="V1232" s="8" t="s">
        <v>40</v>
      </c>
      <c r="W1232" s="36">
        <f t="shared" ca="1" si="60"/>
        <v>0.02</v>
      </c>
      <c r="X1232" s="8" t="str">
        <f>_xlfn.XLOOKUP(F1232,'Product List'!$B$1:$B$299,'Product List'!$A$1:$A$299)</f>
        <v>Newell 322</v>
      </c>
      <c r="Y1232" s="8"/>
      <c r="Z1232" s="8" t="str" cm="1">
        <f t="array" ref="Z1232:AD1232">_xlfn.XLOOKUP(D1232,'Customer Details'!$A$1:$A$17,'Customer Details'!$B$1:$F$17,"No such customer",0,1)</f>
        <v>Supreme Ind</v>
      </c>
      <c r="AA1232" s="8" t="str">
        <v>P.O. Box 1367</v>
      </c>
      <c r="AB1232" s="8" t="str">
        <v>Midland</v>
      </c>
      <c r="AC1232" s="8" t="str">
        <v>TX</v>
      </c>
      <c r="AD1232" s="8" t="str">
        <v>79706</v>
      </c>
    </row>
    <row r="1233" spans="1:30">
      <c r="A1233" s="8" t="s">
        <v>1157</v>
      </c>
      <c r="B1233" s="19">
        <v>42342</v>
      </c>
      <c r="C1233" s="8" t="s">
        <v>51</v>
      </c>
      <c r="D1233" s="8">
        <v>10013</v>
      </c>
      <c r="E1233" s="8" t="str">
        <f>VLOOKUP($D1233,'Customer Details'!$A$1:$F$17,4,FALSE)</f>
        <v>Naugatuck</v>
      </c>
      <c r="F1233" s="8" t="s">
        <v>321</v>
      </c>
      <c r="G1233" s="8">
        <v>1</v>
      </c>
      <c r="H1233" s="2" t="str">
        <f>VLOOKUP($D1233,'Customer Details'!$A$1:$F$17,MATCH('Order SUmmary'!H$2,'Customer Details'!$A$1:$F$1,0),0)</f>
        <v>GMR Infrastructure Ltd.</v>
      </c>
      <c r="I1233" s="2" t="str">
        <f>VLOOKUP($D1233,'Customer Details'!$A$1:$F$17,4,0)</f>
        <v>Naugatuck</v>
      </c>
      <c r="J1233" s="2" t="str">
        <f>VLOOKUP($D1233,'Customer Details'!$A$1:$F$17,6,0)</f>
        <v>06770</v>
      </c>
      <c r="K1233" s="8" t="str">
        <f>VLOOKUP(VLOOKUP(D1233,'Customer Details'!$A$1:$F$17,5,0),'Region INfo'!$A$1:$C$52,3,0)</f>
        <v xml:space="preserve">Northern </v>
      </c>
      <c r="L1233" s="8" t="str">
        <f>INDEX(Product_List,MATCH($F1233,'Product List'!$B$1:$B$299,0),MATCH('Order SUmmary'!L$2,'Product List'!$A$1:$E$1,0))</f>
        <v>Xerox 1938</v>
      </c>
      <c r="M1233" s="8">
        <f>INDEX(Product_List,MATCH($F1233,'Product List'!$B$1:$B$299,0),MATCH('Order SUmmary'!M$2,'Product List'!$A$1:$E$1,0))</f>
        <v>3626</v>
      </c>
      <c r="N1233" s="8">
        <f>INDEX(Product_List,MATCH($F1233,'Product List'!$B$1:$B$299,0),MATCH('Order SUmmary'!N$2,'Product List'!$A$1:$E$1,0))</f>
        <v>1590</v>
      </c>
      <c r="O1233" s="8" t="str">
        <f>INDEX(Product_List,MATCH($F1233,'Product List'!$B$1:$B$299,0),MATCH('Order SUmmary'!O$2,'Product List'!$A$1:$E$1,0))</f>
        <v>Paper</v>
      </c>
      <c r="P1233" s="12">
        <f>HLOOKUP(C1233,'Commission Criteria'!$A$2:$I$4,3,FALSE)</f>
        <v>10</v>
      </c>
      <c r="Q1233" s="8">
        <f t="shared" si="58"/>
        <v>1590</v>
      </c>
      <c r="R1233" s="8">
        <f t="shared" si="59"/>
        <v>3626</v>
      </c>
      <c r="S1233" s="36">
        <f>VLOOKUP(R1233,'Commission Criteria'!$L$3:$M$11,2,TRUE)</f>
        <v>0.01</v>
      </c>
      <c r="T1233" s="36">
        <f>IF(P1233&lt;5,VLOOKUP(R1233,'Commission Criteria'!$L$3:$M$11,2,1),VLOOKUP('Order SUmmary'!R1233,'Commission Criteria'!$P$3:$Q$11,2,1))</f>
        <v>0.02</v>
      </c>
      <c r="U1233" s="36">
        <f>VLOOKUP(R1233,IF(P1233&lt;5,'Commission Criteria'!$L$3:$M$11,'Commission Criteria'!$P$3:$Q$11),2,1)</f>
        <v>0.02</v>
      </c>
      <c r="V1233" s="8" t="s">
        <v>50</v>
      </c>
      <c r="W1233" s="36">
        <f t="shared" ca="1" si="60"/>
        <v>0</v>
      </c>
      <c r="X1233" s="8" t="str">
        <f>_xlfn.XLOOKUP(F1233,'Product List'!$B$1:$B$299,'Product List'!$A$1:$A$299)</f>
        <v>Xerox 1938</v>
      </c>
      <c r="Y1233" s="8"/>
      <c r="Z1233" s="8" t="str" cm="1">
        <f t="array" ref="Z1233:AD1233">_xlfn.XLOOKUP(D1233,'Customer Details'!$A$1:$A$17,'Customer Details'!$B$1:$F$17,"No such customer",0,1)</f>
        <v>GMR Infrastructure Ltd.</v>
      </c>
      <c r="AA1233" s="8" t="str">
        <v>P.O. Box 4421</v>
      </c>
      <c r="AB1233" s="8" t="str">
        <v>Naugatuck</v>
      </c>
      <c r="AC1233" s="8" t="str">
        <v>CT</v>
      </c>
      <c r="AD1233" s="8" t="str">
        <v>06770</v>
      </c>
    </row>
    <row r="1234" spans="1:30">
      <c r="A1234" s="8" t="s">
        <v>1157</v>
      </c>
      <c r="B1234" s="19">
        <v>42342</v>
      </c>
      <c r="C1234" s="8" t="s">
        <v>66</v>
      </c>
      <c r="D1234" s="8">
        <v>10004</v>
      </c>
      <c r="E1234" s="8" t="str">
        <f>VLOOKUP($D1234,'Customer Details'!$A$1:$F$17,4,FALSE)</f>
        <v>New York</v>
      </c>
      <c r="F1234" s="8" t="s">
        <v>776</v>
      </c>
      <c r="G1234" s="8">
        <v>2</v>
      </c>
      <c r="H1234" s="2" t="str">
        <f>VLOOKUP($D1234,'Customer Details'!$A$1:$F$17,MATCH('Order SUmmary'!H$2,'Customer Details'!$A$1:$F$1,0),0)</f>
        <v>Lupin Ltd.</v>
      </c>
      <c r="I1234" s="2" t="str">
        <f>VLOOKUP($D1234,'Customer Details'!$A$1:$F$17,4,0)</f>
        <v>New York</v>
      </c>
      <c r="J1234" s="2" t="str">
        <f>VLOOKUP($D1234,'Customer Details'!$A$1:$F$17,6,0)</f>
        <v>10019</v>
      </c>
      <c r="K1234" s="8" t="str">
        <f>VLOOKUP(VLOOKUP(D1234,'Customer Details'!$A$1:$F$17,5,0),'Region INfo'!$A$1:$C$52,3,0)</f>
        <v xml:space="preserve">Northern </v>
      </c>
      <c r="L1234" s="8" t="str">
        <f>INDEX(Product_List,MATCH($F1234,'Product List'!$B$1:$B$299,0),MATCH('Order SUmmary'!L$2,'Product List'!$A$1:$E$1,0))</f>
        <v>Newell 347</v>
      </c>
      <c r="M1234" s="8">
        <f>INDEX(Product_List,MATCH($F1234,'Product List'!$B$1:$B$299,0),MATCH('Order SUmmary'!M$2,'Product List'!$A$1:$E$1,0))</f>
        <v>2856</v>
      </c>
      <c r="N1234" s="8">
        <f>INDEX(Product_List,MATCH($F1234,'Product List'!$B$1:$B$299,0),MATCH('Order SUmmary'!N$2,'Product List'!$A$1:$E$1,0))</f>
        <v>1236</v>
      </c>
      <c r="O1234" s="8" t="str">
        <f>INDEX(Product_List,MATCH($F1234,'Product List'!$B$1:$B$299,0),MATCH('Order SUmmary'!O$2,'Product List'!$A$1:$E$1,0))</f>
        <v>Art</v>
      </c>
      <c r="P1234" s="12">
        <f>HLOOKUP(C1234,'Commission Criteria'!$A$2:$I$4,3,FALSE)</f>
        <v>5</v>
      </c>
      <c r="Q1234" s="8">
        <f t="shared" si="58"/>
        <v>2472</v>
      </c>
      <c r="R1234" s="8">
        <f t="shared" si="59"/>
        <v>5712</v>
      </c>
      <c r="S1234" s="36">
        <f>VLOOKUP(R1234,'Commission Criteria'!$L$3:$M$11,2,TRUE)</f>
        <v>0.03</v>
      </c>
      <c r="T1234" s="36">
        <f>IF(P1234&lt;5,VLOOKUP(R1234,'Commission Criteria'!$L$3:$M$11,2,1),VLOOKUP('Order SUmmary'!R1234,'Commission Criteria'!$P$3:$Q$11,2,1))</f>
        <v>0.02</v>
      </c>
      <c r="U1234" s="36">
        <f>VLOOKUP(R1234,IF(P1234&lt;5,'Commission Criteria'!$L$3:$M$11,'Commission Criteria'!$P$3:$Q$11),2,1)</f>
        <v>0.02</v>
      </c>
      <c r="V1234" s="8" t="s">
        <v>29</v>
      </c>
      <c r="W1234" s="36">
        <f t="shared" ca="1" si="60"/>
        <v>0.05</v>
      </c>
      <c r="X1234" s="8" t="str">
        <f>_xlfn.XLOOKUP(F1234,'Product List'!$B$1:$B$299,'Product List'!$A$1:$A$299)</f>
        <v>Newell 347</v>
      </c>
      <c r="Y1234" s="8"/>
      <c r="Z1234" s="8" t="str" cm="1">
        <f t="array" ref="Z1234:AD1234">_xlfn.XLOOKUP(D1234,'Customer Details'!$A$1:$A$17,'Customer Details'!$B$1:$F$17,"No such customer",0,1)</f>
        <v>Lupin Ltd.</v>
      </c>
      <c r="AA1234" s="8" t="str">
        <v>Abbey Wood</v>
      </c>
      <c r="AB1234" s="8" t="str">
        <v>New York</v>
      </c>
      <c r="AC1234" s="8" t="str">
        <v>NY</v>
      </c>
      <c r="AD1234" s="8" t="str">
        <v>10019</v>
      </c>
    </row>
    <row r="1235" spans="1:30">
      <c r="A1235" s="8" t="s">
        <v>1157</v>
      </c>
      <c r="B1235" s="19">
        <v>42342</v>
      </c>
      <c r="C1235" s="8" t="s">
        <v>33</v>
      </c>
      <c r="D1235" s="8">
        <v>10007</v>
      </c>
      <c r="E1235" s="8" t="str">
        <f>VLOOKUP($D1235,'Customer Details'!$A$1:$F$17,4,FALSE)</f>
        <v>Richmond</v>
      </c>
      <c r="F1235" s="8" t="s">
        <v>231</v>
      </c>
      <c r="G1235" s="8">
        <v>3</v>
      </c>
      <c r="H1235" s="2" t="str">
        <f>VLOOKUP($D1235,'Customer Details'!$A$1:$F$17,MATCH('Order SUmmary'!H$2,'Customer Details'!$A$1:$F$1,0),0)</f>
        <v>GHCL Ltd.</v>
      </c>
      <c r="I1235" s="2" t="str">
        <f>VLOOKUP($D1235,'Customer Details'!$A$1:$F$17,4,0)</f>
        <v>Richmond</v>
      </c>
      <c r="J1235" s="2" t="str">
        <f>VLOOKUP($D1235,'Customer Details'!$A$1:$F$17,6,0)</f>
        <v>94805</v>
      </c>
      <c r="K1235" s="8" t="str">
        <f>VLOOKUP(VLOOKUP(D1235,'Customer Details'!$A$1:$F$17,5,0),'Region INfo'!$A$1:$C$52,3,0)</f>
        <v xml:space="preserve">Pacific   </v>
      </c>
      <c r="L1235" s="8" t="str">
        <f>INDEX(Product_List,MATCH($F1235,'Product List'!$B$1:$B$299,0),MATCH('Order SUmmary'!L$2,'Product List'!$A$1:$E$1,0))</f>
        <v>Newell 350</v>
      </c>
      <c r="M1235" s="8">
        <f>INDEX(Product_List,MATCH($F1235,'Product List'!$B$1:$B$299,0),MATCH('Order SUmmary'!M$2,'Product List'!$A$1:$E$1,0))</f>
        <v>2912</v>
      </c>
      <c r="N1235" s="8">
        <f>INDEX(Product_List,MATCH($F1235,'Product List'!$B$1:$B$299,0),MATCH('Order SUmmary'!N$2,'Product List'!$A$1:$E$1,0))</f>
        <v>2328</v>
      </c>
      <c r="O1235" s="8" t="str">
        <f>INDEX(Product_List,MATCH($F1235,'Product List'!$B$1:$B$299,0),MATCH('Order SUmmary'!O$2,'Product List'!$A$1:$E$1,0))</f>
        <v>Art</v>
      </c>
      <c r="P1235" s="12">
        <f>HLOOKUP(C1235,'Commission Criteria'!$A$2:$I$4,3,FALSE)</f>
        <v>1</v>
      </c>
      <c r="Q1235" s="8">
        <f t="shared" si="58"/>
        <v>6984</v>
      </c>
      <c r="R1235" s="8">
        <f t="shared" si="59"/>
        <v>8736</v>
      </c>
      <c r="S1235" s="36">
        <f>VLOOKUP(R1235,'Commission Criteria'!$L$3:$M$11,2,TRUE)</f>
        <v>0.03</v>
      </c>
      <c r="T1235" s="36">
        <f>IF(P1235&lt;5,VLOOKUP(R1235,'Commission Criteria'!$L$3:$M$11,2,1),VLOOKUP('Order SUmmary'!R1235,'Commission Criteria'!$P$3:$Q$11,2,1))</f>
        <v>0.03</v>
      </c>
      <c r="U1235" s="36">
        <f>VLOOKUP(R1235,IF(P1235&lt;5,'Commission Criteria'!$L$3:$M$11,'Commission Criteria'!$P$3:$Q$11),2,1)</f>
        <v>0.03</v>
      </c>
      <c r="V1235" s="8" t="s">
        <v>40</v>
      </c>
      <c r="W1235" s="36">
        <f t="shared" ca="1" si="60"/>
        <v>0</v>
      </c>
      <c r="X1235" s="8" t="str">
        <f>_xlfn.XLOOKUP(F1235,'Product List'!$B$1:$B$299,'Product List'!$A$1:$A$299)</f>
        <v>Newell 350</v>
      </c>
      <c r="Y1235" s="8"/>
      <c r="Z1235" s="8" t="str" cm="1">
        <f t="array" ref="Z1235:AD1235">_xlfn.XLOOKUP(D1235,'Customer Details'!$A$1:$A$17,'Customer Details'!$B$1:$F$17,"No such customer",0,1)</f>
        <v>GHCL Ltd.</v>
      </c>
      <c r="AA1235" s="8" t="str">
        <v>58 Clarence St</v>
      </c>
      <c r="AB1235" s="8" t="str">
        <v>Richmond</v>
      </c>
      <c r="AC1235" s="8" t="str">
        <v>CA</v>
      </c>
      <c r="AD1235" s="8" t="str">
        <v>94805</v>
      </c>
    </row>
    <row r="1236" spans="1:30">
      <c r="A1236" s="8" t="s">
        <v>1158</v>
      </c>
      <c r="B1236" s="19">
        <v>42343</v>
      </c>
      <c r="C1236" s="8" t="s">
        <v>66</v>
      </c>
      <c r="D1236" s="8">
        <v>10007</v>
      </c>
      <c r="E1236" s="8" t="str">
        <f>VLOOKUP($D1236,'Customer Details'!$A$1:$F$17,4,FALSE)</f>
        <v>Richmond</v>
      </c>
      <c r="F1236" s="8" t="s">
        <v>453</v>
      </c>
      <c r="G1236" s="8">
        <v>1</v>
      </c>
      <c r="H1236" s="2" t="str">
        <f>VLOOKUP($D1236,'Customer Details'!$A$1:$F$17,MATCH('Order SUmmary'!H$2,'Customer Details'!$A$1:$F$1,0),0)</f>
        <v>GHCL Ltd.</v>
      </c>
      <c r="I1236" s="2" t="str">
        <f>VLOOKUP($D1236,'Customer Details'!$A$1:$F$17,4,0)</f>
        <v>Richmond</v>
      </c>
      <c r="J1236" s="2" t="str">
        <f>VLOOKUP($D1236,'Customer Details'!$A$1:$F$17,6,0)</f>
        <v>94805</v>
      </c>
      <c r="K1236" s="8" t="str">
        <f>VLOOKUP(VLOOKUP(D1236,'Customer Details'!$A$1:$F$17,5,0),'Region INfo'!$A$1:$C$52,3,0)</f>
        <v xml:space="preserve">Pacific   </v>
      </c>
      <c r="L1236" s="8" t="str">
        <f>INDEX(Product_List,MATCH($F1236,'Product List'!$B$1:$B$299,0),MATCH('Order SUmmary'!L$2,'Product List'!$A$1:$E$1,0))</f>
        <v>Xerox 231</v>
      </c>
      <c r="M1236" s="8">
        <f>INDEX(Product_List,MATCH($F1236,'Product List'!$B$1:$B$299,0),MATCH('Order SUmmary'!M$2,'Product List'!$A$1:$E$1,0))</f>
        <v>2507</v>
      </c>
      <c r="N1236" s="8">
        <f>INDEX(Product_List,MATCH($F1236,'Product List'!$B$1:$B$299,0),MATCH('Order SUmmary'!N$2,'Product List'!$A$1:$E$1,0))</f>
        <v>1380</v>
      </c>
      <c r="O1236" s="8" t="str">
        <f>INDEX(Product_List,MATCH($F1236,'Product List'!$B$1:$B$299,0),MATCH('Order SUmmary'!O$2,'Product List'!$A$1:$E$1,0))</f>
        <v>Paper</v>
      </c>
      <c r="P1236" s="12">
        <f>HLOOKUP(C1236,'Commission Criteria'!$A$2:$I$4,3,FALSE)</f>
        <v>5</v>
      </c>
      <c r="Q1236" s="8">
        <f t="shared" si="58"/>
        <v>1380</v>
      </c>
      <c r="R1236" s="8">
        <f t="shared" si="59"/>
        <v>2507</v>
      </c>
      <c r="S1236" s="36">
        <f>VLOOKUP(R1236,'Commission Criteria'!$L$3:$M$11,2,TRUE)</f>
        <v>0.01</v>
      </c>
      <c r="T1236" s="36">
        <f>IF(P1236&lt;5,VLOOKUP(R1236,'Commission Criteria'!$L$3:$M$11,2,1),VLOOKUP('Order SUmmary'!R1236,'Commission Criteria'!$P$3:$Q$11,2,1))</f>
        <v>0.02</v>
      </c>
      <c r="U1236" s="36">
        <f>VLOOKUP(R1236,IF(P1236&lt;5,'Commission Criteria'!$L$3:$M$11,'Commission Criteria'!$P$3:$Q$11),2,1)</f>
        <v>0.02</v>
      </c>
      <c r="V1236" s="8" t="s">
        <v>29</v>
      </c>
      <c r="W1236" s="36">
        <f t="shared" ca="1" si="60"/>
        <v>0.04</v>
      </c>
      <c r="X1236" s="8" t="str">
        <f>_xlfn.XLOOKUP(F1236,'Product List'!$B$1:$B$299,'Product List'!$A$1:$A$299)</f>
        <v>Xerox 231</v>
      </c>
      <c r="Y1236" s="8"/>
      <c r="Z1236" s="8" t="str" cm="1">
        <f t="array" ref="Z1236:AD1236">_xlfn.XLOOKUP(D1236,'Customer Details'!$A$1:$A$17,'Customer Details'!$B$1:$F$17,"No such customer",0,1)</f>
        <v>GHCL Ltd.</v>
      </c>
      <c r="AA1236" s="8" t="str">
        <v>58 Clarence St</v>
      </c>
      <c r="AB1236" s="8" t="str">
        <v>Richmond</v>
      </c>
      <c r="AC1236" s="8" t="str">
        <v>CA</v>
      </c>
      <c r="AD1236" s="8" t="str">
        <v>94805</v>
      </c>
    </row>
    <row r="1237" spans="1:30">
      <c r="A1237" s="8" t="s">
        <v>1159</v>
      </c>
      <c r="B1237" s="19">
        <v>42343</v>
      </c>
      <c r="C1237" s="8" t="s">
        <v>27</v>
      </c>
      <c r="D1237" s="8">
        <v>10010</v>
      </c>
      <c r="E1237" s="8" t="str">
        <f>VLOOKUP($D1237,'Customer Details'!$A$1:$F$17,4,FALSE)</f>
        <v>Tracy</v>
      </c>
      <c r="F1237" s="8" t="s">
        <v>778</v>
      </c>
      <c r="G1237" s="8">
        <v>1</v>
      </c>
      <c r="H1237" s="2" t="str">
        <f>VLOOKUP($D1237,'Customer Details'!$A$1:$F$17,MATCH('Order SUmmary'!H$2,'Customer Details'!$A$1:$F$1,0),0)</f>
        <v>Suzlon Energy Ltd.</v>
      </c>
      <c r="I1237" s="2" t="str">
        <f>VLOOKUP($D1237,'Customer Details'!$A$1:$F$17,4,0)</f>
        <v>Tracy</v>
      </c>
      <c r="J1237" s="2" t="str">
        <f>VLOOKUP($D1237,'Customer Details'!$A$1:$F$17,6,0)</f>
        <v>95376</v>
      </c>
      <c r="K1237" s="8" t="str">
        <f>VLOOKUP(VLOOKUP(D1237,'Customer Details'!$A$1:$F$17,5,0),'Region INfo'!$A$1:$C$52,3,0)</f>
        <v xml:space="preserve">Pacific   </v>
      </c>
      <c r="L1237" s="8" t="str">
        <f>INDEX(Product_List,MATCH($F1237,'Product List'!$B$1:$B$299,0),MATCH('Order SUmmary'!L$2,'Product List'!$A$1:$E$1,0))</f>
        <v>Xerox 197</v>
      </c>
      <c r="M1237" s="8">
        <f>INDEX(Product_List,MATCH($F1237,'Product List'!$B$1:$B$299,0),MATCH('Order SUmmary'!M$2,'Product List'!$A$1:$E$1,0))</f>
        <v>2671</v>
      </c>
      <c r="N1237" s="8">
        <f>INDEX(Product_List,MATCH($F1237,'Product List'!$B$1:$B$299,0),MATCH('Order SUmmary'!N$2,'Product List'!$A$1:$E$1,0))</f>
        <v>1591</v>
      </c>
      <c r="O1237" s="8" t="str">
        <f>INDEX(Product_List,MATCH($F1237,'Product List'!$B$1:$B$299,0),MATCH('Order SUmmary'!O$2,'Product List'!$A$1:$E$1,0))</f>
        <v>Paper</v>
      </c>
      <c r="P1237" s="12">
        <f>HLOOKUP(C1237,'Commission Criteria'!$A$2:$I$4,3,FALSE)</f>
        <v>4</v>
      </c>
      <c r="Q1237" s="8">
        <f t="shared" si="58"/>
        <v>1591</v>
      </c>
      <c r="R1237" s="8">
        <f t="shared" si="59"/>
        <v>2671</v>
      </c>
      <c r="S1237" s="36">
        <f>VLOOKUP(R1237,'Commission Criteria'!$L$3:$M$11,2,TRUE)</f>
        <v>0.01</v>
      </c>
      <c r="T1237" s="36">
        <f>IF(P1237&lt;5,VLOOKUP(R1237,'Commission Criteria'!$L$3:$M$11,2,1),VLOOKUP('Order SUmmary'!R1237,'Commission Criteria'!$P$3:$Q$11,2,1))</f>
        <v>0.01</v>
      </c>
      <c r="U1237" s="36">
        <f>VLOOKUP(R1237,IF(P1237&lt;5,'Commission Criteria'!$L$3:$M$11,'Commission Criteria'!$P$3:$Q$11),2,1)</f>
        <v>0.01</v>
      </c>
      <c r="V1237" s="8" t="s">
        <v>43</v>
      </c>
      <c r="W1237" s="36">
        <f t="shared" ca="1" si="60"/>
        <v>0.05</v>
      </c>
      <c r="X1237" s="8" t="str">
        <f>_xlfn.XLOOKUP(F1237,'Product List'!$B$1:$B$299,'Product List'!$A$1:$A$299)</f>
        <v>Xerox 197</v>
      </c>
      <c r="Y1237" s="8"/>
      <c r="Z1237" s="8" t="str" cm="1">
        <f t="array" ref="Z1237:AD1237">_xlfn.XLOOKUP(D1237,'Customer Details'!$A$1:$A$17,'Customer Details'!$B$1:$F$17,"No such customer",0,1)</f>
        <v>Suzlon Energy Ltd.</v>
      </c>
      <c r="AA1237" s="8" t="str">
        <v>501 Marsh Trail Circle</v>
      </c>
      <c r="AB1237" s="8" t="str">
        <v>Tracy</v>
      </c>
      <c r="AC1237" s="8" t="str">
        <v>CA</v>
      </c>
      <c r="AD1237" s="8" t="str">
        <v>95376</v>
      </c>
    </row>
    <row r="1238" spans="1:30">
      <c r="A1238" s="8" t="s">
        <v>1158</v>
      </c>
      <c r="B1238" s="19">
        <v>42343</v>
      </c>
      <c r="C1238" s="8" t="s">
        <v>54</v>
      </c>
      <c r="D1238" s="8">
        <v>10010</v>
      </c>
      <c r="E1238" s="8" t="str">
        <f>VLOOKUP($D1238,'Customer Details'!$A$1:$F$17,4,FALSE)</f>
        <v>Tracy</v>
      </c>
      <c r="F1238" s="8" t="s">
        <v>687</v>
      </c>
      <c r="G1238" s="8">
        <v>1</v>
      </c>
      <c r="H1238" s="2" t="str">
        <f>VLOOKUP($D1238,'Customer Details'!$A$1:$F$17,MATCH('Order SUmmary'!H$2,'Customer Details'!$A$1:$F$1,0),0)</f>
        <v>Suzlon Energy Ltd.</v>
      </c>
      <c r="I1238" s="2" t="str">
        <f>VLOOKUP($D1238,'Customer Details'!$A$1:$F$17,4,0)</f>
        <v>Tracy</v>
      </c>
      <c r="J1238" s="2" t="str">
        <f>VLOOKUP($D1238,'Customer Details'!$A$1:$F$17,6,0)</f>
        <v>95376</v>
      </c>
      <c r="K1238" s="8" t="str">
        <f>VLOOKUP(VLOOKUP(D1238,'Customer Details'!$A$1:$F$17,5,0),'Region INfo'!$A$1:$C$52,3,0)</f>
        <v xml:space="preserve">Pacific   </v>
      </c>
      <c r="L1238" s="8" t="str">
        <f>INDEX(Product_List,MATCH($F1238,'Product List'!$B$1:$B$299,0),MATCH('Order SUmmary'!L$2,'Product List'!$A$1:$E$1,0))</f>
        <v>Xerox 1924</v>
      </c>
      <c r="M1238" s="8">
        <f>INDEX(Product_List,MATCH($F1238,'Product List'!$B$1:$B$299,0),MATCH('Order SUmmary'!M$2,'Product List'!$A$1:$E$1,0))</f>
        <v>2873</v>
      </c>
      <c r="N1238" s="8">
        <f>INDEX(Product_List,MATCH($F1238,'Product List'!$B$1:$B$299,0),MATCH('Order SUmmary'!N$2,'Product List'!$A$1:$E$1,0))</f>
        <v>2483</v>
      </c>
      <c r="O1238" s="8" t="str">
        <f>INDEX(Product_List,MATCH($F1238,'Product List'!$B$1:$B$299,0),MATCH('Order SUmmary'!O$2,'Product List'!$A$1:$E$1,0))</f>
        <v>Paper</v>
      </c>
      <c r="P1238" s="12">
        <f>HLOOKUP(C1238,'Commission Criteria'!$A$2:$I$4,3,FALSE)</f>
        <v>3</v>
      </c>
      <c r="Q1238" s="8">
        <f t="shared" si="58"/>
        <v>2483</v>
      </c>
      <c r="R1238" s="8">
        <f t="shared" si="59"/>
        <v>2873</v>
      </c>
      <c r="S1238" s="36">
        <f>VLOOKUP(R1238,'Commission Criteria'!$L$3:$M$11,2,TRUE)</f>
        <v>0.01</v>
      </c>
      <c r="T1238" s="36">
        <f>IF(P1238&lt;5,VLOOKUP(R1238,'Commission Criteria'!$L$3:$M$11,2,1),VLOOKUP('Order SUmmary'!R1238,'Commission Criteria'!$P$3:$Q$11,2,1))</f>
        <v>0.01</v>
      </c>
      <c r="U1238" s="36">
        <f>VLOOKUP(R1238,IF(P1238&lt;5,'Commission Criteria'!$L$3:$M$11,'Commission Criteria'!$P$3:$Q$11),2,1)</f>
        <v>0.01</v>
      </c>
      <c r="V1238" s="8" t="s">
        <v>50</v>
      </c>
      <c r="W1238" s="36">
        <f t="shared" ca="1" si="60"/>
        <v>0</v>
      </c>
      <c r="X1238" s="8" t="str">
        <f>_xlfn.XLOOKUP(F1238,'Product List'!$B$1:$B$299,'Product List'!$A$1:$A$299)</f>
        <v>Xerox 1924</v>
      </c>
      <c r="Y1238" s="8"/>
      <c r="Z1238" s="8" t="str" cm="1">
        <f t="array" ref="Z1238:AD1238">_xlfn.XLOOKUP(D1238,'Customer Details'!$A$1:$A$17,'Customer Details'!$B$1:$F$17,"No such customer",0,1)</f>
        <v>Suzlon Energy Ltd.</v>
      </c>
      <c r="AA1238" s="8" t="str">
        <v>501 Marsh Trail Circle</v>
      </c>
      <c r="AB1238" s="8" t="str">
        <v>Tracy</v>
      </c>
      <c r="AC1238" s="8" t="str">
        <v>CA</v>
      </c>
      <c r="AD1238" s="8" t="str">
        <v>95376</v>
      </c>
    </row>
    <row r="1239" spans="1:30">
      <c r="A1239" s="8" t="s">
        <v>1160</v>
      </c>
      <c r="B1239" s="19">
        <v>42343</v>
      </c>
      <c r="C1239" s="8" t="s">
        <v>51</v>
      </c>
      <c r="D1239" s="8">
        <v>10008</v>
      </c>
      <c r="E1239" s="8" t="str">
        <f>VLOOKUP($D1239,'Customer Details'!$A$1:$F$17,4,FALSE)</f>
        <v>Chestnut Ridge</v>
      </c>
      <c r="F1239" s="8" t="s">
        <v>882</v>
      </c>
      <c r="G1239" s="8">
        <v>2</v>
      </c>
      <c r="H1239" s="2" t="str">
        <f>VLOOKUP($D1239,'Customer Details'!$A$1:$F$17,MATCH('Order SUmmary'!H$2,'Customer Details'!$A$1:$F$1,0),0)</f>
        <v>Reliance Industries Limited</v>
      </c>
      <c r="I1239" s="2" t="str">
        <f>VLOOKUP($D1239,'Customer Details'!$A$1:$F$17,4,0)</f>
        <v>Chestnut Ridge</v>
      </c>
      <c r="J1239" s="2" t="str">
        <f>VLOOKUP($D1239,'Customer Details'!$A$1:$F$17,6,0)</f>
        <v>10977</v>
      </c>
      <c r="K1239" s="8" t="str">
        <f>VLOOKUP(VLOOKUP(D1239,'Customer Details'!$A$1:$F$17,5,0),'Region INfo'!$A$1:$C$52,3,0)</f>
        <v xml:space="preserve">Northern </v>
      </c>
      <c r="L1239" s="8" t="str">
        <f>INDEX(Product_List,MATCH($F1239,'Product List'!$B$1:$B$299,0),MATCH('Order SUmmary'!L$2,'Product List'!$A$1:$E$1,0))</f>
        <v>Xerox 1935</v>
      </c>
      <c r="M1239" s="8">
        <f>INDEX(Product_List,MATCH($F1239,'Product List'!$B$1:$B$299,0),MATCH('Order SUmmary'!M$2,'Product List'!$A$1:$E$1,0))</f>
        <v>2929</v>
      </c>
      <c r="N1239" s="8">
        <f>INDEX(Product_List,MATCH($F1239,'Product List'!$B$1:$B$299,0),MATCH('Order SUmmary'!N$2,'Product List'!$A$1:$E$1,0))</f>
        <v>1320</v>
      </c>
      <c r="O1239" s="8" t="str">
        <f>INDEX(Product_List,MATCH($F1239,'Product List'!$B$1:$B$299,0),MATCH('Order SUmmary'!O$2,'Product List'!$A$1:$E$1,0))</f>
        <v>Paper</v>
      </c>
      <c r="P1239" s="12">
        <f>HLOOKUP(C1239,'Commission Criteria'!$A$2:$I$4,3,FALSE)</f>
        <v>10</v>
      </c>
      <c r="Q1239" s="8">
        <f t="shared" si="58"/>
        <v>2640</v>
      </c>
      <c r="R1239" s="8">
        <f t="shared" si="59"/>
        <v>5858</v>
      </c>
      <c r="S1239" s="36">
        <f>VLOOKUP(R1239,'Commission Criteria'!$L$3:$M$11,2,TRUE)</f>
        <v>0.03</v>
      </c>
      <c r="T1239" s="36">
        <f>IF(P1239&lt;5,VLOOKUP(R1239,'Commission Criteria'!$L$3:$M$11,2,1),VLOOKUP('Order SUmmary'!R1239,'Commission Criteria'!$P$3:$Q$11,2,1))</f>
        <v>0.02</v>
      </c>
      <c r="U1239" s="36">
        <f>VLOOKUP(R1239,IF(P1239&lt;5,'Commission Criteria'!$L$3:$M$11,'Commission Criteria'!$P$3:$Q$11),2,1)</f>
        <v>0.02</v>
      </c>
      <c r="V1239" s="8" t="s">
        <v>32</v>
      </c>
      <c r="W1239" s="36">
        <f t="shared" ca="1" si="60"/>
        <v>0.05</v>
      </c>
      <c r="X1239" s="8" t="str">
        <f>_xlfn.XLOOKUP(F1239,'Product List'!$B$1:$B$299,'Product List'!$A$1:$A$299)</f>
        <v>Xerox 1935</v>
      </c>
      <c r="Y1239" s="8"/>
      <c r="Z1239" s="8" t="str" cm="1">
        <f t="array" ref="Z1239:AD1239">_xlfn.XLOOKUP(D1239,'Customer Details'!$A$1:$A$17,'Customer Details'!$B$1:$F$17,"No such customer",0,1)</f>
        <v>Reliance Industries Limited</v>
      </c>
      <c r="AA1239" s="8" t="str">
        <v>12020 Shamrock Rd., Suite 333</v>
      </c>
      <c r="AB1239" s="8" t="str">
        <v>Chestnut Ridge</v>
      </c>
      <c r="AC1239" s="8" t="str">
        <v>NY</v>
      </c>
      <c r="AD1239" s="8" t="str">
        <v>10977</v>
      </c>
    </row>
    <row r="1240" spans="1:30">
      <c r="A1240" s="8" t="s">
        <v>1161</v>
      </c>
      <c r="B1240" s="19">
        <v>42345</v>
      </c>
      <c r="C1240" s="8" t="s">
        <v>36</v>
      </c>
      <c r="D1240" s="8">
        <v>10011</v>
      </c>
      <c r="E1240" s="8" t="str">
        <f>VLOOKUP($D1240,'Customer Details'!$A$1:$F$17,4,FALSE)</f>
        <v>Olympia</v>
      </c>
      <c r="F1240" s="8" t="s">
        <v>303</v>
      </c>
      <c r="G1240" s="8">
        <v>1</v>
      </c>
      <c r="H1240" s="2" t="str">
        <f>VLOOKUP($D1240,'Customer Details'!$A$1:$F$17,MATCH('Order SUmmary'!H$2,'Customer Details'!$A$1:$F$1,0),0)</f>
        <v>Sonata Software</v>
      </c>
      <c r="I1240" s="2" t="str">
        <f>VLOOKUP($D1240,'Customer Details'!$A$1:$F$17,4,0)</f>
        <v>Olympia</v>
      </c>
      <c r="J1240" s="2" t="str">
        <f>VLOOKUP($D1240,'Customer Details'!$A$1:$F$17,6,0)</f>
        <v>98502</v>
      </c>
      <c r="K1240" s="8" t="str">
        <f>VLOOKUP(VLOOKUP(D1240,'Customer Details'!$A$1:$F$17,5,0),'Region INfo'!$A$1:$C$52,3,0)</f>
        <v xml:space="preserve">Pacific   </v>
      </c>
      <c r="L1240" s="8" t="str">
        <f>INDEX(Product_List,MATCH($F1240,'Product List'!$B$1:$B$299,0),MATCH('Order SUmmary'!L$2,'Product List'!$A$1:$E$1,0))</f>
        <v>Xerox 1885</v>
      </c>
      <c r="M1240" s="8">
        <f>INDEX(Product_List,MATCH($F1240,'Product List'!$B$1:$B$299,0),MATCH('Order SUmmary'!M$2,'Product List'!$A$1:$E$1,0))</f>
        <v>3096</v>
      </c>
      <c r="N1240" s="8">
        <f>INDEX(Product_List,MATCH($F1240,'Product List'!$B$1:$B$299,0),MATCH('Order SUmmary'!N$2,'Product List'!$A$1:$E$1,0))</f>
        <v>2065</v>
      </c>
      <c r="O1240" s="8" t="str">
        <f>INDEX(Product_List,MATCH($F1240,'Product List'!$B$1:$B$299,0),MATCH('Order SUmmary'!O$2,'Product List'!$A$1:$E$1,0))</f>
        <v>Paper</v>
      </c>
      <c r="P1240" s="12">
        <f>HLOOKUP(C1240,'Commission Criteria'!$A$2:$I$4,3,FALSE)</f>
        <v>6</v>
      </c>
      <c r="Q1240" s="8">
        <f t="shared" si="58"/>
        <v>2065</v>
      </c>
      <c r="R1240" s="8">
        <f t="shared" si="59"/>
        <v>3096</v>
      </c>
      <c r="S1240" s="36">
        <f>VLOOKUP(R1240,'Commission Criteria'!$L$3:$M$11,2,TRUE)</f>
        <v>0.01</v>
      </c>
      <c r="T1240" s="36">
        <f>IF(P1240&lt;5,VLOOKUP(R1240,'Commission Criteria'!$L$3:$M$11,2,1),VLOOKUP('Order SUmmary'!R1240,'Commission Criteria'!$P$3:$Q$11,2,1))</f>
        <v>0.02</v>
      </c>
      <c r="U1240" s="36">
        <f>VLOOKUP(R1240,IF(P1240&lt;5,'Commission Criteria'!$L$3:$M$11,'Commission Criteria'!$P$3:$Q$11),2,1)</f>
        <v>0.02</v>
      </c>
      <c r="V1240" s="8" t="s">
        <v>43</v>
      </c>
      <c r="W1240" s="36">
        <f t="shared" ca="1" si="60"/>
        <v>0</v>
      </c>
      <c r="X1240" s="8" t="str">
        <f>_xlfn.XLOOKUP(F1240,'Product List'!$B$1:$B$299,'Product List'!$A$1:$A$299)</f>
        <v>Xerox 1885</v>
      </c>
      <c r="Y1240" s="8"/>
      <c r="Z1240" s="8" t="str" cm="1">
        <f t="array" ref="Z1240:AD1240">_xlfn.XLOOKUP(D1240,'Customer Details'!$A$1:$A$17,'Customer Details'!$B$1:$F$17,"No such customer",0,1)</f>
        <v>Sonata Software</v>
      </c>
      <c r="AA1240" s="8" t="str">
        <v>1331 Kimberly Dr.</v>
      </c>
      <c r="AB1240" s="8" t="str">
        <v>Olympia</v>
      </c>
      <c r="AC1240" s="8" t="str">
        <v>WA</v>
      </c>
      <c r="AD1240" s="8" t="str">
        <v>98502</v>
      </c>
    </row>
    <row r="1241" spans="1:30">
      <c r="A1241" s="8" t="s">
        <v>1162</v>
      </c>
      <c r="B1241" s="19">
        <v>42345</v>
      </c>
      <c r="C1241" s="8" t="s">
        <v>66</v>
      </c>
      <c r="D1241" s="8">
        <v>10006</v>
      </c>
      <c r="E1241" s="8" t="str">
        <f>VLOOKUP($D1241,'Customer Details'!$A$1:$F$17,4,FALSE)</f>
        <v>Midland</v>
      </c>
      <c r="F1241" s="8" t="s">
        <v>622</v>
      </c>
      <c r="G1241" s="8">
        <v>1</v>
      </c>
      <c r="H1241" s="2" t="str">
        <f>VLOOKUP($D1241,'Customer Details'!$A$1:$F$17,MATCH('Order SUmmary'!H$2,'Customer Details'!$A$1:$F$1,0),0)</f>
        <v>Supreme Ind</v>
      </c>
      <c r="I1241" s="2" t="str">
        <f>VLOOKUP($D1241,'Customer Details'!$A$1:$F$17,4,0)</f>
        <v>Midland</v>
      </c>
      <c r="J1241" s="2" t="str">
        <f>VLOOKUP($D1241,'Customer Details'!$A$1:$F$17,6,0)</f>
        <v>79706</v>
      </c>
      <c r="K1241" s="8" t="str">
        <f>VLOOKUP(VLOOKUP(D1241,'Customer Details'!$A$1:$F$17,5,0),'Region INfo'!$A$1:$C$52,3,0)</f>
        <v>Western</v>
      </c>
      <c r="L1241" s="8" t="str">
        <f>INDEX(Product_List,MATCH($F1241,'Product List'!$B$1:$B$299,0),MATCH('Order SUmmary'!L$2,'Product List'!$A$1:$E$1,0))</f>
        <v>Xerox 1995</v>
      </c>
      <c r="M1241" s="8">
        <f>INDEX(Product_List,MATCH($F1241,'Product List'!$B$1:$B$299,0),MATCH('Order SUmmary'!M$2,'Product List'!$A$1:$E$1,0))</f>
        <v>3454</v>
      </c>
      <c r="N1241" s="8">
        <f>INDEX(Product_List,MATCH($F1241,'Product List'!$B$1:$B$299,0),MATCH('Order SUmmary'!N$2,'Product List'!$A$1:$E$1,0))</f>
        <v>1525</v>
      </c>
      <c r="O1241" s="8" t="str">
        <f>INDEX(Product_List,MATCH($F1241,'Product List'!$B$1:$B$299,0),MATCH('Order SUmmary'!O$2,'Product List'!$A$1:$E$1,0))</f>
        <v>Paper</v>
      </c>
      <c r="P1241" s="12">
        <f>HLOOKUP(C1241,'Commission Criteria'!$A$2:$I$4,3,FALSE)</f>
        <v>5</v>
      </c>
      <c r="Q1241" s="8">
        <f t="shared" si="58"/>
        <v>1525</v>
      </c>
      <c r="R1241" s="8">
        <f t="shared" si="59"/>
        <v>3454</v>
      </c>
      <c r="S1241" s="36">
        <f>VLOOKUP(R1241,'Commission Criteria'!$L$3:$M$11,2,TRUE)</f>
        <v>0.01</v>
      </c>
      <c r="T1241" s="36">
        <f>IF(P1241&lt;5,VLOOKUP(R1241,'Commission Criteria'!$L$3:$M$11,2,1),VLOOKUP('Order SUmmary'!R1241,'Commission Criteria'!$P$3:$Q$11,2,1))</f>
        <v>0.02</v>
      </c>
      <c r="U1241" s="36">
        <f>VLOOKUP(R1241,IF(P1241&lt;5,'Commission Criteria'!$L$3:$M$11,'Commission Criteria'!$P$3:$Q$11),2,1)</f>
        <v>0.02</v>
      </c>
      <c r="V1241" s="8" t="s">
        <v>32</v>
      </c>
      <c r="W1241" s="36">
        <f t="shared" ca="1" si="60"/>
        <v>0</v>
      </c>
      <c r="X1241" s="8" t="str">
        <f>_xlfn.XLOOKUP(F1241,'Product List'!$B$1:$B$299,'Product List'!$A$1:$A$299)</f>
        <v>Xerox 1995</v>
      </c>
      <c r="Y1241" s="8"/>
      <c r="Z1241" s="8" t="str" cm="1">
        <f t="array" ref="Z1241:AD1241">_xlfn.XLOOKUP(D1241,'Customer Details'!$A$1:$A$17,'Customer Details'!$B$1:$F$17,"No such customer",0,1)</f>
        <v>Supreme Ind</v>
      </c>
      <c r="AA1241" s="8" t="str">
        <v>P.O. Box 1367</v>
      </c>
      <c r="AB1241" s="8" t="str">
        <v>Midland</v>
      </c>
      <c r="AC1241" s="8" t="str">
        <v>TX</v>
      </c>
      <c r="AD1241" s="8" t="str">
        <v>79706</v>
      </c>
    </row>
    <row r="1242" spans="1:30">
      <c r="A1242" s="8" t="s">
        <v>1163</v>
      </c>
      <c r="B1242" s="19">
        <v>42345</v>
      </c>
      <c r="C1242" s="8" t="s">
        <v>46</v>
      </c>
      <c r="D1242" s="8">
        <v>10002</v>
      </c>
      <c r="E1242" s="8" t="str">
        <f>VLOOKUP($D1242,'Customer Details'!$A$1:$F$17,4,FALSE)</f>
        <v>Omaha</v>
      </c>
      <c r="F1242" s="8" t="s">
        <v>356</v>
      </c>
      <c r="G1242" s="8">
        <v>2</v>
      </c>
      <c r="H1242" s="2" t="str">
        <f>VLOOKUP($D1242,'Customer Details'!$A$1:$F$17,MATCH('Order SUmmary'!H$2,'Customer Details'!$A$1:$F$1,0),0)</f>
        <v>Elder Pharmaceuticals</v>
      </c>
      <c r="I1242" s="2" t="str">
        <f>VLOOKUP($D1242,'Customer Details'!$A$1:$F$17,4,0)</f>
        <v>Omaha</v>
      </c>
      <c r="J1242" s="2" t="str">
        <f>VLOOKUP($D1242,'Customer Details'!$A$1:$F$17,6,0)</f>
        <v>68127</v>
      </c>
      <c r="K1242" s="8" t="str">
        <f>VLOOKUP(VLOOKUP(D1242,'Customer Details'!$A$1:$F$17,5,0),'Region INfo'!$A$1:$C$52,3,0)</f>
        <v>Western</v>
      </c>
      <c r="L1242" s="8" t="str">
        <f>INDEX(Product_List,MATCH($F1242,'Product List'!$B$1:$B$299,0),MATCH('Order SUmmary'!L$2,'Product List'!$A$1:$E$1,0))</f>
        <v>Newell 32</v>
      </c>
      <c r="M1242" s="8">
        <f>INDEX(Product_List,MATCH($F1242,'Product List'!$B$1:$B$299,0),MATCH('Order SUmmary'!M$2,'Product List'!$A$1:$E$1,0))</f>
        <v>4051</v>
      </c>
      <c r="N1242" s="8">
        <f>INDEX(Product_List,MATCH($F1242,'Product List'!$B$1:$B$299,0),MATCH('Order SUmmary'!N$2,'Product List'!$A$1:$E$1,0))</f>
        <v>1962</v>
      </c>
      <c r="O1242" s="8" t="str">
        <f>INDEX(Product_List,MATCH($F1242,'Product List'!$B$1:$B$299,0),MATCH('Order SUmmary'!O$2,'Product List'!$A$1:$E$1,0))</f>
        <v>Art</v>
      </c>
      <c r="P1242" s="12">
        <f>HLOOKUP(C1242,'Commission Criteria'!$A$2:$I$4,3,FALSE)</f>
        <v>8</v>
      </c>
      <c r="Q1242" s="8">
        <f t="shared" si="58"/>
        <v>3924</v>
      </c>
      <c r="R1242" s="8">
        <f t="shared" si="59"/>
        <v>8102</v>
      </c>
      <c r="S1242" s="36">
        <f>VLOOKUP(R1242,'Commission Criteria'!$L$3:$M$11,2,TRUE)</f>
        <v>0.03</v>
      </c>
      <c r="T1242" s="36">
        <f>IF(P1242&lt;5,VLOOKUP(R1242,'Commission Criteria'!$L$3:$M$11,2,1),VLOOKUP('Order SUmmary'!R1242,'Commission Criteria'!$P$3:$Q$11,2,1))</f>
        <v>0.02</v>
      </c>
      <c r="U1242" s="36">
        <f>VLOOKUP(R1242,IF(P1242&lt;5,'Commission Criteria'!$L$3:$M$11,'Commission Criteria'!$P$3:$Q$11),2,1)</f>
        <v>0.02</v>
      </c>
      <c r="V1242" s="8" t="s">
        <v>40</v>
      </c>
      <c r="W1242" s="36">
        <f t="shared" ca="1" si="60"/>
        <v>0.02</v>
      </c>
      <c r="X1242" s="8" t="str">
        <f>_xlfn.XLOOKUP(F1242,'Product List'!$B$1:$B$299,'Product List'!$A$1:$A$299)</f>
        <v>Newell 32</v>
      </c>
      <c r="Y1242" s="8"/>
      <c r="Z1242" s="8" t="str" cm="1">
        <f t="array" ref="Z1242:AD1242">_xlfn.XLOOKUP(D1242,'Customer Details'!$A$1:$A$17,'Customer Details'!$B$1:$F$17,"No such customer",0,1)</f>
        <v>Elder Pharmaceuticals</v>
      </c>
      <c r="AA1242" s="8" t="str">
        <v>57 Neriba Cres</v>
      </c>
      <c r="AB1242" s="8" t="str">
        <v>Omaha</v>
      </c>
      <c r="AC1242" s="8" t="str">
        <v>NE</v>
      </c>
      <c r="AD1242" s="8" t="str">
        <v>68127</v>
      </c>
    </row>
    <row r="1243" spans="1:30">
      <c r="A1243" s="8" t="s">
        <v>1162</v>
      </c>
      <c r="B1243" s="19">
        <v>42345</v>
      </c>
      <c r="C1243" s="8" t="s">
        <v>27</v>
      </c>
      <c r="D1243" s="8">
        <v>10003</v>
      </c>
      <c r="E1243" s="8" t="str">
        <f>VLOOKUP($D1243,'Customer Details'!$A$1:$F$17,4,FALSE)</f>
        <v>Miami</v>
      </c>
      <c r="F1243" s="8" t="s">
        <v>227</v>
      </c>
      <c r="G1243" s="8">
        <v>3</v>
      </c>
      <c r="H1243" s="2" t="str">
        <f>VLOOKUP($D1243,'Customer Details'!$A$1:$F$17,MATCH('Order SUmmary'!H$2,'Customer Details'!$A$1:$F$1,0),0)</f>
        <v>Honeywell Automation</v>
      </c>
      <c r="I1243" s="2" t="str">
        <f>VLOOKUP($D1243,'Customer Details'!$A$1:$F$17,4,0)</f>
        <v>Miami</v>
      </c>
      <c r="J1243" s="2" t="str">
        <f>VLOOKUP($D1243,'Customer Details'!$A$1:$F$17,6,0)</f>
        <v>33732</v>
      </c>
      <c r="K1243" s="8" t="str">
        <f>VLOOKUP(VLOOKUP(D1243,'Customer Details'!$A$1:$F$17,5,0),'Region INfo'!$A$1:$C$52,3,0)</f>
        <v>Southern</v>
      </c>
      <c r="L1243" s="8" t="str">
        <f>INDEX(Product_List,MATCH($F1243,'Product List'!$B$1:$B$299,0),MATCH('Order SUmmary'!L$2,'Product List'!$A$1:$E$1,0))</f>
        <v>Xerox 21</v>
      </c>
      <c r="M1243" s="8">
        <f>INDEX(Product_List,MATCH($F1243,'Product List'!$B$1:$B$299,0),MATCH('Order SUmmary'!M$2,'Product List'!$A$1:$E$1,0))</f>
        <v>2787</v>
      </c>
      <c r="N1243" s="8">
        <f>INDEX(Product_List,MATCH($F1243,'Product List'!$B$1:$B$299,0),MATCH('Order SUmmary'!N$2,'Product List'!$A$1:$E$1,0))</f>
        <v>2020</v>
      </c>
      <c r="O1243" s="8" t="str">
        <f>INDEX(Product_List,MATCH($F1243,'Product List'!$B$1:$B$299,0),MATCH('Order SUmmary'!O$2,'Product List'!$A$1:$E$1,0))</f>
        <v>Paper</v>
      </c>
      <c r="P1243" s="12">
        <f>HLOOKUP(C1243,'Commission Criteria'!$A$2:$I$4,3,FALSE)</f>
        <v>4</v>
      </c>
      <c r="Q1243" s="8">
        <f t="shared" si="58"/>
        <v>6060</v>
      </c>
      <c r="R1243" s="8">
        <f t="shared" si="59"/>
        <v>8361</v>
      </c>
      <c r="S1243" s="36">
        <f>VLOOKUP(R1243,'Commission Criteria'!$L$3:$M$11,2,TRUE)</f>
        <v>0.03</v>
      </c>
      <c r="T1243" s="36">
        <f>IF(P1243&lt;5,VLOOKUP(R1243,'Commission Criteria'!$L$3:$M$11,2,1),VLOOKUP('Order SUmmary'!R1243,'Commission Criteria'!$P$3:$Q$11,2,1))</f>
        <v>0.03</v>
      </c>
      <c r="U1243" s="36">
        <f>VLOOKUP(R1243,IF(P1243&lt;5,'Commission Criteria'!$L$3:$M$11,'Commission Criteria'!$P$3:$Q$11),2,1)</f>
        <v>0.03</v>
      </c>
      <c r="V1243" s="8" t="s">
        <v>35</v>
      </c>
      <c r="W1243" s="36">
        <f t="shared" ca="1" si="60"/>
        <v>0.02</v>
      </c>
      <c r="X1243" s="8" t="str">
        <f>_xlfn.XLOOKUP(F1243,'Product List'!$B$1:$B$299,'Product List'!$A$1:$A$299)</f>
        <v>Xerox 21</v>
      </c>
      <c r="Y1243" s="8"/>
      <c r="Z1243" s="8" t="str" cm="1">
        <f t="array" ref="Z1243:AD1243">_xlfn.XLOOKUP(D1243,'Customer Details'!$A$1:$A$17,'Customer Details'!$B$1:$F$17,"No such customer",0,1)</f>
        <v>Honeywell Automation</v>
      </c>
      <c r="AA1243" s="8" t="str">
        <v>1272 Harbor Road</v>
      </c>
      <c r="AB1243" s="8" t="str">
        <v>Miami</v>
      </c>
      <c r="AC1243" s="8" t="str">
        <v>FL</v>
      </c>
      <c r="AD1243" s="8" t="str">
        <v>33732</v>
      </c>
    </row>
    <row r="1244" spans="1:30">
      <c r="A1244" s="8" t="s">
        <v>1163</v>
      </c>
      <c r="B1244" s="19">
        <v>42345</v>
      </c>
      <c r="C1244" s="8" t="s">
        <v>46</v>
      </c>
      <c r="D1244" s="8">
        <v>10004</v>
      </c>
      <c r="E1244" s="8" t="str">
        <f>VLOOKUP($D1244,'Customer Details'!$A$1:$F$17,4,FALSE)</f>
        <v>New York</v>
      </c>
      <c r="F1244" s="8" t="s">
        <v>153</v>
      </c>
      <c r="G1244" s="8">
        <v>2</v>
      </c>
      <c r="H1244" s="2" t="str">
        <f>VLOOKUP($D1244,'Customer Details'!$A$1:$F$17,MATCH('Order SUmmary'!H$2,'Customer Details'!$A$1:$F$1,0),0)</f>
        <v>Lupin Ltd.</v>
      </c>
      <c r="I1244" s="2" t="str">
        <f>VLOOKUP($D1244,'Customer Details'!$A$1:$F$17,4,0)</f>
        <v>New York</v>
      </c>
      <c r="J1244" s="2" t="str">
        <f>VLOOKUP($D1244,'Customer Details'!$A$1:$F$17,6,0)</f>
        <v>10019</v>
      </c>
      <c r="K1244" s="8" t="str">
        <f>VLOOKUP(VLOOKUP(D1244,'Customer Details'!$A$1:$F$17,5,0),'Region INfo'!$A$1:$C$52,3,0)</f>
        <v xml:space="preserve">Northern </v>
      </c>
      <c r="L1244" s="8" t="str">
        <f>INDEX(Product_List,MATCH($F1244,'Product List'!$B$1:$B$299,0),MATCH('Order SUmmary'!L$2,'Product List'!$A$1:$E$1,0))</f>
        <v>LG G2</v>
      </c>
      <c r="M1244" s="8">
        <f>INDEX(Product_List,MATCH($F1244,'Product List'!$B$1:$B$299,0),MATCH('Order SUmmary'!M$2,'Product List'!$A$1:$E$1,0))</f>
        <v>4305</v>
      </c>
      <c r="N1244" s="8">
        <f>INDEX(Product_List,MATCH($F1244,'Product List'!$B$1:$B$299,0),MATCH('Order SUmmary'!N$2,'Product List'!$A$1:$E$1,0))</f>
        <v>1703</v>
      </c>
      <c r="O1244" s="8" t="str">
        <f>INDEX(Product_List,MATCH($F1244,'Product List'!$B$1:$B$299,0),MATCH('Order SUmmary'!O$2,'Product List'!$A$1:$E$1,0))</f>
        <v>Phones</v>
      </c>
      <c r="P1244" s="12">
        <f>HLOOKUP(C1244,'Commission Criteria'!$A$2:$I$4,3,FALSE)</f>
        <v>8</v>
      </c>
      <c r="Q1244" s="8">
        <f t="shared" si="58"/>
        <v>3406</v>
      </c>
      <c r="R1244" s="8">
        <f t="shared" si="59"/>
        <v>8610</v>
      </c>
      <c r="S1244" s="36">
        <f>VLOOKUP(R1244,'Commission Criteria'!$L$3:$M$11,2,TRUE)</f>
        <v>0.03</v>
      </c>
      <c r="T1244" s="36">
        <f>IF(P1244&lt;5,VLOOKUP(R1244,'Commission Criteria'!$L$3:$M$11,2,1),VLOOKUP('Order SUmmary'!R1244,'Commission Criteria'!$P$3:$Q$11,2,1))</f>
        <v>0.02</v>
      </c>
      <c r="U1244" s="36">
        <f>VLOOKUP(R1244,IF(P1244&lt;5,'Commission Criteria'!$L$3:$M$11,'Commission Criteria'!$P$3:$Q$11),2,1)</f>
        <v>0.02</v>
      </c>
      <c r="V1244" s="8" t="s">
        <v>40</v>
      </c>
      <c r="W1244" s="36">
        <f t="shared" ca="1" si="60"/>
        <v>0</v>
      </c>
      <c r="X1244" s="8" t="str">
        <f>_xlfn.XLOOKUP(F1244,'Product List'!$B$1:$B$299,'Product List'!$A$1:$A$299)</f>
        <v>LG G2</v>
      </c>
      <c r="Y1244" s="8"/>
      <c r="Z1244" s="8" t="str" cm="1">
        <f t="array" ref="Z1244:AD1244">_xlfn.XLOOKUP(D1244,'Customer Details'!$A$1:$A$17,'Customer Details'!$B$1:$F$17,"No such customer",0,1)</f>
        <v>Lupin Ltd.</v>
      </c>
      <c r="AA1244" s="8" t="str">
        <v>Abbey Wood</v>
      </c>
      <c r="AB1244" s="8" t="str">
        <v>New York</v>
      </c>
      <c r="AC1244" s="8" t="str">
        <v>NY</v>
      </c>
      <c r="AD1244" s="8" t="str">
        <v>10019</v>
      </c>
    </row>
    <row r="1245" spans="1:30">
      <c r="A1245" s="8" t="s">
        <v>1164</v>
      </c>
      <c r="B1245" s="19">
        <v>42345</v>
      </c>
      <c r="C1245" s="8" t="s">
        <v>33</v>
      </c>
      <c r="D1245" s="8">
        <v>10009</v>
      </c>
      <c r="E1245" s="8" t="str">
        <f>VLOOKUP($D1245,'Customer Details'!$A$1:$F$17,4,FALSE)</f>
        <v>Salt Lake City</v>
      </c>
      <c r="F1245" s="8" t="s">
        <v>284</v>
      </c>
      <c r="G1245" s="8">
        <v>3</v>
      </c>
      <c r="H1245" s="2" t="str">
        <f>VLOOKUP($D1245,'Customer Details'!$A$1:$F$17,MATCH('Order SUmmary'!H$2,'Customer Details'!$A$1:$F$1,0),0)</f>
        <v>Godfrey Philips India Ltd.</v>
      </c>
      <c r="I1245" s="2" t="str">
        <f>VLOOKUP($D1245,'Customer Details'!$A$1:$F$17,4,0)</f>
        <v>Salt Lake City</v>
      </c>
      <c r="J1245" s="2" t="str">
        <f>VLOOKUP($D1245,'Customer Details'!$A$1:$F$17,6,0)</f>
        <v>84118</v>
      </c>
      <c r="K1245" s="8" t="str">
        <f>VLOOKUP(VLOOKUP(D1245,'Customer Details'!$A$1:$F$17,5,0),'Region INfo'!$A$1:$C$52,3,0)</f>
        <v xml:space="preserve">Pacific   </v>
      </c>
      <c r="L1245" s="8" t="str">
        <f>INDEX(Product_List,MATCH($F1245,'Product List'!$B$1:$B$299,0),MATCH('Order SUmmary'!L$2,'Product List'!$A$1:$E$1,0))</f>
        <v>Xerox 1986</v>
      </c>
      <c r="M1245" s="8">
        <f>INDEX(Product_List,MATCH($F1245,'Product List'!$B$1:$B$299,0),MATCH('Order SUmmary'!M$2,'Product List'!$A$1:$E$1,0))</f>
        <v>2889</v>
      </c>
      <c r="N1245" s="8">
        <f>INDEX(Product_List,MATCH($F1245,'Product List'!$B$1:$B$299,0),MATCH('Order SUmmary'!N$2,'Product List'!$A$1:$E$1,0))</f>
        <v>1384</v>
      </c>
      <c r="O1245" s="8" t="str">
        <f>INDEX(Product_List,MATCH($F1245,'Product List'!$B$1:$B$299,0),MATCH('Order SUmmary'!O$2,'Product List'!$A$1:$E$1,0))</f>
        <v>Paper</v>
      </c>
      <c r="P1245" s="12">
        <f>HLOOKUP(C1245,'Commission Criteria'!$A$2:$I$4,3,FALSE)</f>
        <v>1</v>
      </c>
      <c r="Q1245" s="8">
        <f t="shared" si="58"/>
        <v>4152</v>
      </c>
      <c r="R1245" s="8">
        <f t="shared" si="59"/>
        <v>8667</v>
      </c>
      <c r="S1245" s="36">
        <f>VLOOKUP(R1245,'Commission Criteria'!$L$3:$M$11,2,TRUE)</f>
        <v>0.03</v>
      </c>
      <c r="T1245" s="36">
        <f>IF(P1245&lt;5,VLOOKUP(R1245,'Commission Criteria'!$L$3:$M$11,2,1),VLOOKUP('Order SUmmary'!R1245,'Commission Criteria'!$P$3:$Q$11,2,1))</f>
        <v>0.03</v>
      </c>
      <c r="U1245" s="36">
        <f>VLOOKUP(R1245,IF(P1245&lt;5,'Commission Criteria'!$L$3:$M$11,'Commission Criteria'!$P$3:$Q$11),2,1)</f>
        <v>0.03</v>
      </c>
      <c r="V1245" s="8" t="s">
        <v>29</v>
      </c>
      <c r="W1245" s="36">
        <f t="shared" ca="1" si="60"/>
        <v>0.03</v>
      </c>
      <c r="X1245" s="8" t="str">
        <f>_xlfn.XLOOKUP(F1245,'Product List'!$B$1:$B$299,'Product List'!$A$1:$A$299)</f>
        <v>Xerox 1986</v>
      </c>
      <c r="Y1245" s="8"/>
      <c r="Z1245" s="8" t="str" cm="1">
        <f t="array" ref="Z1245:AD1245">_xlfn.XLOOKUP(D1245,'Customer Details'!$A$1:$A$17,'Customer Details'!$B$1:$F$17,"No such customer",0,1)</f>
        <v>Godfrey Philips India Ltd.</v>
      </c>
      <c r="AA1245" s="8" t="str">
        <v>20501 Ania Ave #2</v>
      </c>
      <c r="AB1245" s="8" t="str">
        <v>Salt Lake City</v>
      </c>
      <c r="AC1245" s="8" t="str">
        <v>UT</v>
      </c>
      <c r="AD1245" s="8" t="str">
        <v>84118</v>
      </c>
    </row>
    <row r="1246" spans="1:30">
      <c r="A1246" s="8" t="s">
        <v>1165</v>
      </c>
      <c r="B1246" s="19">
        <v>42347</v>
      </c>
      <c r="C1246" s="8" t="s">
        <v>27</v>
      </c>
      <c r="D1246" s="8">
        <v>10004</v>
      </c>
      <c r="E1246" s="8" t="str">
        <f>VLOOKUP($D1246,'Customer Details'!$A$1:$F$17,4,FALSE)</f>
        <v>New York</v>
      </c>
      <c r="F1246" s="8" t="s">
        <v>133</v>
      </c>
      <c r="G1246" s="8">
        <v>1</v>
      </c>
      <c r="H1246" s="2" t="str">
        <f>VLOOKUP($D1246,'Customer Details'!$A$1:$F$17,MATCH('Order SUmmary'!H$2,'Customer Details'!$A$1:$F$1,0),0)</f>
        <v>Lupin Ltd.</v>
      </c>
      <c r="I1246" s="2" t="str">
        <f>VLOOKUP($D1246,'Customer Details'!$A$1:$F$17,4,0)</f>
        <v>New York</v>
      </c>
      <c r="J1246" s="2" t="str">
        <f>VLOOKUP($D1246,'Customer Details'!$A$1:$F$17,6,0)</f>
        <v>10019</v>
      </c>
      <c r="K1246" s="8" t="str">
        <f>VLOOKUP(VLOOKUP(D1246,'Customer Details'!$A$1:$F$17,5,0),'Region INfo'!$A$1:$C$52,3,0)</f>
        <v xml:space="preserve">Northern </v>
      </c>
      <c r="L1246" s="8" t="str">
        <f>INDEX(Product_List,MATCH($F1246,'Product List'!$B$1:$B$299,0),MATCH('Order SUmmary'!L$2,'Product List'!$A$1:$E$1,0))</f>
        <v>Xerox 213</v>
      </c>
      <c r="M1246" s="8">
        <f>INDEX(Product_List,MATCH($F1246,'Product List'!$B$1:$B$299,0),MATCH('Order SUmmary'!M$2,'Product List'!$A$1:$E$1,0))</f>
        <v>4906</v>
      </c>
      <c r="N1246" s="8">
        <f>INDEX(Product_List,MATCH($F1246,'Product List'!$B$1:$B$299,0),MATCH('Order SUmmary'!N$2,'Product List'!$A$1:$E$1,0))</f>
        <v>2269</v>
      </c>
      <c r="O1246" s="8" t="str">
        <f>INDEX(Product_List,MATCH($F1246,'Product List'!$B$1:$B$299,0),MATCH('Order SUmmary'!O$2,'Product List'!$A$1:$E$1,0))</f>
        <v>Paper</v>
      </c>
      <c r="P1246" s="12">
        <f>HLOOKUP(C1246,'Commission Criteria'!$A$2:$I$4,3,FALSE)</f>
        <v>4</v>
      </c>
      <c r="Q1246" s="8">
        <f t="shared" si="58"/>
        <v>2269</v>
      </c>
      <c r="R1246" s="8">
        <f t="shared" si="59"/>
        <v>4906</v>
      </c>
      <c r="S1246" s="36">
        <f>VLOOKUP(R1246,'Commission Criteria'!$L$3:$M$11,2,TRUE)</f>
        <v>0.01</v>
      </c>
      <c r="T1246" s="36">
        <f>IF(P1246&lt;5,VLOOKUP(R1246,'Commission Criteria'!$L$3:$M$11,2,1),VLOOKUP('Order SUmmary'!R1246,'Commission Criteria'!$P$3:$Q$11,2,1))</f>
        <v>0.01</v>
      </c>
      <c r="U1246" s="36">
        <f>VLOOKUP(R1246,IF(P1246&lt;5,'Commission Criteria'!$L$3:$M$11,'Commission Criteria'!$P$3:$Q$11),2,1)</f>
        <v>0.01</v>
      </c>
      <c r="V1246" s="8" t="s">
        <v>32</v>
      </c>
      <c r="W1246" s="36">
        <f t="shared" ca="1" si="60"/>
        <v>0</v>
      </c>
      <c r="X1246" s="8" t="str">
        <f>_xlfn.XLOOKUP(F1246,'Product List'!$B$1:$B$299,'Product List'!$A$1:$A$299)</f>
        <v>Xerox 213</v>
      </c>
      <c r="Y1246" s="8"/>
      <c r="Z1246" s="8" t="str" cm="1">
        <f t="array" ref="Z1246:AD1246">_xlfn.XLOOKUP(D1246,'Customer Details'!$A$1:$A$17,'Customer Details'!$B$1:$F$17,"No such customer",0,1)</f>
        <v>Lupin Ltd.</v>
      </c>
      <c r="AA1246" s="8" t="str">
        <v>Abbey Wood</v>
      </c>
      <c r="AB1246" s="8" t="str">
        <v>New York</v>
      </c>
      <c r="AC1246" s="8" t="str">
        <v>NY</v>
      </c>
      <c r="AD1246" s="8" t="str">
        <v>10019</v>
      </c>
    </row>
    <row r="1247" spans="1:30">
      <c r="A1247" s="8" t="s">
        <v>1166</v>
      </c>
      <c r="B1247" s="19">
        <v>42348</v>
      </c>
      <c r="C1247" s="8" t="s">
        <v>33</v>
      </c>
      <c r="D1247" s="8">
        <v>10013</v>
      </c>
      <c r="E1247" s="8" t="str">
        <f>VLOOKUP($D1247,'Customer Details'!$A$1:$F$17,4,FALSE)</f>
        <v>Naugatuck</v>
      </c>
      <c r="F1247" s="8" t="s">
        <v>497</v>
      </c>
      <c r="G1247" s="8">
        <v>1</v>
      </c>
      <c r="H1247" s="2" t="str">
        <f>VLOOKUP($D1247,'Customer Details'!$A$1:$F$17,MATCH('Order SUmmary'!H$2,'Customer Details'!$A$1:$F$1,0),0)</f>
        <v>GMR Infrastructure Ltd.</v>
      </c>
      <c r="I1247" s="2" t="str">
        <f>VLOOKUP($D1247,'Customer Details'!$A$1:$F$17,4,0)</f>
        <v>Naugatuck</v>
      </c>
      <c r="J1247" s="2" t="str">
        <f>VLOOKUP($D1247,'Customer Details'!$A$1:$F$17,6,0)</f>
        <v>06770</v>
      </c>
      <c r="K1247" s="8" t="str">
        <f>VLOOKUP(VLOOKUP(D1247,'Customer Details'!$A$1:$F$17,5,0),'Region INfo'!$A$1:$C$52,3,0)</f>
        <v xml:space="preserve">Northern </v>
      </c>
      <c r="L1247" s="8" t="str">
        <f>INDEX(Product_List,MATCH($F1247,'Product List'!$B$1:$B$299,0),MATCH('Order SUmmary'!L$2,'Product List'!$A$1:$E$1,0))</f>
        <v>Xerox 232</v>
      </c>
      <c r="M1247" s="8">
        <f>INDEX(Product_List,MATCH($F1247,'Product List'!$B$1:$B$299,0),MATCH('Order SUmmary'!M$2,'Product List'!$A$1:$E$1,0))</f>
        <v>2814</v>
      </c>
      <c r="N1247" s="8">
        <f>INDEX(Product_List,MATCH($F1247,'Product List'!$B$1:$B$299,0),MATCH('Order SUmmary'!N$2,'Product List'!$A$1:$E$1,0))</f>
        <v>2437</v>
      </c>
      <c r="O1247" s="8" t="str">
        <f>INDEX(Product_List,MATCH($F1247,'Product List'!$B$1:$B$299,0),MATCH('Order SUmmary'!O$2,'Product List'!$A$1:$E$1,0))</f>
        <v>Paper</v>
      </c>
      <c r="P1247" s="12">
        <f>HLOOKUP(C1247,'Commission Criteria'!$A$2:$I$4,3,FALSE)</f>
        <v>1</v>
      </c>
      <c r="Q1247" s="8">
        <f t="shared" si="58"/>
        <v>2437</v>
      </c>
      <c r="R1247" s="8">
        <f t="shared" si="59"/>
        <v>2814</v>
      </c>
      <c r="S1247" s="36">
        <f>VLOOKUP(R1247,'Commission Criteria'!$L$3:$M$11,2,TRUE)</f>
        <v>0.01</v>
      </c>
      <c r="T1247" s="36">
        <f>IF(P1247&lt;5,VLOOKUP(R1247,'Commission Criteria'!$L$3:$M$11,2,1),VLOOKUP('Order SUmmary'!R1247,'Commission Criteria'!$P$3:$Q$11,2,1))</f>
        <v>0.01</v>
      </c>
      <c r="U1247" s="36">
        <f>VLOOKUP(R1247,IF(P1247&lt;5,'Commission Criteria'!$L$3:$M$11,'Commission Criteria'!$P$3:$Q$11),2,1)</f>
        <v>0.01</v>
      </c>
      <c r="V1247" s="8" t="s">
        <v>50</v>
      </c>
      <c r="W1247" s="36">
        <f t="shared" ca="1" si="60"/>
        <v>0.04</v>
      </c>
      <c r="X1247" s="8" t="str">
        <f>_xlfn.XLOOKUP(F1247,'Product List'!$B$1:$B$299,'Product List'!$A$1:$A$299)</f>
        <v>Xerox 232</v>
      </c>
      <c r="Y1247" s="8"/>
      <c r="Z1247" s="8" t="str" cm="1">
        <f t="array" ref="Z1247:AD1247">_xlfn.XLOOKUP(D1247,'Customer Details'!$A$1:$A$17,'Customer Details'!$B$1:$F$17,"No such customer",0,1)</f>
        <v>GMR Infrastructure Ltd.</v>
      </c>
      <c r="AA1247" s="8" t="str">
        <v>P.O. Box 4421</v>
      </c>
      <c r="AB1247" s="8" t="str">
        <v>Naugatuck</v>
      </c>
      <c r="AC1247" s="8" t="str">
        <v>CT</v>
      </c>
      <c r="AD1247" s="8" t="str">
        <v>06770</v>
      </c>
    </row>
    <row r="1248" spans="1:30">
      <c r="A1248" s="8" t="s">
        <v>1167</v>
      </c>
      <c r="B1248" s="19">
        <v>42348</v>
      </c>
      <c r="C1248" s="8" t="s">
        <v>44</v>
      </c>
      <c r="D1248" s="8">
        <v>10011</v>
      </c>
      <c r="E1248" s="8" t="str">
        <f>VLOOKUP($D1248,'Customer Details'!$A$1:$F$17,4,FALSE)</f>
        <v>Olympia</v>
      </c>
      <c r="F1248" s="8" t="s">
        <v>434</v>
      </c>
      <c r="G1248" s="8">
        <v>1</v>
      </c>
      <c r="H1248" s="2" t="str">
        <f>VLOOKUP($D1248,'Customer Details'!$A$1:$F$17,MATCH('Order SUmmary'!H$2,'Customer Details'!$A$1:$F$1,0),0)</f>
        <v>Sonata Software</v>
      </c>
      <c r="I1248" s="2" t="str">
        <f>VLOOKUP($D1248,'Customer Details'!$A$1:$F$17,4,0)</f>
        <v>Olympia</v>
      </c>
      <c r="J1248" s="2" t="str">
        <f>VLOOKUP($D1248,'Customer Details'!$A$1:$F$17,6,0)</f>
        <v>98502</v>
      </c>
      <c r="K1248" s="8" t="str">
        <f>VLOOKUP(VLOOKUP(D1248,'Customer Details'!$A$1:$F$17,5,0),'Region INfo'!$A$1:$C$52,3,0)</f>
        <v xml:space="preserve">Pacific   </v>
      </c>
      <c r="L1248" s="8" t="str">
        <f>INDEX(Product_List,MATCH($F1248,'Product List'!$B$1:$B$299,0),MATCH('Order SUmmary'!L$2,'Product List'!$A$1:$E$1,0))</f>
        <v>Xerox 1952</v>
      </c>
      <c r="M1248" s="8">
        <f>INDEX(Product_List,MATCH($F1248,'Product List'!$B$1:$B$299,0),MATCH('Order SUmmary'!M$2,'Product List'!$A$1:$E$1,0))</f>
        <v>2996</v>
      </c>
      <c r="N1248" s="8">
        <f>INDEX(Product_List,MATCH($F1248,'Product List'!$B$1:$B$299,0),MATCH('Order SUmmary'!N$2,'Product List'!$A$1:$E$1,0))</f>
        <v>1641</v>
      </c>
      <c r="O1248" s="8" t="str">
        <f>INDEX(Product_List,MATCH($F1248,'Product List'!$B$1:$B$299,0),MATCH('Order SUmmary'!O$2,'Product List'!$A$1:$E$1,0))</f>
        <v>Paper</v>
      </c>
      <c r="P1248" s="12">
        <f>HLOOKUP(C1248,'Commission Criteria'!$A$2:$I$4,3,FALSE)</f>
        <v>4</v>
      </c>
      <c r="Q1248" s="8">
        <f t="shared" si="58"/>
        <v>1641</v>
      </c>
      <c r="R1248" s="8">
        <f t="shared" si="59"/>
        <v>2996</v>
      </c>
      <c r="S1248" s="36">
        <f>VLOOKUP(R1248,'Commission Criteria'!$L$3:$M$11,2,TRUE)</f>
        <v>0.01</v>
      </c>
      <c r="T1248" s="36">
        <f>IF(P1248&lt;5,VLOOKUP(R1248,'Commission Criteria'!$L$3:$M$11,2,1),VLOOKUP('Order SUmmary'!R1248,'Commission Criteria'!$P$3:$Q$11,2,1))</f>
        <v>0.01</v>
      </c>
      <c r="U1248" s="36">
        <f>VLOOKUP(R1248,IF(P1248&lt;5,'Commission Criteria'!$L$3:$M$11,'Commission Criteria'!$P$3:$Q$11),2,1)</f>
        <v>0.01</v>
      </c>
      <c r="V1248" s="8" t="s">
        <v>29</v>
      </c>
      <c r="W1248" s="36">
        <f t="shared" ca="1" si="60"/>
        <v>0.04</v>
      </c>
      <c r="X1248" s="8" t="str">
        <f>_xlfn.XLOOKUP(F1248,'Product List'!$B$1:$B$299,'Product List'!$A$1:$A$299)</f>
        <v>Xerox 1952</v>
      </c>
      <c r="Y1248" s="8"/>
      <c r="Z1248" s="8" t="str" cm="1">
        <f t="array" ref="Z1248:AD1248">_xlfn.XLOOKUP(D1248,'Customer Details'!$A$1:$A$17,'Customer Details'!$B$1:$F$17,"No such customer",0,1)</f>
        <v>Sonata Software</v>
      </c>
      <c r="AA1248" s="8" t="str">
        <v>1331 Kimberly Dr.</v>
      </c>
      <c r="AB1248" s="8" t="str">
        <v>Olympia</v>
      </c>
      <c r="AC1248" s="8" t="str">
        <v>WA</v>
      </c>
      <c r="AD1248" s="8" t="str">
        <v>98502</v>
      </c>
    </row>
    <row r="1249" spans="1:30">
      <c r="A1249" s="8" t="s">
        <v>1167</v>
      </c>
      <c r="B1249" s="19">
        <v>42348</v>
      </c>
      <c r="C1249" s="8" t="s">
        <v>33</v>
      </c>
      <c r="D1249" s="8">
        <v>10004</v>
      </c>
      <c r="E1249" s="8" t="str">
        <f>VLOOKUP($D1249,'Customer Details'!$A$1:$F$17,4,FALSE)</f>
        <v>New York</v>
      </c>
      <c r="F1249" s="8" t="s">
        <v>362</v>
      </c>
      <c r="G1249" s="8">
        <v>1</v>
      </c>
      <c r="H1249" s="2" t="str">
        <f>VLOOKUP($D1249,'Customer Details'!$A$1:$F$17,MATCH('Order SUmmary'!H$2,'Customer Details'!$A$1:$F$1,0),0)</f>
        <v>Lupin Ltd.</v>
      </c>
      <c r="I1249" s="2" t="str">
        <f>VLOOKUP($D1249,'Customer Details'!$A$1:$F$17,4,0)</f>
        <v>New York</v>
      </c>
      <c r="J1249" s="2" t="str">
        <f>VLOOKUP($D1249,'Customer Details'!$A$1:$F$17,6,0)</f>
        <v>10019</v>
      </c>
      <c r="K1249" s="8" t="str">
        <f>VLOOKUP(VLOOKUP(D1249,'Customer Details'!$A$1:$F$17,5,0),'Region INfo'!$A$1:$C$52,3,0)</f>
        <v xml:space="preserve">Northern </v>
      </c>
      <c r="L1249" s="8" t="str">
        <f>INDEX(Product_List,MATCH($F1249,'Product List'!$B$1:$B$299,0),MATCH('Order SUmmary'!L$2,'Product List'!$A$1:$E$1,0))</f>
        <v>Avery 499</v>
      </c>
      <c r="M1249" s="8">
        <f>INDEX(Product_List,MATCH($F1249,'Product List'!$B$1:$B$299,0),MATCH('Order SUmmary'!M$2,'Product List'!$A$1:$E$1,0))</f>
        <v>4765</v>
      </c>
      <c r="N1249" s="8">
        <f>INDEX(Product_List,MATCH($F1249,'Product List'!$B$1:$B$299,0),MATCH('Order SUmmary'!N$2,'Product List'!$A$1:$E$1,0))</f>
        <v>1286</v>
      </c>
      <c r="O1249" s="8" t="str">
        <f>INDEX(Product_List,MATCH($F1249,'Product List'!$B$1:$B$299,0),MATCH('Order SUmmary'!O$2,'Product List'!$A$1:$E$1,0))</f>
        <v>Labels</v>
      </c>
      <c r="P1249" s="12">
        <f>HLOOKUP(C1249,'Commission Criteria'!$A$2:$I$4,3,FALSE)</f>
        <v>1</v>
      </c>
      <c r="Q1249" s="8">
        <f t="shared" si="58"/>
        <v>1286</v>
      </c>
      <c r="R1249" s="8">
        <f t="shared" si="59"/>
        <v>4765</v>
      </c>
      <c r="S1249" s="36">
        <f>VLOOKUP(R1249,'Commission Criteria'!$L$3:$M$11,2,TRUE)</f>
        <v>0.01</v>
      </c>
      <c r="T1249" s="36">
        <f>IF(P1249&lt;5,VLOOKUP(R1249,'Commission Criteria'!$L$3:$M$11,2,1),VLOOKUP('Order SUmmary'!R1249,'Commission Criteria'!$P$3:$Q$11,2,1))</f>
        <v>0.01</v>
      </c>
      <c r="U1249" s="36">
        <f>VLOOKUP(R1249,IF(P1249&lt;5,'Commission Criteria'!$L$3:$M$11,'Commission Criteria'!$P$3:$Q$11),2,1)</f>
        <v>0.01</v>
      </c>
      <c r="V1249" s="8" t="s">
        <v>32</v>
      </c>
      <c r="W1249" s="36">
        <f t="shared" ca="1" si="60"/>
        <v>0</v>
      </c>
      <c r="X1249" s="8" t="str">
        <f>_xlfn.XLOOKUP(F1249,'Product List'!$B$1:$B$299,'Product List'!$A$1:$A$299)</f>
        <v>Avery 499</v>
      </c>
      <c r="Y1249" s="8"/>
      <c r="Z1249" s="8" t="str" cm="1">
        <f t="array" ref="Z1249:AD1249">_xlfn.XLOOKUP(D1249,'Customer Details'!$A$1:$A$17,'Customer Details'!$B$1:$F$17,"No such customer",0,1)</f>
        <v>Lupin Ltd.</v>
      </c>
      <c r="AA1249" s="8" t="str">
        <v>Abbey Wood</v>
      </c>
      <c r="AB1249" s="8" t="str">
        <v>New York</v>
      </c>
      <c r="AC1249" s="8" t="str">
        <v>NY</v>
      </c>
      <c r="AD1249" s="8" t="str">
        <v>10019</v>
      </c>
    </row>
    <row r="1250" spans="1:30">
      <c r="A1250" s="8" t="s">
        <v>1168</v>
      </c>
      <c r="B1250" s="19">
        <v>42349</v>
      </c>
      <c r="C1250" s="8" t="s">
        <v>44</v>
      </c>
      <c r="D1250" s="8">
        <v>10004</v>
      </c>
      <c r="E1250" s="8" t="str">
        <f>VLOOKUP($D1250,'Customer Details'!$A$1:$F$17,4,FALSE)</f>
        <v>New York</v>
      </c>
      <c r="F1250" s="8" t="s">
        <v>83</v>
      </c>
      <c r="G1250" s="8">
        <v>1</v>
      </c>
      <c r="H1250" s="2" t="str">
        <f>VLOOKUP($D1250,'Customer Details'!$A$1:$F$17,MATCH('Order SUmmary'!H$2,'Customer Details'!$A$1:$F$1,0),0)</f>
        <v>Lupin Ltd.</v>
      </c>
      <c r="I1250" s="2" t="str">
        <f>VLOOKUP($D1250,'Customer Details'!$A$1:$F$17,4,0)</f>
        <v>New York</v>
      </c>
      <c r="J1250" s="2" t="str">
        <f>VLOOKUP($D1250,'Customer Details'!$A$1:$F$17,6,0)</f>
        <v>10019</v>
      </c>
      <c r="K1250" s="8" t="str">
        <f>VLOOKUP(VLOOKUP(D1250,'Customer Details'!$A$1:$F$17,5,0),'Region INfo'!$A$1:$C$52,3,0)</f>
        <v xml:space="preserve">Northern </v>
      </c>
      <c r="L1250" s="8" t="str">
        <f>INDEX(Product_List,MATCH($F1250,'Product List'!$B$1:$B$299,0),MATCH('Order SUmmary'!L$2,'Product List'!$A$1:$E$1,0))</f>
        <v>Xerox 211</v>
      </c>
      <c r="M1250" s="8">
        <f>INDEX(Product_List,MATCH($F1250,'Product List'!$B$1:$B$299,0),MATCH('Order SUmmary'!M$2,'Product List'!$A$1:$E$1,0))</f>
        <v>4291</v>
      </c>
      <c r="N1250" s="8">
        <f>INDEX(Product_List,MATCH($F1250,'Product List'!$B$1:$B$299,0),MATCH('Order SUmmary'!N$2,'Product List'!$A$1:$E$1,0))</f>
        <v>2021</v>
      </c>
      <c r="O1250" s="8" t="str">
        <f>INDEX(Product_List,MATCH($F1250,'Product List'!$B$1:$B$299,0),MATCH('Order SUmmary'!O$2,'Product List'!$A$1:$E$1,0))</f>
        <v>Paper</v>
      </c>
      <c r="P1250" s="12">
        <f>HLOOKUP(C1250,'Commission Criteria'!$A$2:$I$4,3,FALSE)</f>
        <v>4</v>
      </c>
      <c r="Q1250" s="8">
        <f t="shared" si="58"/>
        <v>2021</v>
      </c>
      <c r="R1250" s="8">
        <f t="shared" si="59"/>
        <v>4291</v>
      </c>
      <c r="S1250" s="36">
        <f>VLOOKUP(R1250,'Commission Criteria'!$L$3:$M$11,2,TRUE)</f>
        <v>0.01</v>
      </c>
      <c r="T1250" s="36">
        <f>IF(P1250&lt;5,VLOOKUP(R1250,'Commission Criteria'!$L$3:$M$11,2,1),VLOOKUP('Order SUmmary'!R1250,'Commission Criteria'!$P$3:$Q$11,2,1))</f>
        <v>0.01</v>
      </c>
      <c r="U1250" s="36">
        <f>VLOOKUP(R1250,IF(P1250&lt;5,'Commission Criteria'!$L$3:$M$11,'Commission Criteria'!$P$3:$Q$11),2,1)</f>
        <v>0.01</v>
      </c>
      <c r="V1250" s="8" t="s">
        <v>40</v>
      </c>
      <c r="W1250" s="36">
        <f t="shared" ca="1" si="60"/>
        <v>0.01</v>
      </c>
      <c r="X1250" s="8" t="str">
        <f>_xlfn.XLOOKUP(F1250,'Product List'!$B$1:$B$299,'Product List'!$A$1:$A$299)</f>
        <v>Xerox 211</v>
      </c>
      <c r="Y1250" s="8"/>
      <c r="Z1250" s="8" t="str" cm="1">
        <f t="array" ref="Z1250:AD1250">_xlfn.XLOOKUP(D1250,'Customer Details'!$A$1:$A$17,'Customer Details'!$B$1:$F$17,"No such customer",0,1)</f>
        <v>Lupin Ltd.</v>
      </c>
      <c r="AA1250" s="8" t="str">
        <v>Abbey Wood</v>
      </c>
      <c r="AB1250" s="8" t="str">
        <v>New York</v>
      </c>
      <c r="AC1250" s="8" t="str">
        <v>NY</v>
      </c>
      <c r="AD1250" s="8" t="str">
        <v>10019</v>
      </c>
    </row>
    <row r="1251" spans="1:30">
      <c r="A1251" s="8" t="s">
        <v>1169</v>
      </c>
      <c r="B1251" s="19">
        <v>42349</v>
      </c>
      <c r="C1251" s="8" t="s">
        <v>36</v>
      </c>
      <c r="D1251" s="8">
        <v>10005</v>
      </c>
      <c r="E1251" s="8" t="str">
        <f>VLOOKUP($D1251,'Customer Details'!$A$1:$F$17,4,FALSE)</f>
        <v>Goleta</v>
      </c>
      <c r="F1251" s="8" t="s">
        <v>565</v>
      </c>
      <c r="G1251" s="8">
        <v>3</v>
      </c>
      <c r="H1251" s="2" t="str">
        <f>VLOOKUP($D1251,'Customer Details'!$A$1:$F$17,MATCH('Order SUmmary'!H$2,'Customer Details'!$A$1:$F$1,0),0)</f>
        <v>Fortis Healthcare Ltd.</v>
      </c>
      <c r="I1251" s="2" t="str">
        <f>VLOOKUP($D1251,'Customer Details'!$A$1:$F$17,4,0)</f>
        <v>Goleta</v>
      </c>
      <c r="J1251" s="2" t="str">
        <f>VLOOKUP($D1251,'Customer Details'!$A$1:$F$17,6,0)</f>
        <v>93117</v>
      </c>
      <c r="K1251" s="8" t="str">
        <f>VLOOKUP(VLOOKUP(D1251,'Customer Details'!$A$1:$F$17,5,0),'Region INfo'!$A$1:$C$52,3,0)</f>
        <v xml:space="preserve">Pacific   </v>
      </c>
      <c r="L1251" s="8" t="str">
        <f>INDEX(Product_List,MATCH($F1251,'Product List'!$B$1:$B$299,0),MATCH('Order SUmmary'!L$2,'Product List'!$A$1:$E$1,0))</f>
        <v>Xerox 1944</v>
      </c>
      <c r="M1251" s="8">
        <f>INDEX(Product_List,MATCH($F1251,'Product List'!$B$1:$B$299,0),MATCH('Order SUmmary'!M$2,'Product List'!$A$1:$E$1,0))</f>
        <v>2657</v>
      </c>
      <c r="N1251" s="8">
        <f>INDEX(Product_List,MATCH($F1251,'Product List'!$B$1:$B$299,0),MATCH('Order SUmmary'!N$2,'Product List'!$A$1:$E$1,0))</f>
        <v>2480</v>
      </c>
      <c r="O1251" s="8" t="str">
        <f>INDEX(Product_List,MATCH($F1251,'Product List'!$B$1:$B$299,0),MATCH('Order SUmmary'!O$2,'Product List'!$A$1:$E$1,0))</f>
        <v>Paper</v>
      </c>
      <c r="P1251" s="12">
        <f>HLOOKUP(C1251,'Commission Criteria'!$A$2:$I$4,3,FALSE)</f>
        <v>6</v>
      </c>
      <c r="Q1251" s="8">
        <f t="shared" si="58"/>
        <v>7440</v>
      </c>
      <c r="R1251" s="8">
        <f t="shared" si="59"/>
        <v>7971</v>
      </c>
      <c r="S1251" s="36">
        <f>VLOOKUP(R1251,'Commission Criteria'!$L$3:$M$11,2,TRUE)</f>
        <v>0.03</v>
      </c>
      <c r="T1251" s="36">
        <f>IF(P1251&lt;5,VLOOKUP(R1251,'Commission Criteria'!$L$3:$M$11,2,1),VLOOKUP('Order SUmmary'!R1251,'Commission Criteria'!$P$3:$Q$11,2,1))</f>
        <v>0.02</v>
      </c>
      <c r="U1251" s="36">
        <f>VLOOKUP(R1251,IF(P1251&lt;5,'Commission Criteria'!$L$3:$M$11,'Commission Criteria'!$P$3:$Q$11),2,1)</f>
        <v>0.02</v>
      </c>
      <c r="V1251" s="8" t="s">
        <v>35</v>
      </c>
      <c r="W1251" s="36">
        <f t="shared" ca="1" si="60"/>
        <v>0.04</v>
      </c>
      <c r="X1251" s="8" t="str">
        <f>_xlfn.XLOOKUP(F1251,'Product List'!$B$1:$B$299,'Product List'!$A$1:$A$299)</f>
        <v>Xerox 1944</v>
      </c>
      <c r="Y1251" s="8"/>
      <c r="Z1251" s="8" t="str" cm="1">
        <f t="array" ref="Z1251:AD1251">_xlfn.XLOOKUP(D1251,'Customer Details'!$A$1:$A$17,'Customer Details'!$B$1:$F$17,"No such customer",0,1)</f>
        <v>Fortis Healthcare Ltd.</v>
      </c>
      <c r="AA1251" s="8" t="str">
        <v>14 Elsworthy Terrace</v>
      </c>
      <c r="AB1251" s="8" t="str">
        <v>Goleta</v>
      </c>
      <c r="AC1251" s="8" t="str">
        <v>CA</v>
      </c>
      <c r="AD1251" s="8" t="str">
        <v>93117</v>
      </c>
    </row>
    <row r="1252" spans="1:30">
      <c r="A1252" s="8" t="s">
        <v>1168</v>
      </c>
      <c r="B1252" s="19">
        <v>42349</v>
      </c>
      <c r="C1252" s="8" t="s">
        <v>66</v>
      </c>
      <c r="D1252" s="8">
        <v>10003</v>
      </c>
      <c r="E1252" s="8" t="str">
        <f>VLOOKUP($D1252,'Customer Details'!$A$1:$F$17,4,FALSE)</f>
        <v>Miami</v>
      </c>
      <c r="F1252" s="8" t="s">
        <v>341</v>
      </c>
      <c r="G1252" s="8">
        <v>3</v>
      </c>
      <c r="H1252" s="2" t="str">
        <f>VLOOKUP($D1252,'Customer Details'!$A$1:$F$17,MATCH('Order SUmmary'!H$2,'Customer Details'!$A$1:$F$1,0),0)</f>
        <v>Honeywell Automation</v>
      </c>
      <c r="I1252" s="2" t="str">
        <f>VLOOKUP($D1252,'Customer Details'!$A$1:$F$17,4,0)</f>
        <v>Miami</v>
      </c>
      <c r="J1252" s="2" t="str">
        <f>VLOOKUP($D1252,'Customer Details'!$A$1:$F$17,6,0)</f>
        <v>33732</v>
      </c>
      <c r="K1252" s="8" t="str">
        <f>VLOOKUP(VLOOKUP(D1252,'Customer Details'!$A$1:$F$17,5,0),'Region INfo'!$A$1:$C$52,3,0)</f>
        <v>Southern</v>
      </c>
      <c r="L1252" s="8" t="str">
        <f>INDEX(Product_List,MATCH($F1252,'Product List'!$B$1:$B$299,0),MATCH('Order SUmmary'!L$2,'Product List'!$A$1:$E$1,0))</f>
        <v>Newell 342</v>
      </c>
      <c r="M1252" s="8">
        <f>INDEX(Product_List,MATCH($F1252,'Product List'!$B$1:$B$299,0),MATCH('Order SUmmary'!M$2,'Product List'!$A$1:$E$1,0))</f>
        <v>4310</v>
      </c>
      <c r="N1252" s="8">
        <f>INDEX(Product_List,MATCH($F1252,'Product List'!$B$1:$B$299,0),MATCH('Order SUmmary'!N$2,'Product List'!$A$1:$E$1,0))</f>
        <v>2350</v>
      </c>
      <c r="O1252" s="8" t="str">
        <f>INDEX(Product_List,MATCH($F1252,'Product List'!$B$1:$B$299,0),MATCH('Order SUmmary'!O$2,'Product List'!$A$1:$E$1,0))</f>
        <v>Art</v>
      </c>
      <c r="P1252" s="12">
        <f>HLOOKUP(C1252,'Commission Criteria'!$A$2:$I$4,3,FALSE)</f>
        <v>5</v>
      </c>
      <c r="Q1252" s="8">
        <f t="shared" si="58"/>
        <v>7050</v>
      </c>
      <c r="R1252" s="8">
        <f t="shared" si="59"/>
        <v>12930</v>
      </c>
      <c r="S1252" s="36">
        <f>VLOOKUP(R1252,'Commission Criteria'!$L$3:$M$11,2,TRUE)</f>
        <v>0.03</v>
      </c>
      <c r="T1252" s="36">
        <f>IF(P1252&lt;5,VLOOKUP(R1252,'Commission Criteria'!$L$3:$M$11,2,1),VLOOKUP('Order SUmmary'!R1252,'Commission Criteria'!$P$3:$Q$11,2,1))</f>
        <v>0.02</v>
      </c>
      <c r="U1252" s="36">
        <f>VLOOKUP(R1252,IF(P1252&lt;5,'Commission Criteria'!$L$3:$M$11,'Commission Criteria'!$P$3:$Q$11),2,1)</f>
        <v>0.02</v>
      </c>
      <c r="V1252" s="8" t="s">
        <v>32</v>
      </c>
      <c r="W1252" s="36">
        <f t="shared" ca="1" si="60"/>
        <v>0.05</v>
      </c>
      <c r="X1252" s="8" t="str">
        <f>_xlfn.XLOOKUP(F1252,'Product List'!$B$1:$B$299,'Product List'!$A$1:$A$299)</f>
        <v>Newell 342</v>
      </c>
      <c r="Y1252" s="8"/>
      <c r="Z1252" s="8" t="str" cm="1">
        <f t="array" ref="Z1252:AD1252">_xlfn.XLOOKUP(D1252,'Customer Details'!$A$1:$A$17,'Customer Details'!$B$1:$F$17,"No such customer",0,1)</f>
        <v>Honeywell Automation</v>
      </c>
      <c r="AA1252" s="8" t="str">
        <v>1272 Harbor Road</v>
      </c>
      <c r="AB1252" s="8" t="str">
        <v>Miami</v>
      </c>
      <c r="AC1252" s="8" t="str">
        <v>FL</v>
      </c>
      <c r="AD1252" s="8" t="str">
        <v>33732</v>
      </c>
    </row>
    <row r="1253" spans="1:30">
      <c r="A1253" s="8" t="s">
        <v>1170</v>
      </c>
      <c r="B1253" s="19">
        <v>42352</v>
      </c>
      <c r="C1253" s="8" t="s">
        <v>54</v>
      </c>
      <c r="D1253" s="8">
        <v>10001</v>
      </c>
      <c r="E1253" s="8" t="str">
        <f>VLOOKUP($D1253,'Customer Details'!$A$1:$F$17,4,FALSE)</f>
        <v>New York</v>
      </c>
      <c r="F1253" s="8" t="s">
        <v>785</v>
      </c>
      <c r="G1253" s="8">
        <v>1</v>
      </c>
      <c r="H1253" s="2" t="str">
        <f>VLOOKUP($D1253,'Customer Details'!$A$1:$F$17,MATCH('Order SUmmary'!H$2,'Customer Details'!$A$1:$F$1,0),0)</f>
        <v>Chambal Fertilisers and Chemicals Ltd.</v>
      </c>
      <c r="I1253" s="2" t="str">
        <f>VLOOKUP($D1253,'Customer Details'!$A$1:$F$17,4,0)</f>
        <v>New York</v>
      </c>
      <c r="J1253" s="2" t="str">
        <f>VLOOKUP($D1253,'Customer Details'!$A$1:$F$17,6,0)</f>
        <v>10025</v>
      </c>
      <c r="K1253" s="8" t="str">
        <f>VLOOKUP(VLOOKUP(D1253,'Customer Details'!$A$1:$F$17,5,0),'Region INfo'!$A$1:$C$52,3,0)</f>
        <v xml:space="preserve">Northern </v>
      </c>
      <c r="L1253" s="8" t="str">
        <f>INDEX(Product_List,MATCH($F1253,'Product List'!$B$1:$B$299,0),MATCH('Order SUmmary'!L$2,'Product List'!$A$1:$E$1,0))</f>
        <v>Xerox 1901</v>
      </c>
      <c r="M1253" s="8">
        <f>INDEX(Product_List,MATCH($F1253,'Product List'!$B$1:$B$299,0),MATCH('Order SUmmary'!M$2,'Product List'!$A$1:$E$1,0))</f>
        <v>2940</v>
      </c>
      <c r="N1253" s="8">
        <f>INDEX(Product_List,MATCH($F1253,'Product List'!$B$1:$B$299,0),MATCH('Order SUmmary'!N$2,'Product List'!$A$1:$E$1,0))</f>
        <v>1468</v>
      </c>
      <c r="O1253" s="8" t="str">
        <f>INDEX(Product_List,MATCH($F1253,'Product List'!$B$1:$B$299,0),MATCH('Order SUmmary'!O$2,'Product List'!$A$1:$E$1,0))</f>
        <v>Paper</v>
      </c>
      <c r="P1253" s="12">
        <f>HLOOKUP(C1253,'Commission Criteria'!$A$2:$I$4,3,FALSE)</f>
        <v>3</v>
      </c>
      <c r="Q1253" s="8">
        <f t="shared" si="58"/>
        <v>1468</v>
      </c>
      <c r="R1253" s="8">
        <f t="shared" si="59"/>
        <v>2940</v>
      </c>
      <c r="S1253" s="36">
        <f>VLOOKUP(R1253,'Commission Criteria'!$L$3:$M$11,2,TRUE)</f>
        <v>0.01</v>
      </c>
      <c r="T1253" s="36">
        <f>IF(P1253&lt;5,VLOOKUP(R1253,'Commission Criteria'!$L$3:$M$11,2,1),VLOOKUP('Order SUmmary'!R1253,'Commission Criteria'!$P$3:$Q$11,2,1))</f>
        <v>0.01</v>
      </c>
      <c r="U1253" s="36">
        <f>VLOOKUP(R1253,IF(P1253&lt;5,'Commission Criteria'!$L$3:$M$11,'Commission Criteria'!$P$3:$Q$11),2,1)</f>
        <v>0.01</v>
      </c>
      <c r="V1253" s="8" t="s">
        <v>35</v>
      </c>
      <c r="W1253" s="36">
        <f t="shared" ca="1" si="60"/>
        <v>0.03</v>
      </c>
      <c r="X1253" s="8" t="str">
        <f>_xlfn.XLOOKUP(F1253,'Product List'!$B$1:$B$299,'Product List'!$A$1:$A$299)</f>
        <v>Xerox 1901</v>
      </c>
      <c r="Y1253" s="8"/>
      <c r="Z1253" s="8" t="str" cm="1">
        <f t="array" ref="Z1253:AD1253">_xlfn.XLOOKUP(D1253,'Customer Details'!$A$1:$A$17,'Customer Details'!$B$1:$F$17,"No such customer",0,1)</f>
        <v>Chambal Fertilisers and Chemicals Ltd.</v>
      </c>
      <c r="AA1253" s="8" t="str">
        <v>4951 Indiana Ave.</v>
      </c>
      <c r="AB1253" s="8" t="str">
        <v>New York</v>
      </c>
      <c r="AC1253" s="8" t="str">
        <v>NY</v>
      </c>
      <c r="AD1253" s="8" t="str">
        <v>10025</v>
      </c>
    </row>
    <row r="1254" spans="1:30">
      <c r="A1254" s="8" t="s">
        <v>1171</v>
      </c>
      <c r="B1254" s="19">
        <v>42352</v>
      </c>
      <c r="C1254" s="8" t="s">
        <v>54</v>
      </c>
      <c r="D1254" s="8">
        <v>10012</v>
      </c>
      <c r="E1254" s="8" t="str">
        <f>VLOOKUP($D1254,'Customer Details'!$A$1:$F$17,4,FALSE)</f>
        <v>Santa Barbara</v>
      </c>
      <c r="F1254" s="8" t="s">
        <v>62</v>
      </c>
      <c r="G1254" s="8">
        <v>2</v>
      </c>
      <c r="H1254" s="2" t="str">
        <f>VLOOKUP($D1254,'Customer Details'!$A$1:$F$17,MATCH('Order SUmmary'!H$2,'Customer Details'!$A$1:$F$1,0),0)</f>
        <v>Dynamatic Technologies Ltd.</v>
      </c>
      <c r="I1254" s="2" t="str">
        <f>VLOOKUP($D1254,'Customer Details'!$A$1:$F$17,4,0)</f>
        <v>Santa Barbara</v>
      </c>
      <c r="J1254" s="2" t="str">
        <f>VLOOKUP($D1254,'Customer Details'!$A$1:$F$17,6,0)</f>
        <v>93110</v>
      </c>
      <c r="K1254" s="8" t="str">
        <f>VLOOKUP(VLOOKUP(D1254,'Customer Details'!$A$1:$F$17,5,0),'Region INfo'!$A$1:$C$52,3,0)</f>
        <v xml:space="preserve">Pacific   </v>
      </c>
      <c r="L1254" s="8" t="str">
        <f>INDEX(Product_List,MATCH($F1254,'Product List'!$B$1:$B$299,0),MATCH('Order SUmmary'!L$2,'Product List'!$A$1:$E$1,0))</f>
        <v>Newell 308</v>
      </c>
      <c r="M1254" s="8">
        <f>INDEX(Product_List,MATCH($F1254,'Product List'!$B$1:$B$299,0),MATCH('Order SUmmary'!M$2,'Product List'!$A$1:$E$1,0))</f>
        <v>4515</v>
      </c>
      <c r="N1254" s="8">
        <f>INDEX(Product_List,MATCH($F1254,'Product List'!$B$1:$B$299,0),MATCH('Order SUmmary'!N$2,'Product List'!$A$1:$E$1,0))</f>
        <v>1550</v>
      </c>
      <c r="O1254" s="8" t="str">
        <f>INDEX(Product_List,MATCH($F1254,'Product List'!$B$1:$B$299,0),MATCH('Order SUmmary'!O$2,'Product List'!$A$1:$E$1,0))</f>
        <v>Art</v>
      </c>
      <c r="P1254" s="12">
        <f>HLOOKUP(C1254,'Commission Criteria'!$A$2:$I$4,3,FALSE)</f>
        <v>3</v>
      </c>
      <c r="Q1254" s="8">
        <f t="shared" si="58"/>
        <v>3100</v>
      </c>
      <c r="R1254" s="8">
        <f t="shared" si="59"/>
        <v>9030</v>
      </c>
      <c r="S1254" s="36">
        <f>VLOOKUP(R1254,'Commission Criteria'!$L$3:$M$11,2,TRUE)</f>
        <v>0.03</v>
      </c>
      <c r="T1254" s="36">
        <f>IF(P1254&lt;5,VLOOKUP(R1254,'Commission Criteria'!$L$3:$M$11,2,1),VLOOKUP('Order SUmmary'!R1254,'Commission Criteria'!$P$3:$Q$11,2,1))</f>
        <v>0.03</v>
      </c>
      <c r="U1254" s="36">
        <f>VLOOKUP(R1254,IF(P1254&lt;5,'Commission Criteria'!$L$3:$M$11,'Commission Criteria'!$P$3:$Q$11),2,1)</f>
        <v>0.03</v>
      </c>
      <c r="V1254" s="8" t="s">
        <v>35</v>
      </c>
      <c r="W1254" s="36">
        <f t="shared" ca="1" si="60"/>
        <v>0.05</v>
      </c>
      <c r="X1254" s="8" t="str">
        <f>_xlfn.XLOOKUP(F1254,'Product List'!$B$1:$B$299,'Product List'!$A$1:$A$299)</f>
        <v>Newell 308</v>
      </c>
      <c r="Y1254" s="8"/>
      <c r="Z1254" s="8" t="str" cm="1">
        <f t="array" ref="Z1254:AD1254">_xlfn.XLOOKUP(D1254,'Customer Details'!$A$1:$A$17,'Customer Details'!$B$1:$F$17,"No such customer",0,1)</f>
        <v>Dynamatic Technologies Ltd.</v>
      </c>
      <c r="AA1254" s="8" t="str">
        <v>402 Pinkster Lane</v>
      </c>
      <c r="AB1254" s="8" t="str">
        <v>Santa Barbara</v>
      </c>
      <c r="AC1254" s="8" t="str">
        <v>CA</v>
      </c>
      <c r="AD1254" s="8" t="str">
        <v>93110</v>
      </c>
    </row>
    <row r="1255" spans="1:30">
      <c r="A1255" s="8" t="s">
        <v>1172</v>
      </c>
      <c r="B1255" s="19">
        <v>42352</v>
      </c>
      <c r="C1255" s="8" t="s">
        <v>27</v>
      </c>
      <c r="D1255" s="8">
        <v>10008</v>
      </c>
      <c r="E1255" s="8" t="str">
        <f>VLOOKUP($D1255,'Customer Details'!$A$1:$F$17,4,FALSE)</f>
        <v>Chestnut Ridge</v>
      </c>
      <c r="F1255" s="8" t="s">
        <v>479</v>
      </c>
      <c r="G1255" s="8">
        <v>2</v>
      </c>
      <c r="H1255" s="2" t="str">
        <f>VLOOKUP($D1255,'Customer Details'!$A$1:$F$17,MATCH('Order SUmmary'!H$2,'Customer Details'!$A$1:$F$1,0),0)</f>
        <v>Reliance Industries Limited</v>
      </c>
      <c r="I1255" s="2" t="str">
        <f>VLOOKUP($D1255,'Customer Details'!$A$1:$F$17,4,0)</f>
        <v>Chestnut Ridge</v>
      </c>
      <c r="J1255" s="2" t="str">
        <f>VLOOKUP($D1255,'Customer Details'!$A$1:$F$17,6,0)</f>
        <v>10977</v>
      </c>
      <c r="K1255" s="8" t="str">
        <f>VLOOKUP(VLOOKUP(D1255,'Customer Details'!$A$1:$F$17,5,0),'Region INfo'!$A$1:$C$52,3,0)</f>
        <v xml:space="preserve">Northern </v>
      </c>
      <c r="L1255" s="8" t="str">
        <f>INDEX(Product_List,MATCH($F1255,'Product List'!$B$1:$B$299,0),MATCH('Order SUmmary'!L$2,'Product List'!$A$1:$E$1,0))</f>
        <v>Xerox 23</v>
      </c>
      <c r="M1255" s="8">
        <f>INDEX(Product_List,MATCH($F1255,'Product List'!$B$1:$B$299,0),MATCH('Order SUmmary'!M$2,'Product List'!$A$1:$E$1,0))</f>
        <v>4643</v>
      </c>
      <c r="N1255" s="8">
        <f>INDEX(Product_List,MATCH($F1255,'Product List'!$B$1:$B$299,0),MATCH('Order SUmmary'!N$2,'Product List'!$A$1:$E$1,0))</f>
        <v>1549</v>
      </c>
      <c r="O1255" s="8" t="str">
        <f>INDEX(Product_List,MATCH($F1255,'Product List'!$B$1:$B$299,0),MATCH('Order SUmmary'!O$2,'Product List'!$A$1:$E$1,0))</f>
        <v>Paper</v>
      </c>
      <c r="P1255" s="12">
        <f>HLOOKUP(C1255,'Commission Criteria'!$A$2:$I$4,3,FALSE)</f>
        <v>4</v>
      </c>
      <c r="Q1255" s="8">
        <f t="shared" si="58"/>
        <v>3098</v>
      </c>
      <c r="R1255" s="8">
        <f t="shared" si="59"/>
        <v>9286</v>
      </c>
      <c r="S1255" s="36">
        <f>VLOOKUP(R1255,'Commission Criteria'!$L$3:$M$11,2,TRUE)</f>
        <v>0.03</v>
      </c>
      <c r="T1255" s="36">
        <f>IF(P1255&lt;5,VLOOKUP(R1255,'Commission Criteria'!$L$3:$M$11,2,1),VLOOKUP('Order SUmmary'!R1255,'Commission Criteria'!$P$3:$Q$11,2,1))</f>
        <v>0.03</v>
      </c>
      <c r="U1255" s="36">
        <f>VLOOKUP(R1255,IF(P1255&lt;5,'Commission Criteria'!$L$3:$M$11,'Commission Criteria'!$P$3:$Q$11),2,1)</f>
        <v>0.03</v>
      </c>
      <c r="V1255" s="8" t="s">
        <v>40</v>
      </c>
      <c r="W1255" s="36">
        <f t="shared" ca="1" si="60"/>
        <v>0.04</v>
      </c>
      <c r="X1255" s="8" t="str">
        <f>_xlfn.XLOOKUP(F1255,'Product List'!$B$1:$B$299,'Product List'!$A$1:$A$299)</f>
        <v>Xerox 23</v>
      </c>
      <c r="Y1255" s="8"/>
      <c r="Z1255" s="8" t="str" cm="1">
        <f t="array" ref="Z1255:AD1255">_xlfn.XLOOKUP(D1255,'Customer Details'!$A$1:$A$17,'Customer Details'!$B$1:$F$17,"No such customer",0,1)</f>
        <v>Reliance Industries Limited</v>
      </c>
      <c r="AA1255" s="8" t="str">
        <v>12020 Shamrock Rd., Suite 333</v>
      </c>
      <c r="AB1255" s="8" t="str">
        <v>Chestnut Ridge</v>
      </c>
      <c r="AC1255" s="8" t="str">
        <v>NY</v>
      </c>
      <c r="AD1255" s="8" t="str">
        <v>10977</v>
      </c>
    </row>
    <row r="1256" spans="1:30">
      <c r="A1256" s="8" t="s">
        <v>1173</v>
      </c>
      <c r="B1256" s="19">
        <v>42354</v>
      </c>
      <c r="C1256" s="8" t="s">
        <v>33</v>
      </c>
      <c r="D1256" s="8">
        <v>10013</v>
      </c>
      <c r="E1256" s="8" t="str">
        <f>VLOOKUP($D1256,'Customer Details'!$A$1:$F$17,4,FALSE)</f>
        <v>Naugatuck</v>
      </c>
      <c r="F1256" s="8" t="s">
        <v>541</v>
      </c>
      <c r="G1256" s="8">
        <v>1</v>
      </c>
      <c r="H1256" s="2" t="str">
        <f>VLOOKUP($D1256,'Customer Details'!$A$1:$F$17,MATCH('Order SUmmary'!H$2,'Customer Details'!$A$1:$F$1,0),0)</f>
        <v>GMR Infrastructure Ltd.</v>
      </c>
      <c r="I1256" s="2" t="str">
        <f>VLOOKUP($D1256,'Customer Details'!$A$1:$F$17,4,0)</f>
        <v>Naugatuck</v>
      </c>
      <c r="J1256" s="2" t="str">
        <f>VLOOKUP($D1256,'Customer Details'!$A$1:$F$17,6,0)</f>
        <v>06770</v>
      </c>
      <c r="K1256" s="8" t="str">
        <f>VLOOKUP(VLOOKUP(D1256,'Customer Details'!$A$1:$F$17,5,0),'Region INfo'!$A$1:$C$52,3,0)</f>
        <v xml:space="preserve">Northern </v>
      </c>
      <c r="L1256" s="8" t="str">
        <f>INDEX(Product_List,MATCH($F1256,'Product List'!$B$1:$B$299,0),MATCH('Order SUmmary'!L$2,'Product List'!$A$1:$E$1,0))</f>
        <v>Xerox 221</v>
      </c>
      <c r="M1256" s="8">
        <f>INDEX(Product_List,MATCH($F1256,'Product List'!$B$1:$B$299,0),MATCH('Order SUmmary'!M$2,'Product List'!$A$1:$E$1,0))</f>
        <v>4152</v>
      </c>
      <c r="N1256" s="8">
        <f>INDEX(Product_List,MATCH($F1256,'Product List'!$B$1:$B$299,0),MATCH('Order SUmmary'!N$2,'Product List'!$A$1:$E$1,0))</f>
        <v>1278</v>
      </c>
      <c r="O1256" s="8" t="str">
        <f>INDEX(Product_List,MATCH($F1256,'Product List'!$B$1:$B$299,0),MATCH('Order SUmmary'!O$2,'Product List'!$A$1:$E$1,0))</f>
        <v>Paper</v>
      </c>
      <c r="P1256" s="12">
        <f>HLOOKUP(C1256,'Commission Criteria'!$A$2:$I$4,3,FALSE)</f>
        <v>1</v>
      </c>
      <c r="Q1256" s="8">
        <f t="shared" si="58"/>
        <v>1278</v>
      </c>
      <c r="R1256" s="8">
        <f t="shared" si="59"/>
        <v>4152</v>
      </c>
      <c r="S1256" s="36">
        <f>VLOOKUP(R1256,'Commission Criteria'!$L$3:$M$11,2,TRUE)</f>
        <v>0.01</v>
      </c>
      <c r="T1256" s="36">
        <f>IF(P1256&lt;5,VLOOKUP(R1256,'Commission Criteria'!$L$3:$M$11,2,1),VLOOKUP('Order SUmmary'!R1256,'Commission Criteria'!$P$3:$Q$11,2,1))</f>
        <v>0.01</v>
      </c>
      <c r="U1256" s="36">
        <f>VLOOKUP(R1256,IF(P1256&lt;5,'Commission Criteria'!$L$3:$M$11,'Commission Criteria'!$P$3:$Q$11),2,1)</f>
        <v>0.01</v>
      </c>
      <c r="V1256" s="8" t="s">
        <v>50</v>
      </c>
      <c r="W1256" s="36">
        <f t="shared" ca="1" si="60"/>
        <v>0.05</v>
      </c>
      <c r="X1256" s="8" t="str">
        <f>_xlfn.XLOOKUP(F1256,'Product List'!$B$1:$B$299,'Product List'!$A$1:$A$299)</f>
        <v>Xerox 221</v>
      </c>
      <c r="Y1256" s="8"/>
      <c r="Z1256" s="8" t="str" cm="1">
        <f t="array" ref="Z1256:AD1256">_xlfn.XLOOKUP(D1256,'Customer Details'!$A$1:$A$17,'Customer Details'!$B$1:$F$17,"No such customer",0,1)</f>
        <v>GMR Infrastructure Ltd.</v>
      </c>
      <c r="AA1256" s="8" t="str">
        <v>P.O. Box 4421</v>
      </c>
      <c r="AB1256" s="8" t="str">
        <v>Naugatuck</v>
      </c>
      <c r="AC1256" s="8" t="str">
        <v>CT</v>
      </c>
      <c r="AD1256" s="8" t="str">
        <v>06770</v>
      </c>
    </row>
    <row r="1257" spans="1:30">
      <c r="A1257" s="8" t="s">
        <v>1174</v>
      </c>
      <c r="B1257" s="19">
        <v>42354</v>
      </c>
      <c r="C1257" s="8" t="s">
        <v>33</v>
      </c>
      <c r="D1257" s="8">
        <v>10013</v>
      </c>
      <c r="E1257" s="8" t="str">
        <f>VLOOKUP($D1257,'Customer Details'!$A$1:$F$17,4,FALSE)</f>
        <v>Naugatuck</v>
      </c>
      <c r="F1257" s="8" t="s">
        <v>854</v>
      </c>
      <c r="G1257" s="8">
        <v>2</v>
      </c>
      <c r="H1257" s="2" t="str">
        <f>VLOOKUP($D1257,'Customer Details'!$A$1:$F$17,MATCH('Order SUmmary'!H$2,'Customer Details'!$A$1:$F$1,0),0)</f>
        <v>GMR Infrastructure Ltd.</v>
      </c>
      <c r="I1257" s="2" t="str">
        <f>VLOOKUP($D1257,'Customer Details'!$A$1:$F$17,4,0)</f>
        <v>Naugatuck</v>
      </c>
      <c r="J1257" s="2" t="str">
        <f>VLOOKUP($D1257,'Customer Details'!$A$1:$F$17,6,0)</f>
        <v>06770</v>
      </c>
      <c r="K1257" s="8" t="str">
        <f>VLOOKUP(VLOOKUP(D1257,'Customer Details'!$A$1:$F$17,5,0),'Region INfo'!$A$1:$C$52,3,0)</f>
        <v xml:space="preserve">Northern </v>
      </c>
      <c r="L1257" s="8" t="str">
        <f>INDEX(Product_List,MATCH($F1257,'Product List'!$B$1:$B$299,0),MATCH('Order SUmmary'!L$2,'Product List'!$A$1:$E$1,0))</f>
        <v>Newell 341</v>
      </c>
      <c r="M1257" s="8">
        <f>INDEX(Product_List,MATCH($F1257,'Product List'!$B$1:$B$299,0),MATCH('Order SUmmary'!M$2,'Product List'!$A$1:$E$1,0))</f>
        <v>2617</v>
      </c>
      <c r="N1257" s="8">
        <f>INDEX(Product_List,MATCH($F1257,'Product List'!$B$1:$B$299,0),MATCH('Order SUmmary'!N$2,'Product List'!$A$1:$E$1,0))</f>
        <v>1736</v>
      </c>
      <c r="O1257" s="8" t="str">
        <f>INDEX(Product_List,MATCH($F1257,'Product List'!$B$1:$B$299,0),MATCH('Order SUmmary'!O$2,'Product List'!$A$1:$E$1,0))</f>
        <v>Art</v>
      </c>
      <c r="P1257" s="12">
        <f>HLOOKUP(C1257,'Commission Criteria'!$A$2:$I$4,3,FALSE)</f>
        <v>1</v>
      </c>
      <c r="Q1257" s="8">
        <f t="shared" si="58"/>
        <v>3472</v>
      </c>
      <c r="R1257" s="8">
        <f t="shared" si="59"/>
        <v>5234</v>
      </c>
      <c r="S1257" s="36">
        <f>VLOOKUP(R1257,'Commission Criteria'!$L$3:$M$11,2,TRUE)</f>
        <v>0.03</v>
      </c>
      <c r="T1257" s="36">
        <f>IF(P1257&lt;5,VLOOKUP(R1257,'Commission Criteria'!$L$3:$M$11,2,1),VLOOKUP('Order SUmmary'!R1257,'Commission Criteria'!$P$3:$Q$11,2,1))</f>
        <v>0.03</v>
      </c>
      <c r="U1257" s="36">
        <f>VLOOKUP(R1257,IF(P1257&lt;5,'Commission Criteria'!$L$3:$M$11,'Commission Criteria'!$P$3:$Q$11),2,1)</f>
        <v>0.03</v>
      </c>
      <c r="V1257" s="8" t="s">
        <v>40</v>
      </c>
      <c r="W1257" s="36">
        <f t="shared" ca="1" si="60"/>
        <v>0</v>
      </c>
      <c r="X1257" s="8" t="str">
        <f>_xlfn.XLOOKUP(F1257,'Product List'!$B$1:$B$299,'Product List'!$A$1:$A$299)</f>
        <v>Newell 341</v>
      </c>
      <c r="Y1257" s="8"/>
      <c r="Z1257" s="8" t="str" cm="1">
        <f t="array" ref="Z1257:AD1257">_xlfn.XLOOKUP(D1257,'Customer Details'!$A$1:$A$17,'Customer Details'!$B$1:$F$17,"No such customer",0,1)</f>
        <v>GMR Infrastructure Ltd.</v>
      </c>
      <c r="AA1257" s="8" t="str">
        <v>P.O. Box 4421</v>
      </c>
      <c r="AB1257" s="8" t="str">
        <v>Naugatuck</v>
      </c>
      <c r="AC1257" s="8" t="str">
        <v>CT</v>
      </c>
      <c r="AD1257" s="8" t="str">
        <v>06770</v>
      </c>
    </row>
    <row r="1258" spans="1:30">
      <c r="A1258" s="8" t="s">
        <v>1175</v>
      </c>
      <c r="B1258" s="19">
        <v>42355</v>
      </c>
      <c r="C1258" s="8" t="s">
        <v>46</v>
      </c>
      <c r="D1258" s="8">
        <v>10012</v>
      </c>
      <c r="E1258" s="8" t="str">
        <f>VLOOKUP($D1258,'Customer Details'!$A$1:$F$17,4,FALSE)</f>
        <v>Santa Barbara</v>
      </c>
      <c r="F1258" s="8" t="s">
        <v>324</v>
      </c>
      <c r="G1258" s="8">
        <v>2</v>
      </c>
      <c r="H1258" s="2" t="str">
        <f>VLOOKUP($D1258,'Customer Details'!$A$1:$F$17,MATCH('Order SUmmary'!H$2,'Customer Details'!$A$1:$F$1,0),0)</f>
        <v>Dynamatic Technologies Ltd.</v>
      </c>
      <c r="I1258" s="2" t="str">
        <f>VLOOKUP($D1258,'Customer Details'!$A$1:$F$17,4,0)</f>
        <v>Santa Barbara</v>
      </c>
      <c r="J1258" s="2" t="str">
        <f>VLOOKUP($D1258,'Customer Details'!$A$1:$F$17,6,0)</f>
        <v>93110</v>
      </c>
      <c r="K1258" s="8" t="str">
        <f>VLOOKUP(VLOOKUP(D1258,'Customer Details'!$A$1:$F$17,5,0),'Region INfo'!$A$1:$C$52,3,0)</f>
        <v xml:space="preserve">Pacific   </v>
      </c>
      <c r="L1258" s="8" t="str">
        <f>INDEX(Product_List,MATCH($F1258,'Product List'!$B$1:$B$299,0),MATCH('Order SUmmary'!L$2,'Product List'!$A$1:$E$1,0))</f>
        <v>Newell 31</v>
      </c>
      <c r="M1258" s="8">
        <f>INDEX(Product_List,MATCH($F1258,'Product List'!$B$1:$B$299,0),MATCH('Order SUmmary'!M$2,'Product List'!$A$1:$E$1,0))</f>
        <v>4729</v>
      </c>
      <c r="N1258" s="8">
        <f>INDEX(Product_List,MATCH($F1258,'Product List'!$B$1:$B$299,0),MATCH('Order SUmmary'!N$2,'Product List'!$A$1:$E$1,0))</f>
        <v>1359</v>
      </c>
      <c r="O1258" s="8" t="str">
        <f>INDEX(Product_List,MATCH($F1258,'Product List'!$B$1:$B$299,0),MATCH('Order SUmmary'!O$2,'Product List'!$A$1:$E$1,0))</f>
        <v>Art</v>
      </c>
      <c r="P1258" s="12">
        <f>HLOOKUP(C1258,'Commission Criteria'!$A$2:$I$4,3,FALSE)</f>
        <v>8</v>
      </c>
      <c r="Q1258" s="8">
        <f t="shared" si="58"/>
        <v>2718</v>
      </c>
      <c r="R1258" s="8">
        <f t="shared" si="59"/>
        <v>9458</v>
      </c>
      <c r="S1258" s="36">
        <f>VLOOKUP(R1258,'Commission Criteria'!$L$3:$M$11,2,TRUE)</f>
        <v>0.03</v>
      </c>
      <c r="T1258" s="36">
        <f>IF(P1258&lt;5,VLOOKUP(R1258,'Commission Criteria'!$L$3:$M$11,2,1),VLOOKUP('Order SUmmary'!R1258,'Commission Criteria'!$P$3:$Q$11,2,1))</f>
        <v>0.02</v>
      </c>
      <c r="U1258" s="36">
        <f>VLOOKUP(R1258,IF(P1258&lt;5,'Commission Criteria'!$L$3:$M$11,'Commission Criteria'!$P$3:$Q$11),2,1)</f>
        <v>0.02</v>
      </c>
      <c r="V1258" s="8" t="s">
        <v>35</v>
      </c>
      <c r="W1258" s="36">
        <f t="shared" ca="1" si="60"/>
        <v>0.04</v>
      </c>
      <c r="X1258" s="8" t="str">
        <f>_xlfn.XLOOKUP(F1258,'Product List'!$B$1:$B$299,'Product List'!$A$1:$A$299)</f>
        <v>Newell 31</v>
      </c>
      <c r="Y1258" s="8"/>
      <c r="Z1258" s="8" t="str" cm="1">
        <f t="array" ref="Z1258:AD1258">_xlfn.XLOOKUP(D1258,'Customer Details'!$A$1:$A$17,'Customer Details'!$B$1:$F$17,"No such customer",0,1)</f>
        <v>Dynamatic Technologies Ltd.</v>
      </c>
      <c r="AA1258" s="8" t="str">
        <v>402 Pinkster Lane</v>
      </c>
      <c r="AB1258" s="8" t="str">
        <v>Santa Barbara</v>
      </c>
      <c r="AC1258" s="8" t="str">
        <v>CA</v>
      </c>
      <c r="AD1258" s="8" t="str">
        <v>93110</v>
      </c>
    </row>
    <row r="1259" spans="1:30">
      <c r="A1259" s="8" t="s">
        <v>1176</v>
      </c>
      <c r="B1259" s="19">
        <v>42357</v>
      </c>
      <c r="C1259" s="8" t="s">
        <v>44</v>
      </c>
      <c r="D1259" s="8">
        <v>10014</v>
      </c>
      <c r="E1259" s="8" t="str">
        <f>VLOOKUP($D1259,'Customer Details'!$A$1:$F$17,4,FALSE)</f>
        <v>Honolulu</v>
      </c>
      <c r="F1259" s="8" t="s">
        <v>158</v>
      </c>
      <c r="G1259" s="8">
        <v>2</v>
      </c>
      <c r="H1259" s="2" t="str">
        <f>VLOOKUP($D1259,'Customer Details'!$A$1:$F$17,MATCH('Order SUmmary'!H$2,'Customer Details'!$A$1:$F$1,0),0)</f>
        <v>Hindusthan National Glass &amp; Industries Ltd.</v>
      </c>
      <c r="I1259" s="2" t="str">
        <f>VLOOKUP($D1259,'Customer Details'!$A$1:$F$17,4,0)</f>
        <v>Honolulu</v>
      </c>
      <c r="J1259" s="2" t="str">
        <f>VLOOKUP($D1259,'Customer Details'!$A$1:$F$17,6,0)</f>
        <v>96825</v>
      </c>
      <c r="K1259" s="8" t="str">
        <f>VLOOKUP(VLOOKUP(D1259,'Customer Details'!$A$1:$F$17,5,0),'Region INfo'!$A$1:$C$52,3,0)</f>
        <v xml:space="preserve">Pacific   </v>
      </c>
      <c r="L1259" s="8" t="str">
        <f>INDEX(Product_List,MATCH($F1259,'Product List'!$B$1:$B$299,0),MATCH('Order SUmmary'!L$2,'Product List'!$A$1:$E$1,0))</f>
        <v>Vtech CS6719</v>
      </c>
      <c r="M1259" s="8">
        <f>INDEX(Product_List,MATCH($F1259,'Product List'!$B$1:$B$299,0),MATCH('Order SUmmary'!M$2,'Product List'!$A$1:$E$1,0))</f>
        <v>3553</v>
      </c>
      <c r="N1259" s="8">
        <f>INDEX(Product_List,MATCH($F1259,'Product List'!$B$1:$B$299,0),MATCH('Order SUmmary'!N$2,'Product List'!$A$1:$E$1,0))</f>
        <v>2174</v>
      </c>
      <c r="O1259" s="8" t="str">
        <f>INDEX(Product_List,MATCH($F1259,'Product List'!$B$1:$B$299,0),MATCH('Order SUmmary'!O$2,'Product List'!$A$1:$E$1,0))</f>
        <v>Phones</v>
      </c>
      <c r="P1259" s="12">
        <f>HLOOKUP(C1259,'Commission Criteria'!$A$2:$I$4,3,FALSE)</f>
        <v>4</v>
      </c>
      <c r="Q1259" s="8">
        <f t="shared" si="58"/>
        <v>4348</v>
      </c>
      <c r="R1259" s="8">
        <f t="shared" si="59"/>
        <v>7106</v>
      </c>
      <c r="S1259" s="36">
        <f>VLOOKUP(R1259,'Commission Criteria'!$L$3:$M$11,2,TRUE)</f>
        <v>0.03</v>
      </c>
      <c r="T1259" s="36">
        <f>IF(P1259&lt;5,VLOOKUP(R1259,'Commission Criteria'!$L$3:$M$11,2,1),VLOOKUP('Order SUmmary'!R1259,'Commission Criteria'!$P$3:$Q$11,2,1))</f>
        <v>0.03</v>
      </c>
      <c r="U1259" s="36">
        <f>VLOOKUP(R1259,IF(P1259&lt;5,'Commission Criteria'!$L$3:$M$11,'Commission Criteria'!$P$3:$Q$11),2,1)</f>
        <v>0.03</v>
      </c>
      <c r="V1259" s="8" t="s">
        <v>50</v>
      </c>
      <c r="W1259" s="36">
        <f t="shared" ca="1" si="60"/>
        <v>0.03</v>
      </c>
      <c r="X1259" s="8" t="str">
        <f>_xlfn.XLOOKUP(F1259,'Product List'!$B$1:$B$299,'Product List'!$A$1:$A$299)</f>
        <v>Vtech CS6719</v>
      </c>
      <c r="Y1259" s="8"/>
      <c r="Z1259" s="8" t="str" cm="1">
        <f t="array" ref="Z1259:AD1259">_xlfn.XLOOKUP(D1259,'Customer Details'!$A$1:$A$17,'Customer Details'!$B$1:$F$17,"No such customer",0,1)</f>
        <v>Hindusthan National Glass &amp; Industries Ltd.</v>
      </c>
      <c r="AA1259" s="8" t="str">
        <v>11 Cathy St.</v>
      </c>
      <c r="AB1259" s="8" t="str">
        <v>Honolulu</v>
      </c>
      <c r="AC1259" s="8" t="str">
        <v>HI</v>
      </c>
      <c r="AD1259" s="8" t="str">
        <v>96825</v>
      </c>
    </row>
    <row r="1260" spans="1:30">
      <c r="A1260" s="8" t="s">
        <v>1177</v>
      </c>
      <c r="B1260" s="19">
        <v>42360</v>
      </c>
      <c r="C1260" s="8" t="s">
        <v>51</v>
      </c>
      <c r="D1260" s="8">
        <v>10005</v>
      </c>
      <c r="E1260" s="8" t="str">
        <f>VLOOKUP($D1260,'Customer Details'!$A$1:$F$17,4,FALSE)</f>
        <v>Goleta</v>
      </c>
      <c r="F1260" s="8" t="s">
        <v>474</v>
      </c>
      <c r="G1260" s="8">
        <v>1</v>
      </c>
      <c r="H1260" s="2" t="str">
        <f>VLOOKUP($D1260,'Customer Details'!$A$1:$F$17,MATCH('Order SUmmary'!H$2,'Customer Details'!$A$1:$F$1,0),0)</f>
        <v>Fortis Healthcare Ltd.</v>
      </c>
      <c r="I1260" s="2" t="str">
        <f>VLOOKUP($D1260,'Customer Details'!$A$1:$F$17,4,0)</f>
        <v>Goleta</v>
      </c>
      <c r="J1260" s="2" t="str">
        <f>VLOOKUP($D1260,'Customer Details'!$A$1:$F$17,6,0)</f>
        <v>93117</v>
      </c>
      <c r="K1260" s="8" t="str">
        <f>VLOOKUP(VLOOKUP(D1260,'Customer Details'!$A$1:$F$17,5,0),'Region INfo'!$A$1:$C$52,3,0)</f>
        <v xml:space="preserve">Pacific   </v>
      </c>
      <c r="L1260" s="8" t="str">
        <f>INDEX(Product_List,MATCH($F1260,'Product List'!$B$1:$B$299,0),MATCH('Order SUmmary'!L$2,'Product List'!$A$1:$E$1,0))</f>
        <v>Ideal Clamps</v>
      </c>
      <c r="M1260" s="8">
        <f>INDEX(Product_List,MATCH($F1260,'Product List'!$B$1:$B$299,0),MATCH('Order SUmmary'!M$2,'Product List'!$A$1:$E$1,0))</f>
        <v>4459</v>
      </c>
      <c r="N1260" s="8">
        <f>INDEX(Product_List,MATCH($F1260,'Product List'!$B$1:$B$299,0),MATCH('Order SUmmary'!N$2,'Product List'!$A$1:$E$1,0))</f>
        <v>1722</v>
      </c>
      <c r="O1260" s="8" t="str">
        <f>INDEX(Product_List,MATCH($F1260,'Product List'!$B$1:$B$299,0),MATCH('Order SUmmary'!O$2,'Product List'!$A$1:$E$1,0))</f>
        <v>Fasteners</v>
      </c>
      <c r="P1260" s="12">
        <f>HLOOKUP(C1260,'Commission Criteria'!$A$2:$I$4,3,FALSE)</f>
        <v>10</v>
      </c>
      <c r="Q1260" s="8">
        <f t="shared" si="58"/>
        <v>1722</v>
      </c>
      <c r="R1260" s="8">
        <f t="shared" si="59"/>
        <v>4459</v>
      </c>
      <c r="S1260" s="36">
        <f>VLOOKUP(R1260,'Commission Criteria'!$L$3:$M$11,2,TRUE)</f>
        <v>0.01</v>
      </c>
      <c r="T1260" s="36">
        <f>IF(P1260&lt;5,VLOOKUP(R1260,'Commission Criteria'!$L$3:$M$11,2,1),VLOOKUP('Order SUmmary'!R1260,'Commission Criteria'!$P$3:$Q$11,2,1))</f>
        <v>0.02</v>
      </c>
      <c r="U1260" s="36">
        <f>VLOOKUP(R1260,IF(P1260&lt;5,'Commission Criteria'!$L$3:$M$11,'Commission Criteria'!$P$3:$Q$11),2,1)</f>
        <v>0.02</v>
      </c>
      <c r="V1260" s="8" t="s">
        <v>35</v>
      </c>
      <c r="W1260" s="36">
        <f t="shared" ca="1" si="60"/>
        <v>0.03</v>
      </c>
      <c r="X1260" s="8" t="str">
        <f>_xlfn.XLOOKUP(F1260,'Product List'!$B$1:$B$299,'Product List'!$A$1:$A$299)</f>
        <v>Ideal Clamps</v>
      </c>
      <c r="Y1260" s="8"/>
      <c r="Z1260" s="8" t="str" cm="1">
        <f t="array" ref="Z1260:AD1260">_xlfn.XLOOKUP(D1260,'Customer Details'!$A$1:$A$17,'Customer Details'!$B$1:$F$17,"No such customer",0,1)</f>
        <v>Fortis Healthcare Ltd.</v>
      </c>
      <c r="AA1260" s="8" t="str">
        <v>14 Elsworthy Terrace</v>
      </c>
      <c r="AB1260" s="8" t="str">
        <v>Goleta</v>
      </c>
      <c r="AC1260" s="8" t="str">
        <v>CA</v>
      </c>
      <c r="AD1260" s="8" t="str">
        <v>93117</v>
      </c>
    </row>
    <row r="1261" spans="1:30">
      <c r="A1261" s="8" t="s">
        <v>1178</v>
      </c>
      <c r="B1261" s="19">
        <v>42360</v>
      </c>
      <c r="C1261" s="8" t="s">
        <v>44</v>
      </c>
      <c r="D1261" s="8">
        <v>10005</v>
      </c>
      <c r="E1261" s="8" t="str">
        <f>VLOOKUP($D1261,'Customer Details'!$A$1:$F$17,4,FALSE)</f>
        <v>Goleta</v>
      </c>
      <c r="F1261" s="8" t="s">
        <v>184</v>
      </c>
      <c r="G1261" s="8">
        <v>2</v>
      </c>
      <c r="H1261" s="2" t="str">
        <f>VLOOKUP($D1261,'Customer Details'!$A$1:$F$17,MATCH('Order SUmmary'!H$2,'Customer Details'!$A$1:$F$1,0),0)</f>
        <v>Fortis Healthcare Ltd.</v>
      </c>
      <c r="I1261" s="2" t="str">
        <f>VLOOKUP($D1261,'Customer Details'!$A$1:$F$17,4,0)</f>
        <v>Goleta</v>
      </c>
      <c r="J1261" s="2" t="str">
        <f>VLOOKUP($D1261,'Customer Details'!$A$1:$F$17,6,0)</f>
        <v>93117</v>
      </c>
      <c r="K1261" s="8" t="str">
        <f>VLOOKUP(VLOOKUP(D1261,'Customer Details'!$A$1:$F$17,5,0),'Region INfo'!$A$1:$C$52,3,0)</f>
        <v xml:space="preserve">Pacific   </v>
      </c>
      <c r="L1261" s="8" t="str">
        <f>INDEX(Product_List,MATCH($F1261,'Product List'!$B$1:$B$299,0),MATCH('Order SUmmary'!L$2,'Product List'!$A$1:$E$1,0))</f>
        <v>Xerox 1983</v>
      </c>
      <c r="M1261" s="8">
        <f>INDEX(Product_List,MATCH($F1261,'Product List'!$B$1:$B$299,0),MATCH('Order SUmmary'!M$2,'Product List'!$A$1:$E$1,0))</f>
        <v>3514</v>
      </c>
      <c r="N1261" s="8">
        <f>INDEX(Product_List,MATCH($F1261,'Product List'!$B$1:$B$299,0),MATCH('Order SUmmary'!N$2,'Product List'!$A$1:$E$1,0))</f>
        <v>1257</v>
      </c>
      <c r="O1261" s="8" t="str">
        <f>INDEX(Product_List,MATCH($F1261,'Product List'!$B$1:$B$299,0),MATCH('Order SUmmary'!O$2,'Product List'!$A$1:$E$1,0))</f>
        <v>Paper</v>
      </c>
      <c r="P1261" s="12">
        <f>HLOOKUP(C1261,'Commission Criteria'!$A$2:$I$4,3,FALSE)</f>
        <v>4</v>
      </c>
      <c r="Q1261" s="8">
        <f t="shared" si="58"/>
        <v>2514</v>
      </c>
      <c r="R1261" s="8">
        <f t="shared" si="59"/>
        <v>7028</v>
      </c>
      <c r="S1261" s="36">
        <f>VLOOKUP(R1261,'Commission Criteria'!$L$3:$M$11,2,TRUE)</f>
        <v>0.03</v>
      </c>
      <c r="T1261" s="36">
        <f>IF(P1261&lt;5,VLOOKUP(R1261,'Commission Criteria'!$L$3:$M$11,2,1),VLOOKUP('Order SUmmary'!R1261,'Commission Criteria'!$P$3:$Q$11,2,1))</f>
        <v>0.03</v>
      </c>
      <c r="U1261" s="36">
        <f>VLOOKUP(R1261,IF(P1261&lt;5,'Commission Criteria'!$L$3:$M$11,'Commission Criteria'!$P$3:$Q$11),2,1)</f>
        <v>0.03</v>
      </c>
      <c r="V1261" s="8" t="s">
        <v>35</v>
      </c>
      <c r="W1261" s="36">
        <f t="shared" ca="1" si="60"/>
        <v>0.03</v>
      </c>
      <c r="X1261" s="8" t="str">
        <f>_xlfn.XLOOKUP(F1261,'Product List'!$B$1:$B$299,'Product List'!$A$1:$A$299)</f>
        <v>Xerox 1983</v>
      </c>
      <c r="Y1261" s="8"/>
      <c r="Z1261" s="8" t="str" cm="1">
        <f t="array" ref="Z1261:AD1261">_xlfn.XLOOKUP(D1261,'Customer Details'!$A$1:$A$17,'Customer Details'!$B$1:$F$17,"No such customer",0,1)</f>
        <v>Fortis Healthcare Ltd.</v>
      </c>
      <c r="AA1261" s="8" t="str">
        <v>14 Elsworthy Terrace</v>
      </c>
      <c r="AB1261" s="8" t="str">
        <v>Goleta</v>
      </c>
      <c r="AC1261" s="8" t="str">
        <v>CA</v>
      </c>
      <c r="AD1261" s="8" t="str">
        <v>93117</v>
      </c>
    </row>
    <row r="1262" spans="1:30">
      <c r="A1262" s="8" t="s">
        <v>1179</v>
      </c>
      <c r="B1262" s="19">
        <v>42361</v>
      </c>
      <c r="C1262" s="8" t="s">
        <v>33</v>
      </c>
      <c r="D1262" s="8">
        <v>10009</v>
      </c>
      <c r="E1262" s="8" t="str">
        <f>VLOOKUP($D1262,'Customer Details'!$A$1:$F$17,4,FALSE)</f>
        <v>Salt Lake City</v>
      </c>
      <c r="F1262" s="8" t="s">
        <v>584</v>
      </c>
      <c r="G1262" s="8">
        <v>1</v>
      </c>
      <c r="H1262" s="2" t="str">
        <f>VLOOKUP($D1262,'Customer Details'!$A$1:$F$17,MATCH('Order SUmmary'!H$2,'Customer Details'!$A$1:$F$1,0),0)</f>
        <v>Godfrey Philips India Ltd.</v>
      </c>
      <c r="I1262" s="2" t="str">
        <f>VLOOKUP($D1262,'Customer Details'!$A$1:$F$17,4,0)</f>
        <v>Salt Lake City</v>
      </c>
      <c r="J1262" s="2" t="str">
        <f>VLOOKUP($D1262,'Customer Details'!$A$1:$F$17,6,0)</f>
        <v>84118</v>
      </c>
      <c r="K1262" s="8" t="str">
        <f>VLOOKUP(VLOOKUP(D1262,'Customer Details'!$A$1:$F$17,5,0),'Region INfo'!$A$1:$C$52,3,0)</f>
        <v xml:space="preserve">Pacific   </v>
      </c>
      <c r="L1262" s="8" t="str">
        <f>INDEX(Product_List,MATCH($F1262,'Product List'!$B$1:$B$299,0),MATCH('Order SUmmary'!L$2,'Product List'!$A$1:$E$1,0))</f>
        <v>Xerox 1894</v>
      </c>
      <c r="M1262" s="8">
        <f>INDEX(Product_List,MATCH($F1262,'Product List'!$B$1:$B$299,0),MATCH('Order SUmmary'!M$2,'Product List'!$A$1:$E$1,0))</f>
        <v>4369</v>
      </c>
      <c r="N1262" s="8">
        <f>INDEX(Product_List,MATCH($F1262,'Product List'!$B$1:$B$299,0),MATCH('Order SUmmary'!N$2,'Product List'!$A$1:$E$1,0))</f>
        <v>1245</v>
      </c>
      <c r="O1262" s="8" t="str">
        <f>INDEX(Product_List,MATCH($F1262,'Product List'!$B$1:$B$299,0),MATCH('Order SUmmary'!O$2,'Product List'!$A$1:$E$1,0))</f>
        <v>Paper</v>
      </c>
      <c r="P1262" s="12">
        <f>HLOOKUP(C1262,'Commission Criteria'!$A$2:$I$4,3,FALSE)</f>
        <v>1</v>
      </c>
      <c r="Q1262" s="8">
        <f t="shared" si="58"/>
        <v>1245</v>
      </c>
      <c r="R1262" s="8">
        <f t="shared" si="59"/>
        <v>4369</v>
      </c>
      <c r="S1262" s="36">
        <f>VLOOKUP(R1262,'Commission Criteria'!$L$3:$M$11,2,TRUE)</f>
        <v>0.01</v>
      </c>
      <c r="T1262" s="36">
        <f>IF(P1262&lt;5,VLOOKUP(R1262,'Commission Criteria'!$L$3:$M$11,2,1),VLOOKUP('Order SUmmary'!R1262,'Commission Criteria'!$P$3:$Q$11,2,1))</f>
        <v>0.01</v>
      </c>
      <c r="U1262" s="36">
        <f>VLOOKUP(R1262,IF(P1262&lt;5,'Commission Criteria'!$L$3:$M$11,'Commission Criteria'!$P$3:$Q$11),2,1)</f>
        <v>0.01</v>
      </c>
      <c r="V1262" s="8" t="s">
        <v>32</v>
      </c>
      <c r="W1262" s="36">
        <f t="shared" ca="1" si="60"/>
        <v>0.01</v>
      </c>
      <c r="X1262" s="8" t="str">
        <f>_xlfn.XLOOKUP(F1262,'Product List'!$B$1:$B$299,'Product List'!$A$1:$A$299)</f>
        <v>Xerox 1894</v>
      </c>
      <c r="Y1262" s="8"/>
      <c r="Z1262" s="8" t="str" cm="1">
        <f t="array" ref="Z1262:AD1262">_xlfn.XLOOKUP(D1262,'Customer Details'!$A$1:$A$17,'Customer Details'!$B$1:$F$17,"No such customer",0,1)</f>
        <v>Godfrey Philips India Ltd.</v>
      </c>
      <c r="AA1262" s="8" t="str">
        <v>20501 Ania Ave #2</v>
      </c>
      <c r="AB1262" s="8" t="str">
        <v>Salt Lake City</v>
      </c>
      <c r="AC1262" s="8" t="str">
        <v>UT</v>
      </c>
      <c r="AD1262" s="8" t="str">
        <v>84118</v>
      </c>
    </row>
    <row r="1263" spans="1:30">
      <c r="A1263" s="8" t="s">
        <v>1179</v>
      </c>
      <c r="B1263" s="19">
        <v>42361</v>
      </c>
      <c r="C1263" s="8" t="s">
        <v>46</v>
      </c>
      <c r="D1263" s="8">
        <v>10010</v>
      </c>
      <c r="E1263" s="8" t="str">
        <f>VLOOKUP($D1263,'Customer Details'!$A$1:$F$17,4,FALSE)</f>
        <v>Tracy</v>
      </c>
      <c r="F1263" s="8" t="s">
        <v>348</v>
      </c>
      <c r="G1263" s="8">
        <v>2</v>
      </c>
      <c r="H1263" s="2" t="str">
        <f>VLOOKUP($D1263,'Customer Details'!$A$1:$F$17,MATCH('Order SUmmary'!H$2,'Customer Details'!$A$1:$F$1,0),0)</f>
        <v>Suzlon Energy Ltd.</v>
      </c>
      <c r="I1263" s="2" t="str">
        <f>VLOOKUP($D1263,'Customer Details'!$A$1:$F$17,4,0)</f>
        <v>Tracy</v>
      </c>
      <c r="J1263" s="2" t="str">
        <f>VLOOKUP($D1263,'Customer Details'!$A$1:$F$17,6,0)</f>
        <v>95376</v>
      </c>
      <c r="K1263" s="8" t="str">
        <f>VLOOKUP(VLOOKUP(D1263,'Customer Details'!$A$1:$F$17,5,0),'Region INfo'!$A$1:$C$52,3,0)</f>
        <v xml:space="preserve">Pacific   </v>
      </c>
      <c r="L1263" s="8" t="str">
        <f>INDEX(Product_List,MATCH($F1263,'Product List'!$B$1:$B$299,0),MATCH('Order SUmmary'!L$2,'Product List'!$A$1:$E$1,0))</f>
        <v>Avery 512</v>
      </c>
      <c r="M1263" s="8">
        <f>INDEX(Product_List,MATCH($F1263,'Product List'!$B$1:$B$299,0),MATCH('Order SUmmary'!M$2,'Product List'!$A$1:$E$1,0))</f>
        <v>3507</v>
      </c>
      <c r="N1263" s="8">
        <f>INDEX(Product_List,MATCH($F1263,'Product List'!$B$1:$B$299,0),MATCH('Order SUmmary'!N$2,'Product List'!$A$1:$E$1,0))</f>
        <v>1643</v>
      </c>
      <c r="O1263" s="8" t="str">
        <f>INDEX(Product_List,MATCH($F1263,'Product List'!$B$1:$B$299,0),MATCH('Order SUmmary'!O$2,'Product List'!$A$1:$E$1,0))</f>
        <v>Labels</v>
      </c>
      <c r="P1263" s="12">
        <f>HLOOKUP(C1263,'Commission Criteria'!$A$2:$I$4,3,FALSE)</f>
        <v>8</v>
      </c>
      <c r="Q1263" s="8">
        <f t="shared" si="58"/>
        <v>3286</v>
      </c>
      <c r="R1263" s="8">
        <f t="shared" si="59"/>
        <v>7014</v>
      </c>
      <c r="S1263" s="36">
        <f>VLOOKUP(R1263,'Commission Criteria'!$L$3:$M$11,2,TRUE)</f>
        <v>0.03</v>
      </c>
      <c r="T1263" s="36">
        <f>IF(P1263&lt;5,VLOOKUP(R1263,'Commission Criteria'!$L$3:$M$11,2,1),VLOOKUP('Order SUmmary'!R1263,'Commission Criteria'!$P$3:$Q$11,2,1))</f>
        <v>0.02</v>
      </c>
      <c r="U1263" s="36">
        <f>VLOOKUP(R1263,IF(P1263&lt;5,'Commission Criteria'!$L$3:$M$11,'Commission Criteria'!$P$3:$Q$11),2,1)</f>
        <v>0.02</v>
      </c>
      <c r="V1263" s="8" t="s">
        <v>40</v>
      </c>
      <c r="W1263" s="36">
        <f t="shared" ca="1" si="60"/>
        <v>0.01</v>
      </c>
      <c r="X1263" s="8" t="str">
        <f>_xlfn.XLOOKUP(F1263,'Product List'!$B$1:$B$299,'Product List'!$A$1:$A$299)</f>
        <v>Avery 512</v>
      </c>
      <c r="Y1263" s="8"/>
      <c r="Z1263" s="8" t="str" cm="1">
        <f t="array" ref="Z1263:AD1263">_xlfn.XLOOKUP(D1263,'Customer Details'!$A$1:$A$17,'Customer Details'!$B$1:$F$17,"No such customer",0,1)</f>
        <v>Suzlon Energy Ltd.</v>
      </c>
      <c r="AA1263" s="8" t="str">
        <v>501 Marsh Trail Circle</v>
      </c>
      <c r="AB1263" s="8" t="str">
        <v>Tracy</v>
      </c>
      <c r="AC1263" s="8" t="str">
        <v>CA</v>
      </c>
      <c r="AD1263" s="8" t="str">
        <v>95376</v>
      </c>
    </row>
    <row r="1264" spans="1:30">
      <c r="A1264" s="8" t="s">
        <v>1179</v>
      </c>
      <c r="B1264" s="19">
        <v>42361</v>
      </c>
      <c r="C1264" s="8" t="s">
        <v>36</v>
      </c>
      <c r="D1264" s="8">
        <v>10010</v>
      </c>
      <c r="E1264" s="8" t="str">
        <f>VLOOKUP($D1264,'Customer Details'!$A$1:$F$17,4,FALSE)</f>
        <v>Tracy</v>
      </c>
      <c r="F1264" s="8" t="s">
        <v>539</v>
      </c>
      <c r="G1264" s="8">
        <v>3</v>
      </c>
      <c r="H1264" s="2" t="str">
        <f>VLOOKUP($D1264,'Customer Details'!$A$1:$F$17,MATCH('Order SUmmary'!H$2,'Customer Details'!$A$1:$F$1,0),0)</f>
        <v>Suzlon Energy Ltd.</v>
      </c>
      <c r="I1264" s="2" t="str">
        <f>VLOOKUP($D1264,'Customer Details'!$A$1:$F$17,4,0)</f>
        <v>Tracy</v>
      </c>
      <c r="J1264" s="2" t="str">
        <f>VLOOKUP($D1264,'Customer Details'!$A$1:$F$17,6,0)</f>
        <v>95376</v>
      </c>
      <c r="K1264" s="8" t="str">
        <f>VLOOKUP(VLOOKUP(D1264,'Customer Details'!$A$1:$F$17,5,0),'Region INfo'!$A$1:$C$52,3,0)</f>
        <v xml:space="preserve">Pacific   </v>
      </c>
      <c r="L1264" s="8" t="str">
        <f>INDEX(Product_List,MATCH($F1264,'Product List'!$B$1:$B$299,0),MATCH('Order SUmmary'!L$2,'Product List'!$A$1:$E$1,0))</f>
        <v>Xerox 220</v>
      </c>
      <c r="M1264" s="8">
        <f>INDEX(Product_List,MATCH($F1264,'Product List'!$B$1:$B$299,0),MATCH('Order SUmmary'!M$2,'Product List'!$A$1:$E$1,0))</f>
        <v>2714</v>
      </c>
      <c r="N1264" s="8">
        <f>INDEX(Product_List,MATCH($F1264,'Product List'!$B$1:$B$299,0),MATCH('Order SUmmary'!N$2,'Product List'!$A$1:$E$1,0))</f>
        <v>1975</v>
      </c>
      <c r="O1264" s="8" t="str">
        <f>INDEX(Product_List,MATCH($F1264,'Product List'!$B$1:$B$299,0),MATCH('Order SUmmary'!O$2,'Product List'!$A$1:$E$1,0))</f>
        <v>Paper</v>
      </c>
      <c r="P1264" s="12">
        <f>HLOOKUP(C1264,'Commission Criteria'!$A$2:$I$4,3,FALSE)</f>
        <v>6</v>
      </c>
      <c r="Q1264" s="8">
        <f t="shared" si="58"/>
        <v>5925</v>
      </c>
      <c r="R1264" s="8">
        <f t="shared" si="59"/>
        <v>8142</v>
      </c>
      <c r="S1264" s="36">
        <f>VLOOKUP(R1264,'Commission Criteria'!$L$3:$M$11,2,TRUE)</f>
        <v>0.03</v>
      </c>
      <c r="T1264" s="36">
        <f>IF(P1264&lt;5,VLOOKUP(R1264,'Commission Criteria'!$L$3:$M$11,2,1),VLOOKUP('Order SUmmary'!R1264,'Commission Criteria'!$P$3:$Q$11,2,1))</f>
        <v>0.02</v>
      </c>
      <c r="U1264" s="36">
        <f>VLOOKUP(R1264,IF(P1264&lt;5,'Commission Criteria'!$L$3:$M$11,'Commission Criteria'!$P$3:$Q$11),2,1)</f>
        <v>0.02</v>
      </c>
      <c r="V1264" s="8" t="s">
        <v>35</v>
      </c>
      <c r="W1264" s="36">
        <f t="shared" ca="1" si="60"/>
        <v>0</v>
      </c>
      <c r="X1264" s="8" t="str">
        <f>_xlfn.XLOOKUP(F1264,'Product List'!$B$1:$B$299,'Product List'!$A$1:$A$299)</f>
        <v>Xerox 220</v>
      </c>
      <c r="Y1264" s="8"/>
      <c r="Z1264" s="8" t="str" cm="1">
        <f t="array" ref="Z1264:AD1264">_xlfn.XLOOKUP(D1264,'Customer Details'!$A$1:$A$17,'Customer Details'!$B$1:$F$17,"No such customer",0,1)</f>
        <v>Suzlon Energy Ltd.</v>
      </c>
      <c r="AA1264" s="8" t="str">
        <v>501 Marsh Trail Circle</v>
      </c>
      <c r="AB1264" s="8" t="str">
        <v>Tracy</v>
      </c>
      <c r="AC1264" s="8" t="str">
        <v>CA</v>
      </c>
      <c r="AD1264" s="8" t="str">
        <v>95376</v>
      </c>
    </row>
    <row r="1265" spans="1:30">
      <c r="A1265" s="8" t="s">
        <v>1180</v>
      </c>
      <c r="B1265" s="19">
        <v>42365</v>
      </c>
      <c r="C1265" s="8" t="s">
        <v>44</v>
      </c>
      <c r="D1265" s="8">
        <v>10010</v>
      </c>
      <c r="E1265" s="8" t="str">
        <f>VLOOKUP($D1265,'Customer Details'!$A$1:$F$17,4,FALSE)</f>
        <v>Tracy</v>
      </c>
      <c r="F1265" s="8" t="s">
        <v>712</v>
      </c>
      <c r="G1265" s="8">
        <v>1</v>
      </c>
      <c r="H1265" s="2" t="str">
        <f>VLOOKUP($D1265,'Customer Details'!$A$1:$F$17,MATCH('Order SUmmary'!H$2,'Customer Details'!$A$1:$F$1,0),0)</f>
        <v>Suzlon Energy Ltd.</v>
      </c>
      <c r="I1265" s="2" t="str">
        <f>VLOOKUP($D1265,'Customer Details'!$A$1:$F$17,4,0)</f>
        <v>Tracy</v>
      </c>
      <c r="J1265" s="2" t="str">
        <f>VLOOKUP($D1265,'Customer Details'!$A$1:$F$17,6,0)</f>
        <v>95376</v>
      </c>
      <c r="K1265" s="8" t="str">
        <f>VLOOKUP(VLOOKUP(D1265,'Customer Details'!$A$1:$F$17,5,0),'Region INfo'!$A$1:$C$52,3,0)</f>
        <v xml:space="preserve">Pacific   </v>
      </c>
      <c r="L1265" s="8" t="str">
        <f>INDEX(Product_List,MATCH($F1265,'Product List'!$B$1:$B$299,0),MATCH('Order SUmmary'!L$2,'Product List'!$A$1:$E$1,0))</f>
        <v>Xerox 1929</v>
      </c>
      <c r="M1265" s="8">
        <f>INDEX(Product_List,MATCH($F1265,'Product List'!$B$1:$B$299,0),MATCH('Order SUmmary'!M$2,'Product List'!$A$1:$E$1,0))</f>
        <v>2856</v>
      </c>
      <c r="N1265" s="8">
        <f>INDEX(Product_List,MATCH($F1265,'Product List'!$B$1:$B$299,0),MATCH('Order SUmmary'!N$2,'Product List'!$A$1:$E$1,0))</f>
        <v>1780</v>
      </c>
      <c r="O1265" s="8" t="str">
        <f>INDEX(Product_List,MATCH($F1265,'Product List'!$B$1:$B$299,0),MATCH('Order SUmmary'!O$2,'Product List'!$A$1:$E$1,0))</f>
        <v>Paper</v>
      </c>
      <c r="P1265" s="12">
        <f>HLOOKUP(C1265,'Commission Criteria'!$A$2:$I$4,3,FALSE)</f>
        <v>4</v>
      </c>
      <c r="Q1265" s="8">
        <f t="shared" si="58"/>
        <v>1780</v>
      </c>
      <c r="R1265" s="8">
        <f t="shared" si="59"/>
        <v>2856</v>
      </c>
      <c r="S1265" s="36">
        <f>VLOOKUP(R1265,'Commission Criteria'!$L$3:$M$11,2,TRUE)</f>
        <v>0.01</v>
      </c>
      <c r="T1265" s="36">
        <f>IF(P1265&lt;5,VLOOKUP(R1265,'Commission Criteria'!$L$3:$M$11,2,1),VLOOKUP('Order SUmmary'!R1265,'Commission Criteria'!$P$3:$Q$11,2,1))</f>
        <v>0.01</v>
      </c>
      <c r="U1265" s="36">
        <f>VLOOKUP(R1265,IF(P1265&lt;5,'Commission Criteria'!$L$3:$M$11,'Commission Criteria'!$P$3:$Q$11),2,1)</f>
        <v>0.01</v>
      </c>
      <c r="V1265" s="8" t="s">
        <v>29</v>
      </c>
      <c r="W1265" s="36">
        <f t="shared" ca="1" si="60"/>
        <v>0.03</v>
      </c>
      <c r="X1265" s="8" t="str">
        <f>_xlfn.XLOOKUP(F1265,'Product List'!$B$1:$B$299,'Product List'!$A$1:$A$299)</f>
        <v>Xerox 1929</v>
      </c>
      <c r="Y1265" s="8"/>
      <c r="Z1265" s="8" t="str" cm="1">
        <f t="array" ref="Z1265:AD1265">_xlfn.XLOOKUP(D1265,'Customer Details'!$A$1:$A$17,'Customer Details'!$B$1:$F$17,"No such customer",0,1)</f>
        <v>Suzlon Energy Ltd.</v>
      </c>
      <c r="AA1265" s="8" t="str">
        <v>501 Marsh Trail Circle</v>
      </c>
      <c r="AB1265" s="8" t="str">
        <v>Tracy</v>
      </c>
      <c r="AC1265" s="8" t="str">
        <v>CA</v>
      </c>
      <c r="AD1265" s="8" t="str">
        <v>95376</v>
      </c>
    </row>
    <row r="1266" spans="1:30">
      <c r="A1266" s="8" t="s">
        <v>1181</v>
      </c>
      <c r="B1266" s="19">
        <v>42365</v>
      </c>
      <c r="C1266" s="8" t="s">
        <v>33</v>
      </c>
      <c r="D1266" s="8">
        <v>10004</v>
      </c>
      <c r="E1266" s="8" t="str">
        <f>VLOOKUP($D1266,'Customer Details'!$A$1:$F$17,4,FALSE)</f>
        <v>New York</v>
      </c>
      <c r="F1266" s="8" t="s">
        <v>37</v>
      </c>
      <c r="G1266" s="8">
        <v>3</v>
      </c>
      <c r="H1266" s="2" t="str">
        <f>VLOOKUP($D1266,'Customer Details'!$A$1:$F$17,MATCH('Order SUmmary'!H$2,'Customer Details'!$A$1:$F$1,0),0)</f>
        <v>Lupin Ltd.</v>
      </c>
      <c r="I1266" s="2" t="str">
        <f>VLOOKUP($D1266,'Customer Details'!$A$1:$F$17,4,0)</f>
        <v>New York</v>
      </c>
      <c r="J1266" s="2" t="str">
        <f>VLOOKUP($D1266,'Customer Details'!$A$1:$F$17,6,0)</f>
        <v>10019</v>
      </c>
      <c r="K1266" s="8" t="str">
        <f>VLOOKUP(VLOOKUP(D1266,'Customer Details'!$A$1:$F$17,5,0),'Region INfo'!$A$1:$C$52,3,0)</f>
        <v xml:space="preserve">Northern </v>
      </c>
      <c r="L1266" s="8" t="str">
        <f>INDEX(Product_List,MATCH($F1266,'Product List'!$B$1:$B$299,0),MATCH('Order SUmmary'!L$2,'Product List'!$A$1:$E$1,0))</f>
        <v>Avery 508</v>
      </c>
      <c r="M1266" s="8">
        <f>INDEX(Product_List,MATCH($F1266,'Product List'!$B$1:$B$299,0),MATCH('Order SUmmary'!M$2,'Product List'!$A$1:$E$1,0))</f>
        <v>3788</v>
      </c>
      <c r="N1266" s="8">
        <f>INDEX(Product_List,MATCH($F1266,'Product List'!$B$1:$B$299,0),MATCH('Order SUmmary'!N$2,'Product List'!$A$1:$E$1,0))</f>
        <v>2170</v>
      </c>
      <c r="O1266" s="8" t="str">
        <f>INDEX(Product_List,MATCH($F1266,'Product List'!$B$1:$B$299,0),MATCH('Order SUmmary'!O$2,'Product List'!$A$1:$E$1,0))</f>
        <v>Labels</v>
      </c>
      <c r="P1266" s="12">
        <f>HLOOKUP(C1266,'Commission Criteria'!$A$2:$I$4,3,FALSE)</f>
        <v>1</v>
      </c>
      <c r="Q1266" s="8">
        <f t="shared" si="58"/>
        <v>6510</v>
      </c>
      <c r="R1266" s="8">
        <f t="shared" si="59"/>
        <v>11364</v>
      </c>
      <c r="S1266" s="36">
        <f>VLOOKUP(R1266,'Commission Criteria'!$L$3:$M$11,2,TRUE)</f>
        <v>0.03</v>
      </c>
      <c r="T1266" s="36">
        <f>IF(P1266&lt;5,VLOOKUP(R1266,'Commission Criteria'!$L$3:$M$11,2,1),VLOOKUP('Order SUmmary'!R1266,'Commission Criteria'!$P$3:$Q$11,2,1))</f>
        <v>0.03</v>
      </c>
      <c r="U1266" s="36">
        <f>VLOOKUP(R1266,IF(P1266&lt;5,'Commission Criteria'!$L$3:$M$11,'Commission Criteria'!$P$3:$Q$11),2,1)</f>
        <v>0.03</v>
      </c>
      <c r="V1266" s="8" t="s">
        <v>40</v>
      </c>
      <c r="W1266" s="36">
        <f t="shared" ca="1" si="60"/>
        <v>0.05</v>
      </c>
      <c r="X1266" s="8" t="str">
        <f>_xlfn.XLOOKUP(F1266,'Product List'!$B$1:$B$299,'Product List'!$A$1:$A$299)</f>
        <v>Avery 508</v>
      </c>
      <c r="Y1266" s="8"/>
      <c r="Z1266" s="8" t="str" cm="1">
        <f t="array" ref="Z1266:AD1266">_xlfn.XLOOKUP(D1266,'Customer Details'!$A$1:$A$17,'Customer Details'!$B$1:$F$17,"No such customer",0,1)</f>
        <v>Lupin Ltd.</v>
      </c>
      <c r="AA1266" s="8" t="str">
        <v>Abbey Wood</v>
      </c>
      <c r="AB1266" s="8" t="str">
        <v>New York</v>
      </c>
      <c r="AC1266" s="8" t="str">
        <v>NY</v>
      </c>
      <c r="AD1266" s="8" t="str">
        <v>10019</v>
      </c>
    </row>
    <row r="1267" spans="1:30">
      <c r="A1267" s="8" t="s">
        <v>1182</v>
      </c>
      <c r="B1267" s="19">
        <v>42366</v>
      </c>
      <c r="C1267" s="8" t="s">
        <v>46</v>
      </c>
      <c r="D1267" s="8">
        <v>10015</v>
      </c>
      <c r="E1267" s="8" t="str">
        <f>VLOOKUP($D1267,'Customer Details'!$A$1:$F$17,4,FALSE)</f>
        <v>South Windsor</v>
      </c>
      <c r="F1267" s="8" t="s">
        <v>97</v>
      </c>
      <c r="G1267" s="8">
        <v>2</v>
      </c>
      <c r="H1267" s="2" t="str">
        <f>VLOOKUP($D1267,'Customer Details'!$A$1:$F$17,MATCH('Order SUmmary'!H$2,'Customer Details'!$A$1:$F$1,0),0)</f>
        <v>Punj Lloyd Ltd.</v>
      </c>
      <c r="I1267" s="2" t="str">
        <f>VLOOKUP($D1267,'Customer Details'!$A$1:$F$17,4,0)</f>
        <v>South Windsor</v>
      </c>
      <c r="J1267" s="2" t="str">
        <f>VLOOKUP($D1267,'Customer Details'!$A$1:$F$17,6,0)</f>
        <v>06074</v>
      </c>
      <c r="K1267" s="8" t="str">
        <f>VLOOKUP(VLOOKUP(D1267,'Customer Details'!$A$1:$F$17,5,0),'Region INfo'!$A$1:$C$52,3,0)</f>
        <v xml:space="preserve">Northern </v>
      </c>
      <c r="L1267" s="8" t="str">
        <f>INDEX(Product_List,MATCH($F1267,'Product List'!$B$1:$B$299,0),MATCH('Order SUmmary'!L$2,'Product List'!$A$1:$E$1,0))</f>
        <v>Xerox 204</v>
      </c>
      <c r="M1267" s="8">
        <f>INDEX(Product_List,MATCH($F1267,'Product List'!$B$1:$B$299,0),MATCH('Order SUmmary'!M$2,'Product List'!$A$1:$E$1,0))</f>
        <v>3245</v>
      </c>
      <c r="N1267" s="8">
        <f>INDEX(Product_List,MATCH($F1267,'Product List'!$B$1:$B$299,0),MATCH('Order SUmmary'!N$2,'Product List'!$A$1:$E$1,0))</f>
        <v>1964</v>
      </c>
      <c r="O1267" s="8" t="str">
        <f>INDEX(Product_List,MATCH($F1267,'Product List'!$B$1:$B$299,0),MATCH('Order SUmmary'!O$2,'Product List'!$A$1:$E$1,0))</f>
        <v>Paper</v>
      </c>
      <c r="P1267" s="12">
        <f>HLOOKUP(C1267,'Commission Criteria'!$A$2:$I$4,3,FALSE)</f>
        <v>8</v>
      </c>
      <c r="Q1267" s="8">
        <f t="shared" si="58"/>
        <v>3928</v>
      </c>
      <c r="R1267" s="8">
        <f t="shared" si="59"/>
        <v>6490</v>
      </c>
      <c r="S1267" s="36">
        <f>VLOOKUP(R1267,'Commission Criteria'!$L$3:$M$11,2,TRUE)</f>
        <v>0.03</v>
      </c>
      <c r="T1267" s="36">
        <f>IF(P1267&lt;5,VLOOKUP(R1267,'Commission Criteria'!$L$3:$M$11,2,1),VLOOKUP('Order SUmmary'!R1267,'Commission Criteria'!$P$3:$Q$11,2,1))</f>
        <v>0.02</v>
      </c>
      <c r="U1267" s="36">
        <f>VLOOKUP(R1267,IF(P1267&lt;5,'Commission Criteria'!$L$3:$M$11,'Commission Criteria'!$P$3:$Q$11),2,1)</f>
        <v>0.02</v>
      </c>
      <c r="V1267" s="8" t="s">
        <v>29</v>
      </c>
      <c r="W1267" s="36">
        <f t="shared" ca="1" si="60"/>
        <v>0.04</v>
      </c>
      <c r="X1267" s="8" t="str">
        <f>_xlfn.XLOOKUP(F1267,'Product List'!$B$1:$B$299,'Product List'!$A$1:$A$299)</f>
        <v>Xerox 204</v>
      </c>
      <c r="Y1267" s="8"/>
      <c r="Z1267" s="8" t="str" cm="1">
        <f t="array" ref="Z1267:AD1267">_xlfn.XLOOKUP(D1267,'Customer Details'!$A$1:$A$17,'Customer Details'!$B$1:$F$17,"No such customer",0,1)</f>
        <v>Punj Lloyd Ltd.</v>
      </c>
      <c r="AA1267" s="8" t="str">
        <v>Box 3263</v>
      </c>
      <c r="AB1267" s="8" t="str">
        <v>South Windsor</v>
      </c>
      <c r="AC1267" s="8" t="str">
        <v>CT</v>
      </c>
      <c r="AD1267" s="8" t="str">
        <v>06074</v>
      </c>
    </row>
    <row r="1268" spans="1:30">
      <c r="A1268" s="8" t="s">
        <v>1183</v>
      </c>
      <c r="B1268" s="19">
        <v>42366</v>
      </c>
      <c r="C1268" s="8" t="s">
        <v>46</v>
      </c>
      <c r="D1268" s="8">
        <v>10005</v>
      </c>
      <c r="E1268" s="8" t="str">
        <f>VLOOKUP($D1268,'Customer Details'!$A$1:$F$17,4,FALSE)</f>
        <v>Goleta</v>
      </c>
      <c r="F1268" s="8" t="s">
        <v>716</v>
      </c>
      <c r="G1268" s="8">
        <v>2</v>
      </c>
      <c r="H1268" s="2" t="str">
        <f>VLOOKUP($D1268,'Customer Details'!$A$1:$F$17,MATCH('Order SUmmary'!H$2,'Customer Details'!$A$1:$F$1,0),0)</f>
        <v>Fortis Healthcare Ltd.</v>
      </c>
      <c r="I1268" s="2" t="str">
        <f>VLOOKUP($D1268,'Customer Details'!$A$1:$F$17,4,0)</f>
        <v>Goleta</v>
      </c>
      <c r="J1268" s="2" t="str">
        <f>VLOOKUP($D1268,'Customer Details'!$A$1:$F$17,6,0)</f>
        <v>93117</v>
      </c>
      <c r="K1268" s="8" t="str">
        <f>VLOOKUP(VLOOKUP(D1268,'Customer Details'!$A$1:$F$17,5,0),'Region INfo'!$A$1:$C$52,3,0)</f>
        <v xml:space="preserve">Pacific   </v>
      </c>
      <c r="L1268" s="8" t="str">
        <f>INDEX(Product_List,MATCH($F1268,'Product List'!$B$1:$B$299,0),MATCH('Order SUmmary'!L$2,'Product List'!$A$1:$E$1,0))</f>
        <v>Xerox 1954</v>
      </c>
      <c r="M1268" s="8">
        <f>INDEX(Product_List,MATCH($F1268,'Product List'!$B$1:$B$299,0),MATCH('Order SUmmary'!M$2,'Product List'!$A$1:$E$1,0))</f>
        <v>3575</v>
      </c>
      <c r="N1268" s="8">
        <f>INDEX(Product_List,MATCH($F1268,'Product List'!$B$1:$B$299,0),MATCH('Order SUmmary'!N$2,'Product List'!$A$1:$E$1,0))</f>
        <v>1937</v>
      </c>
      <c r="O1268" s="8" t="str">
        <f>INDEX(Product_List,MATCH($F1268,'Product List'!$B$1:$B$299,0),MATCH('Order SUmmary'!O$2,'Product List'!$A$1:$E$1,0))</f>
        <v>Paper</v>
      </c>
      <c r="P1268" s="12">
        <f>HLOOKUP(C1268,'Commission Criteria'!$A$2:$I$4,3,FALSE)</f>
        <v>8</v>
      </c>
      <c r="Q1268" s="8">
        <f t="shared" si="58"/>
        <v>3874</v>
      </c>
      <c r="R1268" s="8">
        <f t="shared" si="59"/>
        <v>7150</v>
      </c>
      <c r="S1268" s="36">
        <f>VLOOKUP(R1268,'Commission Criteria'!$L$3:$M$11,2,TRUE)</f>
        <v>0.03</v>
      </c>
      <c r="T1268" s="36">
        <f>IF(P1268&lt;5,VLOOKUP(R1268,'Commission Criteria'!$L$3:$M$11,2,1),VLOOKUP('Order SUmmary'!R1268,'Commission Criteria'!$P$3:$Q$11,2,1))</f>
        <v>0.02</v>
      </c>
      <c r="U1268" s="36">
        <f>VLOOKUP(R1268,IF(P1268&lt;5,'Commission Criteria'!$L$3:$M$11,'Commission Criteria'!$P$3:$Q$11),2,1)</f>
        <v>0.02</v>
      </c>
      <c r="V1268" s="8" t="s">
        <v>43</v>
      </c>
      <c r="W1268" s="36">
        <f t="shared" ca="1" si="60"/>
        <v>0.03</v>
      </c>
      <c r="X1268" s="8" t="str">
        <f>_xlfn.XLOOKUP(F1268,'Product List'!$B$1:$B$299,'Product List'!$A$1:$A$299)</f>
        <v>Xerox 1954</v>
      </c>
      <c r="Y1268" s="8"/>
      <c r="Z1268" s="8" t="str" cm="1">
        <f t="array" ref="Z1268:AD1268">_xlfn.XLOOKUP(D1268,'Customer Details'!$A$1:$A$17,'Customer Details'!$B$1:$F$17,"No such customer",0,1)</f>
        <v>Fortis Healthcare Ltd.</v>
      </c>
      <c r="AA1268" s="8" t="str">
        <v>14 Elsworthy Terrace</v>
      </c>
      <c r="AB1268" s="8" t="str">
        <v>Goleta</v>
      </c>
      <c r="AC1268" s="8" t="str">
        <v>CA</v>
      </c>
      <c r="AD1268" s="8" t="str">
        <v>93117</v>
      </c>
    </row>
    <row r="1269" spans="1:30">
      <c r="A1269" s="8" t="s">
        <v>1184</v>
      </c>
      <c r="B1269" s="19">
        <v>42366</v>
      </c>
      <c r="C1269" s="8" t="s">
        <v>66</v>
      </c>
      <c r="D1269" s="8">
        <v>10013</v>
      </c>
      <c r="E1269" s="8" t="str">
        <f>VLOOKUP($D1269,'Customer Details'!$A$1:$F$17,4,FALSE)</f>
        <v>Naugatuck</v>
      </c>
      <c r="F1269" s="8" t="s">
        <v>90</v>
      </c>
      <c r="G1269" s="8">
        <v>3</v>
      </c>
      <c r="H1269" s="2" t="str">
        <f>VLOOKUP($D1269,'Customer Details'!$A$1:$F$17,MATCH('Order SUmmary'!H$2,'Customer Details'!$A$1:$F$1,0),0)</f>
        <v>GMR Infrastructure Ltd.</v>
      </c>
      <c r="I1269" s="2" t="str">
        <f>VLOOKUP($D1269,'Customer Details'!$A$1:$F$17,4,0)</f>
        <v>Naugatuck</v>
      </c>
      <c r="J1269" s="2" t="str">
        <f>VLOOKUP($D1269,'Customer Details'!$A$1:$F$17,6,0)</f>
        <v>06770</v>
      </c>
      <c r="K1269" s="8" t="str">
        <f>VLOOKUP(VLOOKUP(D1269,'Customer Details'!$A$1:$F$17,5,0),'Region INfo'!$A$1:$C$52,3,0)</f>
        <v xml:space="preserve">Northern </v>
      </c>
      <c r="L1269" s="8" t="str">
        <f>INDEX(Product_List,MATCH($F1269,'Product List'!$B$1:$B$299,0),MATCH('Order SUmmary'!L$2,'Product List'!$A$1:$E$1,0))</f>
        <v>Xerox 1974</v>
      </c>
      <c r="M1269" s="8">
        <f>INDEX(Product_List,MATCH($F1269,'Product List'!$B$1:$B$299,0),MATCH('Order SUmmary'!M$2,'Product List'!$A$1:$E$1,0))</f>
        <v>2734</v>
      </c>
      <c r="N1269" s="8">
        <f>INDEX(Product_List,MATCH($F1269,'Product List'!$B$1:$B$299,0),MATCH('Order SUmmary'!N$2,'Product List'!$A$1:$E$1,0))</f>
        <v>1596</v>
      </c>
      <c r="O1269" s="8" t="str">
        <f>INDEX(Product_List,MATCH($F1269,'Product List'!$B$1:$B$299,0),MATCH('Order SUmmary'!O$2,'Product List'!$A$1:$E$1,0))</f>
        <v>Paper</v>
      </c>
      <c r="P1269" s="12">
        <f>HLOOKUP(C1269,'Commission Criteria'!$A$2:$I$4,3,FALSE)</f>
        <v>5</v>
      </c>
      <c r="Q1269" s="8">
        <f t="shared" si="58"/>
        <v>4788</v>
      </c>
      <c r="R1269" s="8">
        <f t="shared" si="59"/>
        <v>8202</v>
      </c>
      <c r="S1269" s="36">
        <f>VLOOKUP(R1269,'Commission Criteria'!$L$3:$M$11,2,TRUE)</f>
        <v>0.03</v>
      </c>
      <c r="T1269" s="36">
        <f>IF(P1269&lt;5,VLOOKUP(R1269,'Commission Criteria'!$L$3:$M$11,2,1),VLOOKUP('Order SUmmary'!R1269,'Commission Criteria'!$P$3:$Q$11,2,1))</f>
        <v>0.02</v>
      </c>
      <c r="U1269" s="36">
        <f>VLOOKUP(R1269,IF(P1269&lt;5,'Commission Criteria'!$L$3:$M$11,'Commission Criteria'!$P$3:$Q$11),2,1)</f>
        <v>0.02</v>
      </c>
      <c r="V1269" s="8" t="s">
        <v>32</v>
      </c>
      <c r="W1269" s="36">
        <f t="shared" ca="1" si="60"/>
        <v>0.01</v>
      </c>
      <c r="X1269" s="8" t="str">
        <f>_xlfn.XLOOKUP(F1269,'Product List'!$B$1:$B$299,'Product List'!$A$1:$A$299)</f>
        <v>Xerox 1974</v>
      </c>
      <c r="Y1269" s="8"/>
      <c r="Z1269" s="8" t="str" cm="1">
        <f t="array" ref="Z1269:AD1269">_xlfn.XLOOKUP(D1269,'Customer Details'!$A$1:$A$17,'Customer Details'!$B$1:$F$17,"No such customer",0,1)</f>
        <v>GMR Infrastructure Ltd.</v>
      </c>
      <c r="AA1269" s="8" t="str">
        <v>P.O. Box 4421</v>
      </c>
      <c r="AB1269" s="8" t="str">
        <v>Naugatuck</v>
      </c>
      <c r="AC1269" s="8" t="str">
        <v>CT</v>
      </c>
      <c r="AD1269" s="8" t="str">
        <v>06770</v>
      </c>
    </row>
    <row r="1270" spans="1:30">
      <c r="A1270" s="8" t="s">
        <v>1184</v>
      </c>
      <c r="B1270" s="19">
        <v>42366</v>
      </c>
      <c r="C1270" s="8" t="s">
        <v>33</v>
      </c>
      <c r="D1270" s="8">
        <v>10010</v>
      </c>
      <c r="E1270" s="8" t="str">
        <f>VLOOKUP($D1270,'Customer Details'!$A$1:$F$17,4,FALSE)</f>
        <v>Tracy</v>
      </c>
      <c r="F1270" s="8" t="s">
        <v>610</v>
      </c>
      <c r="G1270" s="8">
        <v>2</v>
      </c>
      <c r="H1270" s="2" t="str">
        <f>VLOOKUP($D1270,'Customer Details'!$A$1:$F$17,MATCH('Order SUmmary'!H$2,'Customer Details'!$A$1:$F$1,0),0)</f>
        <v>Suzlon Energy Ltd.</v>
      </c>
      <c r="I1270" s="2" t="str">
        <f>VLOOKUP($D1270,'Customer Details'!$A$1:$F$17,4,0)</f>
        <v>Tracy</v>
      </c>
      <c r="J1270" s="2" t="str">
        <f>VLOOKUP($D1270,'Customer Details'!$A$1:$F$17,6,0)</f>
        <v>95376</v>
      </c>
      <c r="K1270" s="8" t="str">
        <f>VLOOKUP(VLOOKUP(D1270,'Customer Details'!$A$1:$F$17,5,0),'Region INfo'!$A$1:$C$52,3,0)</f>
        <v xml:space="preserve">Pacific   </v>
      </c>
      <c r="L1270" s="8" t="str">
        <f>INDEX(Product_List,MATCH($F1270,'Product List'!$B$1:$B$299,0),MATCH('Order SUmmary'!L$2,'Product List'!$A$1:$E$1,0))</f>
        <v>Newell 311</v>
      </c>
      <c r="M1270" s="8">
        <f>INDEX(Product_List,MATCH($F1270,'Product List'!$B$1:$B$299,0),MATCH('Order SUmmary'!M$2,'Product List'!$A$1:$E$1,0))</f>
        <v>4689</v>
      </c>
      <c r="N1270" s="8">
        <f>INDEX(Product_List,MATCH($F1270,'Product List'!$B$1:$B$299,0),MATCH('Order SUmmary'!N$2,'Product List'!$A$1:$E$1,0))</f>
        <v>1796</v>
      </c>
      <c r="O1270" s="8" t="str">
        <f>INDEX(Product_List,MATCH($F1270,'Product List'!$B$1:$B$299,0),MATCH('Order SUmmary'!O$2,'Product List'!$A$1:$E$1,0))</f>
        <v>Art</v>
      </c>
      <c r="P1270" s="12">
        <f>HLOOKUP(C1270,'Commission Criteria'!$A$2:$I$4,3,FALSE)</f>
        <v>1</v>
      </c>
      <c r="Q1270" s="8">
        <f t="shared" si="58"/>
        <v>3592</v>
      </c>
      <c r="R1270" s="8">
        <f t="shared" si="59"/>
        <v>9378</v>
      </c>
      <c r="S1270" s="36">
        <f>VLOOKUP(R1270,'Commission Criteria'!$L$3:$M$11,2,TRUE)</f>
        <v>0.03</v>
      </c>
      <c r="T1270" s="36">
        <f>IF(P1270&lt;5,VLOOKUP(R1270,'Commission Criteria'!$L$3:$M$11,2,1),VLOOKUP('Order SUmmary'!R1270,'Commission Criteria'!$P$3:$Q$11,2,1))</f>
        <v>0.03</v>
      </c>
      <c r="U1270" s="36">
        <f>VLOOKUP(R1270,IF(P1270&lt;5,'Commission Criteria'!$L$3:$M$11,'Commission Criteria'!$P$3:$Q$11),2,1)</f>
        <v>0.03</v>
      </c>
      <c r="V1270" s="8" t="s">
        <v>29</v>
      </c>
      <c r="W1270" s="36">
        <f t="shared" ca="1" si="60"/>
        <v>0.01</v>
      </c>
      <c r="X1270" s="8" t="str">
        <f>_xlfn.XLOOKUP(F1270,'Product List'!$B$1:$B$299,'Product List'!$A$1:$A$299)</f>
        <v>Newell 311</v>
      </c>
      <c r="Y1270" s="8"/>
      <c r="Z1270" s="8" t="str" cm="1">
        <f t="array" ref="Z1270:AD1270">_xlfn.XLOOKUP(D1270,'Customer Details'!$A$1:$A$17,'Customer Details'!$B$1:$F$17,"No such customer",0,1)</f>
        <v>Suzlon Energy Ltd.</v>
      </c>
      <c r="AA1270" s="8" t="str">
        <v>501 Marsh Trail Circle</v>
      </c>
      <c r="AB1270" s="8" t="str">
        <v>Tracy</v>
      </c>
      <c r="AC1270" s="8" t="str">
        <v>CA</v>
      </c>
      <c r="AD1270" s="8" t="str">
        <v>95376</v>
      </c>
    </row>
    <row r="1271" spans="1:30">
      <c r="A1271" s="8" t="s">
        <v>1182</v>
      </c>
      <c r="B1271" s="19">
        <v>42366</v>
      </c>
      <c r="C1271" s="8" t="s">
        <v>44</v>
      </c>
      <c r="D1271" s="8">
        <v>10007</v>
      </c>
      <c r="E1271" s="8" t="str">
        <f>VLOOKUP($D1271,'Customer Details'!$A$1:$F$17,4,FALSE)</f>
        <v>Richmond</v>
      </c>
      <c r="F1271" s="8" t="s">
        <v>263</v>
      </c>
      <c r="G1271" s="8">
        <v>3</v>
      </c>
      <c r="H1271" s="2" t="str">
        <f>VLOOKUP($D1271,'Customer Details'!$A$1:$F$17,MATCH('Order SUmmary'!H$2,'Customer Details'!$A$1:$F$1,0),0)</f>
        <v>GHCL Ltd.</v>
      </c>
      <c r="I1271" s="2" t="str">
        <f>VLOOKUP($D1271,'Customer Details'!$A$1:$F$17,4,0)</f>
        <v>Richmond</v>
      </c>
      <c r="J1271" s="2" t="str">
        <f>VLOOKUP($D1271,'Customer Details'!$A$1:$F$17,6,0)</f>
        <v>94805</v>
      </c>
      <c r="K1271" s="8" t="str">
        <f>VLOOKUP(VLOOKUP(D1271,'Customer Details'!$A$1:$F$17,5,0),'Region INfo'!$A$1:$C$52,3,0)</f>
        <v xml:space="preserve">Pacific   </v>
      </c>
      <c r="L1271" s="8" t="str">
        <f>INDEX(Product_List,MATCH($F1271,'Product List'!$B$1:$B$299,0),MATCH('Order SUmmary'!L$2,'Product List'!$A$1:$E$1,0))</f>
        <v>Xerox 1976</v>
      </c>
      <c r="M1271" s="8">
        <f>INDEX(Product_List,MATCH($F1271,'Product List'!$B$1:$B$299,0),MATCH('Order SUmmary'!M$2,'Product List'!$A$1:$E$1,0))</f>
        <v>3479</v>
      </c>
      <c r="N1271" s="8">
        <f>INDEX(Product_List,MATCH($F1271,'Product List'!$B$1:$B$299,0),MATCH('Order SUmmary'!N$2,'Product List'!$A$1:$E$1,0))</f>
        <v>2056</v>
      </c>
      <c r="O1271" s="8" t="str">
        <f>INDEX(Product_List,MATCH($F1271,'Product List'!$B$1:$B$299,0),MATCH('Order SUmmary'!O$2,'Product List'!$A$1:$E$1,0))</f>
        <v>Paper</v>
      </c>
      <c r="P1271" s="12">
        <f>HLOOKUP(C1271,'Commission Criteria'!$A$2:$I$4,3,FALSE)</f>
        <v>4</v>
      </c>
      <c r="Q1271" s="8">
        <f t="shared" si="58"/>
        <v>6168</v>
      </c>
      <c r="R1271" s="8">
        <f t="shared" si="59"/>
        <v>10437</v>
      </c>
      <c r="S1271" s="36">
        <f>VLOOKUP(R1271,'Commission Criteria'!$L$3:$M$11,2,TRUE)</f>
        <v>0.03</v>
      </c>
      <c r="T1271" s="36">
        <f>IF(P1271&lt;5,VLOOKUP(R1271,'Commission Criteria'!$L$3:$M$11,2,1),VLOOKUP('Order SUmmary'!R1271,'Commission Criteria'!$P$3:$Q$11,2,1))</f>
        <v>0.03</v>
      </c>
      <c r="U1271" s="36">
        <f>VLOOKUP(R1271,IF(P1271&lt;5,'Commission Criteria'!$L$3:$M$11,'Commission Criteria'!$P$3:$Q$11),2,1)</f>
        <v>0.03</v>
      </c>
      <c r="V1271" s="8" t="s">
        <v>40</v>
      </c>
      <c r="W1271" s="36">
        <f t="shared" ca="1" si="60"/>
        <v>0.04</v>
      </c>
      <c r="X1271" s="8" t="str">
        <f>_xlfn.XLOOKUP(F1271,'Product List'!$B$1:$B$299,'Product List'!$A$1:$A$299)</f>
        <v>Xerox 1976</v>
      </c>
      <c r="Y1271" s="8"/>
      <c r="Z1271" s="8" t="str" cm="1">
        <f t="array" ref="Z1271:AD1271">_xlfn.XLOOKUP(D1271,'Customer Details'!$A$1:$A$17,'Customer Details'!$B$1:$F$17,"No such customer",0,1)</f>
        <v>GHCL Ltd.</v>
      </c>
      <c r="AA1271" s="8" t="str">
        <v>58 Clarence St</v>
      </c>
      <c r="AB1271" s="8" t="str">
        <v>Richmond</v>
      </c>
      <c r="AC1271" s="8" t="str">
        <v>CA</v>
      </c>
      <c r="AD1271" s="8" t="str">
        <v>94805</v>
      </c>
    </row>
    <row r="1272" spans="1:30">
      <c r="A1272" s="8" t="s">
        <v>1185</v>
      </c>
      <c r="B1272" s="19">
        <v>42367</v>
      </c>
      <c r="C1272" s="8" t="s">
        <v>46</v>
      </c>
      <c r="D1272" s="8">
        <v>10001</v>
      </c>
      <c r="E1272" s="8" t="str">
        <f>VLOOKUP($D1272,'Customer Details'!$A$1:$F$17,4,FALSE)</f>
        <v>New York</v>
      </c>
      <c r="F1272" s="8" t="s">
        <v>114</v>
      </c>
      <c r="G1272" s="8">
        <v>1</v>
      </c>
      <c r="H1272" s="2" t="str">
        <f>VLOOKUP($D1272,'Customer Details'!$A$1:$F$17,MATCH('Order SUmmary'!H$2,'Customer Details'!$A$1:$F$1,0),0)</f>
        <v>Chambal Fertilisers and Chemicals Ltd.</v>
      </c>
      <c r="I1272" s="2" t="str">
        <f>VLOOKUP($D1272,'Customer Details'!$A$1:$F$17,4,0)</f>
        <v>New York</v>
      </c>
      <c r="J1272" s="2" t="str">
        <f>VLOOKUP($D1272,'Customer Details'!$A$1:$F$17,6,0)</f>
        <v>10025</v>
      </c>
      <c r="K1272" s="8" t="str">
        <f>VLOOKUP(VLOOKUP(D1272,'Customer Details'!$A$1:$F$17,5,0),'Region INfo'!$A$1:$C$52,3,0)</f>
        <v xml:space="preserve">Northern </v>
      </c>
      <c r="L1272" s="8" t="str">
        <f>INDEX(Product_List,MATCH($F1272,'Product List'!$B$1:$B$299,0),MATCH('Order SUmmary'!L$2,'Product List'!$A$1:$E$1,0))</f>
        <v>Xerox 1910</v>
      </c>
      <c r="M1272" s="8">
        <f>INDEX(Product_List,MATCH($F1272,'Product List'!$B$1:$B$299,0),MATCH('Order SUmmary'!M$2,'Product List'!$A$1:$E$1,0))</f>
        <v>2588</v>
      </c>
      <c r="N1272" s="8">
        <f>INDEX(Product_List,MATCH($F1272,'Product List'!$B$1:$B$299,0),MATCH('Order SUmmary'!N$2,'Product List'!$A$1:$E$1,0))</f>
        <v>2069</v>
      </c>
      <c r="O1272" s="8" t="str">
        <f>INDEX(Product_List,MATCH($F1272,'Product List'!$B$1:$B$299,0),MATCH('Order SUmmary'!O$2,'Product List'!$A$1:$E$1,0))</f>
        <v>Paper</v>
      </c>
      <c r="P1272" s="12">
        <f>HLOOKUP(C1272,'Commission Criteria'!$A$2:$I$4,3,FALSE)</f>
        <v>8</v>
      </c>
      <c r="Q1272" s="8">
        <f t="shared" si="58"/>
        <v>2069</v>
      </c>
      <c r="R1272" s="8">
        <f t="shared" si="59"/>
        <v>2588</v>
      </c>
      <c r="S1272" s="36">
        <f>VLOOKUP(R1272,'Commission Criteria'!$L$3:$M$11,2,TRUE)</f>
        <v>0.01</v>
      </c>
      <c r="T1272" s="36">
        <f>IF(P1272&lt;5,VLOOKUP(R1272,'Commission Criteria'!$L$3:$M$11,2,1),VLOOKUP('Order SUmmary'!R1272,'Commission Criteria'!$P$3:$Q$11,2,1))</f>
        <v>0.02</v>
      </c>
      <c r="U1272" s="36">
        <f>VLOOKUP(R1272,IF(P1272&lt;5,'Commission Criteria'!$L$3:$M$11,'Commission Criteria'!$P$3:$Q$11),2,1)</f>
        <v>0.02</v>
      </c>
      <c r="V1272" s="8" t="s">
        <v>40</v>
      </c>
      <c r="W1272" s="36">
        <f t="shared" ca="1" si="60"/>
        <v>0.03</v>
      </c>
      <c r="X1272" s="8" t="str">
        <f>_xlfn.XLOOKUP(F1272,'Product List'!$B$1:$B$299,'Product List'!$A$1:$A$299)</f>
        <v>Xerox 1910</v>
      </c>
      <c r="Y1272" s="8"/>
      <c r="Z1272" s="8" t="str" cm="1">
        <f t="array" ref="Z1272:AD1272">_xlfn.XLOOKUP(D1272,'Customer Details'!$A$1:$A$17,'Customer Details'!$B$1:$F$17,"No such customer",0,1)</f>
        <v>Chambal Fertilisers and Chemicals Ltd.</v>
      </c>
      <c r="AA1272" s="8" t="str">
        <v>4951 Indiana Ave.</v>
      </c>
      <c r="AB1272" s="8" t="str">
        <v>New York</v>
      </c>
      <c r="AC1272" s="8" t="str">
        <v>NY</v>
      </c>
      <c r="AD1272" s="8" t="str">
        <v>10025</v>
      </c>
    </row>
    <row r="1273" spans="1:30">
      <c r="A1273" s="8" t="s">
        <v>1186</v>
      </c>
      <c r="B1273" s="19">
        <v>42367</v>
      </c>
      <c r="C1273" s="8" t="s">
        <v>66</v>
      </c>
      <c r="D1273" s="8">
        <v>10006</v>
      </c>
      <c r="E1273" s="8" t="str">
        <f>VLOOKUP($D1273,'Customer Details'!$A$1:$F$17,4,FALSE)</f>
        <v>Midland</v>
      </c>
      <c r="F1273" s="8" t="s">
        <v>231</v>
      </c>
      <c r="G1273" s="8">
        <v>1</v>
      </c>
      <c r="H1273" s="2" t="str">
        <f>VLOOKUP($D1273,'Customer Details'!$A$1:$F$17,MATCH('Order SUmmary'!H$2,'Customer Details'!$A$1:$F$1,0),0)</f>
        <v>Supreme Ind</v>
      </c>
      <c r="I1273" s="2" t="str">
        <f>VLOOKUP($D1273,'Customer Details'!$A$1:$F$17,4,0)</f>
        <v>Midland</v>
      </c>
      <c r="J1273" s="2" t="str">
        <f>VLOOKUP($D1273,'Customer Details'!$A$1:$F$17,6,0)</f>
        <v>79706</v>
      </c>
      <c r="K1273" s="8" t="str">
        <f>VLOOKUP(VLOOKUP(D1273,'Customer Details'!$A$1:$F$17,5,0),'Region INfo'!$A$1:$C$52,3,0)</f>
        <v>Western</v>
      </c>
      <c r="L1273" s="8" t="str">
        <f>INDEX(Product_List,MATCH($F1273,'Product List'!$B$1:$B$299,0),MATCH('Order SUmmary'!L$2,'Product List'!$A$1:$E$1,0))</f>
        <v>Newell 350</v>
      </c>
      <c r="M1273" s="8">
        <f>INDEX(Product_List,MATCH($F1273,'Product List'!$B$1:$B$299,0),MATCH('Order SUmmary'!M$2,'Product List'!$A$1:$E$1,0))</f>
        <v>2912</v>
      </c>
      <c r="N1273" s="8">
        <f>INDEX(Product_List,MATCH($F1273,'Product List'!$B$1:$B$299,0),MATCH('Order SUmmary'!N$2,'Product List'!$A$1:$E$1,0))</f>
        <v>2328</v>
      </c>
      <c r="O1273" s="8" t="str">
        <f>INDEX(Product_List,MATCH($F1273,'Product List'!$B$1:$B$299,0),MATCH('Order SUmmary'!O$2,'Product List'!$A$1:$E$1,0))</f>
        <v>Art</v>
      </c>
      <c r="P1273" s="12">
        <f>HLOOKUP(C1273,'Commission Criteria'!$A$2:$I$4,3,FALSE)</f>
        <v>5</v>
      </c>
      <c r="Q1273" s="8">
        <f t="shared" si="58"/>
        <v>2328</v>
      </c>
      <c r="R1273" s="8">
        <f t="shared" si="59"/>
        <v>2912</v>
      </c>
      <c r="S1273" s="36">
        <f>VLOOKUP(R1273,'Commission Criteria'!$L$3:$M$11,2,TRUE)</f>
        <v>0.01</v>
      </c>
      <c r="T1273" s="36">
        <f>IF(P1273&lt;5,VLOOKUP(R1273,'Commission Criteria'!$L$3:$M$11,2,1),VLOOKUP('Order SUmmary'!R1273,'Commission Criteria'!$P$3:$Q$11,2,1))</f>
        <v>0.02</v>
      </c>
      <c r="U1273" s="36">
        <f>VLOOKUP(R1273,IF(P1273&lt;5,'Commission Criteria'!$L$3:$M$11,'Commission Criteria'!$P$3:$Q$11),2,1)</f>
        <v>0.02</v>
      </c>
      <c r="V1273" s="8" t="s">
        <v>50</v>
      </c>
      <c r="W1273" s="36">
        <f t="shared" ca="1" si="60"/>
        <v>0.05</v>
      </c>
      <c r="X1273" s="8" t="str">
        <f>_xlfn.XLOOKUP(F1273,'Product List'!$B$1:$B$299,'Product List'!$A$1:$A$299)</f>
        <v>Newell 350</v>
      </c>
      <c r="Y1273" s="8"/>
      <c r="Z1273" s="8" t="str" cm="1">
        <f t="array" ref="Z1273:AD1273">_xlfn.XLOOKUP(D1273,'Customer Details'!$A$1:$A$17,'Customer Details'!$B$1:$F$17,"No such customer",0,1)</f>
        <v>Supreme Ind</v>
      </c>
      <c r="AA1273" s="8" t="str">
        <v>P.O. Box 1367</v>
      </c>
      <c r="AB1273" s="8" t="str">
        <v>Midland</v>
      </c>
      <c r="AC1273" s="8" t="str">
        <v>TX</v>
      </c>
      <c r="AD1273" s="8" t="str">
        <v>79706</v>
      </c>
    </row>
    <row r="1274" spans="1:30">
      <c r="A1274" s="8" t="s">
        <v>1187</v>
      </c>
      <c r="B1274" s="19">
        <v>42367</v>
      </c>
      <c r="C1274" s="8" t="s">
        <v>33</v>
      </c>
      <c r="D1274" s="8">
        <v>10002</v>
      </c>
      <c r="E1274" s="8" t="str">
        <f>VLOOKUP($D1274,'Customer Details'!$A$1:$F$17,4,FALSE)</f>
        <v>Omaha</v>
      </c>
      <c r="F1274" s="8" t="s">
        <v>355</v>
      </c>
      <c r="G1274" s="8">
        <v>1</v>
      </c>
      <c r="H1274" s="2" t="str">
        <f>VLOOKUP($D1274,'Customer Details'!$A$1:$F$17,MATCH('Order SUmmary'!H$2,'Customer Details'!$A$1:$F$1,0),0)</f>
        <v>Elder Pharmaceuticals</v>
      </c>
      <c r="I1274" s="2" t="str">
        <f>VLOOKUP($D1274,'Customer Details'!$A$1:$F$17,4,0)</f>
        <v>Omaha</v>
      </c>
      <c r="J1274" s="2" t="str">
        <f>VLOOKUP($D1274,'Customer Details'!$A$1:$F$17,6,0)</f>
        <v>68127</v>
      </c>
      <c r="K1274" s="8" t="str">
        <f>VLOOKUP(VLOOKUP(D1274,'Customer Details'!$A$1:$F$17,5,0),'Region INfo'!$A$1:$C$52,3,0)</f>
        <v>Western</v>
      </c>
      <c r="L1274" s="8" t="str">
        <f>INDEX(Product_List,MATCH($F1274,'Product List'!$B$1:$B$299,0),MATCH('Order SUmmary'!L$2,'Product List'!$A$1:$E$1,0))</f>
        <v>Avery 51</v>
      </c>
      <c r="M1274" s="8">
        <f>INDEX(Product_List,MATCH($F1274,'Product List'!$B$1:$B$299,0),MATCH('Order SUmmary'!M$2,'Product List'!$A$1:$E$1,0))</f>
        <v>3717</v>
      </c>
      <c r="N1274" s="8">
        <f>INDEX(Product_List,MATCH($F1274,'Product List'!$B$1:$B$299,0),MATCH('Order SUmmary'!N$2,'Product List'!$A$1:$E$1,0))</f>
        <v>2146</v>
      </c>
      <c r="O1274" s="8" t="str">
        <f>INDEX(Product_List,MATCH($F1274,'Product List'!$B$1:$B$299,0),MATCH('Order SUmmary'!O$2,'Product List'!$A$1:$E$1,0))</f>
        <v>Labels</v>
      </c>
      <c r="P1274" s="12">
        <f>HLOOKUP(C1274,'Commission Criteria'!$A$2:$I$4,3,FALSE)</f>
        <v>1</v>
      </c>
      <c r="Q1274" s="8">
        <f t="shared" si="58"/>
        <v>2146</v>
      </c>
      <c r="R1274" s="8">
        <f t="shared" si="59"/>
        <v>3717</v>
      </c>
      <c r="S1274" s="36">
        <f>VLOOKUP(R1274,'Commission Criteria'!$L$3:$M$11,2,TRUE)</f>
        <v>0.01</v>
      </c>
      <c r="T1274" s="36">
        <f>IF(P1274&lt;5,VLOOKUP(R1274,'Commission Criteria'!$L$3:$M$11,2,1),VLOOKUP('Order SUmmary'!R1274,'Commission Criteria'!$P$3:$Q$11,2,1))</f>
        <v>0.01</v>
      </c>
      <c r="U1274" s="36">
        <f>VLOOKUP(R1274,IF(P1274&lt;5,'Commission Criteria'!$L$3:$M$11,'Commission Criteria'!$P$3:$Q$11),2,1)</f>
        <v>0.01</v>
      </c>
      <c r="V1274" s="8" t="s">
        <v>29</v>
      </c>
      <c r="W1274" s="36">
        <f t="shared" ca="1" si="60"/>
        <v>0.01</v>
      </c>
      <c r="X1274" s="8" t="str">
        <f>_xlfn.XLOOKUP(F1274,'Product List'!$B$1:$B$299,'Product List'!$A$1:$A$299)</f>
        <v>Avery 51</v>
      </c>
      <c r="Y1274" s="8"/>
      <c r="Z1274" s="8" t="str" cm="1">
        <f t="array" ref="Z1274:AD1274">_xlfn.XLOOKUP(D1274,'Customer Details'!$A$1:$A$17,'Customer Details'!$B$1:$F$17,"No such customer",0,1)</f>
        <v>Elder Pharmaceuticals</v>
      </c>
      <c r="AA1274" s="8" t="str">
        <v>57 Neriba Cres</v>
      </c>
      <c r="AB1274" s="8" t="str">
        <v>Omaha</v>
      </c>
      <c r="AC1274" s="8" t="str">
        <v>NE</v>
      </c>
      <c r="AD1274" s="8" t="str">
        <v>68127</v>
      </c>
    </row>
    <row r="1275" spans="1:30">
      <c r="A1275" s="9" t="s">
        <v>1187</v>
      </c>
      <c r="B1275" s="20">
        <v>42367</v>
      </c>
      <c r="C1275" s="9" t="s">
        <v>33</v>
      </c>
      <c r="D1275" s="9">
        <v>10009</v>
      </c>
      <c r="E1275" s="8" t="str">
        <f>VLOOKUP($D1275,'Customer Details'!$A$1:$F$17,4,FALSE)</f>
        <v>Salt Lake City</v>
      </c>
      <c r="F1275" s="9" t="s">
        <v>859</v>
      </c>
      <c r="G1275" s="9">
        <v>2</v>
      </c>
      <c r="H1275" s="2" t="str">
        <f>VLOOKUP($D1275,'Customer Details'!$A$1:$F$17,MATCH('Order SUmmary'!H$2,'Customer Details'!$A$1:$F$1,0),0)</f>
        <v>Godfrey Philips India Ltd.</v>
      </c>
      <c r="I1275" s="2" t="str">
        <f>VLOOKUP($D1275,'Customer Details'!$A$1:$F$17,4,0)</f>
        <v>Salt Lake City</v>
      </c>
      <c r="J1275" s="2" t="str">
        <f>VLOOKUP($D1275,'Customer Details'!$A$1:$F$17,6,0)</f>
        <v>84118</v>
      </c>
      <c r="K1275" s="8" t="str">
        <f>VLOOKUP(VLOOKUP(D1275,'Customer Details'!$A$1:$F$17,5,0),'Region INfo'!$A$1:$C$52,3,0)</f>
        <v xml:space="preserve">Pacific   </v>
      </c>
      <c r="L1275" s="8" t="str">
        <f>INDEX(Product_List,MATCH($F1275,'Product List'!$B$1:$B$299,0),MATCH('Order SUmmary'!L$2,'Product List'!$A$1:$E$1,0))</f>
        <v>Xerox 1970</v>
      </c>
      <c r="M1275" s="8">
        <f>INDEX(Product_List,MATCH($F1275,'Product List'!$B$1:$B$299,0),MATCH('Order SUmmary'!M$2,'Product List'!$A$1:$E$1,0))</f>
        <v>3277</v>
      </c>
      <c r="N1275" s="8">
        <f>INDEX(Product_List,MATCH($F1275,'Product List'!$B$1:$B$299,0),MATCH('Order SUmmary'!N$2,'Product List'!$A$1:$E$1,0))</f>
        <v>1891</v>
      </c>
      <c r="O1275" s="8" t="str">
        <f>INDEX(Product_List,MATCH($F1275,'Product List'!$B$1:$B$299,0),MATCH('Order SUmmary'!O$2,'Product List'!$A$1:$E$1,0))</f>
        <v>Paper</v>
      </c>
      <c r="P1275" s="12">
        <f>HLOOKUP(C1275,'Commission Criteria'!$A$2:$I$4,3,FALSE)</f>
        <v>1</v>
      </c>
      <c r="Q1275" s="8">
        <f t="shared" si="58"/>
        <v>3782</v>
      </c>
      <c r="R1275" s="8">
        <f t="shared" si="59"/>
        <v>6554</v>
      </c>
      <c r="S1275" s="36">
        <f>VLOOKUP(R1275,'Commission Criteria'!$L$3:$M$11,2,TRUE)</f>
        <v>0.03</v>
      </c>
      <c r="T1275" s="36">
        <f>IF(P1275&lt;5,VLOOKUP(R1275,'Commission Criteria'!$L$3:$M$11,2,1),VLOOKUP('Order SUmmary'!R1275,'Commission Criteria'!$P$3:$Q$11,2,1))</f>
        <v>0.03</v>
      </c>
      <c r="U1275" s="36">
        <f>VLOOKUP(R1275,IF(P1275&lt;5,'Commission Criteria'!$L$3:$M$11,'Commission Criteria'!$P$3:$Q$11),2,1)</f>
        <v>0.03</v>
      </c>
      <c r="V1275" s="8" t="s">
        <v>32</v>
      </c>
      <c r="W1275" s="36">
        <f t="shared" ca="1" si="60"/>
        <v>0.05</v>
      </c>
      <c r="X1275" s="8" t="str">
        <f>_xlfn.XLOOKUP(F1275,'Product List'!$B$1:$B$299,'Product List'!$A$1:$A$299)</f>
        <v>Xerox 1970</v>
      </c>
      <c r="Y1275" s="8"/>
      <c r="Z1275" s="8" t="str" cm="1">
        <f t="array" ref="Z1275:AD1275">_xlfn.XLOOKUP(D1275,'Customer Details'!$A$1:$A$17,'Customer Details'!$B$1:$F$17,"No such customer",0,1)</f>
        <v>Godfrey Philips India Ltd.</v>
      </c>
      <c r="AA1275" s="8" t="str">
        <v>20501 Ania Ave #2</v>
      </c>
      <c r="AB1275" s="8" t="str">
        <v>Salt Lake City</v>
      </c>
      <c r="AC1275" s="8" t="str">
        <v>UT</v>
      </c>
      <c r="AD1275" s="8" t="str">
        <v>84118</v>
      </c>
    </row>
  </sheetData>
  <mergeCells count="4">
    <mergeCell ref="H1:J1"/>
    <mergeCell ref="P1:R1"/>
    <mergeCell ref="L1:O1"/>
    <mergeCell ref="V1:Z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7"/>
  </sheetPr>
  <dimension ref="A1:H17"/>
  <sheetViews>
    <sheetView zoomScale="120" zoomScaleNormal="120" workbookViewId="0">
      <selection activeCell="F1" sqref="F1"/>
    </sheetView>
  </sheetViews>
  <sheetFormatPr defaultRowHeight="14.45"/>
  <cols>
    <col min="1" max="1" width="16.140625" bestFit="1" customWidth="1"/>
    <col min="2" max="2" width="36.5703125" customWidth="1"/>
    <col min="3" max="3" width="29.85546875" customWidth="1"/>
    <col min="4" max="4" width="17.28515625" customWidth="1"/>
    <col min="5" max="5" width="7.7109375" bestFit="1" customWidth="1"/>
    <col min="6" max="6" width="10.42578125" customWidth="1"/>
    <col min="7" max="7" width="12.5703125" bestFit="1" customWidth="1"/>
    <col min="8" max="8" width="18.28515625" bestFit="1" customWidth="1"/>
  </cols>
  <sheetData>
    <row r="1" spans="1:8" ht="21">
      <c r="A1" s="10" t="s">
        <v>3</v>
      </c>
      <c r="B1" s="10" t="s">
        <v>7</v>
      </c>
      <c r="C1" s="10" t="s">
        <v>24</v>
      </c>
      <c r="D1" s="10" t="s">
        <v>8</v>
      </c>
      <c r="E1" s="10" t="s">
        <v>25</v>
      </c>
      <c r="F1" s="10" t="s">
        <v>9</v>
      </c>
      <c r="G1" s="45"/>
      <c r="H1" s="10" t="s">
        <v>10</v>
      </c>
    </row>
    <row r="2" spans="1:8">
      <c r="A2" s="1">
        <v>10001</v>
      </c>
      <c r="B2" s="2" t="s">
        <v>1188</v>
      </c>
      <c r="C2" s="1" t="s">
        <v>1189</v>
      </c>
      <c r="D2" s="1" t="s">
        <v>1190</v>
      </c>
      <c r="E2" s="1" t="s">
        <v>1191</v>
      </c>
      <c r="F2" s="1" t="s">
        <v>1192</v>
      </c>
      <c r="G2" s="45"/>
      <c r="H2" s="45" t="str">
        <f>VLOOKUP($E2,'Region INfo'!$A$1:$C$52,3,FALSE)</f>
        <v xml:space="preserve">Northern </v>
      </c>
    </row>
    <row r="3" spans="1:8">
      <c r="A3" s="1">
        <v>10002</v>
      </c>
      <c r="B3" s="2" t="s">
        <v>1193</v>
      </c>
      <c r="C3" s="1" t="s">
        <v>1194</v>
      </c>
      <c r="D3" s="1" t="s">
        <v>1195</v>
      </c>
      <c r="E3" s="1" t="s">
        <v>1196</v>
      </c>
      <c r="F3" s="1" t="s">
        <v>1197</v>
      </c>
      <c r="G3" s="45"/>
      <c r="H3" s="45" t="str">
        <f>VLOOKUP($E3,'Region INfo'!$A$1:$C$52,3,FALSE)</f>
        <v>Western</v>
      </c>
    </row>
    <row r="4" spans="1:8">
      <c r="A4" s="1">
        <v>10003</v>
      </c>
      <c r="B4" s="2" t="s">
        <v>1198</v>
      </c>
      <c r="C4" s="1" t="s">
        <v>1199</v>
      </c>
      <c r="D4" s="1" t="s">
        <v>1200</v>
      </c>
      <c r="E4" s="1" t="s">
        <v>1201</v>
      </c>
      <c r="F4" s="1" t="s">
        <v>1202</v>
      </c>
      <c r="G4" s="45"/>
      <c r="H4" s="45" t="str">
        <f>VLOOKUP($E4,'Region INfo'!$A$1:$C$52,3,FALSE)</f>
        <v>Southern</v>
      </c>
    </row>
    <row r="5" spans="1:8">
      <c r="A5" s="1">
        <v>10004</v>
      </c>
      <c r="B5" s="2" t="s">
        <v>1203</v>
      </c>
      <c r="C5" s="1" t="s">
        <v>1204</v>
      </c>
      <c r="D5" s="1" t="s">
        <v>1190</v>
      </c>
      <c r="E5" s="1" t="s">
        <v>1191</v>
      </c>
      <c r="F5" s="1" t="s">
        <v>1205</v>
      </c>
      <c r="G5" s="45"/>
      <c r="H5" s="45" t="str">
        <f>VLOOKUP($E5,'Region INfo'!$A$1:$C$52,3,FALSE)</f>
        <v xml:space="preserve">Northern </v>
      </c>
    </row>
    <row r="6" spans="1:8">
      <c r="A6" s="1">
        <v>10005</v>
      </c>
      <c r="B6" s="2" t="s">
        <v>1206</v>
      </c>
      <c r="C6" s="1" t="s">
        <v>1207</v>
      </c>
      <c r="D6" s="1" t="s">
        <v>1208</v>
      </c>
      <c r="E6" s="1" t="s">
        <v>1209</v>
      </c>
      <c r="F6" s="1" t="s">
        <v>1210</v>
      </c>
      <c r="G6" s="45"/>
      <c r="H6" s="45" t="str">
        <f>VLOOKUP($E6,'Region INfo'!$A$1:$C$52,3,FALSE)</f>
        <v xml:space="preserve">Pacific   </v>
      </c>
    </row>
    <row r="7" spans="1:8">
      <c r="A7" s="1">
        <v>10006</v>
      </c>
      <c r="B7" s="2" t="s">
        <v>1211</v>
      </c>
      <c r="C7" s="1" t="s">
        <v>1212</v>
      </c>
      <c r="D7" s="1" t="s">
        <v>1213</v>
      </c>
      <c r="E7" s="1" t="s">
        <v>1214</v>
      </c>
      <c r="F7" s="1" t="s">
        <v>1215</v>
      </c>
      <c r="G7" s="45"/>
      <c r="H7" s="45" t="str">
        <f>VLOOKUP($E7,'Region INfo'!$A$1:$C$52,3,FALSE)</f>
        <v>Western</v>
      </c>
    </row>
    <row r="8" spans="1:8">
      <c r="A8" s="1">
        <v>10007</v>
      </c>
      <c r="B8" s="2" t="s">
        <v>1216</v>
      </c>
      <c r="C8" s="1" t="s">
        <v>1217</v>
      </c>
      <c r="D8" s="1" t="s">
        <v>1218</v>
      </c>
      <c r="E8" s="1" t="s">
        <v>1209</v>
      </c>
      <c r="F8" s="1" t="s">
        <v>1219</v>
      </c>
      <c r="G8" s="45"/>
      <c r="H8" s="45" t="str">
        <f>VLOOKUP($E8,'Region INfo'!$A$1:$C$52,3,FALSE)</f>
        <v xml:space="preserve">Pacific   </v>
      </c>
    </row>
    <row r="9" spans="1:8">
      <c r="A9" s="1">
        <v>10008</v>
      </c>
      <c r="B9" s="2" t="s">
        <v>1220</v>
      </c>
      <c r="C9" s="1" t="s">
        <v>1221</v>
      </c>
      <c r="D9" s="1" t="s">
        <v>1222</v>
      </c>
      <c r="E9" s="1" t="s">
        <v>1191</v>
      </c>
      <c r="F9" s="1" t="s">
        <v>1223</v>
      </c>
      <c r="G9" s="45"/>
      <c r="H9" s="45" t="str">
        <f>VLOOKUP($E9,'Region INfo'!$A$1:$C$52,3,FALSE)</f>
        <v xml:space="preserve">Northern </v>
      </c>
    </row>
    <row r="10" spans="1:8">
      <c r="A10" s="1">
        <v>10009</v>
      </c>
      <c r="B10" s="2" t="s">
        <v>1224</v>
      </c>
      <c r="C10" s="1" t="s">
        <v>1225</v>
      </c>
      <c r="D10" s="1" t="s">
        <v>1226</v>
      </c>
      <c r="E10" s="1" t="s">
        <v>1227</v>
      </c>
      <c r="F10" s="1" t="s">
        <v>1228</v>
      </c>
      <c r="G10" s="45"/>
      <c r="H10" s="45" t="str">
        <f>VLOOKUP($E10,'Region INfo'!$A$1:$C$52,3,FALSE)</f>
        <v xml:space="preserve">Pacific   </v>
      </c>
    </row>
    <row r="11" spans="1:8">
      <c r="A11" s="1">
        <v>10010</v>
      </c>
      <c r="B11" s="2" t="s">
        <v>1229</v>
      </c>
      <c r="C11" s="1" t="s">
        <v>1230</v>
      </c>
      <c r="D11" s="1" t="s">
        <v>1231</v>
      </c>
      <c r="E11" s="1" t="s">
        <v>1209</v>
      </c>
      <c r="F11" s="1" t="s">
        <v>1232</v>
      </c>
      <c r="G11" s="45"/>
      <c r="H11" s="45" t="str">
        <f>VLOOKUP($E11,'Region INfo'!$A$1:$C$52,3,FALSE)</f>
        <v xml:space="preserve">Pacific   </v>
      </c>
    </row>
    <row r="12" spans="1:8">
      <c r="A12" s="1">
        <v>10011</v>
      </c>
      <c r="B12" s="2" t="s">
        <v>1233</v>
      </c>
      <c r="C12" s="1" t="s">
        <v>1234</v>
      </c>
      <c r="D12" s="1" t="s">
        <v>1235</v>
      </c>
      <c r="E12" s="1" t="s">
        <v>1236</v>
      </c>
      <c r="F12" s="1" t="s">
        <v>1237</v>
      </c>
      <c r="G12" s="45"/>
      <c r="H12" s="45" t="str">
        <f>VLOOKUP($E12,'Region INfo'!$A$1:$C$52,3,FALSE)</f>
        <v xml:space="preserve">Pacific   </v>
      </c>
    </row>
    <row r="13" spans="1:8">
      <c r="A13" s="1">
        <v>10012</v>
      </c>
      <c r="B13" s="2" t="s">
        <v>1238</v>
      </c>
      <c r="C13" s="1" t="s">
        <v>1239</v>
      </c>
      <c r="D13" s="1" t="s">
        <v>1240</v>
      </c>
      <c r="E13" s="1" t="s">
        <v>1209</v>
      </c>
      <c r="F13" s="1" t="s">
        <v>1241</v>
      </c>
      <c r="G13" s="45"/>
      <c r="H13" s="45" t="str">
        <f>VLOOKUP($E13,'Region INfo'!$A$1:$C$52,3,FALSE)</f>
        <v xml:space="preserve">Pacific   </v>
      </c>
    </row>
    <row r="14" spans="1:8">
      <c r="A14" s="1">
        <v>10013</v>
      </c>
      <c r="B14" s="2" t="s">
        <v>1242</v>
      </c>
      <c r="C14" s="1" t="s">
        <v>1243</v>
      </c>
      <c r="D14" s="1" t="s">
        <v>1244</v>
      </c>
      <c r="E14" s="1" t="s">
        <v>1245</v>
      </c>
      <c r="F14" s="1" t="s">
        <v>1246</v>
      </c>
      <c r="G14" s="45"/>
      <c r="H14" s="45" t="str">
        <f>VLOOKUP($E14,'Region INfo'!$A$1:$C$52,3,FALSE)</f>
        <v xml:space="preserve">Northern </v>
      </c>
    </row>
    <row r="15" spans="1:8">
      <c r="A15" s="1">
        <v>10014</v>
      </c>
      <c r="B15" s="2" t="s">
        <v>1247</v>
      </c>
      <c r="C15" s="1" t="s">
        <v>1248</v>
      </c>
      <c r="D15" s="1" t="s">
        <v>1249</v>
      </c>
      <c r="E15" s="1" t="s">
        <v>1250</v>
      </c>
      <c r="F15" s="1" t="s">
        <v>1251</v>
      </c>
      <c r="G15" s="45"/>
      <c r="H15" s="45" t="str">
        <f>VLOOKUP($E15,'Region INfo'!$A$1:$C$52,3,FALSE)</f>
        <v xml:space="preserve">Pacific   </v>
      </c>
    </row>
    <row r="16" spans="1:8">
      <c r="A16" s="1">
        <v>10015</v>
      </c>
      <c r="B16" s="1" t="s">
        <v>1252</v>
      </c>
      <c r="C16" s="1" t="s">
        <v>1253</v>
      </c>
      <c r="D16" s="1" t="s">
        <v>1254</v>
      </c>
      <c r="E16" s="1" t="s">
        <v>1245</v>
      </c>
      <c r="F16" s="1" t="s">
        <v>1255</v>
      </c>
      <c r="G16" s="45"/>
      <c r="H16" s="45" t="str">
        <f>VLOOKUP($E16,'Region INfo'!$A$1:$C$52,3,FALSE)</f>
        <v xml:space="preserve">Northern </v>
      </c>
    </row>
    <row r="17" spans="1:8">
      <c r="A17" s="1">
        <v>10016</v>
      </c>
      <c r="B17" s="1" t="s">
        <v>1252</v>
      </c>
      <c r="C17" s="1" t="s">
        <v>1253</v>
      </c>
      <c r="D17" s="1" t="s">
        <v>1254</v>
      </c>
      <c r="E17" s="1" t="s">
        <v>1245</v>
      </c>
      <c r="F17" s="1" t="s">
        <v>1255</v>
      </c>
      <c r="G17" s="45"/>
      <c r="H17" s="45" t="str">
        <f>VLOOKUP($E17,'Region INfo'!$A$1:$C$52,3,FALSE)</f>
        <v xml:space="preserve">Northern 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C52"/>
  <sheetViews>
    <sheetView zoomScale="120" zoomScaleNormal="120" workbookViewId="0"/>
  </sheetViews>
  <sheetFormatPr defaultRowHeight="14.45"/>
  <cols>
    <col min="1" max="1" width="15.28515625" customWidth="1"/>
    <col min="2" max="2" width="17.28515625" bestFit="1" customWidth="1"/>
    <col min="3" max="3" width="16.7109375" customWidth="1"/>
  </cols>
  <sheetData>
    <row r="1" spans="1:3" ht="21">
      <c r="A1" s="11" t="s">
        <v>25</v>
      </c>
      <c r="B1" s="11" t="s">
        <v>1256</v>
      </c>
      <c r="C1" s="11" t="s">
        <v>10</v>
      </c>
    </row>
    <row r="2" spans="1:3">
      <c r="A2" s="1" t="s">
        <v>1257</v>
      </c>
      <c r="B2" s="1" t="s">
        <v>1258</v>
      </c>
      <c r="C2" s="1" t="s">
        <v>1259</v>
      </c>
    </row>
    <row r="3" spans="1:3">
      <c r="A3" s="1" t="s">
        <v>1260</v>
      </c>
      <c r="B3" s="1" t="s">
        <v>1261</v>
      </c>
      <c r="C3" s="1" t="s">
        <v>1262</v>
      </c>
    </row>
    <row r="4" spans="1:3">
      <c r="A4" s="1" t="s">
        <v>1263</v>
      </c>
      <c r="B4" s="1" t="s">
        <v>1264</v>
      </c>
      <c r="C4" s="1" t="s">
        <v>1262</v>
      </c>
    </row>
    <row r="5" spans="1:3">
      <c r="A5" s="1" t="s">
        <v>1265</v>
      </c>
      <c r="B5" s="1" t="s">
        <v>1266</v>
      </c>
      <c r="C5" s="1" t="s">
        <v>1259</v>
      </c>
    </row>
    <row r="6" spans="1:3">
      <c r="A6" s="1" t="s">
        <v>1209</v>
      </c>
      <c r="B6" s="1" t="s">
        <v>1267</v>
      </c>
      <c r="C6" s="1" t="s">
        <v>1259</v>
      </c>
    </row>
    <row r="7" spans="1:3">
      <c r="A7" s="1" t="s">
        <v>1268</v>
      </c>
      <c r="B7" s="1" t="s">
        <v>1269</v>
      </c>
      <c r="C7" s="1" t="s">
        <v>1270</v>
      </c>
    </row>
    <row r="8" spans="1:3">
      <c r="A8" s="1" t="s">
        <v>1245</v>
      </c>
      <c r="B8" s="1" t="s">
        <v>1271</v>
      </c>
      <c r="C8" s="1" t="s">
        <v>1272</v>
      </c>
    </row>
    <row r="9" spans="1:3">
      <c r="A9" s="1" t="s">
        <v>1273</v>
      </c>
      <c r="B9" s="1" t="s">
        <v>1274</v>
      </c>
      <c r="C9" s="1" t="s">
        <v>1272</v>
      </c>
    </row>
    <row r="10" spans="1:3">
      <c r="A10" s="1" t="s">
        <v>1275</v>
      </c>
      <c r="B10" s="1" t="s">
        <v>1276</v>
      </c>
      <c r="C10" s="1" t="s">
        <v>1272</v>
      </c>
    </row>
    <row r="11" spans="1:3">
      <c r="A11" s="1" t="s">
        <v>1201</v>
      </c>
      <c r="B11" s="1" t="s">
        <v>1277</v>
      </c>
      <c r="C11" s="1" t="s">
        <v>1262</v>
      </c>
    </row>
    <row r="12" spans="1:3">
      <c r="A12" s="1" t="s">
        <v>1278</v>
      </c>
      <c r="B12" s="1" t="s">
        <v>1279</v>
      </c>
      <c r="C12" s="1" t="s">
        <v>1262</v>
      </c>
    </row>
    <row r="13" spans="1:3">
      <c r="A13" s="1" t="s">
        <v>1250</v>
      </c>
      <c r="B13" s="1" t="s">
        <v>1280</v>
      </c>
      <c r="C13" s="1" t="s">
        <v>1259</v>
      </c>
    </row>
    <row r="14" spans="1:3">
      <c r="A14" s="1" t="s">
        <v>1281</v>
      </c>
      <c r="B14" s="1" t="s">
        <v>1282</v>
      </c>
      <c r="C14" s="1" t="s">
        <v>1283</v>
      </c>
    </row>
    <row r="15" spans="1:3">
      <c r="A15" s="1" t="s">
        <v>1284</v>
      </c>
      <c r="B15" s="1" t="s">
        <v>1285</v>
      </c>
      <c r="C15" s="1" t="s">
        <v>1270</v>
      </c>
    </row>
    <row r="16" spans="1:3">
      <c r="A16" s="1" t="s">
        <v>1286</v>
      </c>
      <c r="B16" s="1" t="s">
        <v>1287</v>
      </c>
      <c r="C16" s="1" t="s">
        <v>1283</v>
      </c>
    </row>
    <row r="17" spans="1:3">
      <c r="A17" s="1" t="s">
        <v>1288</v>
      </c>
      <c r="B17" s="1" t="s">
        <v>1289</v>
      </c>
      <c r="C17" s="1" t="s">
        <v>1283</v>
      </c>
    </row>
    <row r="18" spans="1:3">
      <c r="A18" s="1" t="s">
        <v>1290</v>
      </c>
      <c r="B18" s="1" t="s">
        <v>1291</v>
      </c>
      <c r="C18" s="1" t="s">
        <v>1270</v>
      </c>
    </row>
    <row r="19" spans="1:3">
      <c r="A19" s="1" t="s">
        <v>1292</v>
      </c>
      <c r="B19" s="1" t="s">
        <v>1293</v>
      </c>
      <c r="C19" s="1" t="s">
        <v>1283</v>
      </c>
    </row>
    <row r="20" spans="1:3">
      <c r="A20" s="1" t="s">
        <v>1294</v>
      </c>
      <c r="B20" s="1" t="s">
        <v>1295</v>
      </c>
      <c r="C20" s="1" t="s">
        <v>1262</v>
      </c>
    </row>
    <row r="21" spans="1:3">
      <c r="A21" s="1" t="s">
        <v>1296</v>
      </c>
      <c r="B21" s="1" t="s">
        <v>1297</v>
      </c>
      <c r="C21" s="1" t="s">
        <v>1272</v>
      </c>
    </row>
    <row r="22" spans="1:3">
      <c r="A22" s="1" t="s">
        <v>1298</v>
      </c>
      <c r="B22" s="1" t="s">
        <v>1299</v>
      </c>
      <c r="C22" s="1" t="s">
        <v>1272</v>
      </c>
    </row>
    <row r="23" spans="1:3">
      <c r="A23" s="1" t="s">
        <v>1300</v>
      </c>
      <c r="B23" s="1" t="s">
        <v>1301</v>
      </c>
      <c r="C23" s="1" t="s">
        <v>1272</v>
      </c>
    </row>
    <row r="24" spans="1:3">
      <c r="A24" s="1" t="s">
        <v>1302</v>
      </c>
      <c r="B24" s="1" t="s">
        <v>1303</v>
      </c>
      <c r="C24" s="1" t="s">
        <v>1283</v>
      </c>
    </row>
    <row r="25" spans="1:3">
      <c r="A25" s="1" t="s">
        <v>1304</v>
      </c>
      <c r="B25" s="1" t="s">
        <v>1305</v>
      </c>
      <c r="C25" s="1" t="s">
        <v>1283</v>
      </c>
    </row>
    <row r="26" spans="1:3">
      <c r="A26" s="1" t="s">
        <v>1306</v>
      </c>
      <c r="B26" s="1" t="s">
        <v>1307</v>
      </c>
      <c r="C26" s="1" t="s">
        <v>1283</v>
      </c>
    </row>
    <row r="27" spans="1:3">
      <c r="A27" s="1" t="s">
        <v>1308</v>
      </c>
      <c r="B27" s="1" t="s">
        <v>1309</v>
      </c>
      <c r="C27" s="1" t="s">
        <v>1262</v>
      </c>
    </row>
    <row r="28" spans="1:3">
      <c r="A28" s="1" t="s">
        <v>1310</v>
      </c>
      <c r="B28" s="1" t="s">
        <v>1311</v>
      </c>
      <c r="C28" s="1" t="s">
        <v>1270</v>
      </c>
    </row>
    <row r="29" spans="1:3">
      <c r="A29" s="1" t="s">
        <v>1312</v>
      </c>
      <c r="B29" s="1" t="s">
        <v>1313</v>
      </c>
      <c r="C29" s="1" t="s">
        <v>1262</v>
      </c>
    </row>
    <row r="30" spans="1:3">
      <c r="A30" s="1" t="s">
        <v>1314</v>
      </c>
      <c r="B30" s="1" t="s">
        <v>1315</v>
      </c>
      <c r="C30" s="1" t="s">
        <v>1270</v>
      </c>
    </row>
    <row r="31" spans="1:3">
      <c r="A31" s="1" t="s">
        <v>1196</v>
      </c>
      <c r="B31" s="1" t="s">
        <v>1316</v>
      </c>
      <c r="C31" s="1" t="s">
        <v>1270</v>
      </c>
    </row>
    <row r="32" spans="1:3">
      <c r="A32" s="1" t="s">
        <v>1317</v>
      </c>
      <c r="B32" s="1" t="s">
        <v>1318</v>
      </c>
      <c r="C32" s="1" t="s">
        <v>1272</v>
      </c>
    </row>
    <row r="33" spans="1:3">
      <c r="A33" s="1" t="s">
        <v>1319</v>
      </c>
      <c r="B33" s="1" t="s">
        <v>1320</v>
      </c>
      <c r="C33" s="1" t="s">
        <v>1272</v>
      </c>
    </row>
    <row r="34" spans="1:3">
      <c r="A34" s="1" t="s">
        <v>1321</v>
      </c>
      <c r="B34" s="1" t="s">
        <v>1322</v>
      </c>
      <c r="C34" s="1" t="s">
        <v>1270</v>
      </c>
    </row>
    <row r="35" spans="1:3">
      <c r="A35" s="1" t="s">
        <v>1323</v>
      </c>
      <c r="B35" s="1" t="s">
        <v>1324</v>
      </c>
      <c r="C35" s="1" t="s">
        <v>1259</v>
      </c>
    </row>
    <row r="36" spans="1:3">
      <c r="A36" s="1" t="s">
        <v>1191</v>
      </c>
      <c r="B36" s="1" t="s">
        <v>1190</v>
      </c>
      <c r="C36" s="1" t="s">
        <v>1272</v>
      </c>
    </row>
    <row r="37" spans="1:3">
      <c r="A37" s="1" t="s">
        <v>1325</v>
      </c>
      <c r="B37" s="1" t="s">
        <v>1326</v>
      </c>
      <c r="C37" s="1" t="s">
        <v>1283</v>
      </c>
    </row>
    <row r="38" spans="1:3">
      <c r="A38" s="1" t="s">
        <v>1327</v>
      </c>
      <c r="B38" s="1" t="s">
        <v>1328</v>
      </c>
      <c r="C38" s="1" t="s">
        <v>1270</v>
      </c>
    </row>
    <row r="39" spans="1:3">
      <c r="A39" s="1" t="s">
        <v>1329</v>
      </c>
      <c r="B39" s="1" t="s">
        <v>1330</v>
      </c>
      <c r="C39" s="1" t="s">
        <v>1259</v>
      </c>
    </row>
    <row r="40" spans="1:3">
      <c r="A40" s="1" t="s">
        <v>1331</v>
      </c>
      <c r="B40" s="1" t="s">
        <v>1332</v>
      </c>
      <c r="C40" s="1" t="s">
        <v>1272</v>
      </c>
    </row>
    <row r="41" spans="1:3">
      <c r="A41" s="1" t="s">
        <v>1333</v>
      </c>
      <c r="B41" s="1" t="s">
        <v>1334</v>
      </c>
      <c r="C41" s="1" t="s">
        <v>1272</v>
      </c>
    </row>
    <row r="42" spans="1:3">
      <c r="A42" s="1" t="s">
        <v>1335</v>
      </c>
      <c r="B42" s="1" t="s">
        <v>1336</v>
      </c>
      <c r="C42" s="1" t="s">
        <v>1262</v>
      </c>
    </row>
    <row r="43" spans="1:3">
      <c r="A43" s="1" t="s">
        <v>1337</v>
      </c>
      <c r="B43" s="1" t="s">
        <v>1338</v>
      </c>
      <c r="C43" s="1" t="s">
        <v>1270</v>
      </c>
    </row>
    <row r="44" spans="1:3">
      <c r="A44" s="1" t="s">
        <v>1339</v>
      </c>
      <c r="B44" s="1" t="s">
        <v>1340</v>
      </c>
      <c r="C44" s="1" t="s">
        <v>1262</v>
      </c>
    </row>
    <row r="45" spans="1:3">
      <c r="A45" s="1" t="s">
        <v>1214</v>
      </c>
      <c r="B45" s="1" t="s">
        <v>1341</v>
      </c>
      <c r="C45" s="1" t="s">
        <v>1270</v>
      </c>
    </row>
    <row r="46" spans="1:3">
      <c r="A46" s="1" t="s">
        <v>1227</v>
      </c>
      <c r="B46" s="1" t="s">
        <v>1342</v>
      </c>
      <c r="C46" s="1" t="s">
        <v>1259</v>
      </c>
    </row>
    <row r="47" spans="1:3">
      <c r="A47" s="1" t="s">
        <v>1343</v>
      </c>
      <c r="B47" s="1" t="s">
        <v>1344</v>
      </c>
      <c r="C47" s="1" t="s">
        <v>1262</v>
      </c>
    </row>
    <row r="48" spans="1:3">
      <c r="A48" s="1" t="s">
        <v>1345</v>
      </c>
      <c r="B48" s="1" t="s">
        <v>1346</v>
      </c>
      <c r="C48" s="1" t="s">
        <v>1272</v>
      </c>
    </row>
    <row r="49" spans="1:3">
      <c r="A49" s="1" t="s">
        <v>1236</v>
      </c>
      <c r="B49" s="1" t="s">
        <v>1347</v>
      </c>
      <c r="C49" s="1" t="s">
        <v>1259</v>
      </c>
    </row>
    <row r="50" spans="1:3">
      <c r="A50" s="1" t="s">
        <v>1348</v>
      </c>
      <c r="B50" s="1" t="s">
        <v>1349</v>
      </c>
      <c r="C50" s="1" t="s">
        <v>1283</v>
      </c>
    </row>
    <row r="51" spans="1:3">
      <c r="A51" s="1" t="s">
        <v>1350</v>
      </c>
      <c r="B51" s="1" t="s">
        <v>1351</v>
      </c>
      <c r="C51" s="1" t="s">
        <v>1262</v>
      </c>
    </row>
    <row r="52" spans="1:3">
      <c r="A52" s="1" t="s">
        <v>1352</v>
      </c>
      <c r="B52" s="1" t="s">
        <v>1353</v>
      </c>
      <c r="C52" s="1" t="s">
        <v>1270</v>
      </c>
    </row>
  </sheetData>
  <autoFilter ref="A1:C52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14D93-E764-42DD-BD5B-AFA2C9A43379}">
  <sheetPr>
    <tabColor rgb="FFC00000"/>
  </sheetPr>
  <dimension ref="A1:E36"/>
  <sheetViews>
    <sheetView topLeftCell="A33" zoomScale="120" zoomScaleNormal="120" workbookViewId="0">
      <selection activeCell="D8" sqref="D8"/>
    </sheetView>
  </sheetViews>
  <sheetFormatPr defaultRowHeight="14.45"/>
  <cols>
    <col min="1" max="1" width="13.85546875" customWidth="1"/>
    <col min="2" max="5" width="31.7109375" customWidth="1"/>
  </cols>
  <sheetData>
    <row r="1" spans="1:5" ht="15.6">
      <c r="A1" s="22" t="s">
        <v>1354</v>
      </c>
      <c r="B1" s="22" t="s">
        <v>7</v>
      </c>
      <c r="C1" s="45"/>
      <c r="D1" s="45"/>
      <c r="E1" s="45"/>
    </row>
    <row r="2" spans="1:5">
      <c r="A2" s="1">
        <v>1</v>
      </c>
      <c r="B2" s="2" t="s">
        <v>1355</v>
      </c>
      <c r="C2" s="45">
        <v>1</v>
      </c>
      <c r="D2" s="45"/>
      <c r="E2" s="45"/>
    </row>
    <row r="3" spans="1:5">
      <c r="A3" s="1">
        <v>2</v>
      </c>
      <c r="B3" s="2" t="s">
        <v>1193</v>
      </c>
      <c r="C3" s="45">
        <v>2</v>
      </c>
      <c r="D3" s="45"/>
      <c r="E3" s="45"/>
    </row>
    <row r="4" spans="1:5" ht="15" thickBot="1">
      <c r="A4" s="1">
        <v>3</v>
      </c>
      <c r="B4" s="2" t="s">
        <v>1198</v>
      </c>
      <c r="C4" s="45">
        <v>3</v>
      </c>
      <c r="D4" s="45"/>
      <c r="E4" s="45"/>
    </row>
    <row r="5" spans="1:5" ht="15" thickBot="1">
      <c r="A5" s="1">
        <v>4</v>
      </c>
      <c r="B5" s="2" t="s">
        <v>1203</v>
      </c>
      <c r="C5" s="45">
        <v>4</v>
      </c>
      <c r="D5" s="21" t="s">
        <v>1356</v>
      </c>
      <c r="E5" s="21" t="s">
        <v>1233</v>
      </c>
    </row>
    <row r="6" spans="1:5" ht="15" thickBot="1">
      <c r="A6" s="1">
        <v>5</v>
      </c>
      <c r="B6" s="2" t="s">
        <v>1206</v>
      </c>
      <c r="C6" s="45">
        <v>5</v>
      </c>
      <c r="D6" s="21" t="s">
        <v>1357</v>
      </c>
      <c r="E6" s="21">
        <f>MATCH(E5,$B$2:$B$16,0)</f>
        <v>11</v>
      </c>
    </row>
    <row r="7" spans="1:5">
      <c r="A7" s="1">
        <v>6</v>
      </c>
      <c r="B7" s="2" t="s">
        <v>1358</v>
      </c>
      <c r="C7" s="45"/>
      <c r="D7" s="45"/>
      <c r="E7" s="45"/>
    </row>
    <row r="8" spans="1:5">
      <c r="A8" s="1">
        <v>7</v>
      </c>
      <c r="B8" s="2" t="s">
        <v>1216</v>
      </c>
      <c r="C8" s="45"/>
      <c r="D8" s="45"/>
      <c r="E8" s="45"/>
    </row>
    <row r="9" spans="1:5">
      <c r="A9" s="1">
        <v>8</v>
      </c>
      <c r="B9" s="2" t="s">
        <v>1220</v>
      </c>
      <c r="C9" s="45"/>
      <c r="D9" s="45"/>
      <c r="E9" s="45"/>
    </row>
    <row r="10" spans="1:5">
      <c r="A10" s="1">
        <v>9</v>
      </c>
      <c r="B10" s="2" t="s">
        <v>1224</v>
      </c>
      <c r="C10" s="45"/>
      <c r="D10" s="45"/>
      <c r="E10" s="45"/>
    </row>
    <row r="11" spans="1:5">
      <c r="A11" s="1">
        <v>10</v>
      </c>
      <c r="B11" s="2" t="s">
        <v>1229</v>
      </c>
      <c r="C11" s="45"/>
      <c r="D11" s="45"/>
      <c r="E11" s="45"/>
    </row>
    <row r="12" spans="1:5">
      <c r="A12" s="1">
        <v>11</v>
      </c>
      <c r="B12" s="2" t="s">
        <v>1233</v>
      </c>
      <c r="C12" s="45"/>
      <c r="D12" s="45"/>
      <c r="E12" s="45"/>
    </row>
    <row r="13" spans="1:5">
      <c r="A13" s="1">
        <v>12</v>
      </c>
      <c r="B13" s="2" t="s">
        <v>1238</v>
      </c>
      <c r="C13" s="45"/>
      <c r="D13" s="45"/>
      <c r="E13" s="45"/>
    </row>
    <row r="14" spans="1:5">
      <c r="A14" s="1">
        <v>13</v>
      </c>
      <c r="B14" s="2" t="s">
        <v>1242</v>
      </c>
      <c r="C14" s="45"/>
      <c r="D14" s="45"/>
      <c r="E14" s="45"/>
    </row>
    <row r="15" spans="1:5">
      <c r="A15" s="1">
        <v>14</v>
      </c>
      <c r="B15" s="2" t="s">
        <v>1359</v>
      </c>
      <c r="C15" s="45"/>
      <c r="D15" s="45"/>
      <c r="E15" s="45"/>
    </row>
    <row r="16" spans="1:5">
      <c r="A16" s="1">
        <v>15</v>
      </c>
      <c r="B16" s="1" t="s">
        <v>1252</v>
      </c>
      <c r="C16" s="45"/>
      <c r="D16" s="45"/>
      <c r="E16" s="45"/>
    </row>
    <row r="19" spans="1:5">
      <c r="A19" s="23" t="s">
        <v>1354</v>
      </c>
      <c r="B19" s="2">
        <v>1</v>
      </c>
      <c r="C19" s="2">
        <v>2</v>
      </c>
      <c r="D19" s="2">
        <v>3</v>
      </c>
      <c r="E19" s="2">
        <v>4</v>
      </c>
    </row>
    <row r="20" spans="1:5">
      <c r="A20" s="23" t="s">
        <v>7</v>
      </c>
      <c r="B20" s="2" t="s">
        <v>1355</v>
      </c>
      <c r="C20" s="2" t="s">
        <v>1193</v>
      </c>
      <c r="D20" s="2" t="s">
        <v>1198</v>
      </c>
      <c r="E20" s="2" t="s">
        <v>1203</v>
      </c>
    </row>
    <row r="22" spans="1:5" ht="15" thickBot="1">
      <c r="A22" s="45"/>
      <c r="B22" s="45"/>
      <c r="C22" s="45"/>
      <c r="D22" s="45"/>
      <c r="E22" s="45"/>
    </row>
    <row r="23" spans="1:5" ht="15" thickBot="1">
      <c r="A23" s="45"/>
      <c r="B23" s="21" t="s">
        <v>1356</v>
      </c>
      <c r="C23" s="21" t="s">
        <v>1203</v>
      </c>
      <c r="D23" s="45"/>
      <c r="E23" s="45"/>
    </row>
    <row r="24" spans="1:5" ht="15" thickBot="1">
      <c r="A24" s="45"/>
      <c r="B24" s="21" t="s">
        <v>1357</v>
      </c>
      <c r="C24" s="21">
        <f>MATCH(C23,B20:E20,0)</f>
        <v>4</v>
      </c>
      <c r="D24" s="45"/>
      <c r="E24" s="45"/>
    </row>
    <row r="29" spans="1:5" ht="15" thickBot="1">
      <c r="A29" s="45"/>
      <c r="B29" s="23" t="s">
        <v>1360</v>
      </c>
      <c r="C29" s="23" t="s">
        <v>1361</v>
      </c>
      <c r="D29" s="23" t="s">
        <v>1362</v>
      </c>
      <c r="E29" s="45"/>
    </row>
    <row r="30" spans="1:5" ht="15" thickBot="1">
      <c r="A30" s="45">
        <v>1</v>
      </c>
      <c r="B30" s="21">
        <v>100</v>
      </c>
      <c r="C30" s="21">
        <v>400</v>
      </c>
      <c r="D30" s="21">
        <v>100</v>
      </c>
      <c r="E30" s="32">
        <v>1</v>
      </c>
    </row>
    <row r="31" spans="1:5" ht="15" thickBot="1">
      <c r="A31" s="45">
        <v>2</v>
      </c>
      <c r="B31" s="21">
        <v>400</v>
      </c>
      <c r="C31" s="21">
        <v>300</v>
      </c>
      <c r="D31" s="21">
        <v>200</v>
      </c>
      <c r="E31" s="32">
        <v>2</v>
      </c>
    </row>
    <row r="32" spans="1:5" ht="15" thickBot="1">
      <c r="A32" s="45">
        <v>3</v>
      </c>
      <c r="B32" s="21">
        <v>200</v>
      </c>
      <c r="C32" s="21">
        <v>200</v>
      </c>
      <c r="D32" s="21">
        <v>300</v>
      </c>
      <c r="E32" s="32">
        <v>3</v>
      </c>
    </row>
    <row r="33" spans="1:5" ht="15" thickBot="1">
      <c r="A33" s="45">
        <v>4</v>
      </c>
      <c r="B33" s="21">
        <v>300</v>
      </c>
      <c r="C33" s="21">
        <v>100</v>
      </c>
      <c r="D33" s="21">
        <v>400</v>
      </c>
      <c r="E33" s="32">
        <v>4</v>
      </c>
    </row>
    <row r="34" spans="1:5" ht="15" thickBot="1">
      <c r="A34" s="45"/>
      <c r="B34" s="45"/>
      <c r="C34" s="45"/>
      <c r="D34" s="45"/>
      <c r="E34" s="45"/>
    </row>
    <row r="35" spans="1:5" ht="15" thickBot="1">
      <c r="A35" s="21" t="s">
        <v>1363</v>
      </c>
      <c r="B35" s="21">
        <v>100</v>
      </c>
      <c r="C35" s="21">
        <v>150</v>
      </c>
      <c r="D35" s="21">
        <v>210</v>
      </c>
      <c r="E35" s="45"/>
    </row>
    <row r="36" spans="1:5" ht="15" thickBot="1">
      <c r="A36" s="21" t="s">
        <v>1357</v>
      </c>
      <c r="B36" s="21">
        <f>MATCH(B35,B30:B33,0)</f>
        <v>1</v>
      </c>
      <c r="C36" s="21">
        <f>MATCH(C35,C30:C33,-1)</f>
        <v>3</v>
      </c>
      <c r="D36" s="21">
        <f>MATCH(D35,D30:D33,1)</f>
        <v>2</v>
      </c>
      <c r="E36" s="45"/>
    </row>
  </sheetData>
  <dataValidations count="2">
    <dataValidation type="list" allowBlank="1" showInputMessage="1" showErrorMessage="1" sqref="E5" xr:uid="{7321A2F6-F46C-471B-9790-435A1FDBBA01}">
      <formula1>$B$2:$B$16</formula1>
    </dataValidation>
    <dataValidation type="list" allowBlank="1" showInputMessage="1" showErrorMessage="1" sqref="C23" xr:uid="{F52D4EDA-BED1-4280-86BF-9E09318EC9E5}">
      <formula1>$B$20:$E$20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I299"/>
  <sheetViews>
    <sheetView zoomScale="120" zoomScaleNormal="120" workbookViewId="0"/>
  </sheetViews>
  <sheetFormatPr defaultRowHeight="14.45"/>
  <cols>
    <col min="1" max="1" width="18.28515625" bestFit="1" customWidth="1"/>
    <col min="2" max="3" width="12.7109375" bestFit="1" customWidth="1"/>
    <col min="4" max="4" width="6.42578125" bestFit="1" customWidth="1"/>
    <col min="5" max="5" width="6.28515625" bestFit="1" customWidth="1"/>
    <col min="6" max="6" width="3" customWidth="1"/>
    <col min="7" max="7" width="45" bestFit="1" customWidth="1"/>
    <col min="8" max="8" width="13.28515625" customWidth="1"/>
    <col min="9" max="9" width="68.7109375" bestFit="1" customWidth="1"/>
  </cols>
  <sheetData>
    <row r="1" spans="1:9" ht="36">
      <c r="A1" s="25" t="s">
        <v>11</v>
      </c>
      <c r="B1" s="25" t="s">
        <v>1364</v>
      </c>
      <c r="C1" s="29" t="s">
        <v>14</v>
      </c>
      <c r="D1" s="25" t="s">
        <v>12</v>
      </c>
      <c r="E1" s="25" t="s">
        <v>13</v>
      </c>
      <c r="F1" s="45"/>
      <c r="G1" s="45"/>
      <c r="H1" s="45"/>
      <c r="I1" s="45"/>
    </row>
    <row r="2" spans="1:9" ht="20.45" customHeight="1">
      <c r="A2" s="24" t="s">
        <v>1365</v>
      </c>
      <c r="B2" s="24" t="s">
        <v>462</v>
      </c>
      <c r="C2" s="24" t="s">
        <v>1366</v>
      </c>
      <c r="D2" s="24">
        <v>3472</v>
      </c>
      <c r="E2" s="24">
        <v>2239</v>
      </c>
      <c r="F2" s="45"/>
      <c r="G2" s="45"/>
      <c r="H2" s="45"/>
      <c r="I2" s="45"/>
    </row>
    <row r="3" spans="1:9" ht="20.45" customHeight="1" thickBot="1">
      <c r="A3" s="24" t="s">
        <v>1367</v>
      </c>
      <c r="B3" s="24" t="s">
        <v>485</v>
      </c>
      <c r="C3" s="24" t="s">
        <v>1368</v>
      </c>
      <c r="D3" s="24">
        <v>2552</v>
      </c>
      <c r="E3" s="24">
        <v>1905</v>
      </c>
      <c r="F3" s="45"/>
      <c r="G3" s="45"/>
      <c r="H3" s="45"/>
      <c r="I3" s="45"/>
    </row>
    <row r="4" spans="1:9" ht="20.45" customHeight="1" thickBot="1">
      <c r="A4" s="24" t="s">
        <v>1369</v>
      </c>
      <c r="B4" s="24" t="s">
        <v>854</v>
      </c>
      <c r="C4" s="24" t="s">
        <v>1366</v>
      </c>
      <c r="D4" s="24">
        <v>2617</v>
      </c>
      <c r="E4" s="24">
        <v>1736</v>
      </c>
      <c r="F4" s="45"/>
      <c r="G4" s="28" t="s">
        <v>1370</v>
      </c>
      <c r="H4" s="26">
        <f>INDEX(Product_List,8,5)</f>
        <v>2437</v>
      </c>
      <c r="I4" s="44" t="str">
        <f ca="1">IFERROR(_xlfn.FORMULATEXT(H4),"")</f>
        <v>=INDEX(Product_List,8,5)</v>
      </c>
    </row>
    <row r="5" spans="1:9" ht="20.45" customHeight="1" thickBot="1">
      <c r="A5" s="24" t="s">
        <v>1371</v>
      </c>
      <c r="B5" s="24" t="s">
        <v>695</v>
      </c>
      <c r="C5" s="24" t="s">
        <v>1366</v>
      </c>
      <c r="D5" s="24">
        <v>4099</v>
      </c>
      <c r="E5" s="24">
        <v>1530</v>
      </c>
      <c r="F5" s="45"/>
      <c r="G5" s="28" t="s">
        <v>1372</v>
      </c>
      <c r="H5" s="37" t="s">
        <v>394</v>
      </c>
      <c r="I5" s="45" t="str">
        <f t="shared" ref="I5:I6" ca="1" si="0">IFERROR(_xlfn.FORMULATEXT(H5),"")</f>
        <v/>
      </c>
    </row>
    <row r="6" spans="1:9" ht="20.45" customHeight="1" thickBot="1">
      <c r="A6" s="24" t="s">
        <v>1373</v>
      </c>
      <c r="B6" s="24" t="s">
        <v>394</v>
      </c>
      <c r="C6" s="24" t="s">
        <v>1374</v>
      </c>
      <c r="D6" s="24">
        <v>2553</v>
      </c>
      <c r="E6" s="24">
        <v>1638</v>
      </c>
      <c r="F6" s="45"/>
      <c r="G6" s="28" t="s">
        <v>1375</v>
      </c>
      <c r="H6" s="26" t="s">
        <v>555</v>
      </c>
      <c r="I6" s="44" t="str">
        <f t="shared" ca="1" si="0"/>
        <v/>
      </c>
    </row>
    <row r="7" spans="1:9" ht="20.45" customHeight="1" thickBot="1">
      <c r="A7" s="24" t="s">
        <v>1376</v>
      </c>
      <c r="B7" s="24" t="s">
        <v>443</v>
      </c>
      <c r="C7" s="24" t="s">
        <v>1377</v>
      </c>
      <c r="D7" s="24">
        <v>3060</v>
      </c>
      <c r="E7" s="24">
        <v>1258</v>
      </c>
      <c r="F7" s="45"/>
      <c r="G7" s="28" t="s">
        <v>1378</v>
      </c>
      <c r="H7" s="26">
        <f>MATCH(H6,$B$1:$B$299,0)</f>
        <v>17</v>
      </c>
      <c r="I7" s="44" t="str">
        <f ca="1">IFERROR(_xlfn.FORMULATEXT(H7),"")</f>
        <v>=MATCH(H6,$B$1:$B$299,0)</v>
      </c>
    </row>
    <row r="8" spans="1:9" ht="20.45" customHeight="1" thickBot="1">
      <c r="A8" s="24" t="s">
        <v>1379</v>
      </c>
      <c r="B8" s="24" t="s">
        <v>497</v>
      </c>
      <c r="C8" s="24" t="s">
        <v>1368</v>
      </c>
      <c r="D8" s="24">
        <v>2814</v>
      </c>
      <c r="E8" s="24">
        <v>2437</v>
      </c>
      <c r="F8" s="45"/>
      <c r="G8" s="28" t="s">
        <v>1380</v>
      </c>
      <c r="H8" s="37" t="s">
        <v>13</v>
      </c>
      <c r="I8" s="44"/>
    </row>
    <row r="9" spans="1:9" ht="20.45" customHeight="1" thickBot="1">
      <c r="A9" s="24" t="s">
        <v>1381</v>
      </c>
      <c r="B9" s="24" t="s">
        <v>93</v>
      </c>
      <c r="C9" s="24" t="s">
        <v>1368</v>
      </c>
      <c r="D9" s="24">
        <v>2529</v>
      </c>
      <c r="E9" s="24">
        <v>1630</v>
      </c>
      <c r="F9" s="45"/>
      <c r="G9" s="28" t="s">
        <v>1382</v>
      </c>
      <c r="H9" s="26">
        <f>MATCH(H8,$A$1:$E$1,0)</f>
        <v>5</v>
      </c>
      <c r="I9" s="44" t="str">
        <f ca="1">IFERROR(_xlfn.FORMULATEXT(H9),"")</f>
        <v>=MATCH(H8,$A$1:$E$1,0)</v>
      </c>
    </row>
    <row r="10" spans="1:9" ht="20.45" customHeight="1" thickBot="1">
      <c r="A10" s="24" t="s">
        <v>1383</v>
      </c>
      <c r="B10" s="24" t="s">
        <v>347</v>
      </c>
      <c r="C10" s="24" t="s">
        <v>1377</v>
      </c>
      <c r="D10" s="24">
        <v>4706</v>
      </c>
      <c r="E10" s="24">
        <v>1714</v>
      </c>
      <c r="F10" s="45"/>
      <c r="G10" s="28" t="s">
        <v>1384</v>
      </c>
      <c r="H10" s="26">
        <f>INDEX(Product_List,MATCH(H6,$B$1:$B$299,0),MATCH(H8,$A$1:$E$1,0))</f>
        <v>1705</v>
      </c>
      <c r="I10" s="44" t="str">
        <f ca="1">IFERROR(_xlfn.FORMULATEXT(H10),"")</f>
        <v>=INDEX(Product_List,MATCH(H6,$B$1:$B$299,0),MATCH(H8,$A$1:$E$1,0))</v>
      </c>
    </row>
    <row r="11" spans="1:9" ht="20.45" customHeight="1">
      <c r="A11" s="24" t="s">
        <v>1385</v>
      </c>
      <c r="B11" s="24" t="s">
        <v>622</v>
      </c>
      <c r="C11" s="24" t="s">
        <v>1368</v>
      </c>
      <c r="D11" s="24">
        <v>3454</v>
      </c>
      <c r="E11" s="24">
        <v>1525</v>
      </c>
      <c r="F11" s="45"/>
      <c r="G11" s="45"/>
      <c r="H11" s="45"/>
      <c r="I11" s="45"/>
    </row>
    <row r="12" spans="1:9" ht="20.45" customHeight="1">
      <c r="A12" s="24" t="s">
        <v>1386</v>
      </c>
      <c r="B12" s="24" t="s">
        <v>511</v>
      </c>
      <c r="C12" s="24" t="s">
        <v>1368</v>
      </c>
      <c r="D12" s="24">
        <v>2612</v>
      </c>
      <c r="E12" s="24">
        <v>1994</v>
      </c>
      <c r="F12" s="45"/>
      <c r="G12" s="45"/>
      <c r="H12" s="45"/>
      <c r="I12" s="45"/>
    </row>
    <row r="13" spans="1:9" ht="20.45" customHeight="1">
      <c r="A13" s="24" t="s">
        <v>1387</v>
      </c>
      <c r="B13" s="24" t="s">
        <v>125</v>
      </c>
      <c r="C13" s="24" t="s">
        <v>1368</v>
      </c>
      <c r="D13" s="24">
        <v>3150</v>
      </c>
      <c r="E13" s="24">
        <v>1218</v>
      </c>
      <c r="F13" s="45"/>
      <c r="G13" s="45"/>
      <c r="H13" s="45"/>
      <c r="I13" s="45"/>
    </row>
    <row r="14" spans="1:9" ht="20.45" customHeight="1">
      <c r="A14" s="24" t="s">
        <v>1388</v>
      </c>
      <c r="B14" s="24" t="s">
        <v>73</v>
      </c>
      <c r="C14" s="24" t="s">
        <v>1368</v>
      </c>
      <c r="D14" s="24">
        <v>3499</v>
      </c>
      <c r="E14" s="24">
        <v>2342</v>
      </c>
      <c r="F14" s="45"/>
      <c r="G14" s="27"/>
      <c r="H14" s="45"/>
      <c r="I14" s="45"/>
    </row>
    <row r="15" spans="1:9" ht="20.45" customHeight="1">
      <c r="A15" s="24" t="s">
        <v>1389</v>
      </c>
      <c r="B15" s="24" t="s">
        <v>174</v>
      </c>
      <c r="C15" s="24" t="s">
        <v>1390</v>
      </c>
      <c r="D15" s="24">
        <v>2747</v>
      </c>
      <c r="E15" s="24">
        <v>2098</v>
      </c>
      <c r="F15" s="45"/>
      <c r="G15" s="45"/>
      <c r="H15" s="45"/>
      <c r="I15" s="45"/>
    </row>
    <row r="16" spans="1:9" ht="20.45" customHeight="1">
      <c r="A16" s="24" t="s">
        <v>1391</v>
      </c>
      <c r="B16" s="24" t="s">
        <v>710</v>
      </c>
      <c r="C16" s="24" t="s">
        <v>1368</v>
      </c>
      <c r="D16" s="24">
        <v>4531</v>
      </c>
      <c r="E16" s="24">
        <v>1566</v>
      </c>
      <c r="F16" s="45"/>
      <c r="G16" s="45"/>
      <c r="H16" s="45"/>
      <c r="I16" s="45"/>
    </row>
    <row r="17" spans="1:5" ht="20.45" customHeight="1">
      <c r="A17" s="24" t="s">
        <v>1392</v>
      </c>
      <c r="B17" s="24" t="s">
        <v>555</v>
      </c>
      <c r="C17" s="24" t="s">
        <v>1368</v>
      </c>
      <c r="D17" s="24">
        <v>3642</v>
      </c>
      <c r="E17" s="24">
        <v>1705</v>
      </c>
    </row>
    <row r="18" spans="1:5" ht="20.45" customHeight="1">
      <c r="A18" s="24" t="s">
        <v>1393</v>
      </c>
      <c r="B18" s="24" t="s">
        <v>474</v>
      </c>
      <c r="C18" s="24" t="s">
        <v>1390</v>
      </c>
      <c r="D18" s="24">
        <v>4459</v>
      </c>
      <c r="E18" s="24">
        <v>1722</v>
      </c>
    </row>
    <row r="19" spans="1:5" ht="20.45" customHeight="1">
      <c r="A19" s="24" t="s">
        <v>1394</v>
      </c>
      <c r="B19" s="24" t="s">
        <v>909</v>
      </c>
      <c r="C19" s="24" t="s">
        <v>1366</v>
      </c>
      <c r="D19" s="24">
        <v>2744</v>
      </c>
      <c r="E19" s="24">
        <v>1428</v>
      </c>
    </row>
    <row r="20" spans="1:5" ht="20.45" customHeight="1">
      <c r="A20" s="24" t="s">
        <v>1395</v>
      </c>
      <c r="B20" s="24" t="s">
        <v>381</v>
      </c>
      <c r="C20" s="24" t="s">
        <v>1368</v>
      </c>
      <c r="D20" s="24">
        <v>4724</v>
      </c>
      <c r="E20" s="24">
        <v>2467</v>
      </c>
    </row>
    <row r="21" spans="1:5" ht="20.45" customHeight="1">
      <c r="A21" s="24" t="s">
        <v>1396</v>
      </c>
      <c r="B21" s="24" t="s">
        <v>395</v>
      </c>
      <c r="C21" s="24" t="s">
        <v>1368</v>
      </c>
      <c r="D21" s="24">
        <v>3112</v>
      </c>
      <c r="E21" s="24">
        <v>1766</v>
      </c>
    </row>
    <row r="22" spans="1:5" ht="20.45" customHeight="1">
      <c r="A22" s="24" t="s">
        <v>1397</v>
      </c>
      <c r="B22" s="24" t="s">
        <v>610</v>
      </c>
      <c r="C22" s="24" t="s">
        <v>1366</v>
      </c>
      <c r="D22" s="24">
        <v>4689</v>
      </c>
      <c r="E22" s="24">
        <v>1796</v>
      </c>
    </row>
    <row r="23" spans="1:5" ht="20.45" customHeight="1">
      <c r="A23" s="24" t="s">
        <v>1398</v>
      </c>
      <c r="B23" s="24" t="s">
        <v>307</v>
      </c>
      <c r="C23" s="24" t="s">
        <v>1377</v>
      </c>
      <c r="D23" s="24">
        <v>3491</v>
      </c>
      <c r="E23" s="24">
        <v>1257</v>
      </c>
    </row>
    <row r="24" spans="1:5" ht="20.45" customHeight="1">
      <c r="A24" s="24" t="s">
        <v>1399</v>
      </c>
      <c r="B24" s="24" t="s">
        <v>216</v>
      </c>
      <c r="C24" s="24" t="s">
        <v>1368</v>
      </c>
      <c r="D24" s="24">
        <v>2610</v>
      </c>
      <c r="E24" s="24">
        <v>1307</v>
      </c>
    </row>
    <row r="25" spans="1:5" ht="20.45" customHeight="1">
      <c r="A25" s="24" t="s">
        <v>1400</v>
      </c>
      <c r="B25" s="24" t="s">
        <v>145</v>
      </c>
      <c r="C25" s="24" t="s">
        <v>1368</v>
      </c>
      <c r="D25" s="24">
        <v>2547</v>
      </c>
      <c r="E25" s="24">
        <v>1419</v>
      </c>
    </row>
    <row r="26" spans="1:5" ht="20.45" customHeight="1">
      <c r="A26" s="24" t="s">
        <v>1401</v>
      </c>
      <c r="B26" s="24" t="s">
        <v>355</v>
      </c>
      <c r="C26" s="24" t="s">
        <v>1377</v>
      </c>
      <c r="D26" s="24">
        <v>3717</v>
      </c>
      <c r="E26" s="24">
        <v>2146</v>
      </c>
    </row>
    <row r="27" spans="1:5" ht="20.45" customHeight="1">
      <c r="A27" s="24" t="s">
        <v>1402</v>
      </c>
      <c r="B27" s="24" t="s">
        <v>205</v>
      </c>
      <c r="C27" s="24" t="s">
        <v>1374</v>
      </c>
      <c r="D27" s="24">
        <v>4378</v>
      </c>
      <c r="E27" s="24">
        <v>1998</v>
      </c>
    </row>
    <row r="28" spans="1:5" ht="20.45" customHeight="1">
      <c r="A28" s="24" t="s">
        <v>1403</v>
      </c>
      <c r="B28" s="24" t="s">
        <v>265</v>
      </c>
      <c r="C28" s="24" t="s">
        <v>1368</v>
      </c>
      <c r="D28" s="24">
        <v>3832</v>
      </c>
      <c r="E28" s="24">
        <v>1570</v>
      </c>
    </row>
    <row r="29" spans="1:5" ht="20.45" customHeight="1">
      <c r="A29" s="24" t="s">
        <v>1404</v>
      </c>
      <c r="B29" s="24" t="s">
        <v>156</v>
      </c>
      <c r="C29" s="24" t="s">
        <v>1377</v>
      </c>
      <c r="D29" s="24">
        <v>4305</v>
      </c>
      <c r="E29" s="24">
        <v>2027</v>
      </c>
    </row>
    <row r="30" spans="1:5" ht="20.45" customHeight="1">
      <c r="A30" s="24" t="s">
        <v>1405</v>
      </c>
      <c r="B30" s="24" t="s">
        <v>203</v>
      </c>
      <c r="C30" s="24" t="s">
        <v>1368</v>
      </c>
      <c r="D30" s="24">
        <v>4398</v>
      </c>
      <c r="E30" s="24">
        <v>1800</v>
      </c>
    </row>
    <row r="31" spans="1:5" ht="20.45" customHeight="1">
      <c r="A31" s="24" t="s">
        <v>1406</v>
      </c>
      <c r="B31" s="24" t="s">
        <v>69</v>
      </c>
      <c r="C31" s="24" t="s">
        <v>1366</v>
      </c>
      <c r="D31" s="24">
        <v>2895</v>
      </c>
      <c r="E31" s="24">
        <v>1871</v>
      </c>
    </row>
    <row r="32" spans="1:5" ht="20.45" customHeight="1">
      <c r="A32" s="24" t="s">
        <v>1407</v>
      </c>
      <c r="B32" s="24" t="s">
        <v>339</v>
      </c>
      <c r="C32" s="24" t="s">
        <v>1377</v>
      </c>
      <c r="D32" s="24">
        <v>4605</v>
      </c>
      <c r="E32" s="24">
        <v>1834</v>
      </c>
    </row>
    <row r="33" spans="1:5" ht="20.45" customHeight="1">
      <c r="A33" s="24" t="s">
        <v>1408</v>
      </c>
      <c r="B33" s="24" t="s">
        <v>298</v>
      </c>
      <c r="C33" s="24" t="s">
        <v>1368</v>
      </c>
      <c r="D33" s="24">
        <v>4719</v>
      </c>
      <c r="E33" s="24">
        <v>2043</v>
      </c>
    </row>
    <row r="34" spans="1:5" ht="20.45" customHeight="1">
      <c r="A34" s="24" t="s">
        <v>1409</v>
      </c>
      <c r="B34" s="24" t="s">
        <v>348</v>
      </c>
      <c r="C34" s="24" t="s">
        <v>1377</v>
      </c>
      <c r="D34" s="24">
        <v>3507</v>
      </c>
      <c r="E34" s="24">
        <v>1643</v>
      </c>
    </row>
    <row r="35" spans="1:5" ht="20.45" customHeight="1">
      <c r="A35" s="24" t="s">
        <v>1410</v>
      </c>
      <c r="B35" s="24" t="s">
        <v>172</v>
      </c>
      <c r="C35" s="24" t="s">
        <v>1368</v>
      </c>
      <c r="D35" s="24">
        <v>4733</v>
      </c>
      <c r="E35" s="24">
        <v>1415</v>
      </c>
    </row>
    <row r="36" spans="1:5" ht="20.45" customHeight="1">
      <c r="A36" s="24" t="s">
        <v>1411</v>
      </c>
      <c r="B36" s="24" t="s">
        <v>135</v>
      </c>
      <c r="C36" s="24" t="s">
        <v>1368</v>
      </c>
      <c r="D36" s="24">
        <v>3408</v>
      </c>
      <c r="E36" s="24">
        <v>2467</v>
      </c>
    </row>
    <row r="37" spans="1:5" ht="20.45" customHeight="1">
      <c r="A37" s="24" t="s">
        <v>1412</v>
      </c>
      <c r="B37" s="24" t="s">
        <v>231</v>
      </c>
      <c r="C37" s="24" t="s">
        <v>1366</v>
      </c>
      <c r="D37" s="24">
        <v>2912</v>
      </c>
      <c r="E37" s="24">
        <v>2328</v>
      </c>
    </row>
    <row r="38" spans="1:5" ht="20.45" customHeight="1">
      <c r="A38" s="24" t="s">
        <v>1413</v>
      </c>
      <c r="B38" s="24" t="s">
        <v>218</v>
      </c>
      <c r="C38" s="24" t="s">
        <v>1377</v>
      </c>
      <c r="D38" s="24">
        <v>3377</v>
      </c>
      <c r="E38" s="24">
        <v>2112</v>
      </c>
    </row>
    <row r="39" spans="1:5" ht="20.45" customHeight="1">
      <c r="A39" s="24" t="s">
        <v>1414</v>
      </c>
      <c r="B39" s="24" t="s">
        <v>227</v>
      </c>
      <c r="C39" s="24" t="s">
        <v>1368</v>
      </c>
      <c r="D39" s="24">
        <v>2787</v>
      </c>
      <c r="E39" s="24">
        <v>2020</v>
      </c>
    </row>
    <row r="40" spans="1:5" ht="20.45" customHeight="1">
      <c r="A40" s="24" t="s">
        <v>1415</v>
      </c>
      <c r="B40" s="24" t="s">
        <v>416</v>
      </c>
      <c r="C40" s="24" t="s">
        <v>1366</v>
      </c>
      <c r="D40" s="24">
        <v>3458</v>
      </c>
      <c r="E40" s="24">
        <v>1684</v>
      </c>
    </row>
    <row r="41" spans="1:5" ht="20.45" customHeight="1">
      <c r="A41" s="24" t="s">
        <v>1416</v>
      </c>
      <c r="B41" s="24" t="s">
        <v>333</v>
      </c>
      <c r="C41" s="24" t="s">
        <v>1368</v>
      </c>
      <c r="D41" s="24">
        <v>3330</v>
      </c>
      <c r="E41" s="24">
        <v>1819</v>
      </c>
    </row>
    <row r="42" spans="1:5" ht="20.45" customHeight="1">
      <c r="A42" s="24" t="s">
        <v>1417</v>
      </c>
      <c r="B42" s="24" t="s">
        <v>343</v>
      </c>
      <c r="C42" s="24" t="s">
        <v>1366</v>
      </c>
      <c r="D42" s="24">
        <v>3000</v>
      </c>
      <c r="E42" s="24">
        <v>2148</v>
      </c>
    </row>
    <row r="43" spans="1:5" ht="20.45" customHeight="1">
      <c r="A43" s="24" t="s">
        <v>1418</v>
      </c>
      <c r="B43" s="24" t="s">
        <v>170</v>
      </c>
      <c r="C43" s="24" t="s">
        <v>1368</v>
      </c>
      <c r="D43" s="24">
        <v>2796</v>
      </c>
      <c r="E43" s="24">
        <v>2307</v>
      </c>
    </row>
    <row r="44" spans="1:5" ht="20.45" customHeight="1">
      <c r="A44" s="24" t="s">
        <v>1419</v>
      </c>
      <c r="B44" s="24" t="s">
        <v>729</v>
      </c>
      <c r="C44" s="24" t="s">
        <v>1366</v>
      </c>
      <c r="D44" s="24">
        <v>3859</v>
      </c>
      <c r="E44" s="24">
        <v>1465</v>
      </c>
    </row>
    <row r="45" spans="1:5" ht="20.45" customHeight="1">
      <c r="A45" s="24" t="s">
        <v>1420</v>
      </c>
      <c r="B45" s="24" t="s">
        <v>924</v>
      </c>
      <c r="C45" s="24" t="s">
        <v>1368</v>
      </c>
      <c r="D45" s="24">
        <v>4456</v>
      </c>
      <c r="E45" s="24">
        <v>1628</v>
      </c>
    </row>
    <row r="46" spans="1:5" ht="20.45" customHeight="1">
      <c r="A46" s="24" t="s">
        <v>1421</v>
      </c>
      <c r="B46" s="24" t="s">
        <v>391</v>
      </c>
      <c r="C46" s="24" t="s">
        <v>1368</v>
      </c>
      <c r="D46" s="24">
        <v>4481</v>
      </c>
      <c r="E46" s="24">
        <v>2114</v>
      </c>
    </row>
    <row r="47" spans="1:5" ht="20.45" customHeight="1">
      <c r="A47" s="24" t="s">
        <v>1422</v>
      </c>
      <c r="B47" s="24" t="s">
        <v>90</v>
      </c>
      <c r="C47" s="24" t="s">
        <v>1368</v>
      </c>
      <c r="D47" s="24">
        <v>2734</v>
      </c>
      <c r="E47" s="24">
        <v>1596</v>
      </c>
    </row>
    <row r="48" spans="1:5" ht="20.45" customHeight="1">
      <c r="A48" s="24" t="s">
        <v>1423</v>
      </c>
      <c r="B48" s="24" t="s">
        <v>515</v>
      </c>
      <c r="C48" s="24" t="s">
        <v>1424</v>
      </c>
      <c r="D48" s="24">
        <v>2500</v>
      </c>
      <c r="E48" s="24">
        <v>1914</v>
      </c>
    </row>
    <row r="49" spans="1:5" ht="20.45" customHeight="1">
      <c r="A49" s="24" t="s">
        <v>1425</v>
      </c>
      <c r="B49" s="24" t="s">
        <v>736</v>
      </c>
      <c r="C49" s="24" t="s">
        <v>1368</v>
      </c>
      <c r="D49" s="24">
        <v>4190</v>
      </c>
      <c r="E49" s="24">
        <v>1817</v>
      </c>
    </row>
    <row r="50" spans="1:5" ht="20.45" customHeight="1">
      <c r="A50" s="24" t="s">
        <v>1426</v>
      </c>
      <c r="B50" s="24" t="s">
        <v>94</v>
      </c>
      <c r="C50" s="24" t="s">
        <v>1368</v>
      </c>
      <c r="D50" s="24">
        <v>3768</v>
      </c>
      <c r="E50" s="24">
        <v>1353</v>
      </c>
    </row>
    <row r="51" spans="1:5" ht="20.45" customHeight="1">
      <c r="A51" s="24" t="s">
        <v>1427</v>
      </c>
      <c r="B51" s="24" t="s">
        <v>299</v>
      </c>
      <c r="C51" s="24" t="s">
        <v>1368</v>
      </c>
      <c r="D51" s="24">
        <v>3176</v>
      </c>
      <c r="E51" s="24">
        <v>1801</v>
      </c>
    </row>
    <row r="52" spans="1:5" ht="20.45" customHeight="1">
      <c r="A52" s="24" t="s">
        <v>1428</v>
      </c>
      <c r="B52" s="24" t="s">
        <v>640</v>
      </c>
      <c r="C52" s="24" t="s">
        <v>1429</v>
      </c>
      <c r="D52" s="24">
        <v>3445</v>
      </c>
      <c r="E52" s="24">
        <v>1909</v>
      </c>
    </row>
    <row r="53" spans="1:5" ht="20.45" customHeight="1">
      <c r="A53" s="24" t="s">
        <v>1430</v>
      </c>
      <c r="B53" s="24" t="s">
        <v>750</v>
      </c>
      <c r="C53" s="24" t="s">
        <v>1368</v>
      </c>
      <c r="D53" s="24">
        <v>3836</v>
      </c>
      <c r="E53" s="24">
        <v>2089</v>
      </c>
    </row>
    <row r="54" spans="1:5" ht="20.45" customHeight="1">
      <c r="A54" s="24" t="s">
        <v>1431</v>
      </c>
      <c r="B54" s="24" t="s">
        <v>52</v>
      </c>
      <c r="C54" s="24" t="s">
        <v>1377</v>
      </c>
      <c r="D54" s="24">
        <v>2718</v>
      </c>
      <c r="E54" s="24">
        <v>2254</v>
      </c>
    </row>
    <row r="55" spans="1:5" ht="20.45" customHeight="1">
      <c r="A55" s="24" t="s">
        <v>1432</v>
      </c>
      <c r="B55" s="24" t="s">
        <v>810</v>
      </c>
      <c r="C55" s="24" t="s">
        <v>1366</v>
      </c>
      <c r="D55" s="24">
        <v>4606</v>
      </c>
      <c r="E55" s="24">
        <v>1568</v>
      </c>
    </row>
    <row r="56" spans="1:5" ht="20.45" customHeight="1">
      <c r="A56" s="24" t="s">
        <v>1433</v>
      </c>
      <c r="B56" s="24" t="s">
        <v>341</v>
      </c>
      <c r="C56" s="24" t="s">
        <v>1366</v>
      </c>
      <c r="D56" s="24">
        <v>4310</v>
      </c>
      <c r="E56" s="24">
        <v>2350</v>
      </c>
    </row>
    <row r="57" spans="1:5" ht="20.45" customHeight="1">
      <c r="A57" s="24" t="s">
        <v>1434</v>
      </c>
      <c r="B57" s="24" t="s">
        <v>178</v>
      </c>
      <c r="C57" s="24" t="s">
        <v>1368</v>
      </c>
      <c r="D57" s="24">
        <v>2803</v>
      </c>
      <c r="E57" s="24">
        <v>1344</v>
      </c>
    </row>
    <row r="58" spans="1:5" ht="20.45" customHeight="1">
      <c r="A58" s="24" t="s">
        <v>1435</v>
      </c>
      <c r="B58" s="24" t="s">
        <v>285</v>
      </c>
      <c r="C58" s="24" t="s">
        <v>1366</v>
      </c>
      <c r="D58" s="24">
        <v>3282</v>
      </c>
      <c r="E58" s="24">
        <v>1654</v>
      </c>
    </row>
    <row r="59" spans="1:5" ht="20.45" customHeight="1">
      <c r="A59" s="24" t="s">
        <v>1436</v>
      </c>
      <c r="B59" s="24" t="s">
        <v>425</v>
      </c>
      <c r="C59" s="24" t="s">
        <v>1366</v>
      </c>
      <c r="D59" s="24">
        <v>4834</v>
      </c>
      <c r="E59" s="24">
        <v>1501</v>
      </c>
    </row>
    <row r="60" spans="1:5" ht="20.45" customHeight="1">
      <c r="A60" s="24" t="s">
        <v>1437</v>
      </c>
      <c r="B60" s="24" t="s">
        <v>112</v>
      </c>
      <c r="C60" s="24" t="s">
        <v>1366</v>
      </c>
      <c r="D60" s="24">
        <v>4891</v>
      </c>
      <c r="E60" s="24">
        <v>1745</v>
      </c>
    </row>
    <row r="61" spans="1:5" ht="20.45" customHeight="1">
      <c r="A61" s="24" t="s">
        <v>1438</v>
      </c>
      <c r="B61" s="24" t="s">
        <v>760</v>
      </c>
      <c r="C61" s="24" t="s">
        <v>1368</v>
      </c>
      <c r="D61" s="24">
        <v>3495</v>
      </c>
      <c r="E61" s="24">
        <v>2172</v>
      </c>
    </row>
    <row r="62" spans="1:5" ht="20.45" customHeight="1">
      <c r="A62" s="24" t="s">
        <v>1439</v>
      </c>
      <c r="B62" s="24" t="s">
        <v>250</v>
      </c>
      <c r="C62" s="24" t="s">
        <v>1377</v>
      </c>
      <c r="D62" s="24">
        <v>4185</v>
      </c>
      <c r="E62" s="24">
        <v>1204</v>
      </c>
    </row>
    <row r="63" spans="1:5" ht="20.45" customHeight="1">
      <c r="A63" s="24" t="s">
        <v>1440</v>
      </c>
      <c r="B63" s="24" t="s">
        <v>64</v>
      </c>
      <c r="C63" s="24" t="s">
        <v>1368</v>
      </c>
      <c r="D63" s="24">
        <v>3256</v>
      </c>
      <c r="E63" s="24">
        <v>1772</v>
      </c>
    </row>
    <row r="64" spans="1:5" ht="20.45" customHeight="1">
      <c r="A64" s="24" t="s">
        <v>1441</v>
      </c>
      <c r="B64" s="24" t="s">
        <v>213</v>
      </c>
      <c r="C64" s="24" t="s">
        <v>1374</v>
      </c>
      <c r="D64" s="24">
        <v>2921</v>
      </c>
      <c r="E64" s="24">
        <v>1786</v>
      </c>
    </row>
    <row r="65" spans="1:5" ht="20.45" customHeight="1">
      <c r="A65" s="24" t="s">
        <v>1442</v>
      </c>
      <c r="B65" s="24" t="s">
        <v>586</v>
      </c>
      <c r="C65" s="24" t="s">
        <v>1368</v>
      </c>
      <c r="D65" s="24">
        <v>4952</v>
      </c>
      <c r="E65" s="24">
        <v>1567</v>
      </c>
    </row>
    <row r="66" spans="1:5" ht="20.45" customHeight="1">
      <c r="A66" s="24" t="s">
        <v>1443</v>
      </c>
      <c r="B66" s="24" t="s">
        <v>110</v>
      </c>
      <c r="C66" s="24" t="s">
        <v>1366</v>
      </c>
      <c r="D66" s="24">
        <v>4623</v>
      </c>
      <c r="E66" s="24">
        <v>1878</v>
      </c>
    </row>
    <row r="67" spans="1:5" ht="20.45" customHeight="1">
      <c r="A67" s="24" t="s">
        <v>1444</v>
      </c>
      <c r="B67" s="24" t="s">
        <v>850</v>
      </c>
      <c r="C67" s="24" t="s">
        <v>1368</v>
      </c>
      <c r="D67" s="24">
        <v>2672</v>
      </c>
      <c r="E67" s="24">
        <v>2236</v>
      </c>
    </row>
    <row r="68" spans="1:5" ht="20.45" customHeight="1">
      <c r="A68" s="24" t="s">
        <v>1445</v>
      </c>
      <c r="B68" s="24" t="s">
        <v>584</v>
      </c>
      <c r="C68" s="24" t="s">
        <v>1368</v>
      </c>
      <c r="D68" s="24">
        <v>4369</v>
      </c>
      <c r="E68" s="24">
        <v>1245</v>
      </c>
    </row>
    <row r="69" spans="1:5" ht="20.45" customHeight="1">
      <c r="A69" s="24" t="s">
        <v>1446</v>
      </c>
      <c r="B69" s="24" t="s">
        <v>659</v>
      </c>
      <c r="C69" s="24" t="s">
        <v>1366</v>
      </c>
      <c r="D69" s="24">
        <v>4325</v>
      </c>
      <c r="E69" s="24">
        <v>1734</v>
      </c>
    </row>
    <row r="70" spans="1:5" ht="20.45" customHeight="1">
      <c r="A70" s="24" t="s">
        <v>1447</v>
      </c>
      <c r="B70" s="24" t="s">
        <v>60</v>
      </c>
      <c r="C70" s="24" t="s">
        <v>1368</v>
      </c>
      <c r="D70" s="24">
        <v>4831</v>
      </c>
      <c r="E70" s="24">
        <v>2265</v>
      </c>
    </row>
    <row r="71" spans="1:5" ht="20.45" customHeight="1">
      <c r="A71" s="24" t="s">
        <v>1448</v>
      </c>
      <c r="B71" s="24" t="s">
        <v>296</v>
      </c>
      <c r="C71" s="24" t="s">
        <v>1374</v>
      </c>
      <c r="D71" s="24">
        <v>4163</v>
      </c>
      <c r="E71" s="24">
        <v>1216</v>
      </c>
    </row>
    <row r="72" spans="1:5" ht="20.45" customHeight="1">
      <c r="A72" s="24" t="s">
        <v>1449</v>
      </c>
      <c r="B72" s="24" t="s">
        <v>107</v>
      </c>
      <c r="C72" s="24" t="s">
        <v>1377</v>
      </c>
      <c r="D72" s="24">
        <v>3457</v>
      </c>
      <c r="E72" s="24">
        <v>2070</v>
      </c>
    </row>
    <row r="73" spans="1:5" ht="20.45" customHeight="1">
      <c r="A73" s="24" t="s">
        <v>1450</v>
      </c>
      <c r="B73" s="24" t="s">
        <v>420</v>
      </c>
      <c r="C73" s="24" t="s">
        <v>1368</v>
      </c>
      <c r="D73" s="24">
        <v>3566</v>
      </c>
      <c r="E73" s="24">
        <v>2276</v>
      </c>
    </row>
    <row r="74" spans="1:5" ht="20.45" customHeight="1">
      <c r="A74" s="24" t="s">
        <v>1451</v>
      </c>
      <c r="B74" s="24" t="s">
        <v>1013</v>
      </c>
      <c r="C74" s="24" t="s">
        <v>1377</v>
      </c>
      <c r="D74" s="24">
        <v>4849</v>
      </c>
      <c r="E74" s="24">
        <v>2433</v>
      </c>
    </row>
    <row r="75" spans="1:5" ht="20.45" customHeight="1">
      <c r="A75" s="24" t="s">
        <v>1452</v>
      </c>
      <c r="B75" s="24" t="s">
        <v>211</v>
      </c>
      <c r="C75" s="24" t="s">
        <v>1368</v>
      </c>
      <c r="D75" s="24">
        <v>4610</v>
      </c>
      <c r="E75" s="24">
        <v>2176</v>
      </c>
    </row>
    <row r="76" spans="1:5" ht="20.45" customHeight="1">
      <c r="A76" s="24" t="s">
        <v>1453</v>
      </c>
      <c r="B76" s="24" t="s">
        <v>318</v>
      </c>
      <c r="C76" s="24" t="s">
        <v>1366</v>
      </c>
      <c r="D76" s="24">
        <v>3048</v>
      </c>
      <c r="E76" s="24">
        <v>1616</v>
      </c>
    </row>
    <row r="77" spans="1:5" ht="20.45" customHeight="1">
      <c r="A77" s="24" t="s">
        <v>1454</v>
      </c>
      <c r="B77" s="24" t="s">
        <v>428</v>
      </c>
      <c r="C77" s="24" t="s">
        <v>1377</v>
      </c>
      <c r="D77" s="24">
        <v>3253</v>
      </c>
      <c r="E77" s="24">
        <v>2137</v>
      </c>
    </row>
    <row r="78" spans="1:5" ht="20.45" customHeight="1">
      <c r="A78" s="24" t="s">
        <v>1455</v>
      </c>
      <c r="B78" s="24" t="s">
        <v>257</v>
      </c>
      <c r="C78" s="24" t="s">
        <v>1368</v>
      </c>
      <c r="D78" s="24">
        <v>3649</v>
      </c>
      <c r="E78" s="24">
        <v>2295</v>
      </c>
    </row>
    <row r="79" spans="1:5" ht="20.45" customHeight="1">
      <c r="A79" s="24" t="s">
        <v>1456</v>
      </c>
      <c r="B79" s="24" t="s">
        <v>131</v>
      </c>
      <c r="C79" s="24" t="s">
        <v>1377</v>
      </c>
      <c r="D79" s="24">
        <v>3303</v>
      </c>
      <c r="E79" s="24">
        <v>2271</v>
      </c>
    </row>
    <row r="80" spans="1:5" ht="20.45" customHeight="1">
      <c r="A80" s="24" t="s">
        <v>1457</v>
      </c>
      <c r="B80" s="24" t="s">
        <v>539</v>
      </c>
      <c r="C80" s="24" t="s">
        <v>1368</v>
      </c>
      <c r="D80" s="24">
        <v>2714</v>
      </c>
      <c r="E80" s="24">
        <v>1975</v>
      </c>
    </row>
    <row r="81" spans="1:5" ht="20.45" customHeight="1">
      <c r="A81" s="24" t="s">
        <v>1458</v>
      </c>
      <c r="B81" s="24" t="s">
        <v>126</v>
      </c>
      <c r="C81" s="24" t="s">
        <v>1368</v>
      </c>
      <c r="D81" s="24">
        <v>4477</v>
      </c>
      <c r="E81" s="24">
        <v>1589</v>
      </c>
    </row>
    <row r="82" spans="1:5" ht="20.45" customHeight="1">
      <c r="A82" s="24" t="s">
        <v>1459</v>
      </c>
      <c r="B82" s="24" t="s">
        <v>37</v>
      </c>
      <c r="C82" s="24" t="s">
        <v>1377</v>
      </c>
      <c r="D82" s="24">
        <v>3788</v>
      </c>
      <c r="E82" s="24">
        <v>2170</v>
      </c>
    </row>
    <row r="83" spans="1:5" ht="20.45" customHeight="1">
      <c r="A83" s="24" t="s">
        <v>1460</v>
      </c>
      <c r="B83" s="24" t="s">
        <v>367</v>
      </c>
      <c r="C83" s="24" t="s">
        <v>1368</v>
      </c>
      <c r="D83" s="24">
        <v>3018</v>
      </c>
      <c r="E83" s="24">
        <v>1286</v>
      </c>
    </row>
    <row r="84" spans="1:5" ht="20.45" customHeight="1">
      <c r="A84" s="24" t="s">
        <v>1461</v>
      </c>
      <c r="B84" s="24" t="s">
        <v>432</v>
      </c>
      <c r="C84" s="24" t="s">
        <v>1377</v>
      </c>
      <c r="D84" s="24">
        <v>3569</v>
      </c>
      <c r="E84" s="24">
        <v>2320</v>
      </c>
    </row>
    <row r="85" spans="1:5" ht="20.45" customHeight="1">
      <c r="A85" s="24" t="s">
        <v>1462</v>
      </c>
      <c r="B85" s="24" t="s">
        <v>67</v>
      </c>
      <c r="C85" s="24" t="s">
        <v>1368</v>
      </c>
      <c r="D85" s="24">
        <v>4392</v>
      </c>
      <c r="E85" s="24">
        <v>1542</v>
      </c>
    </row>
    <row r="86" spans="1:5" ht="20.45" customHeight="1">
      <c r="A86" s="24" t="s">
        <v>1463</v>
      </c>
      <c r="B86" s="24" t="s">
        <v>362</v>
      </c>
      <c r="C86" s="24" t="s">
        <v>1377</v>
      </c>
      <c r="D86" s="24">
        <v>4765</v>
      </c>
      <c r="E86" s="24">
        <v>1286</v>
      </c>
    </row>
    <row r="87" spans="1:5" ht="20.45" customHeight="1">
      <c r="A87" s="24" t="s">
        <v>1464</v>
      </c>
      <c r="B87" s="24" t="s">
        <v>190</v>
      </c>
      <c r="C87" s="24" t="s">
        <v>1368</v>
      </c>
      <c r="D87" s="24">
        <v>2887</v>
      </c>
      <c r="E87" s="24">
        <v>1491</v>
      </c>
    </row>
    <row r="88" spans="1:5" ht="20.45" customHeight="1">
      <c r="A88" s="24" t="s">
        <v>1465</v>
      </c>
      <c r="B88" s="24" t="s">
        <v>275</v>
      </c>
      <c r="C88" s="24" t="s">
        <v>1368</v>
      </c>
      <c r="D88" s="24">
        <v>4239</v>
      </c>
      <c r="E88" s="24">
        <v>1860</v>
      </c>
    </row>
    <row r="89" spans="1:5" ht="20.45" customHeight="1">
      <c r="A89" s="24" t="s">
        <v>1466</v>
      </c>
      <c r="B89" s="24" t="s">
        <v>356</v>
      </c>
      <c r="C89" s="24" t="s">
        <v>1366</v>
      </c>
      <c r="D89" s="24">
        <v>4051</v>
      </c>
      <c r="E89" s="24">
        <v>1962</v>
      </c>
    </row>
    <row r="90" spans="1:5" ht="20.45" customHeight="1">
      <c r="A90" s="24" t="s">
        <v>1467</v>
      </c>
      <c r="B90" s="24" t="s">
        <v>371</v>
      </c>
      <c r="C90" s="24" t="s">
        <v>1368</v>
      </c>
      <c r="D90" s="24">
        <v>3413</v>
      </c>
      <c r="E90" s="24">
        <v>1700</v>
      </c>
    </row>
    <row r="91" spans="1:5" ht="20.45" customHeight="1">
      <c r="A91" s="24" t="s">
        <v>1468</v>
      </c>
      <c r="B91" s="24" t="s">
        <v>847</v>
      </c>
      <c r="C91" s="24" t="s">
        <v>1368</v>
      </c>
      <c r="D91" s="24">
        <v>2647</v>
      </c>
      <c r="E91" s="24">
        <v>1539</v>
      </c>
    </row>
    <row r="92" spans="1:5" ht="20.45" customHeight="1">
      <c r="A92" s="24" t="s">
        <v>1469</v>
      </c>
      <c r="B92" s="24" t="s">
        <v>605</v>
      </c>
      <c r="C92" s="24" t="s">
        <v>1374</v>
      </c>
      <c r="D92" s="24">
        <v>2808</v>
      </c>
      <c r="E92" s="24">
        <v>1759</v>
      </c>
    </row>
    <row r="93" spans="1:5" ht="20.45" customHeight="1">
      <c r="A93" s="24" t="s">
        <v>1470</v>
      </c>
      <c r="B93" s="24" t="s">
        <v>532</v>
      </c>
      <c r="C93" s="24" t="s">
        <v>1374</v>
      </c>
      <c r="D93" s="24">
        <v>2586</v>
      </c>
      <c r="E93" s="24">
        <v>2432</v>
      </c>
    </row>
    <row r="94" spans="1:5" ht="20.45" customHeight="1">
      <c r="A94" s="24" t="s">
        <v>1471</v>
      </c>
      <c r="B94" s="24" t="s">
        <v>195</v>
      </c>
      <c r="C94" s="24" t="s">
        <v>1366</v>
      </c>
      <c r="D94" s="24">
        <v>3467</v>
      </c>
      <c r="E94" s="24">
        <v>1230</v>
      </c>
    </row>
    <row r="95" spans="1:5" ht="20.45" customHeight="1">
      <c r="A95" s="24" t="s">
        <v>1472</v>
      </c>
      <c r="B95" s="24" t="s">
        <v>45</v>
      </c>
      <c r="C95" s="24" t="s">
        <v>1377</v>
      </c>
      <c r="D95" s="24">
        <v>4914</v>
      </c>
      <c r="E95" s="24">
        <v>1632</v>
      </c>
    </row>
    <row r="96" spans="1:5" ht="20.45" customHeight="1">
      <c r="A96" s="24" t="s">
        <v>1473</v>
      </c>
      <c r="B96" s="24" t="s">
        <v>238</v>
      </c>
      <c r="C96" s="24" t="s">
        <v>1368</v>
      </c>
      <c r="D96" s="24">
        <v>4262</v>
      </c>
      <c r="E96" s="24">
        <v>2486</v>
      </c>
    </row>
    <row r="97" spans="1:5" ht="20.45" customHeight="1">
      <c r="A97" s="24" t="s">
        <v>1474</v>
      </c>
      <c r="B97" s="24" t="s">
        <v>470</v>
      </c>
      <c r="C97" s="24" t="s">
        <v>1368</v>
      </c>
      <c r="D97" s="24">
        <v>3025</v>
      </c>
      <c r="E97" s="24">
        <v>1863</v>
      </c>
    </row>
    <row r="98" spans="1:5" ht="20.45" customHeight="1">
      <c r="A98" s="24" t="s">
        <v>1475</v>
      </c>
      <c r="B98" s="24" t="s">
        <v>42</v>
      </c>
      <c r="C98" s="24" t="s">
        <v>1429</v>
      </c>
      <c r="D98" s="24">
        <v>3993</v>
      </c>
      <c r="E98" s="24">
        <v>1338</v>
      </c>
    </row>
    <row r="99" spans="1:5" ht="20.45" customHeight="1">
      <c r="A99" s="24" t="s">
        <v>1476</v>
      </c>
      <c r="B99" s="24" t="s">
        <v>911</v>
      </c>
      <c r="C99" s="24" t="s">
        <v>1366</v>
      </c>
      <c r="D99" s="24">
        <v>3378</v>
      </c>
      <c r="E99" s="24">
        <v>1807</v>
      </c>
    </row>
    <row r="100" spans="1:5" ht="20.45" customHeight="1">
      <c r="A100" s="24" t="s">
        <v>1477</v>
      </c>
      <c r="B100" s="24" t="s">
        <v>412</v>
      </c>
      <c r="C100" s="24" t="s">
        <v>1377</v>
      </c>
      <c r="D100" s="24">
        <v>2868</v>
      </c>
      <c r="E100" s="24">
        <v>2479</v>
      </c>
    </row>
    <row r="101" spans="1:5" ht="20.45" customHeight="1">
      <c r="A101" s="24" t="s">
        <v>1478</v>
      </c>
      <c r="B101" s="24" t="s">
        <v>162</v>
      </c>
      <c r="C101" s="24" t="s">
        <v>1377</v>
      </c>
      <c r="D101" s="24">
        <v>3694</v>
      </c>
      <c r="E101" s="24">
        <v>1616</v>
      </c>
    </row>
    <row r="102" spans="1:5" ht="20.45" customHeight="1">
      <c r="A102" s="24" t="s">
        <v>1479</v>
      </c>
      <c r="B102" s="24" t="s">
        <v>114</v>
      </c>
      <c r="C102" s="24" t="s">
        <v>1368</v>
      </c>
      <c r="D102" s="24">
        <v>2588</v>
      </c>
      <c r="E102" s="24">
        <v>2069</v>
      </c>
    </row>
    <row r="103" spans="1:5" ht="20.45" customHeight="1">
      <c r="A103" s="24" t="s">
        <v>1480</v>
      </c>
      <c r="B103" s="24" t="s">
        <v>311</v>
      </c>
      <c r="C103" s="24" t="s">
        <v>1368</v>
      </c>
      <c r="D103" s="24">
        <v>3039</v>
      </c>
      <c r="E103" s="24">
        <v>1730</v>
      </c>
    </row>
    <row r="104" spans="1:5" ht="20.45" customHeight="1">
      <c r="A104" s="24" t="s">
        <v>1481</v>
      </c>
      <c r="B104" s="24" t="s">
        <v>518</v>
      </c>
      <c r="C104" s="24" t="s">
        <v>1368</v>
      </c>
      <c r="D104" s="24">
        <v>2706</v>
      </c>
      <c r="E104" s="24">
        <v>2310</v>
      </c>
    </row>
    <row r="105" spans="1:5" ht="20.45" customHeight="1">
      <c r="A105" s="24" t="s">
        <v>1482</v>
      </c>
      <c r="B105" s="24" t="s">
        <v>414</v>
      </c>
      <c r="C105" s="24" t="s">
        <v>1368</v>
      </c>
      <c r="D105" s="24">
        <v>3139</v>
      </c>
      <c r="E105" s="24">
        <v>2147</v>
      </c>
    </row>
    <row r="106" spans="1:5" ht="20.45" customHeight="1">
      <c r="A106" s="24" t="s">
        <v>1483</v>
      </c>
      <c r="B106" s="24" t="s">
        <v>133</v>
      </c>
      <c r="C106" s="24" t="s">
        <v>1368</v>
      </c>
      <c r="D106" s="24">
        <v>4906</v>
      </c>
      <c r="E106" s="24">
        <v>2269</v>
      </c>
    </row>
    <row r="107" spans="1:5" ht="20.45" customHeight="1">
      <c r="A107" s="24" t="s">
        <v>1484</v>
      </c>
      <c r="B107" s="24" t="s">
        <v>537</v>
      </c>
      <c r="C107" s="24" t="s">
        <v>1368</v>
      </c>
      <c r="D107" s="24">
        <v>4669</v>
      </c>
      <c r="E107" s="24">
        <v>2255</v>
      </c>
    </row>
    <row r="108" spans="1:5" ht="20.45" customHeight="1">
      <c r="A108" s="24" t="s">
        <v>1485</v>
      </c>
      <c r="B108" s="24" t="s">
        <v>130</v>
      </c>
      <c r="C108" s="24" t="s">
        <v>1368</v>
      </c>
      <c r="D108" s="24">
        <v>4564</v>
      </c>
      <c r="E108" s="24">
        <v>1823</v>
      </c>
    </row>
    <row r="109" spans="1:5" ht="20.45" customHeight="1">
      <c r="A109" s="24" t="s">
        <v>1486</v>
      </c>
      <c r="B109" s="24" t="s">
        <v>403</v>
      </c>
      <c r="C109" s="24" t="s">
        <v>1368</v>
      </c>
      <c r="D109" s="24">
        <v>2775</v>
      </c>
      <c r="E109" s="24">
        <v>1847</v>
      </c>
    </row>
    <row r="110" spans="1:5" ht="20.45" customHeight="1">
      <c r="A110" s="24" t="s">
        <v>1487</v>
      </c>
      <c r="B110" s="24" t="s">
        <v>84</v>
      </c>
      <c r="C110" s="24" t="s">
        <v>1368</v>
      </c>
      <c r="D110" s="24">
        <v>4731</v>
      </c>
      <c r="E110" s="24">
        <v>1858</v>
      </c>
    </row>
    <row r="111" spans="1:5" ht="20.45" customHeight="1">
      <c r="A111" s="24" t="s">
        <v>1488</v>
      </c>
      <c r="B111" s="24" t="s">
        <v>240</v>
      </c>
      <c r="C111" s="24" t="s">
        <v>1368</v>
      </c>
      <c r="D111" s="24">
        <v>2562</v>
      </c>
      <c r="E111" s="24">
        <v>1527</v>
      </c>
    </row>
    <row r="112" spans="1:5" ht="20.45" customHeight="1">
      <c r="A112" s="24" t="s">
        <v>1489</v>
      </c>
      <c r="B112" s="24" t="s">
        <v>882</v>
      </c>
      <c r="C112" s="24" t="s">
        <v>1368</v>
      </c>
      <c r="D112" s="24">
        <v>2929</v>
      </c>
      <c r="E112" s="24">
        <v>1320</v>
      </c>
    </row>
    <row r="113" spans="1:5" ht="20.45" customHeight="1">
      <c r="A113" s="24" t="s">
        <v>1490</v>
      </c>
      <c r="B113" s="24" t="s">
        <v>583</v>
      </c>
      <c r="C113" s="24" t="s">
        <v>1374</v>
      </c>
      <c r="D113" s="24">
        <v>4466</v>
      </c>
      <c r="E113" s="24">
        <v>1984</v>
      </c>
    </row>
    <row r="114" spans="1:5" ht="20.45" customHeight="1">
      <c r="A114" s="24" t="s">
        <v>1491</v>
      </c>
      <c r="B114" s="24" t="s">
        <v>496</v>
      </c>
      <c r="C114" s="24" t="s">
        <v>1377</v>
      </c>
      <c r="D114" s="24">
        <v>4996</v>
      </c>
      <c r="E114" s="24">
        <v>2108</v>
      </c>
    </row>
    <row r="115" spans="1:5" ht="20.45" customHeight="1">
      <c r="A115" s="24" t="s">
        <v>1492</v>
      </c>
      <c r="B115" s="24" t="s">
        <v>795</v>
      </c>
      <c r="C115" s="24" t="s">
        <v>1366</v>
      </c>
      <c r="D115" s="24">
        <v>2772</v>
      </c>
      <c r="E115" s="24">
        <v>1527</v>
      </c>
    </row>
    <row r="116" spans="1:5" ht="20.45" customHeight="1">
      <c r="A116" s="24" t="s">
        <v>1493</v>
      </c>
      <c r="B116" s="24" t="s">
        <v>259</v>
      </c>
      <c r="C116" s="24" t="s">
        <v>1366</v>
      </c>
      <c r="D116" s="24">
        <v>4232</v>
      </c>
      <c r="E116" s="24">
        <v>1275</v>
      </c>
    </row>
    <row r="117" spans="1:5" ht="20.45" customHeight="1">
      <c r="A117" s="24" t="s">
        <v>1494</v>
      </c>
      <c r="B117" s="24" t="s">
        <v>1003</v>
      </c>
      <c r="C117" s="24" t="s">
        <v>1368</v>
      </c>
      <c r="D117" s="24">
        <v>4658</v>
      </c>
      <c r="E117" s="24">
        <v>1435</v>
      </c>
    </row>
    <row r="118" spans="1:5" ht="20.45" customHeight="1">
      <c r="A118" s="24" t="s">
        <v>1495</v>
      </c>
      <c r="B118" s="24" t="s">
        <v>472</v>
      </c>
      <c r="C118" s="24" t="s">
        <v>1377</v>
      </c>
      <c r="D118" s="24">
        <v>3663</v>
      </c>
      <c r="E118" s="24">
        <v>1550</v>
      </c>
    </row>
    <row r="119" spans="1:5" ht="20.45" customHeight="1">
      <c r="A119" s="24" t="s">
        <v>1496</v>
      </c>
      <c r="B119" s="24" t="s">
        <v>295</v>
      </c>
      <c r="C119" s="24" t="s">
        <v>1368</v>
      </c>
      <c r="D119" s="24">
        <v>3101</v>
      </c>
      <c r="E119" s="24">
        <v>1524</v>
      </c>
    </row>
    <row r="120" spans="1:5" ht="20.45" customHeight="1">
      <c r="A120" s="24" t="s">
        <v>1497</v>
      </c>
      <c r="B120" s="24" t="s">
        <v>116</v>
      </c>
      <c r="C120" s="24" t="s">
        <v>1366</v>
      </c>
      <c r="D120" s="24">
        <v>3645</v>
      </c>
      <c r="E120" s="24">
        <v>2466</v>
      </c>
    </row>
    <row r="121" spans="1:5" ht="20.45" customHeight="1">
      <c r="A121" s="24" t="s">
        <v>1498</v>
      </c>
      <c r="B121" s="24" t="s">
        <v>151</v>
      </c>
      <c r="C121" s="24" t="s">
        <v>1366</v>
      </c>
      <c r="D121" s="24">
        <v>3039</v>
      </c>
      <c r="E121" s="24">
        <v>2426</v>
      </c>
    </row>
    <row r="122" spans="1:5" ht="20.45" customHeight="1">
      <c r="A122" s="24" t="s">
        <v>1499</v>
      </c>
      <c r="B122" s="24" t="s">
        <v>507</v>
      </c>
      <c r="C122" s="24" t="s">
        <v>1368</v>
      </c>
      <c r="D122" s="24">
        <v>4858</v>
      </c>
      <c r="E122" s="24">
        <v>2491</v>
      </c>
    </row>
    <row r="123" spans="1:5" ht="20.45" customHeight="1">
      <c r="A123" s="24" t="s">
        <v>1500</v>
      </c>
      <c r="B123" s="24" t="s">
        <v>182</v>
      </c>
      <c r="C123" s="24" t="s">
        <v>1366</v>
      </c>
      <c r="D123" s="24">
        <v>2850</v>
      </c>
      <c r="E123" s="24">
        <v>2007</v>
      </c>
    </row>
    <row r="124" spans="1:5" ht="20.45" customHeight="1">
      <c r="A124" s="24" t="s">
        <v>1501</v>
      </c>
      <c r="B124" s="24" t="s">
        <v>603</v>
      </c>
      <c r="C124" s="24" t="s">
        <v>1368</v>
      </c>
      <c r="D124" s="24">
        <v>2941</v>
      </c>
      <c r="E124" s="24">
        <v>1567</v>
      </c>
    </row>
    <row r="125" spans="1:5" ht="20.45" customHeight="1">
      <c r="A125" s="24" t="s">
        <v>1502</v>
      </c>
      <c r="B125" s="24" t="s">
        <v>390</v>
      </c>
      <c r="C125" s="24" t="s">
        <v>1377</v>
      </c>
      <c r="D125" s="24">
        <v>2645</v>
      </c>
      <c r="E125" s="24">
        <v>1547</v>
      </c>
    </row>
    <row r="126" spans="1:5" ht="20.45" customHeight="1">
      <c r="A126" s="24" t="s">
        <v>1503</v>
      </c>
      <c r="B126" s="24" t="s">
        <v>502</v>
      </c>
      <c r="C126" s="24" t="s">
        <v>1368</v>
      </c>
      <c r="D126" s="24">
        <v>4239</v>
      </c>
      <c r="E126" s="24">
        <v>2267</v>
      </c>
    </row>
    <row r="127" spans="1:5" ht="20.45" customHeight="1">
      <c r="A127" s="24" t="s">
        <v>1504</v>
      </c>
      <c r="B127" s="24" t="s">
        <v>309</v>
      </c>
      <c r="C127" s="24" t="s">
        <v>1368</v>
      </c>
      <c r="D127" s="24">
        <v>4220</v>
      </c>
      <c r="E127" s="24">
        <v>1635</v>
      </c>
    </row>
    <row r="128" spans="1:5" ht="20.45" customHeight="1">
      <c r="A128" s="24" t="s">
        <v>1505</v>
      </c>
      <c r="B128" s="24" t="s">
        <v>687</v>
      </c>
      <c r="C128" s="24" t="s">
        <v>1368</v>
      </c>
      <c r="D128" s="24">
        <v>2873</v>
      </c>
      <c r="E128" s="24">
        <v>2483</v>
      </c>
    </row>
    <row r="129" spans="1:5" ht="20.45" customHeight="1">
      <c r="A129" s="24" t="s">
        <v>1506</v>
      </c>
      <c r="B129" s="24" t="s">
        <v>249</v>
      </c>
      <c r="C129" s="24" t="s">
        <v>1366</v>
      </c>
      <c r="D129" s="24">
        <v>3646</v>
      </c>
      <c r="E129" s="24">
        <v>1603</v>
      </c>
    </row>
    <row r="130" spans="1:5" ht="20.45" customHeight="1">
      <c r="A130" s="24" t="s">
        <v>1507</v>
      </c>
      <c r="B130" s="24" t="s">
        <v>268</v>
      </c>
      <c r="C130" s="24" t="s">
        <v>1377</v>
      </c>
      <c r="D130" s="24">
        <v>3977</v>
      </c>
      <c r="E130" s="24">
        <v>2308</v>
      </c>
    </row>
    <row r="131" spans="1:5" ht="20.45" customHeight="1">
      <c r="A131" s="24" t="s">
        <v>1508</v>
      </c>
      <c r="B131" s="24" t="s">
        <v>617</v>
      </c>
      <c r="C131" s="24" t="s">
        <v>1368</v>
      </c>
      <c r="D131" s="24">
        <v>3340</v>
      </c>
      <c r="E131" s="24">
        <v>1355</v>
      </c>
    </row>
    <row r="132" spans="1:5" ht="20.45" customHeight="1">
      <c r="A132" s="24" t="s">
        <v>1509</v>
      </c>
      <c r="B132" s="24" t="s">
        <v>206</v>
      </c>
      <c r="C132" s="24" t="s">
        <v>1368</v>
      </c>
      <c r="D132" s="24">
        <v>4928</v>
      </c>
      <c r="E132" s="24">
        <v>2101</v>
      </c>
    </row>
    <row r="133" spans="1:5" ht="20.45" customHeight="1">
      <c r="A133" s="24" t="s">
        <v>1510</v>
      </c>
      <c r="B133" s="24" t="s">
        <v>226</v>
      </c>
      <c r="C133" s="24" t="s">
        <v>1377</v>
      </c>
      <c r="D133" s="24">
        <v>3065</v>
      </c>
      <c r="E133" s="24">
        <v>1426</v>
      </c>
    </row>
    <row r="134" spans="1:5" ht="20.45" customHeight="1">
      <c r="A134" s="24" t="s">
        <v>1511</v>
      </c>
      <c r="B134" s="24" t="s">
        <v>49</v>
      </c>
      <c r="C134" s="24" t="s">
        <v>1377</v>
      </c>
      <c r="D134" s="24">
        <v>2633</v>
      </c>
      <c r="E134" s="24">
        <v>1742</v>
      </c>
    </row>
    <row r="135" spans="1:5" ht="20.45" customHeight="1">
      <c r="A135" s="24" t="s">
        <v>1512</v>
      </c>
      <c r="B135" s="24" t="s">
        <v>31</v>
      </c>
      <c r="C135" s="24" t="s">
        <v>1377</v>
      </c>
      <c r="D135" s="24">
        <v>2923</v>
      </c>
      <c r="E135" s="24">
        <v>2480</v>
      </c>
    </row>
    <row r="136" spans="1:5" ht="20.45" customHeight="1">
      <c r="A136" s="24" t="s">
        <v>1513</v>
      </c>
      <c r="B136" s="24" t="s">
        <v>137</v>
      </c>
      <c r="C136" s="24" t="s">
        <v>1366</v>
      </c>
      <c r="D136" s="24">
        <v>4209</v>
      </c>
      <c r="E136" s="24">
        <v>1692</v>
      </c>
    </row>
    <row r="137" spans="1:5" ht="20.45" customHeight="1">
      <c r="A137" s="24" t="s">
        <v>1514</v>
      </c>
      <c r="B137" s="24" t="s">
        <v>330</v>
      </c>
      <c r="C137" s="24" t="s">
        <v>1368</v>
      </c>
      <c r="D137" s="24">
        <v>2628</v>
      </c>
      <c r="E137" s="24">
        <v>1803</v>
      </c>
    </row>
    <row r="138" spans="1:5" ht="20.45" customHeight="1">
      <c r="A138" s="24" t="s">
        <v>1515</v>
      </c>
      <c r="B138" s="24" t="s">
        <v>505</v>
      </c>
      <c r="C138" s="24" t="s">
        <v>1368</v>
      </c>
      <c r="D138" s="24">
        <v>4307</v>
      </c>
      <c r="E138" s="24">
        <v>1503</v>
      </c>
    </row>
    <row r="139" spans="1:5" ht="20.45" customHeight="1">
      <c r="A139" s="24" t="s">
        <v>1516</v>
      </c>
      <c r="B139" s="24" t="s">
        <v>247</v>
      </c>
      <c r="C139" s="24" t="s">
        <v>1366</v>
      </c>
      <c r="D139" s="24">
        <v>2787</v>
      </c>
      <c r="E139" s="24">
        <v>1470</v>
      </c>
    </row>
    <row r="140" spans="1:5" ht="20.45" customHeight="1">
      <c r="A140" s="24" t="s">
        <v>1517</v>
      </c>
      <c r="B140" s="24" t="s">
        <v>594</v>
      </c>
      <c r="C140" s="24" t="s">
        <v>1368</v>
      </c>
      <c r="D140" s="24">
        <v>3574</v>
      </c>
      <c r="E140" s="24">
        <v>1747</v>
      </c>
    </row>
    <row r="141" spans="1:5" ht="20.45" customHeight="1">
      <c r="A141" s="24" t="s">
        <v>1518</v>
      </c>
      <c r="B141" s="24" t="s">
        <v>600</v>
      </c>
      <c r="C141" s="24" t="s">
        <v>1368</v>
      </c>
      <c r="D141" s="24">
        <v>4295</v>
      </c>
      <c r="E141" s="24">
        <v>2280</v>
      </c>
    </row>
    <row r="142" spans="1:5" ht="20.45" customHeight="1">
      <c r="A142" s="24" t="s">
        <v>1519</v>
      </c>
      <c r="B142" s="24" t="s">
        <v>34</v>
      </c>
      <c r="C142" s="24" t="s">
        <v>1368</v>
      </c>
      <c r="D142" s="24">
        <v>3637</v>
      </c>
      <c r="E142" s="24">
        <v>2463</v>
      </c>
    </row>
    <row r="143" spans="1:5" ht="20.45" customHeight="1">
      <c r="A143" s="24" t="s">
        <v>1520</v>
      </c>
      <c r="B143" s="24" t="s">
        <v>578</v>
      </c>
      <c r="C143" s="24" t="s">
        <v>1368</v>
      </c>
      <c r="D143" s="24">
        <v>4910</v>
      </c>
      <c r="E143" s="24">
        <v>2108</v>
      </c>
    </row>
    <row r="144" spans="1:5" ht="20.45" customHeight="1">
      <c r="A144" s="24" t="s">
        <v>1521</v>
      </c>
      <c r="B144" s="24" t="s">
        <v>277</v>
      </c>
      <c r="C144" s="24" t="s">
        <v>1368</v>
      </c>
      <c r="D144" s="24">
        <v>2576</v>
      </c>
      <c r="E144" s="24">
        <v>1826</v>
      </c>
    </row>
    <row r="145" spans="1:5" ht="20.45" customHeight="1">
      <c r="A145" s="24" t="s">
        <v>1522</v>
      </c>
      <c r="B145" s="24" t="s">
        <v>493</v>
      </c>
      <c r="C145" s="24" t="s">
        <v>1366</v>
      </c>
      <c r="D145" s="24">
        <v>4547</v>
      </c>
      <c r="E145" s="24">
        <v>2258</v>
      </c>
    </row>
    <row r="146" spans="1:5" ht="20.45" customHeight="1">
      <c r="A146" s="24" t="s">
        <v>1523</v>
      </c>
      <c r="B146" s="24" t="s">
        <v>345</v>
      </c>
      <c r="C146" s="24" t="s">
        <v>1366</v>
      </c>
      <c r="D146" s="24">
        <v>4239</v>
      </c>
      <c r="E146" s="24">
        <v>1749</v>
      </c>
    </row>
    <row r="147" spans="1:5" ht="20.45" customHeight="1">
      <c r="A147" s="24" t="s">
        <v>1524</v>
      </c>
      <c r="B147" s="24" t="s">
        <v>670</v>
      </c>
      <c r="C147" s="24" t="s">
        <v>1377</v>
      </c>
      <c r="D147" s="24">
        <v>4006</v>
      </c>
      <c r="E147" s="24">
        <v>1320</v>
      </c>
    </row>
    <row r="148" spans="1:5" ht="20.45" customHeight="1">
      <c r="A148" s="24" t="s">
        <v>1525</v>
      </c>
      <c r="B148" s="24" t="s">
        <v>80</v>
      </c>
      <c r="C148" s="24" t="s">
        <v>1368</v>
      </c>
      <c r="D148" s="24">
        <v>3324</v>
      </c>
      <c r="E148" s="24">
        <v>1846</v>
      </c>
    </row>
    <row r="149" spans="1:5" ht="20.45" customHeight="1">
      <c r="A149" s="24" t="s">
        <v>1526</v>
      </c>
      <c r="B149" s="24" t="s">
        <v>78</v>
      </c>
      <c r="C149" s="24" t="s">
        <v>1368</v>
      </c>
      <c r="D149" s="24">
        <v>2523</v>
      </c>
      <c r="E149" s="24">
        <v>1665</v>
      </c>
    </row>
    <row r="150" spans="1:5" ht="20.45" customHeight="1">
      <c r="A150" s="24" t="s">
        <v>1527</v>
      </c>
      <c r="B150" s="24" t="s">
        <v>778</v>
      </c>
      <c r="C150" s="24" t="s">
        <v>1368</v>
      </c>
      <c r="D150" s="24">
        <v>2671</v>
      </c>
      <c r="E150" s="24">
        <v>1591</v>
      </c>
    </row>
    <row r="151" spans="1:5" ht="20.45" customHeight="1">
      <c r="A151" s="24" t="s">
        <v>1528</v>
      </c>
      <c r="B151" s="24" t="s">
        <v>535</v>
      </c>
      <c r="C151" s="24" t="s">
        <v>1366</v>
      </c>
      <c r="D151" s="24">
        <v>4420</v>
      </c>
      <c r="E151" s="24">
        <v>1797</v>
      </c>
    </row>
    <row r="152" spans="1:5" ht="20.45" customHeight="1">
      <c r="A152" s="24" t="s">
        <v>1529</v>
      </c>
      <c r="B152" s="24" t="s">
        <v>859</v>
      </c>
      <c r="C152" s="24" t="s">
        <v>1368</v>
      </c>
      <c r="D152" s="24">
        <v>3277</v>
      </c>
      <c r="E152" s="24">
        <v>1891</v>
      </c>
    </row>
    <row r="153" spans="1:5" ht="20.45" customHeight="1">
      <c r="A153" s="24" t="s">
        <v>1530</v>
      </c>
      <c r="B153" s="24" t="s">
        <v>684</v>
      </c>
      <c r="C153" s="24" t="s">
        <v>1368</v>
      </c>
      <c r="D153" s="24">
        <v>4110</v>
      </c>
      <c r="E153" s="24">
        <v>1788</v>
      </c>
    </row>
    <row r="154" spans="1:5" ht="20.45" customHeight="1">
      <c r="A154" s="24" t="s">
        <v>1531</v>
      </c>
      <c r="B154" s="24" t="s">
        <v>252</v>
      </c>
      <c r="C154" s="24" t="s">
        <v>1377</v>
      </c>
      <c r="D154" s="24">
        <v>4531</v>
      </c>
      <c r="E154" s="24">
        <v>1512</v>
      </c>
    </row>
    <row r="155" spans="1:5" ht="20.45" customHeight="1">
      <c r="A155" s="24" t="s">
        <v>1532</v>
      </c>
      <c r="B155" s="24" t="s">
        <v>74</v>
      </c>
      <c r="C155" s="24" t="s">
        <v>1366</v>
      </c>
      <c r="D155" s="24">
        <v>3463</v>
      </c>
      <c r="E155" s="24">
        <v>1964</v>
      </c>
    </row>
    <row r="156" spans="1:5" ht="20.45" customHeight="1">
      <c r="A156" s="24" t="s">
        <v>1533</v>
      </c>
      <c r="B156" s="24" t="s">
        <v>672</v>
      </c>
      <c r="C156" s="24" t="s">
        <v>1366</v>
      </c>
      <c r="D156" s="24">
        <v>2867</v>
      </c>
      <c r="E156" s="24">
        <v>2295</v>
      </c>
    </row>
    <row r="157" spans="1:5" ht="20.45" customHeight="1">
      <c r="A157" s="24" t="s">
        <v>1534</v>
      </c>
      <c r="B157" s="24" t="s">
        <v>361</v>
      </c>
      <c r="C157" s="24" t="s">
        <v>1377</v>
      </c>
      <c r="D157" s="24">
        <v>4741</v>
      </c>
      <c r="E157" s="24">
        <v>1849</v>
      </c>
    </row>
    <row r="158" spans="1:5" ht="20.45" customHeight="1">
      <c r="A158" s="24" t="s">
        <v>1535</v>
      </c>
      <c r="B158" s="24" t="s">
        <v>776</v>
      </c>
      <c r="C158" s="24" t="s">
        <v>1366</v>
      </c>
      <c r="D158" s="24">
        <v>2856</v>
      </c>
      <c r="E158" s="24">
        <v>1236</v>
      </c>
    </row>
    <row r="159" spans="1:5" ht="20.45" customHeight="1">
      <c r="A159" s="24" t="s">
        <v>1536</v>
      </c>
      <c r="B159" s="24" t="s">
        <v>487</v>
      </c>
      <c r="C159" s="24" t="s">
        <v>1368</v>
      </c>
      <c r="D159" s="24">
        <v>3197</v>
      </c>
      <c r="E159" s="24">
        <v>1625</v>
      </c>
    </row>
    <row r="160" spans="1:5" ht="20.45" customHeight="1">
      <c r="A160" s="24" t="s">
        <v>1537</v>
      </c>
      <c r="B160" s="24" t="s">
        <v>57</v>
      </c>
      <c r="C160" s="24" t="s">
        <v>1368</v>
      </c>
      <c r="D160" s="24">
        <v>3757</v>
      </c>
      <c r="E160" s="24">
        <v>2156</v>
      </c>
    </row>
    <row r="161" spans="1:5" ht="20.45" customHeight="1">
      <c r="A161" s="24" t="s">
        <v>1538</v>
      </c>
      <c r="B161" s="24" t="s">
        <v>785</v>
      </c>
      <c r="C161" s="24" t="s">
        <v>1368</v>
      </c>
      <c r="D161" s="24">
        <v>2940</v>
      </c>
      <c r="E161" s="24">
        <v>1468</v>
      </c>
    </row>
    <row r="162" spans="1:5" ht="20.45" customHeight="1">
      <c r="A162" s="24" t="s">
        <v>1539</v>
      </c>
      <c r="B162" s="24" t="s">
        <v>455</v>
      </c>
      <c r="C162" s="24" t="s">
        <v>1366</v>
      </c>
      <c r="D162" s="24">
        <v>4230</v>
      </c>
      <c r="E162" s="24">
        <v>1812</v>
      </c>
    </row>
    <row r="163" spans="1:5" ht="20.45" customHeight="1">
      <c r="A163" s="24" t="s">
        <v>1540</v>
      </c>
      <c r="B163" s="24" t="s">
        <v>254</v>
      </c>
      <c r="C163" s="24" t="s">
        <v>1374</v>
      </c>
      <c r="D163" s="24">
        <v>3564</v>
      </c>
      <c r="E163" s="24">
        <v>2100</v>
      </c>
    </row>
    <row r="164" spans="1:5" ht="20.45" customHeight="1">
      <c r="A164" s="24" t="s">
        <v>1541</v>
      </c>
      <c r="B164" s="24" t="s">
        <v>335</v>
      </c>
      <c r="C164" s="24" t="s">
        <v>1368</v>
      </c>
      <c r="D164" s="24">
        <v>4026</v>
      </c>
      <c r="E164" s="24">
        <v>1829</v>
      </c>
    </row>
    <row r="165" spans="1:5" ht="20.45" customHeight="1">
      <c r="A165" s="24" t="s">
        <v>1542</v>
      </c>
      <c r="B165" s="24" t="s">
        <v>284</v>
      </c>
      <c r="C165" s="24" t="s">
        <v>1368</v>
      </c>
      <c r="D165" s="24">
        <v>2889</v>
      </c>
      <c r="E165" s="24">
        <v>1384</v>
      </c>
    </row>
    <row r="166" spans="1:5" ht="20.45" customHeight="1">
      <c r="A166" s="24" t="s">
        <v>1543</v>
      </c>
      <c r="B166" s="24" t="s">
        <v>830</v>
      </c>
      <c r="C166" s="24" t="s">
        <v>1368</v>
      </c>
      <c r="D166" s="24">
        <v>3742</v>
      </c>
      <c r="E166" s="24">
        <v>2309</v>
      </c>
    </row>
    <row r="167" spans="1:5" ht="20.45" customHeight="1">
      <c r="A167" s="24" t="s">
        <v>1544</v>
      </c>
      <c r="B167" s="24" t="s">
        <v>180</v>
      </c>
      <c r="C167" s="24" t="s">
        <v>1377</v>
      </c>
      <c r="D167" s="24">
        <v>4711</v>
      </c>
      <c r="E167" s="24">
        <v>2288</v>
      </c>
    </row>
    <row r="168" spans="1:5" ht="20.45" customHeight="1">
      <c r="A168" s="24" t="s">
        <v>1545</v>
      </c>
      <c r="B168" s="24" t="s">
        <v>501</v>
      </c>
      <c r="C168" s="24" t="s">
        <v>1377</v>
      </c>
      <c r="D168" s="24">
        <v>4234</v>
      </c>
      <c r="E168" s="24">
        <v>1212</v>
      </c>
    </row>
    <row r="169" spans="1:5" ht="20.45" customHeight="1">
      <c r="A169" s="24" t="s">
        <v>1546</v>
      </c>
      <c r="B169" s="24" t="s">
        <v>453</v>
      </c>
      <c r="C169" s="24" t="s">
        <v>1368</v>
      </c>
      <c r="D169" s="24">
        <v>2507</v>
      </c>
      <c r="E169" s="24">
        <v>1380</v>
      </c>
    </row>
    <row r="170" spans="1:5" ht="20.45" customHeight="1">
      <c r="A170" s="24" t="s">
        <v>1547</v>
      </c>
      <c r="B170" s="24" t="s">
        <v>358</v>
      </c>
      <c r="C170" s="24" t="s">
        <v>1368</v>
      </c>
      <c r="D170" s="24">
        <v>3573</v>
      </c>
      <c r="E170" s="24">
        <v>1857</v>
      </c>
    </row>
    <row r="171" spans="1:5" ht="20.45" customHeight="1">
      <c r="A171" s="24" t="s">
        <v>1548</v>
      </c>
      <c r="B171" s="24" t="s">
        <v>186</v>
      </c>
      <c r="C171" s="24" t="s">
        <v>1377</v>
      </c>
      <c r="D171" s="24">
        <v>4224</v>
      </c>
      <c r="E171" s="24">
        <v>2048</v>
      </c>
    </row>
    <row r="172" spans="1:5" ht="20.45" customHeight="1">
      <c r="A172" s="24" t="s">
        <v>1549</v>
      </c>
      <c r="B172" s="24" t="s">
        <v>439</v>
      </c>
      <c r="C172" s="24" t="s">
        <v>1368</v>
      </c>
      <c r="D172" s="24">
        <v>2535</v>
      </c>
      <c r="E172" s="24">
        <v>1841</v>
      </c>
    </row>
    <row r="173" spans="1:5" ht="20.45" customHeight="1">
      <c r="A173" s="24" t="s">
        <v>1550</v>
      </c>
      <c r="B173" s="24" t="s">
        <v>449</v>
      </c>
      <c r="C173" s="24" t="s">
        <v>1374</v>
      </c>
      <c r="D173" s="24">
        <v>3759</v>
      </c>
      <c r="E173" s="24">
        <v>2258</v>
      </c>
    </row>
    <row r="174" spans="1:5" ht="20.45" customHeight="1">
      <c r="A174" s="24" t="s">
        <v>1551</v>
      </c>
      <c r="B174" s="24" t="s">
        <v>71</v>
      </c>
      <c r="C174" s="24" t="s">
        <v>1374</v>
      </c>
      <c r="D174" s="24">
        <v>3055</v>
      </c>
      <c r="E174" s="24">
        <v>2269</v>
      </c>
    </row>
    <row r="175" spans="1:5" ht="20.45" customHeight="1">
      <c r="A175" s="24" t="s">
        <v>1552</v>
      </c>
      <c r="B175" s="24" t="s">
        <v>712</v>
      </c>
      <c r="C175" s="24" t="s">
        <v>1368</v>
      </c>
      <c r="D175" s="24">
        <v>2856</v>
      </c>
      <c r="E175" s="24">
        <v>1780</v>
      </c>
    </row>
    <row r="176" spans="1:5" ht="20.45" customHeight="1">
      <c r="A176" s="24" t="s">
        <v>1553</v>
      </c>
      <c r="B176" s="24" t="s">
        <v>352</v>
      </c>
      <c r="C176" s="24" t="s">
        <v>1377</v>
      </c>
      <c r="D176" s="24">
        <v>3295</v>
      </c>
      <c r="E176" s="24">
        <v>1841</v>
      </c>
    </row>
    <row r="177" spans="1:5" ht="20.45" customHeight="1">
      <c r="A177" s="24" t="s">
        <v>1554</v>
      </c>
      <c r="B177" s="24" t="s">
        <v>223</v>
      </c>
      <c r="C177" s="24" t="s">
        <v>1377</v>
      </c>
      <c r="D177" s="24">
        <v>3579</v>
      </c>
      <c r="E177" s="24">
        <v>1579</v>
      </c>
    </row>
    <row r="178" spans="1:5" ht="20.45" customHeight="1">
      <c r="A178" s="24" t="s">
        <v>1555</v>
      </c>
      <c r="B178" s="24" t="s">
        <v>558</v>
      </c>
      <c r="C178" s="24" t="s">
        <v>1368</v>
      </c>
      <c r="D178" s="24">
        <v>3408</v>
      </c>
      <c r="E178" s="24">
        <v>1465</v>
      </c>
    </row>
    <row r="179" spans="1:5" ht="20.45" customHeight="1">
      <c r="A179" s="24" t="s">
        <v>1556</v>
      </c>
      <c r="B179" s="24" t="s">
        <v>118</v>
      </c>
      <c r="C179" s="24" t="s">
        <v>1368</v>
      </c>
      <c r="D179" s="24">
        <v>4003</v>
      </c>
      <c r="E179" s="24">
        <v>2255</v>
      </c>
    </row>
    <row r="180" spans="1:5" ht="20.45" customHeight="1">
      <c r="A180" s="24" t="s">
        <v>1557</v>
      </c>
      <c r="B180" s="24" t="s">
        <v>103</v>
      </c>
      <c r="C180" s="24" t="s">
        <v>1368</v>
      </c>
      <c r="D180" s="24">
        <v>2658</v>
      </c>
      <c r="E180" s="24">
        <v>1274</v>
      </c>
    </row>
    <row r="181" spans="1:5" ht="20.45" customHeight="1">
      <c r="A181" s="24" t="s">
        <v>1558</v>
      </c>
      <c r="B181" s="24" t="s">
        <v>83</v>
      </c>
      <c r="C181" s="24" t="s">
        <v>1368</v>
      </c>
      <c r="D181" s="24">
        <v>4291</v>
      </c>
      <c r="E181" s="24">
        <v>2021</v>
      </c>
    </row>
    <row r="182" spans="1:5" ht="20.45" customHeight="1">
      <c r="A182" s="24" t="s">
        <v>1559</v>
      </c>
      <c r="B182" s="24" t="s">
        <v>168</v>
      </c>
      <c r="C182" s="24" t="s">
        <v>1366</v>
      </c>
      <c r="D182" s="24">
        <v>4589</v>
      </c>
      <c r="E182" s="24">
        <v>1478</v>
      </c>
    </row>
    <row r="183" spans="1:5" ht="20.45" customHeight="1">
      <c r="A183" s="24" t="s">
        <v>1560</v>
      </c>
      <c r="B183" s="24" t="s">
        <v>122</v>
      </c>
      <c r="C183" s="24" t="s">
        <v>1377</v>
      </c>
      <c r="D183" s="24">
        <v>4788</v>
      </c>
      <c r="E183" s="24">
        <v>2063</v>
      </c>
    </row>
    <row r="184" spans="1:5" ht="20.45" customHeight="1">
      <c r="A184" s="24" t="s">
        <v>1561</v>
      </c>
      <c r="B184" s="24" t="s">
        <v>281</v>
      </c>
      <c r="C184" s="24" t="s">
        <v>1366</v>
      </c>
      <c r="D184" s="24">
        <v>4927</v>
      </c>
      <c r="E184" s="24">
        <v>2034</v>
      </c>
    </row>
    <row r="185" spans="1:5" ht="20.45" customHeight="1">
      <c r="A185" s="24" t="s">
        <v>1562</v>
      </c>
      <c r="B185" s="24" t="s">
        <v>166</v>
      </c>
      <c r="C185" s="24" t="s">
        <v>1368</v>
      </c>
      <c r="D185" s="24">
        <v>4357</v>
      </c>
      <c r="E185" s="24">
        <v>1806</v>
      </c>
    </row>
    <row r="186" spans="1:5" ht="20.45" customHeight="1">
      <c r="A186" s="24" t="s">
        <v>1563</v>
      </c>
      <c r="B186" s="24" t="s">
        <v>364</v>
      </c>
      <c r="C186" s="24" t="s">
        <v>1377</v>
      </c>
      <c r="D186" s="24">
        <v>3421</v>
      </c>
      <c r="E186" s="24">
        <v>1370</v>
      </c>
    </row>
    <row r="187" spans="1:5" ht="20.45" customHeight="1">
      <c r="A187" s="24" t="s">
        <v>1564</v>
      </c>
      <c r="B187" s="24" t="s">
        <v>429</v>
      </c>
      <c r="C187" s="24" t="s">
        <v>1368</v>
      </c>
      <c r="D187" s="24">
        <v>3504</v>
      </c>
      <c r="E187" s="24">
        <v>2309</v>
      </c>
    </row>
    <row r="188" spans="1:5" ht="20.45" customHeight="1">
      <c r="A188" s="24" t="s">
        <v>1565</v>
      </c>
      <c r="B188" s="24" t="s">
        <v>1566</v>
      </c>
      <c r="C188" s="24" t="s">
        <v>1366</v>
      </c>
      <c r="D188" s="24">
        <v>4324</v>
      </c>
      <c r="E188" s="24">
        <v>1369</v>
      </c>
    </row>
    <row r="189" spans="1:5" ht="20.45" customHeight="1">
      <c r="A189" s="24" t="s">
        <v>1567</v>
      </c>
      <c r="B189" s="24" t="s">
        <v>305</v>
      </c>
      <c r="C189" s="24" t="s">
        <v>1568</v>
      </c>
      <c r="D189" s="24">
        <v>4271</v>
      </c>
      <c r="E189" s="24">
        <v>2195</v>
      </c>
    </row>
    <row r="190" spans="1:5" ht="20.45" customHeight="1">
      <c r="A190" s="24" t="s">
        <v>1569</v>
      </c>
      <c r="B190" s="24" t="s">
        <v>368</v>
      </c>
      <c r="C190" s="24" t="s">
        <v>1368</v>
      </c>
      <c r="D190" s="24">
        <v>4757</v>
      </c>
      <c r="E190" s="24">
        <v>1534</v>
      </c>
    </row>
    <row r="191" spans="1:5" ht="20.45" customHeight="1">
      <c r="A191" s="24" t="s">
        <v>1570</v>
      </c>
      <c r="B191" s="24" t="s">
        <v>88</v>
      </c>
      <c r="C191" s="24" t="s">
        <v>1368</v>
      </c>
      <c r="D191" s="24">
        <v>3493</v>
      </c>
      <c r="E191" s="24">
        <v>2180</v>
      </c>
    </row>
    <row r="192" spans="1:5" ht="20.45" customHeight="1">
      <c r="A192" s="24" t="s">
        <v>1571</v>
      </c>
      <c r="B192" s="24" t="s">
        <v>434</v>
      </c>
      <c r="C192" s="24" t="s">
        <v>1368</v>
      </c>
      <c r="D192" s="24">
        <v>2996</v>
      </c>
      <c r="E192" s="24">
        <v>1641</v>
      </c>
    </row>
    <row r="193" spans="1:5" ht="20.45" customHeight="1">
      <c r="A193" s="24" t="s">
        <v>1572</v>
      </c>
      <c r="B193" s="24" t="s">
        <v>164</v>
      </c>
      <c r="C193" s="24" t="s">
        <v>1377</v>
      </c>
      <c r="D193" s="24">
        <v>4744</v>
      </c>
      <c r="E193" s="24">
        <v>1465</v>
      </c>
    </row>
    <row r="194" spans="1:5" ht="20.45" customHeight="1">
      <c r="A194" s="24" t="s">
        <v>1573</v>
      </c>
      <c r="B194" s="24" t="s">
        <v>510</v>
      </c>
      <c r="C194" s="24" t="s">
        <v>1377</v>
      </c>
      <c r="D194" s="24">
        <v>3473</v>
      </c>
      <c r="E194" s="24">
        <v>1493</v>
      </c>
    </row>
    <row r="195" spans="1:5" ht="20.45" customHeight="1">
      <c r="A195" s="24" t="s">
        <v>1574</v>
      </c>
      <c r="B195" s="24" t="s">
        <v>98</v>
      </c>
      <c r="C195" s="24" t="s">
        <v>1366</v>
      </c>
      <c r="D195" s="24">
        <v>4342</v>
      </c>
      <c r="E195" s="24">
        <v>1689</v>
      </c>
    </row>
    <row r="196" spans="1:5" ht="20.45" customHeight="1">
      <c r="A196" s="24" t="s">
        <v>1575</v>
      </c>
      <c r="B196" s="24" t="s">
        <v>840</v>
      </c>
      <c r="C196" s="24" t="s">
        <v>1368</v>
      </c>
      <c r="D196" s="24">
        <v>3290</v>
      </c>
      <c r="E196" s="24">
        <v>1720</v>
      </c>
    </row>
    <row r="197" spans="1:5" ht="20.45" customHeight="1">
      <c r="A197" s="24" t="s">
        <v>1576</v>
      </c>
      <c r="B197" s="24" t="s">
        <v>62</v>
      </c>
      <c r="C197" s="24" t="s">
        <v>1366</v>
      </c>
      <c r="D197" s="24">
        <v>4515</v>
      </c>
      <c r="E197" s="24">
        <v>1550</v>
      </c>
    </row>
    <row r="198" spans="1:5" ht="20.45" customHeight="1">
      <c r="A198" s="24" t="s">
        <v>1577</v>
      </c>
      <c r="B198" s="24" t="s">
        <v>926</v>
      </c>
      <c r="C198" s="24" t="s">
        <v>1366</v>
      </c>
      <c r="D198" s="24">
        <v>3580</v>
      </c>
      <c r="E198" s="24">
        <v>2012</v>
      </c>
    </row>
    <row r="199" spans="1:5" ht="20.45" customHeight="1">
      <c r="A199" s="24" t="s">
        <v>1578</v>
      </c>
      <c r="B199" s="24" t="s">
        <v>1149</v>
      </c>
      <c r="C199" s="24" t="s">
        <v>1368</v>
      </c>
      <c r="D199" s="24">
        <v>4391</v>
      </c>
      <c r="E199" s="24">
        <v>2304</v>
      </c>
    </row>
    <row r="200" spans="1:5" ht="20.45" customHeight="1">
      <c r="A200" s="24" t="s">
        <v>1579</v>
      </c>
      <c r="B200" s="24" t="s">
        <v>329</v>
      </c>
      <c r="C200" s="24" t="s">
        <v>1368</v>
      </c>
      <c r="D200" s="24">
        <v>3634</v>
      </c>
      <c r="E200" s="24">
        <v>1487</v>
      </c>
    </row>
    <row r="201" spans="1:5" ht="20.45" customHeight="1">
      <c r="A201" s="24" t="s">
        <v>1580</v>
      </c>
      <c r="B201" s="24" t="s">
        <v>522</v>
      </c>
      <c r="C201" s="24" t="s">
        <v>1374</v>
      </c>
      <c r="D201" s="24">
        <v>3536</v>
      </c>
      <c r="E201" s="24">
        <v>1644</v>
      </c>
    </row>
    <row r="202" spans="1:5" ht="20.45" customHeight="1">
      <c r="A202" s="24" t="s">
        <v>1581</v>
      </c>
      <c r="B202" s="24" t="s">
        <v>597</v>
      </c>
      <c r="C202" s="24" t="s">
        <v>1368</v>
      </c>
      <c r="D202" s="24">
        <v>4861</v>
      </c>
      <c r="E202" s="24">
        <v>1633</v>
      </c>
    </row>
    <row r="203" spans="1:5" ht="20.45" customHeight="1">
      <c r="A203" s="24" t="s">
        <v>1582</v>
      </c>
      <c r="B203" s="24" t="s">
        <v>464</v>
      </c>
      <c r="C203" s="24" t="s">
        <v>1368</v>
      </c>
      <c r="D203" s="24">
        <v>3094</v>
      </c>
      <c r="E203" s="24">
        <v>2233</v>
      </c>
    </row>
    <row r="204" spans="1:5" ht="20.45" customHeight="1">
      <c r="A204" s="24" t="s">
        <v>1583</v>
      </c>
      <c r="B204" s="24" t="s">
        <v>176</v>
      </c>
      <c r="C204" s="24" t="s">
        <v>1368</v>
      </c>
      <c r="D204" s="24">
        <v>3100</v>
      </c>
      <c r="E204" s="24">
        <v>2261</v>
      </c>
    </row>
    <row r="205" spans="1:5" ht="20.45" customHeight="1">
      <c r="A205" s="24" t="s">
        <v>1584</v>
      </c>
      <c r="B205" s="24" t="s">
        <v>642</v>
      </c>
      <c r="C205" s="24" t="s">
        <v>1368</v>
      </c>
      <c r="D205" s="24">
        <v>4057</v>
      </c>
      <c r="E205" s="24">
        <v>1816</v>
      </c>
    </row>
    <row r="206" spans="1:5" ht="20.45" customHeight="1">
      <c r="A206" s="24" t="s">
        <v>1585</v>
      </c>
      <c r="B206" s="24" t="s">
        <v>545</v>
      </c>
      <c r="C206" s="24" t="s">
        <v>1368</v>
      </c>
      <c r="D206" s="24">
        <v>3827</v>
      </c>
      <c r="E206" s="24">
        <v>2424</v>
      </c>
    </row>
    <row r="207" spans="1:5" ht="20.45" customHeight="1">
      <c r="A207" s="24" t="s">
        <v>1586</v>
      </c>
      <c r="B207" s="24" t="s">
        <v>932</v>
      </c>
      <c r="C207" s="24" t="s">
        <v>1368</v>
      </c>
      <c r="D207" s="24">
        <v>4173</v>
      </c>
      <c r="E207" s="24">
        <v>2497</v>
      </c>
    </row>
    <row r="208" spans="1:5" ht="20.45" customHeight="1">
      <c r="A208" s="24" t="s">
        <v>1587</v>
      </c>
      <c r="B208" s="24" t="s">
        <v>141</v>
      </c>
      <c r="C208" s="24" t="s">
        <v>1368</v>
      </c>
      <c r="D208" s="24">
        <v>4901</v>
      </c>
      <c r="E208" s="24">
        <v>1789</v>
      </c>
    </row>
    <row r="209" spans="1:5" ht="20.45" customHeight="1">
      <c r="A209" s="24" t="s">
        <v>1588</v>
      </c>
      <c r="B209" s="24" t="s">
        <v>82</v>
      </c>
      <c r="C209" s="24" t="s">
        <v>1368</v>
      </c>
      <c r="D209" s="24">
        <v>3725</v>
      </c>
      <c r="E209" s="24">
        <v>1250</v>
      </c>
    </row>
    <row r="210" spans="1:5" ht="20.45" customHeight="1">
      <c r="A210" s="24" t="s">
        <v>1589</v>
      </c>
      <c r="B210" s="24" t="s">
        <v>315</v>
      </c>
      <c r="C210" s="24" t="s">
        <v>1368</v>
      </c>
      <c r="D210" s="24">
        <v>3421</v>
      </c>
      <c r="E210" s="24">
        <v>1569</v>
      </c>
    </row>
    <row r="211" spans="1:5" ht="20.45" customHeight="1">
      <c r="A211" s="24" t="s">
        <v>1590</v>
      </c>
      <c r="B211" s="24" t="s">
        <v>28</v>
      </c>
      <c r="C211" s="24" t="s">
        <v>1368</v>
      </c>
      <c r="D211" s="24">
        <v>4006</v>
      </c>
      <c r="E211" s="24">
        <v>1898</v>
      </c>
    </row>
    <row r="212" spans="1:5" ht="20.45" customHeight="1">
      <c r="A212" s="24" t="s">
        <v>1591</v>
      </c>
      <c r="B212" s="24" t="s">
        <v>481</v>
      </c>
      <c r="C212" s="24" t="s">
        <v>1368</v>
      </c>
      <c r="D212" s="24">
        <v>3735</v>
      </c>
      <c r="E212" s="24">
        <v>2377</v>
      </c>
    </row>
    <row r="213" spans="1:5" ht="20.45" customHeight="1">
      <c r="A213" s="24" t="s">
        <v>1592</v>
      </c>
      <c r="B213" s="24" t="s">
        <v>451</v>
      </c>
      <c r="C213" s="24" t="s">
        <v>1368</v>
      </c>
      <c r="D213" s="24">
        <v>4758</v>
      </c>
      <c r="E213" s="24">
        <v>1946</v>
      </c>
    </row>
    <row r="214" spans="1:5" ht="20.45" customHeight="1">
      <c r="A214" s="24" t="s">
        <v>1593</v>
      </c>
      <c r="B214" s="24" t="s">
        <v>370</v>
      </c>
      <c r="C214" s="24" t="s">
        <v>1377</v>
      </c>
      <c r="D214" s="24">
        <v>2902</v>
      </c>
      <c r="E214" s="24">
        <v>1633</v>
      </c>
    </row>
    <row r="215" spans="1:5" ht="20.45" customHeight="1">
      <c r="A215" s="24" t="s">
        <v>1594</v>
      </c>
      <c r="B215" s="24" t="s">
        <v>479</v>
      </c>
      <c r="C215" s="24" t="s">
        <v>1368</v>
      </c>
      <c r="D215" s="24">
        <v>4643</v>
      </c>
      <c r="E215" s="24">
        <v>1549</v>
      </c>
    </row>
    <row r="216" spans="1:5" ht="20.45" customHeight="1">
      <c r="A216" s="24" t="s">
        <v>1595</v>
      </c>
      <c r="B216" s="24" t="s">
        <v>1596</v>
      </c>
      <c r="C216" s="24" t="s">
        <v>1377</v>
      </c>
      <c r="D216" s="24">
        <v>4152</v>
      </c>
      <c r="E216" s="24">
        <v>1940</v>
      </c>
    </row>
    <row r="217" spans="1:5" ht="20.45" customHeight="1">
      <c r="A217" s="24" t="s">
        <v>1597</v>
      </c>
      <c r="B217" s="24" t="s">
        <v>256</v>
      </c>
      <c r="C217" s="24" t="s">
        <v>1366</v>
      </c>
      <c r="D217" s="24">
        <v>2517</v>
      </c>
      <c r="E217" s="24">
        <v>2149</v>
      </c>
    </row>
    <row r="218" spans="1:5" ht="20.45" customHeight="1">
      <c r="A218" s="24" t="s">
        <v>1598</v>
      </c>
      <c r="B218" s="24" t="s">
        <v>654</v>
      </c>
      <c r="C218" s="24" t="s">
        <v>1368</v>
      </c>
      <c r="D218" s="24">
        <v>3282</v>
      </c>
      <c r="E218" s="24">
        <v>1376</v>
      </c>
    </row>
    <row r="219" spans="1:5" ht="20.45" customHeight="1">
      <c r="A219" s="24" t="s">
        <v>1599</v>
      </c>
      <c r="B219" s="24" t="s">
        <v>76</v>
      </c>
      <c r="C219" s="24" t="s">
        <v>1377</v>
      </c>
      <c r="D219" s="24">
        <v>4079</v>
      </c>
      <c r="E219" s="24">
        <v>1413</v>
      </c>
    </row>
    <row r="220" spans="1:5" ht="20.45" customHeight="1">
      <c r="A220" s="24" t="s">
        <v>1600</v>
      </c>
      <c r="B220" s="24" t="s">
        <v>327</v>
      </c>
      <c r="C220" s="24" t="s">
        <v>1374</v>
      </c>
      <c r="D220" s="24">
        <v>4843</v>
      </c>
      <c r="E220" s="24">
        <v>2192</v>
      </c>
    </row>
    <row r="221" spans="1:5" ht="20.45" customHeight="1">
      <c r="A221" s="24" t="s">
        <v>1601</v>
      </c>
      <c r="B221" s="24" t="s">
        <v>245</v>
      </c>
      <c r="C221" s="24" t="s">
        <v>1377</v>
      </c>
      <c r="D221" s="24">
        <v>4646</v>
      </c>
      <c r="E221" s="24">
        <v>1846</v>
      </c>
    </row>
    <row r="222" spans="1:5" ht="20.45" customHeight="1">
      <c r="A222" s="24" t="s">
        <v>1602</v>
      </c>
      <c r="B222" s="24" t="s">
        <v>1026</v>
      </c>
      <c r="C222" s="24" t="s">
        <v>1368</v>
      </c>
      <c r="D222" s="24">
        <v>4948</v>
      </c>
      <c r="E222" s="24">
        <v>1972</v>
      </c>
    </row>
    <row r="223" spans="1:5" ht="20.45" customHeight="1">
      <c r="A223" s="24" t="s">
        <v>1603</v>
      </c>
      <c r="B223" s="24" t="s">
        <v>565</v>
      </c>
      <c r="C223" s="24" t="s">
        <v>1368</v>
      </c>
      <c r="D223" s="24">
        <v>2657</v>
      </c>
      <c r="E223" s="24">
        <v>2480</v>
      </c>
    </row>
    <row r="224" spans="1:5" ht="20.45" customHeight="1">
      <c r="A224" s="24" t="s">
        <v>1604</v>
      </c>
      <c r="B224" s="24" t="s">
        <v>467</v>
      </c>
      <c r="C224" s="24" t="s">
        <v>1368</v>
      </c>
      <c r="D224" s="24">
        <v>4574</v>
      </c>
      <c r="E224" s="24">
        <v>2068</v>
      </c>
    </row>
    <row r="225" spans="1:5" ht="20.45" customHeight="1">
      <c r="A225" s="24" t="s">
        <v>1605</v>
      </c>
      <c r="B225" s="24" t="s">
        <v>303</v>
      </c>
      <c r="C225" s="24" t="s">
        <v>1368</v>
      </c>
      <c r="D225" s="24">
        <v>3096</v>
      </c>
      <c r="E225" s="24">
        <v>2065</v>
      </c>
    </row>
    <row r="226" spans="1:5" ht="20.45" customHeight="1">
      <c r="A226" s="24" t="s">
        <v>1606</v>
      </c>
      <c r="B226" s="24" t="s">
        <v>375</v>
      </c>
      <c r="C226" s="24" t="s">
        <v>1374</v>
      </c>
      <c r="D226" s="24">
        <v>3644</v>
      </c>
      <c r="E226" s="24">
        <v>1954</v>
      </c>
    </row>
    <row r="227" spans="1:5" ht="20.45" customHeight="1">
      <c r="A227" s="24" t="s">
        <v>1607</v>
      </c>
      <c r="B227" s="24" t="s">
        <v>188</v>
      </c>
      <c r="C227" s="24" t="s">
        <v>1368</v>
      </c>
      <c r="D227" s="24">
        <v>2579</v>
      </c>
      <c r="E227" s="24">
        <v>1455</v>
      </c>
    </row>
    <row r="228" spans="1:5" ht="20.45" customHeight="1">
      <c r="A228" s="24" t="s">
        <v>1608</v>
      </c>
      <c r="B228" s="24" t="s">
        <v>154</v>
      </c>
      <c r="C228" s="24" t="s">
        <v>1368</v>
      </c>
      <c r="D228" s="24">
        <v>3912</v>
      </c>
      <c r="E228" s="24">
        <v>1569</v>
      </c>
    </row>
    <row r="229" spans="1:5" ht="20.45" customHeight="1">
      <c r="A229" s="24" t="s">
        <v>1609</v>
      </c>
      <c r="B229" s="24" t="s">
        <v>716</v>
      </c>
      <c r="C229" s="24" t="s">
        <v>1368</v>
      </c>
      <c r="D229" s="24">
        <v>3575</v>
      </c>
      <c r="E229" s="24">
        <v>1937</v>
      </c>
    </row>
    <row r="230" spans="1:5" ht="20.45" customHeight="1">
      <c r="A230" s="24" t="s">
        <v>1610</v>
      </c>
      <c r="B230" s="24" t="s">
        <v>221</v>
      </c>
      <c r="C230" s="24" t="s">
        <v>1368</v>
      </c>
      <c r="D230" s="24">
        <v>2506</v>
      </c>
      <c r="E230" s="24">
        <v>2355</v>
      </c>
    </row>
    <row r="231" spans="1:5" ht="20.45" customHeight="1">
      <c r="A231" s="24" t="s">
        <v>1611</v>
      </c>
      <c r="B231" s="24" t="s">
        <v>105</v>
      </c>
      <c r="C231" s="24" t="s">
        <v>1368</v>
      </c>
      <c r="D231" s="24">
        <v>2509</v>
      </c>
      <c r="E231" s="24">
        <v>1452</v>
      </c>
    </row>
    <row r="232" spans="1:5" ht="20.45" customHeight="1">
      <c r="A232" s="24" t="s">
        <v>1612</v>
      </c>
      <c r="B232" s="24" t="s">
        <v>649</v>
      </c>
      <c r="C232" s="24" t="s">
        <v>1368</v>
      </c>
      <c r="D232" s="24">
        <v>4576</v>
      </c>
      <c r="E232" s="24">
        <v>2188</v>
      </c>
    </row>
    <row r="233" spans="1:5" ht="20.45" customHeight="1">
      <c r="A233" s="24" t="s">
        <v>1613</v>
      </c>
      <c r="B233" s="24" t="s">
        <v>236</v>
      </c>
      <c r="C233" s="24" t="s">
        <v>1368</v>
      </c>
      <c r="D233" s="24">
        <v>3305</v>
      </c>
      <c r="E233" s="24">
        <v>1418</v>
      </c>
    </row>
    <row r="234" spans="1:5" ht="20.45" customHeight="1">
      <c r="A234" s="24" t="s">
        <v>1614</v>
      </c>
      <c r="B234" s="24" t="s">
        <v>406</v>
      </c>
      <c r="C234" s="24" t="s">
        <v>1368</v>
      </c>
      <c r="D234" s="24">
        <v>4120</v>
      </c>
      <c r="E234" s="24">
        <v>1841</v>
      </c>
    </row>
    <row r="235" spans="1:5" ht="20.45" customHeight="1">
      <c r="A235" s="24" t="s">
        <v>1615</v>
      </c>
      <c r="B235" s="24" t="s">
        <v>102</v>
      </c>
      <c r="C235" s="24" t="s">
        <v>1368</v>
      </c>
      <c r="D235" s="24">
        <v>3844</v>
      </c>
      <c r="E235" s="24">
        <v>2157</v>
      </c>
    </row>
    <row r="236" spans="1:5" ht="20.45" customHeight="1">
      <c r="A236" s="24" t="s">
        <v>1616</v>
      </c>
      <c r="B236" s="24" t="s">
        <v>423</v>
      </c>
      <c r="C236" s="24" t="s">
        <v>1366</v>
      </c>
      <c r="D236" s="24">
        <v>3590</v>
      </c>
      <c r="E236" s="24">
        <v>1866</v>
      </c>
    </row>
    <row r="237" spans="1:5" ht="20.45" customHeight="1">
      <c r="A237" s="24" t="s">
        <v>1617</v>
      </c>
      <c r="B237" s="24" t="s">
        <v>377</v>
      </c>
      <c r="C237" s="24" t="s">
        <v>1368</v>
      </c>
      <c r="D237" s="24">
        <v>4220</v>
      </c>
      <c r="E237" s="24">
        <v>1493</v>
      </c>
    </row>
    <row r="238" spans="1:5" ht="20.45" customHeight="1">
      <c r="A238" s="24" t="s">
        <v>1618</v>
      </c>
      <c r="B238" s="24" t="s">
        <v>158</v>
      </c>
      <c r="C238" s="24" t="s">
        <v>1374</v>
      </c>
      <c r="D238" s="24">
        <v>3553</v>
      </c>
      <c r="E238" s="24">
        <v>2174</v>
      </c>
    </row>
    <row r="239" spans="1:5" ht="20.45" customHeight="1">
      <c r="A239" s="24" t="s">
        <v>1619</v>
      </c>
      <c r="B239" s="24" t="s">
        <v>613</v>
      </c>
      <c r="C239" s="24" t="s">
        <v>1368</v>
      </c>
      <c r="D239" s="24">
        <v>2874</v>
      </c>
      <c r="E239" s="24">
        <v>1919</v>
      </c>
    </row>
    <row r="240" spans="1:5" ht="20.45" customHeight="1">
      <c r="A240" s="24" t="s">
        <v>1620</v>
      </c>
      <c r="B240" s="24" t="s">
        <v>200</v>
      </c>
      <c r="C240" s="24" t="s">
        <v>1368</v>
      </c>
      <c r="D240" s="24">
        <v>2738</v>
      </c>
      <c r="E240" s="24">
        <v>1737</v>
      </c>
    </row>
    <row r="241" spans="1:5" ht="20.45" customHeight="1">
      <c r="A241" s="24" t="s">
        <v>1621</v>
      </c>
      <c r="B241" s="24" t="s">
        <v>47</v>
      </c>
      <c r="C241" s="24" t="s">
        <v>1368</v>
      </c>
      <c r="D241" s="24">
        <v>4990</v>
      </c>
      <c r="E241" s="24">
        <v>1360</v>
      </c>
    </row>
    <row r="242" spans="1:5" ht="20.45" customHeight="1">
      <c r="A242" s="24" t="s">
        <v>1622</v>
      </c>
      <c r="B242" s="24" t="s">
        <v>160</v>
      </c>
      <c r="C242" s="24" t="s">
        <v>1366</v>
      </c>
      <c r="D242" s="24">
        <v>2616</v>
      </c>
      <c r="E242" s="24">
        <v>1965</v>
      </c>
    </row>
    <row r="243" spans="1:5" ht="20.45" customHeight="1">
      <c r="A243" s="24" t="s">
        <v>1623</v>
      </c>
      <c r="B243" s="24" t="s">
        <v>541</v>
      </c>
      <c r="C243" s="24" t="s">
        <v>1368</v>
      </c>
      <c r="D243" s="24">
        <v>4152</v>
      </c>
      <c r="E243" s="24">
        <v>1278</v>
      </c>
    </row>
    <row r="244" spans="1:5" ht="20.45" customHeight="1">
      <c r="A244" s="24" t="s">
        <v>1624</v>
      </c>
      <c r="B244" s="24" t="s">
        <v>100</v>
      </c>
      <c r="C244" s="24" t="s">
        <v>1368</v>
      </c>
      <c r="D244" s="24">
        <v>4874</v>
      </c>
      <c r="E244" s="24">
        <v>1503</v>
      </c>
    </row>
    <row r="245" spans="1:5" ht="20.45" customHeight="1">
      <c r="A245" s="24" t="s">
        <v>1625</v>
      </c>
      <c r="B245" s="24" t="s">
        <v>316</v>
      </c>
      <c r="C245" s="24" t="s">
        <v>1368</v>
      </c>
      <c r="D245" s="24">
        <v>4399</v>
      </c>
      <c r="E245" s="24">
        <v>2093</v>
      </c>
    </row>
    <row r="246" spans="1:5" ht="20.45" customHeight="1">
      <c r="A246" s="24" t="s">
        <v>1626</v>
      </c>
      <c r="B246" s="24" t="s">
        <v>97</v>
      </c>
      <c r="C246" s="24" t="s">
        <v>1368</v>
      </c>
      <c r="D246" s="24">
        <v>3245</v>
      </c>
      <c r="E246" s="24">
        <v>1964</v>
      </c>
    </row>
    <row r="247" spans="1:5" ht="20.45" customHeight="1">
      <c r="A247" s="24" t="s">
        <v>1627</v>
      </c>
      <c r="B247" s="24" t="s">
        <v>476</v>
      </c>
      <c r="C247" s="24" t="s">
        <v>1368</v>
      </c>
      <c r="D247" s="24">
        <v>3555</v>
      </c>
      <c r="E247" s="24">
        <v>1564</v>
      </c>
    </row>
    <row r="248" spans="1:5" ht="20.45" customHeight="1">
      <c r="A248" s="24" t="s">
        <v>1628</v>
      </c>
      <c r="B248" s="24" t="s">
        <v>445</v>
      </c>
      <c r="C248" s="24" t="s">
        <v>1368</v>
      </c>
      <c r="D248" s="24">
        <v>4206</v>
      </c>
      <c r="E248" s="24">
        <v>1201</v>
      </c>
    </row>
    <row r="249" spans="1:5" ht="20.45" customHeight="1">
      <c r="A249" s="24" t="s">
        <v>1629</v>
      </c>
      <c r="B249" s="24" t="s">
        <v>324</v>
      </c>
      <c r="C249" s="24" t="s">
        <v>1366</v>
      </c>
      <c r="D249" s="24">
        <v>4729</v>
      </c>
      <c r="E249" s="24">
        <v>1359</v>
      </c>
    </row>
    <row r="250" spans="1:5" ht="20.45" customHeight="1">
      <c r="A250" s="24" t="s">
        <v>1630</v>
      </c>
      <c r="B250" s="24" t="s">
        <v>322</v>
      </c>
      <c r="C250" s="24" t="s">
        <v>1368</v>
      </c>
      <c r="D250" s="24">
        <v>4476</v>
      </c>
      <c r="E250" s="24">
        <v>2494</v>
      </c>
    </row>
    <row r="251" spans="1:5" ht="20.45" customHeight="1">
      <c r="A251" s="24" t="s">
        <v>1631</v>
      </c>
      <c r="B251" s="24" t="s">
        <v>312</v>
      </c>
      <c r="C251" s="24" t="s">
        <v>1377</v>
      </c>
      <c r="D251" s="24">
        <v>4685</v>
      </c>
      <c r="E251" s="24">
        <v>2036</v>
      </c>
    </row>
    <row r="252" spans="1:5" ht="20.45" customHeight="1">
      <c r="A252" s="24" t="s">
        <v>1632</v>
      </c>
      <c r="B252" s="24" t="s">
        <v>892</v>
      </c>
      <c r="C252" s="24" t="s">
        <v>1377</v>
      </c>
      <c r="D252" s="24">
        <v>4283</v>
      </c>
      <c r="E252" s="24">
        <v>1658</v>
      </c>
    </row>
    <row r="253" spans="1:5" ht="20.45" customHeight="1">
      <c r="A253" s="24" t="s">
        <v>1633</v>
      </c>
      <c r="B253" s="24" t="s">
        <v>320</v>
      </c>
      <c r="C253" s="24" t="s">
        <v>1374</v>
      </c>
      <c r="D253" s="24">
        <v>4599</v>
      </c>
      <c r="E253" s="24">
        <v>1332</v>
      </c>
    </row>
    <row r="254" spans="1:5" ht="20.45" customHeight="1">
      <c r="A254" s="24" t="s">
        <v>1634</v>
      </c>
      <c r="B254" s="24" t="s">
        <v>1048</v>
      </c>
      <c r="C254" s="24" t="s">
        <v>1374</v>
      </c>
      <c r="D254" s="24">
        <v>4799</v>
      </c>
      <c r="E254" s="24">
        <v>1978</v>
      </c>
    </row>
    <row r="255" spans="1:5" ht="20.45" customHeight="1">
      <c r="A255" s="24" t="s">
        <v>1635</v>
      </c>
      <c r="B255" s="24" t="s">
        <v>289</v>
      </c>
      <c r="C255" s="24" t="s">
        <v>1366</v>
      </c>
      <c r="D255" s="24">
        <v>2898</v>
      </c>
      <c r="E255" s="24">
        <v>1324</v>
      </c>
    </row>
    <row r="256" spans="1:5" ht="20.45" customHeight="1">
      <c r="A256" s="24" t="s">
        <v>1636</v>
      </c>
      <c r="B256" s="24" t="s">
        <v>208</v>
      </c>
      <c r="C256" s="24" t="s">
        <v>1368</v>
      </c>
      <c r="D256" s="24">
        <v>3034</v>
      </c>
      <c r="E256" s="24">
        <v>2312</v>
      </c>
    </row>
    <row r="257" spans="1:5" ht="20.45" customHeight="1">
      <c r="A257" s="24" t="s">
        <v>1637</v>
      </c>
      <c r="B257" s="24" t="s">
        <v>39</v>
      </c>
      <c r="C257" s="24" t="s">
        <v>1368</v>
      </c>
      <c r="D257" s="24">
        <v>3878</v>
      </c>
      <c r="E257" s="24">
        <v>2236</v>
      </c>
    </row>
    <row r="258" spans="1:5" ht="20.45" customHeight="1">
      <c r="A258" s="24" t="s">
        <v>1638</v>
      </c>
      <c r="B258" s="24" t="s">
        <v>436</v>
      </c>
      <c r="C258" s="24" t="s">
        <v>1366</v>
      </c>
      <c r="D258" s="24">
        <v>3686</v>
      </c>
      <c r="E258" s="24">
        <v>2401</v>
      </c>
    </row>
    <row r="259" spans="1:5" ht="20.45" customHeight="1">
      <c r="A259" s="24" t="s">
        <v>1639</v>
      </c>
      <c r="B259" s="24" t="s">
        <v>291</v>
      </c>
      <c r="C259" s="24" t="s">
        <v>1368</v>
      </c>
      <c r="D259" s="24">
        <v>3330</v>
      </c>
      <c r="E259" s="24">
        <v>2283</v>
      </c>
    </row>
    <row r="260" spans="1:5" ht="20.45" customHeight="1">
      <c r="A260" s="24" t="s">
        <v>1640</v>
      </c>
      <c r="B260" s="24" t="s">
        <v>842</v>
      </c>
      <c r="C260" s="24" t="s">
        <v>1368</v>
      </c>
      <c r="D260" s="24">
        <v>3448</v>
      </c>
      <c r="E260" s="24">
        <v>1219</v>
      </c>
    </row>
    <row r="261" spans="1:5" ht="20.45" customHeight="1">
      <c r="A261" s="24" t="s">
        <v>1641</v>
      </c>
      <c r="B261" s="24" t="s">
        <v>269</v>
      </c>
      <c r="C261" s="24" t="s">
        <v>1368</v>
      </c>
      <c r="D261" s="24">
        <v>4484</v>
      </c>
      <c r="E261" s="24">
        <v>2146</v>
      </c>
    </row>
    <row r="262" spans="1:5" ht="20.45" customHeight="1">
      <c r="A262" s="24" t="s">
        <v>1642</v>
      </c>
      <c r="B262" s="24" t="s">
        <v>1087</v>
      </c>
      <c r="C262" s="24" t="s">
        <v>1366</v>
      </c>
      <c r="D262" s="24">
        <v>4841</v>
      </c>
      <c r="E262" s="24">
        <v>1784</v>
      </c>
    </row>
    <row r="263" spans="1:5" ht="20.45" customHeight="1">
      <c r="A263" s="24" t="s">
        <v>1643</v>
      </c>
      <c r="B263" s="24" t="s">
        <v>337</v>
      </c>
      <c r="C263" s="24" t="s">
        <v>1377</v>
      </c>
      <c r="D263" s="24">
        <v>2775</v>
      </c>
      <c r="E263" s="24">
        <v>1946</v>
      </c>
    </row>
    <row r="264" spans="1:5" ht="20.45" customHeight="1">
      <c r="A264" s="24" t="s">
        <v>1644</v>
      </c>
      <c r="B264" s="24" t="s">
        <v>241</v>
      </c>
      <c r="C264" s="24" t="s">
        <v>1368</v>
      </c>
      <c r="D264" s="24">
        <v>4706</v>
      </c>
      <c r="E264" s="24">
        <v>1320</v>
      </c>
    </row>
    <row r="265" spans="1:5" ht="20.45" customHeight="1">
      <c r="A265" s="24" t="s">
        <v>1645</v>
      </c>
      <c r="B265" s="24" t="s">
        <v>123</v>
      </c>
      <c r="C265" s="24" t="s">
        <v>1377</v>
      </c>
      <c r="D265" s="24">
        <v>2820</v>
      </c>
      <c r="E265" s="24">
        <v>1504</v>
      </c>
    </row>
    <row r="266" spans="1:5" ht="20.45" customHeight="1">
      <c r="A266" s="24" t="s">
        <v>1646</v>
      </c>
      <c r="B266" s="24" t="s">
        <v>86</v>
      </c>
      <c r="C266" s="24" t="s">
        <v>1366</v>
      </c>
      <c r="D266" s="24">
        <v>2958</v>
      </c>
      <c r="E266" s="24">
        <v>1678</v>
      </c>
    </row>
    <row r="267" spans="1:5" ht="20.45" customHeight="1">
      <c r="A267" s="24" t="s">
        <v>1647</v>
      </c>
      <c r="B267" s="24" t="s">
        <v>149</v>
      </c>
      <c r="C267" s="24" t="s">
        <v>1368</v>
      </c>
      <c r="D267" s="24">
        <v>4218</v>
      </c>
      <c r="E267" s="24">
        <v>2421</v>
      </c>
    </row>
    <row r="268" spans="1:5" ht="20.45" customHeight="1">
      <c r="A268" s="24" t="s">
        <v>1648</v>
      </c>
      <c r="B268" s="24" t="s">
        <v>302</v>
      </c>
      <c r="C268" s="24" t="s">
        <v>1368</v>
      </c>
      <c r="D268" s="24">
        <v>2614</v>
      </c>
      <c r="E268" s="24">
        <v>2329</v>
      </c>
    </row>
    <row r="269" spans="1:5" ht="20.45" customHeight="1">
      <c r="A269" s="24" t="s">
        <v>1649</v>
      </c>
      <c r="B269" s="24" t="s">
        <v>300</v>
      </c>
      <c r="C269" s="24" t="s">
        <v>1368</v>
      </c>
      <c r="D269" s="24">
        <v>4069</v>
      </c>
      <c r="E269" s="24">
        <v>1545</v>
      </c>
    </row>
    <row r="270" spans="1:5" ht="20.45" customHeight="1">
      <c r="A270" s="24" t="s">
        <v>1650</v>
      </c>
      <c r="B270" s="24" t="s">
        <v>592</v>
      </c>
      <c r="C270" s="24" t="s">
        <v>1377</v>
      </c>
      <c r="D270" s="24">
        <v>3388</v>
      </c>
      <c r="E270" s="24">
        <v>1454</v>
      </c>
    </row>
    <row r="271" spans="1:5" ht="20.45" customHeight="1">
      <c r="A271" s="24" t="s">
        <v>1651</v>
      </c>
      <c r="B271" s="24" t="s">
        <v>446</v>
      </c>
      <c r="C271" s="24" t="s">
        <v>1368</v>
      </c>
      <c r="D271" s="24">
        <v>2659</v>
      </c>
      <c r="E271" s="24">
        <v>2415</v>
      </c>
    </row>
    <row r="272" spans="1:5" ht="20.45" customHeight="1">
      <c r="A272" s="24" t="s">
        <v>1652</v>
      </c>
      <c r="B272" s="24" t="s">
        <v>379</v>
      </c>
      <c r="C272" s="24" t="s">
        <v>1368</v>
      </c>
      <c r="D272" s="24">
        <v>4050</v>
      </c>
      <c r="E272" s="24">
        <v>1241</v>
      </c>
    </row>
    <row r="273" spans="1:5" ht="20.45" customHeight="1">
      <c r="A273" s="24" t="s">
        <v>1653</v>
      </c>
      <c r="B273" s="24" t="s">
        <v>459</v>
      </c>
      <c r="C273" s="24" t="s">
        <v>1368</v>
      </c>
      <c r="D273" s="24">
        <v>3722</v>
      </c>
      <c r="E273" s="24">
        <v>1790</v>
      </c>
    </row>
    <row r="274" spans="1:5" ht="20.45" customHeight="1">
      <c r="A274" s="24" t="s">
        <v>1654</v>
      </c>
      <c r="B274" s="24" t="s">
        <v>128</v>
      </c>
      <c r="C274" s="24" t="s">
        <v>1368</v>
      </c>
      <c r="D274" s="24">
        <v>4845</v>
      </c>
      <c r="E274" s="24">
        <v>1433</v>
      </c>
    </row>
    <row r="275" spans="1:5" ht="20.45" customHeight="1">
      <c r="A275" s="24" t="s">
        <v>1655</v>
      </c>
      <c r="B275" s="24" t="s">
        <v>143</v>
      </c>
      <c r="C275" s="24" t="s">
        <v>1368</v>
      </c>
      <c r="D275" s="24">
        <v>4309</v>
      </c>
      <c r="E275" s="24">
        <v>1779</v>
      </c>
    </row>
    <row r="276" spans="1:5" ht="20.45" customHeight="1">
      <c r="A276" s="24" t="s">
        <v>1656</v>
      </c>
      <c r="B276" s="24" t="s">
        <v>674</v>
      </c>
      <c r="C276" s="24" t="s">
        <v>1377</v>
      </c>
      <c r="D276" s="24">
        <v>4092</v>
      </c>
      <c r="E276" s="24">
        <v>1482</v>
      </c>
    </row>
    <row r="277" spans="1:5" ht="20.45" customHeight="1">
      <c r="A277" s="24" t="s">
        <v>1657</v>
      </c>
      <c r="B277" s="24" t="s">
        <v>745</v>
      </c>
      <c r="C277" s="24" t="s">
        <v>1368</v>
      </c>
      <c r="D277" s="24">
        <v>3448</v>
      </c>
      <c r="E277" s="24">
        <v>2141</v>
      </c>
    </row>
    <row r="278" spans="1:5" ht="20.45" customHeight="1">
      <c r="A278" s="24" t="s">
        <v>1658</v>
      </c>
      <c r="B278" s="24" t="s">
        <v>524</v>
      </c>
      <c r="C278" s="24" t="s">
        <v>1377</v>
      </c>
      <c r="D278" s="24">
        <v>4542</v>
      </c>
      <c r="E278" s="24">
        <v>1226</v>
      </c>
    </row>
    <row r="279" spans="1:5" ht="20.45" customHeight="1">
      <c r="A279" s="24" t="s">
        <v>1659</v>
      </c>
      <c r="B279" s="24" t="s">
        <v>930</v>
      </c>
      <c r="C279" s="24" t="s">
        <v>1368</v>
      </c>
      <c r="D279" s="24">
        <v>3422</v>
      </c>
      <c r="E279" s="24">
        <v>1696</v>
      </c>
    </row>
    <row r="280" spans="1:5" ht="20.45" customHeight="1">
      <c r="A280" s="24" t="s">
        <v>1660</v>
      </c>
      <c r="B280" s="24" t="s">
        <v>65</v>
      </c>
      <c r="C280" s="24" t="s">
        <v>1368</v>
      </c>
      <c r="D280" s="24">
        <v>3339</v>
      </c>
      <c r="E280" s="24">
        <v>2274</v>
      </c>
    </row>
    <row r="281" spans="1:5" ht="20.45" customHeight="1">
      <c r="A281" s="24" t="s">
        <v>1661</v>
      </c>
      <c r="B281" s="24" t="s">
        <v>861</v>
      </c>
      <c r="C281" s="24" t="s">
        <v>1368</v>
      </c>
      <c r="D281" s="24">
        <v>4477</v>
      </c>
      <c r="E281" s="24">
        <v>1491</v>
      </c>
    </row>
    <row r="282" spans="1:5" ht="20.45" customHeight="1">
      <c r="A282" s="24" t="s">
        <v>1662</v>
      </c>
      <c r="B282" s="24" t="s">
        <v>91</v>
      </c>
      <c r="C282" s="24" t="s">
        <v>1377</v>
      </c>
      <c r="D282" s="24">
        <v>4711</v>
      </c>
      <c r="E282" s="24">
        <v>1267</v>
      </c>
    </row>
    <row r="283" spans="1:5" ht="20.45" customHeight="1">
      <c r="A283" s="24" t="s">
        <v>1663</v>
      </c>
      <c r="B283" s="24" t="s">
        <v>232</v>
      </c>
      <c r="C283" s="24" t="s">
        <v>1368</v>
      </c>
      <c r="D283" s="24">
        <v>3508</v>
      </c>
      <c r="E283" s="24">
        <v>1212</v>
      </c>
    </row>
    <row r="284" spans="1:5" ht="20.45" customHeight="1">
      <c r="A284" s="24" t="s">
        <v>1664</v>
      </c>
      <c r="B284" s="24" t="s">
        <v>120</v>
      </c>
      <c r="C284" s="24" t="s">
        <v>1368</v>
      </c>
      <c r="D284" s="24">
        <v>4172</v>
      </c>
      <c r="E284" s="24">
        <v>1415</v>
      </c>
    </row>
    <row r="285" spans="1:5" ht="20.45" customHeight="1">
      <c r="A285" s="24" t="s">
        <v>1665</v>
      </c>
      <c r="B285" s="24" t="s">
        <v>743</v>
      </c>
      <c r="C285" s="24" t="s">
        <v>1368</v>
      </c>
      <c r="D285" s="24">
        <v>4454</v>
      </c>
      <c r="E285" s="24">
        <v>1884</v>
      </c>
    </row>
    <row r="286" spans="1:5" ht="20.45" customHeight="1">
      <c r="A286" s="24" t="s">
        <v>1666</v>
      </c>
      <c r="B286" s="24" t="s">
        <v>58</v>
      </c>
      <c r="C286" s="24" t="s">
        <v>1374</v>
      </c>
      <c r="D286" s="24">
        <v>4404</v>
      </c>
      <c r="E286" s="24">
        <v>1517</v>
      </c>
    </row>
    <row r="287" spans="1:5" ht="20.45" customHeight="1">
      <c r="A287" s="24" t="s">
        <v>1667</v>
      </c>
      <c r="B287" s="24" t="s">
        <v>588</v>
      </c>
      <c r="C287" s="24" t="s">
        <v>1368</v>
      </c>
      <c r="D287" s="24">
        <v>3994</v>
      </c>
      <c r="E287" s="24">
        <v>1799</v>
      </c>
    </row>
    <row r="288" spans="1:5" ht="20.45" customHeight="1">
      <c r="A288" s="24" t="s">
        <v>1668</v>
      </c>
      <c r="B288" s="24" t="s">
        <v>388</v>
      </c>
      <c r="C288" s="24" t="s">
        <v>1368</v>
      </c>
      <c r="D288" s="24">
        <v>3056</v>
      </c>
      <c r="E288" s="24">
        <v>1830</v>
      </c>
    </row>
    <row r="289" spans="1:5" ht="20.45" customHeight="1">
      <c r="A289" s="24" t="s">
        <v>1669</v>
      </c>
      <c r="B289" s="24" t="s">
        <v>147</v>
      </c>
      <c r="C289" s="24" t="s">
        <v>1368</v>
      </c>
      <c r="D289" s="24">
        <v>2539</v>
      </c>
      <c r="E289" s="24">
        <v>1656</v>
      </c>
    </row>
    <row r="290" spans="1:5" ht="20.45" customHeight="1">
      <c r="A290" s="24" t="s">
        <v>1670</v>
      </c>
      <c r="B290" s="24" t="s">
        <v>286</v>
      </c>
      <c r="C290" s="24" t="s">
        <v>1377</v>
      </c>
      <c r="D290" s="24">
        <v>4382</v>
      </c>
      <c r="E290" s="24">
        <v>1298</v>
      </c>
    </row>
    <row r="291" spans="1:5" ht="20.45" customHeight="1">
      <c r="A291" s="24" t="s">
        <v>1671</v>
      </c>
      <c r="B291" s="24" t="s">
        <v>55</v>
      </c>
      <c r="C291" s="24" t="s">
        <v>1368</v>
      </c>
      <c r="D291" s="24">
        <v>2885</v>
      </c>
      <c r="E291" s="24">
        <v>1242</v>
      </c>
    </row>
    <row r="292" spans="1:5" ht="20.45" customHeight="1">
      <c r="A292" s="24" t="s">
        <v>1672</v>
      </c>
      <c r="B292" s="24" t="s">
        <v>263</v>
      </c>
      <c r="C292" s="24" t="s">
        <v>1368</v>
      </c>
      <c r="D292" s="24">
        <v>3479</v>
      </c>
      <c r="E292" s="24">
        <v>2056</v>
      </c>
    </row>
    <row r="293" spans="1:5" ht="20.45" customHeight="1">
      <c r="A293" s="24" t="s">
        <v>1673</v>
      </c>
      <c r="B293" s="24" t="s">
        <v>184</v>
      </c>
      <c r="C293" s="24" t="s">
        <v>1368</v>
      </c>
      <c r="D293" s="24">
        <v>3514</v>
      </c>
      <c r="E293" s="24">
        <v>1257</v>
      </c>
    </row>
    <row r="294" spans="1:5" ht="20.45" customHeight="1">
      <c r="A294" s="24" t="s">
        <v>1674</v>
      </c>
      <c r="B294" s="24" t="s">
        <v>877</v>
      </c>
      <c r="C294" s="24" t="s">
        <v>1377</v>
      </c>
      <c r="D294" s="24">
        <v>4548</v>
      </c>
      <c r="E294" s="24">
        <v>1983</v>
      </c>
    </row>
    <row r="295" spans="1:5" ht="20.45" customHeight="1">
      <c r="A295" s="24" t="s">
        <v>1675</v>
      </c>
      <c r="B295" s="24" t="s">
        <v>321</v>
      </c>
      <c r="C295" s="24" t="s">
        <v>1368</v>
      </c>
      <c r="D295" s="24">
        <v>3626</v>
      </c>
      <c r="E295" s="24">
        <v>1590</v>
      </c>
    </row>
    <row r="296" spans="1:5" ht="20.45" customHeight="1">
      <c r="A296" s="24" t="s">
        <v>1676</v>
      </c>
      <c r="B296" s="24" t="s">
        <v>140</v>
      </c>
      <c r="C296" s="24" t="s">
        <v>1368</v>
      </c>
      <c r="D296" s="24">
        <v>4816</v>
      </c>
      <c r="E296" s="24">
        <v>2201</v>
      </c>
    </row>
    <row r="297" spans="1:5" ht="20.45" customHeight="1">
      <c r="A297" s="24" t="s">
        <v>1677</v>
      </c>
      <c r="B297" s="24" t="s">
        <v>408</v>
      </c>
      <c r="C297" s="24" t="s">
        <v>1368</v>
      </c>
      <c r="D297" s="24">
        <v>2580</v>
      </c>
      <c r="E297" s="24">
        <v>1518</v>
      </c>
    </row>
    <row r="298" spans="1:5" ht="20.45" customHeight="1">
      <c r="A298" s="24" t="s">
        <v>1678</v>
      </c>
      <c r="B298" s="24" t="s">
        <v>153</v>
      </c>
      <c r="C298" s="24" t="s">
        <v>1374</v>
      </c>
      <c r="D298" s="24">
        <v>4305</v>
      </c>
      <c r="E298" s="24">
        <v>1703</v>
      </c>
    </row>
    <row r="299" spans="1:5" ht="20.45" customHeight="1">
      <c r="A299" s="24" t="s">
        <v>1678</v>
      </c>
      <c r="B299" s="24" t="s">
        <v>1679</v>
      </c>
      <c r="C299" s="24" t="s">
        <v>1374</v>
      </c>
      <c r="D299" s="24">
        <v>4305</v>
      </c>
      <c r="E299" s="24">
        <v>1703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9D30E-B025-45D1-8A4E-F291CBD147BF}">
  <sheetPr>
    <tabColor theme="4"/>
  </sheetPr>
  <dimension ref="A1:Q13"/>
  <sheetViews>
    <sheetView zoomScale="120" zoomScaleNormal="120" workbookViewId="0"/>
  </sheetViews>
  <sheetFormatPr defaultRowHeight="14.45"/>
  <cols>
    <col min="1" max="1" width="21.28515625" bestFit="1" customWidth="1"/>
    <col min="2" max="4" width="9.7109375" bestFit="1" customWidth="1"/>
    <col min="5" max="5" width="11.85546875" bestFit="1" customWidth="1"/>
    <col min="6" max="9" width="9.7109375" bestFit="1" customWidth="1"/>
    <col min="10" max="10" width="9.7109375" customWidth="1"/>
    <col min="11" max="11" width="11.85546875" customWidth="1"/>
    <col min="12" max="12" width="13.85546875" bestFit="1" customWidth="1"/>
    <col min="13" max="13" width="14.7109375" bestFit="1" customWidth="1"/>
    <col min="14" max="15" width="3.7109375" customWidth="1"/>
    <col min="16" max="16" width="13.85546875" customWidth="1"/>
    <col min="17" max="17" width="14.7109375" customWidth="1"/>
  </cols>
  <sheetData>
    <row r="1" spans="1:17" ht="19.899999999999999" customHeight="1">
      <c r="A1" s="45"/>
      <c r="B1" s="45"/>
      <c r="C1" s="45"/>
      <c r="D1" s="45"/>
      <c r="E1" s="45"/>
      <c r="F1" s="45"/>
      <c r="G1" s="45"/>
      <c r="H1" s="45"/>
      <c r="I1" s="45"/>
      <c r="J1" s="45"/>
      <c r="K1" s="45"/>
      <c r="L1" s="59" t="s">
        <v>1680</v>
      </c>
      <c r="M1" s="59"/>
      <c r="N1" s="45"/>
      <c r="O1" s="45"/>
      <c r="P1" s="59" t="s">
        <v>1681</v>
      </c>
      <c r="Q1" s="59"/>
    </row>
    <row r="2" spans="1:17" ht="18">
      <c r="A2" s="30" t="s">
        <v>2</v>
      </c>
      <c r="B2" s="2" t="s">
        <v>27</v>
      </c>
      <c r="C2" s="2" t="s">
        <v>66</v>
      </c>
      <c r="D2" s="2" t="s">
        <v>46</v>
      </c>
      <c r="E2" s="2" t="s">
        <v>33</v>
      </c>
      <c r="F2" s="2" t="s">
        <v>51</v>
      </c>
      <c r="G2" s="2" t="s">
        <v>54</v>
      </c>
      <c r="H2" s="2" t="s">
        <v>36</v>
      </c>
      <c r="I2" s="2" t="s">
        <v>44</v>
      </c>
      <c r="J2" s="45"/>
      <c r="K2" s="45"/>
      <c r="L2" s="33" t="s">
        <v>1682</v>
      </c>
      <c r="M2" s="33" t="s">
        <v>1683</v>
      </c>
      <c r="N2" s="31"/>
      <c r="O2" s="34"/>
      <c r="P2" s="33" t="s">
        <v>1682</v>
      </c>
      <c r="Q2" s="35" t="s">
        <v>1683</v>
      </c>
    </row>
    <row r="3" spans="1:17" ht="18">
      <c r="A3" s="30" t="s">
        <v>1684</v>
      </c>
      <c r="B3" s="2" t="s">
        <v>1685</v>
      </c>
      <c r="C3" s="2" t="s">
        <v>1686</v>
      </c>
      <c r="D3" s="2" t="s">
        <v>1687</v>
      </c>
      <c r="E3" s="2" t="s">
        <v>1688</v>
      </c>
      <c r="F3" s="2" t="s">
        <v>1689</v>
      </c>
      <c r="G3" s="2" t="s">
        <v>1690</v>
      </c>
      <c r="H3" s="2" t="s">
        <v>1691</v>
      </c>
      <c r="I3" s="2" t="s">
        <v>1692</v>
      </c>
      <c r="J3" s="45"/>
      <c r="K3" s="45"/>
      <c r="L3" s="1">
        <v>0</v>
      </c>
      <c r="M3" s="4">
        <v>0.01</v>
      </c>
      <c r="N3" s="45"/>
      <c r="O3" s="3"/>
      <c r="P3" s="1">
        <v>0</v>
      </c>
      <c r="Q3" s="5">
        <v>0.02</v>
      </c>
    </row>
    <row r="4" spans="1:17" ht="18">
      <c r="A4" s="30" t="s">
        <v>1693</v>
      </c>
      <c r="B4" s="12">
        <v>4</v>
      </c>
      <c r="C4" s="12">
        <v>5</v>
      </c>
      <c r="D4" s="12">
        <v>8</v>
      </c>
      <c r="E4" s="12">
        <v>1</v>
      </c>
      <c r="F4" s="12">
        <v>10</v>
      </c>
      <c r="G4" s="12">
        <v>3</v>
      </c>
      <c r="H4" s="12">
        <v>6</v>
      </c>
      <c r="I4" s="12">
        <v>4</v>
      </c>
      <c r="J4" s="45"/>
      <c r="K4" s="45"/>
      <c r="L4" s="1">
        <v>5000</v>
      </c>
      <c r="M4" s="4">
        <v>0.03</v>
      </c>
      <c r="N4" s="45"/>
      <c r="O4" s="45"/>
      <c r="P4" s="1">
        <v>25000</v>
      </c>
      <c r="Q4" s="6">
        <v>0.04</v>
      </c>
    </row>
    <row r="5" spans="1:17">
      <c r="A5" s="45"/>
      <c r="B5" s="45"/>
      <c r="C5" s="45"/>
      <c r="D5" s="45"/>
      <c r="E5" s="45"/>
      <c r="F5" s="45"/>
      <c r="G5" s="45"/>
      <c r="H5" s="45"/>
      <c r="I5" s="45"/>
      <c r="J5" s="45"/>
      <c r="K5" s="45"/>
      <c r="L5" s="1">
        <v>25000</v>
      </c>
      <c r="M5" s="4">
        <v>0.05</v>
      </c>
      <c r="N5" s="45"/>
      <c r="O5" s="45"/>
      <c r="P5" s="1">
        <v>50000</v>
      </c>
      <c r="Q5" s="6">
        <v>0.06</v>
      </c>
    </row>
    <row r="6" spans="1:17">
      <c r="A6" s="45"/>
      <c r="B6" s="45"/>
      <c r="C6" s="45"/>
      <c r="D6" s="45"/>
      <c r="E6" s="45"/>
      <c r="F6" s="45"/>
      <c r="G6" s="45"/>
      <c r="H6" s="45"/>
      <c r="I6" s="45"/>
      <c r="J6" s="45"/>
      <c r="K6" s="45"/>
      <c r="L6" s="1">
        <v>75000</v>
      </c>
      <c r="M6" s="4">
        <v>7.0000000000000007E-2</v>
      </c>
      <c r="N6" s="45"/>
      <c r="O6" s="45"/>
      <c r="P6" s="1">
        <v>75000</v>
      </c>
      <c r="Q6" s="6">
        <v>0.08</v>
      </c>
    </row>
    <row r="7" spans="1:17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1">
        <v>100000</v>
      </c>
      <c r="M7" s="4">
        <v>0.09</v>
      </c>
      <c r="N7" s="45"/>
      <c r="O7" s="45"/>
      <c r="P7" s="1">
        <v>100000</v>
      </c>
      <c r="Q7" s="6">
        <v>0.1</v>
      </c>
    </row>
    <row r="8" spans="1:17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1">
        <v>120000</v>
      </c>
      <c r="M8" s="4">
        <v>0.11</v>
      </c>
      <c r="N8" s="45"/>
      <c r="O8" s="45"/>
      <c r="P8" s="1">
        <v>120000</v>
      </c>
      <c r="Q8" s="6">
        <v>0.12</v>
      </c>
    </row>
    <row r="9" spans="1:17">
      <c r="A9" s="45"/>
      <c r="B9" s="45"/>
      <c r="C9" s="45"/>
      <c r="D9" s="45"/>
      <c r="E9" s="45"/>
      <c r="F9" s="45"/>
      <c r="G9" s="45"/>
      <c r="H9" s="45"/>
      <c r="I9" s="45"/>
      <c r="J9" s="45"/>
      <c r="K9" s="45"/>
      <c r="L9" s="1">
        <v>150000</v>
      </c>
      <c r="M9" s="4">
        <v>0.13</v>
      </c>
      <c r="N9" s="45"/>
      <c r="O9" s="45"/>
      <c r="P9" s="1">
        <v>150000</v>
      </c>
      <c r="Q9" s="6">
        <v>0.14000000000000001</v>
      </c>
    </row>
    <row r="10" spans="1:17">
      <c r="A10" s="45"/>
      <c r="B10" s="45"/>
      <c r="C10" s="45"/>
      <c r="D10" s="45"/>
      <c r="E10" s="45"/>
      <c r="F10" s="45"/>
      <c r="G10" s="45"/>
      <c r="H10" s="45"/>
      <c r="I10" s="45"/>
      <c r="J10" s="45"/>
      <c r="K10" s="45"/>
      <c r="L10" s="1">
        <v>175000</v>
      </c>
      <c r="M10" s="4">
        <v>0.15</v>
      </c>
      <c r="N10" s="45"/>
      <c r="O10" s="45"/>
      <c r="P10" s="1">
        <v>175000</v>
      </c>
      <c r="Q10" s="6">
        <v>0.16</v>
      </c>
    </row>
    <row r="11" spans="1:17">
      <c r="A11" s="45"/>
      <c r="B11" s="45"/>
      <c r="C11" s="45"/>
      <c r="D11" s="45"/>
      <c r="E11" s="45"/>
      <c r="F11" s="45"/>
      <c r="G11" s="45"/>
      <c r="H11" s="45"/>
      <c r="I11" s="45"/>
      <c r="J11" s="45"/>
      <c r="K11" s="45"/>
      <c r="L11" s="1">
        <v>200000</v>
      </c>
      <c r="M11" s="4">
        <v>0.17</v>
      </c>
      <c r="N11" s="45"/>
      <c r="O11" s="45"/>
      <c r="P11" s="1">
        <v>200000</v>
      </c>
      <c r="Q11" s="6">
        <v>0.18</v>
      </c>
    </row>
    <row r="13" spans="1:17">
      <c r="A13" s="45"/>
      <c r="B13" s="45"/>
      <c r="C13" s="45"/>
      <c r="D13" s="45"/>
      <c r="E13" s="45"/>
      <c r="F13" s="45"/>
      <c r="G13" s="45"/>
      <c r="H13" s="45" t="s">
        <v>1694</v>
      </c>
      <c r="I13" s="45"/>
      <c r="J13" s="45"/>
      <c r="K13" s="45"/>
      <c r="L13" s="45"/>
      <c r="M13" s="45"/>
      <c r="N13" s="45"/>
      <c r="O13" s="45"/>
      <c r="P13" s="45"/>
      <c r="Q13" s="45"/>
    </row>
  </sheetData>
  <mergeCells count="2">
    <mergeCell ref="L1:M1"/>
    <mergeCell ref="P1:Q1"/>
  </mergeCells>
  <phoneticPr fontId="4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090CA-2467-4B97-A589-84147AC6BDEF}">
  <sheetPr>
    <tabColor theme="9" tint="-0.249977111117893"/>
  </sheetPr>
  <dimension ref="A2:J27"/>
  <sheetViews>
    <sheetView zoomScale="120" zoomScaleNormal="120" workbookViewId="0">
      <selection activeCell="C10" sqref="C10"/>
    </sheetView>
  </sheetViews>
  <sheetFormatPr defaultRowHeight="14.45"/>
  <cols>
    <col min="2" max="4" width="22.42578125" customWidth="1"/>
    <col min="5" max="6" width="11" customWidth="1"/>
    <col min="9" max="9" width="13" customWidth="1"/>
  </cols>
  <sheetData>
    <row r="2" spans="2:9" ht="15" thickBot="1">
      <c r="B2" s="45"/>
      <c r="C2" s="45"/>
      <c r="D2" s="45"/>
      <c r="E2" s="45"/>
      <c r="F2" s="45"/>
      <c r="G2" s="45"/>
      <c r="H2" s="45"/>
      <c r="I2" s="45"/>
    </row>
    <row r="3" spans="2:9" ht="15" thickBot="1">
      <c r="B3" s="40" t="s">
        <v>1695</v>
      </c>
      <c r="C3" s="40" t="s">
        <v>1696</v>
      </c>
      <c r="D3" s="40" t="s">
        <v>1697</v>
      </c>
      <c r="E3" s="45"/>
      <c r="F3" s="45" cm="1">
        <f t="array" ref="F3:F6">Product_A</f>
        <v>100</v>
      </c>
      <c r="G3" s="45"/>
      <c r="H3" s="45" cm="1">
        <f t="array" aca="1" ref="H3:H6" ca="1">INDIRECT(C10)</f>
        <v>10</v>
      </c>
      <c r="I3" s="45"/>
    </row>
    <row r="4" spans="2:9" ht="15" thickBot="1">
      <c r="B4" s="38">
        <v>100</v>
      </c>
      <c r="C4" s="38">
        <v>350</v>
      </c>
      <c r="D4" s="38">
        <v>10</v>
      </c>
      <c r="E4" s="45"/>
      <c r="F4" s="45">
        <v>400</v>
      </c>
      <c r="G4" s="45"/>
      <c r="H4" s="45">
        <f ca="1"/>
        <v>20</v>
      </c>
      <c r="I4" s="45"/>
    </row>
    <row r="5" spans="2:9" ht="15" thickBot="1">
      <c r="B5" s="38">
        <v>400</v>
      </c>
      <c r="C5" s="38">
        <v>400</v>
      </c>
      <c r="D5" s="38">
        <v>20</v>
      </c>
      <c r="E5" s="45"/>
      <c r="F5" s="45">
        <v>200</v>
      </c>
      <c r="G5" s="45"/>
      <c r="H5" s="45">
        <f ca="1"/>
        <v>0</v>
      </c>
      <c r="I5" s="45"/>
    </row>
    <row r="6" spans="2:9" ht="15" thickBot="1">
      <c r="B6" s="38">
        <v>200</v>
      </c>
      <c r="C6" s="38">
        <v>450</v>
      </c>
      <c r="D6" s="38"/>
      <c r="E6" s="45"/>
      <c r="F6" s="45">
        <v>300</v>
      </c>
      <c r="G6" s="45"/>
      <c r="H6" s="45">
        <f ca="1"/>
        <v>35</v>
      </c>
      <c r="I6" s="45"/>
    </row>
    <row r="7" spans="2:9" ht="15" thickBot="1">
      <c r="B7" s="38">
        <v>300</v>
      </c>
      <c r="C7" s="38">
        <v>500</v>
      </c>
      <c r="D7" s="38">
        <v>35</v>
      </c>
      <c r="E7" s="45"/>
      <c r="F7" s="45"/>
      <c r="G7" s="45"/>
      <c r="H7" s="45"/>
      <c r="I7" s="45"/>
    </row>
    <row r="9" spans="2:9" ht="15" thickBot="1">
      <c r="B9" s="45"/>
      <c r="C9" s="45"/>
      <c r="D9" s="45"/>
      <c r="E9" s="45"/>
      <c r="F9" s="45"/>
      <c r="G9" s="45"/>
      <c r="H9" s="45"/>
      <c r="I9" s="45"/>
    </row>
    <row r="10" spans="2:9" ht="15" thickBot="1">
      <c r="B10" s="40" t="s">
        <v>1698</v>
      </c>
      <c r="C10" s="38" t="s">
        <v>1697</v>
      </c>
      <c r="D10" s="45"/>
      <c r="E10" s="45"/>
      <c r="F10" s="45"/>
      <c r="G10" s="45"/>
      <c r="H10" s="45"/>
      <c r="I10" s="45"/>
    </row>
    <row r="11" spans="2:9" ht="15" thickBot="1">
      <c r="B11" s="45"/>
      <c r="C11" s="45"/>
      <c r="D11" s="45"/>
      <c r="E11" s="45"/>
      <c r="F11" s="45"/>
      <c r="G11" s="45"/>
      <c r="H11" s="45"/>
      <c r="I11" s="45"/>
    </row>
    <row r="12" spans="2:9" ht="15" thickBot="1">
      <c r="B12" s="39" t="s">
        <v>1699</v>
      </c>
      <c r="C12" s="21">
        <f>IF(C10="Product_A",SUM($B$4:$B$7),IF(C10="Product_B",SUM(C4:C7),SUM(D4:D7)))</f>
        <v>65</v>
      </c>
      <c r="D12" s="60" t="str">
        <f ca="1">IFERROR(_xlfn.FORMULATEXT(C12),"")</f>
        <v>=IF(C10="Product_A",SUM($B$4:$B$7),IF(C10="Product_B",SUM(C4:C7),SUM(D4:D7)))</v>
      </c>
      <c r="E12" s="61"/>
      <c r="F12" s="61"/>
      <c r="G12" s="61"/>
      <c r="H12" s="61"/>
      <c r="I12" s="62"/>
    </row>
    <row r="13" spans="2:9" ht="15">
      <c r="B13" s="39" t="s">
        <v>1700</v>
      </c>
      <c r="C13" s="21">
        <f>AVERAGE(IF(C10="Product_A",$B$4:$B$7,IF(C10="product_B",$C$4:$C$7,D4:D7)))</f>
        <v>21.666666666666668</v>
      </c>
      <c r="D13" s="60" t="str">
        <f ca="1">IFERROR(_xlfn.FORMULATEXT(C13),"")</f>
        <v>=AVERAGE(IF(C10="Product_A",$B$4:$B$7,IF(C10="product_B",$C$4:$C$7,D4:D7)))</v>
      </c>
      <c r="E13" s="61"/>
      <c r="F13" s="61"/>
      <c r="G13" s="61"/>
      <c r="H13" s="61"/>
      <c r="I13" s="62"/>
    </row>
    <row r="14" spans="2:9" ht="15">
      <c r="B14" s="45"/>
      <c r="C14" s="45"/>
      <c r="D14" s="41"/>
      <c r="E14" s="41"/>
      <c r="F14" s="41"/>
      <c r="G14" s="41"/>
      <c r="H14" s="41"/>
      <c r="I14" s="41"/>
    </row>
    <row r="15" spans="2:9" ht="15">
      <c r="B15" s="39" t="s">
        <v>1699</v>
      </c>
      <c r="C15" s="21">
        <f ca="1">SUM(INDIRECT(C10))</f>
        <v>65</v>
      </c>
      <c r="D15" s="60" t="str">
        <f ca="1">IFERROR(_xlfn.FORMULATEXT(C15),"")</f>
        <v>=SUM(INDIRECT(C10))</v>
      </c>
      <c r="E15" s="61"/>
      <c r="F15" s="61"/>
      <c r="G15" s="61"/>
      <c r="H15" s="61"/>
      <c r="I15" s="62"/>
    </row>
    <row r="16" spans="2:9" ht="15">
      <c r="B16" s="39" t="s">
        <v>1700</v>
      </c>
      <c r="C16" s="21">
        <f ca="1">AVERAGE(INDIRECT(C10))</f>
        <v>21.666666666666668</v>
      </c>
      <c r="D16" s="60" t="str">
        <f ca="1">IFERROR(_xlfn.FORMULATEXT(C16),"")</f>
        <v>=AVERAGE(INDIRECT(C10))</v>
      </c>
      <c r="E16" s="61"/>
      <c r="F16" s="61"/>
      <c r="G16" s="61"/>
      <c r="H16" s="61"/>
      <c r="I16" s="62"/>
    </row>
    <row r="19" spans="1:10" ht="15">
      <c r="A19" s="45"/>
      <c r="B19" s="45"/>
      <c r="C19" s="45"/>
      <c r="D19" s="45"/>
      <c r="E19" s="45"/>
      <c r="F19" s="45"/>
      <c r="G19" s="45"/>
      <c r="H19" s="45"/>
      <c r="I19" s="45"/>
      <c r="J19" s="45"/>
    </row>
    <row r="20" spans="1:10" ht="15">
      <c r="A20" s="45"/>
      <c r="B20" s="39" t="s">
        <v>1699</v>
      </c>
      <c r="C20" s="21">
        <f>IF(C10="Product_A",SUM(Product_A),IF(C10="Product_B",SUM(Product_B),SUM(Product_C)))</f>
        <v>65</v>
      </c>
      <c r="D20" s="60" t="str">
        <f ca="1">IFERROR(_xlfn.FORMULATEXT(C20),"")</f>
        <v>=IF(C10="Product_A",SUM(Product_A),IF(C10="Product_B",SUM(Product_B),SUM(Product_C)))</v>
      </c>
      <c r="E20" s="61"/>
      <c r="F20" s="61"/>
      <c r="G20" s="61"/>
      <c r="H20" s="61"/>
      <c r="I20" s="62"/>
      <c r="J20" s="45"/>
    </row>
    <row r="21" spans="1:10" ht="15">
      <c r="A21" s="45"/>
      <c r="B21" s="48" t="s">
        <v>1700</v>
      </c>
      <c r="C21" s="21">
        <f>AVERAGE(IF(C10="Product_A",Product_A,IF(C10="Product_B",Product_B,Product_C)))</f>
        <v>21.666666666666668</v>
      </c>
      <c r="D21" s="60" t="str">
        <f ca="1">IFERROR(_xlfn.FORMULATEXT(C21),"")</f>
        <v>=AVERAGE(IF(C10="Product_A",Product_A,IF(C10="Product_B",Product_B,Product_C)))</v>
      </c>
      <c r="E21" s="61"/>
      <c r="F21" s="61"/>
      <c r="G21" s="61"/>
      <c r="H21" s="61"/>
      <c r="I21" s="62"/>
      <c r="J21" s="45"/>
    </row>
    <row r="22" spans="1:10" ht="15">
      <c r="A22" s="45"/>
      <c r="B22" s="45"/>
      <c r="C22" s="45"/>
      <c r="D22" s="41"/>
      <c r="E22" s="41"/>
      <c r="F22" s="41"/>
      <c r="G22" s="41"/>
      <c r="H22" s="41"/>
      <c r="I22" s="41"/>
      <c r="J22" s="45"/>
    </row>
    <row r="23" spans="1:10" ht="15">
      <c r="A23" s="45"/>
      <c r="B23" s="45"/>
      <c r="C23" s="45"/>
      <c r="D23" s="47"/>
      <c r="E23" s="47"/>
      <c r="F23" s="47"/>
      <c r="G23" s="47"/>
      <c r="H23" s="47"/>
      <c r="I23" s="47"/>
      <c r="J23" s="45"/>
    </row>
    <row r="24" spans="1:10" ht="15">
      <c r="A24" s="45"/>
      <c r="B24" s="45"/>
      <c r="C24" s="45"/>
      <c r="D24" s="45"/>
      <c r="E24" s="45"/>
      <c r="F24" s="45"/>
      <c r="G24" s="45"/>
      <c r="H24" s="45"/>
      <c r="I24" s="45"/>
      <c r="J24" s="45"/>
    </row>
    <row r="25" spans="1:10" ht="15">
      <c r="A25" s="45"/>
      <c r="B25" s="45"/>
      <c r="C25" s="45"/>
      <c r="D25" s="45"/>
      <c r="E25" s="45"/>
      <c r="F25" s="45"/>
      <c r="G25" s="45"/>
      <c r="H25" s="45"/>
      <c r="I25" s="45"/>
      <c r="J25" s="45"/>
    </row>
    <row r="26" spans="1:10" ht="15">
      <c r="A26" s="45"/>
      <c r="B26" s="45"/>
      <c r="C26" s="45"/>
      <c r="D26" s="45"/>
      <c r="E26" s="45"/>
      <c r="F26" s="45"/>
      <c r="G26" s="45"/>
      <c r="H26" s="45"/>
      <c r="I26" s="45"/>
      <c r="J26" s="45"/>
    </row>
    <row r="27" spans="1:10">
      <c r="A27" s="45"/>
      <c r="B27" s="45"/>
      <c r="C27" s="45"/>
      <c r="D27" s="45"/>
      <c r="E27" s="45"/>
      <c r="F27" s="45"/>
      <c r="G27" s="45"/>
      <c r="H27" s="45"/>
      <c r="I27" s="45"/>
      <c r="J27" s="45"/>
    </row>
  </sheetData>
  <mergeCells count="6">
    <mergeCell ref="D21:I21"/>
    <mergeCell ref="D12:I12"/>
    <mergeCell ref="D13:I13"/>
    <mergeCell ref="D15:I15"/>
    <mergeCell ref="D16:I16"/>
    <mergeCell ref="D20:I20"/>
  </mergeCells>
  <dataValidations count="1">
    <dataValidation type="list" allowBlank="1" showInputMessage="1" showErrorMessage="1" sqref="C10" xr:uid="{40268642-FAB5-4D38-B53E-3009221C6771}">
      <formula1>$B$3:$D$3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328A-2425-4882-ADCD-6313516EC15F}">
  <sheetPr>
    <tabColor rgb="FF92D050"/>
  </sheetPr>
  <dimension ref="A1:N1048576"/>
  <sheetViews>
    <sheetView tabSelected="1" topLeftCell="G1" workbookViewId="0">
      <selection activeCell="J2" sqref="J2:N2"/>
    </sheetView>
  </sheetViews>
  <sheetFormatPr defaultRowHeight="15"/>
  <cols>
    <col min="1" max="1" width="12" bestFit="1" customWidth="1"/>
    <col min="2" max="2" width="10.28515625" bestFit="1" customWidth="1"/>
    <col min="3" max="3" width="12.28515625" bestFit="1" customWidth="1"/>
    <col min="4" max="4" width="11.42578125" bestFit="1" customWidth="1"/>
    <col min="5" max="5" width="9.7109375" bestFit="1" customWidth="1"/>
    <col min="6" max="6" width="12.5703125" bestFit="1" customWidth="1"/>
    <col min="7" max="7" width="29.5703125" style="3" bestFit="1" customWidth="1"/>
    <col min="8" max="8" width="29.5703125" bestFit="1" customWidth="1"/>
    <col min="9" max="9" width="24.140625" bestFit="1" customWidth="1"/>
    <col min="10" max="10" width="38.5703125" bestFit="1" customWidth="1"/>
  </cols>
  <sheetData>
    <row r="1" spans="1:14">
      <c r="A1" s="42" t="s">
        <v>0</v>
      </c>
      <c r="B1" s="7" t="s">
        <v>1</v>
      </c>
      <c r="C1" s="7" t="s">
        <v>2</v>
      </c>
      <c r="D1" s="7" t="s">
        <v>3</v>
      </c>
      <c r="E1" s="7" t="s">
        <v>5</v>
      </c>
      <c r="F1" s="17" t="s">
        <v>20</v>
      </c>
      <c r="G1" s="49" t="s">
        <v>1701</v>
      </c>
      <c r="H1" s="50" t="s">
        <v>1702</v>
      </c>
      <c r="I1" s="49" t="s">
        <v>22</v>
      </c>
      <c r="J1" s="49" t="s">
        <v>1703</v>
      </c>
      <c r="K1" s="49" t="s">
        <v>24</v>
      </c>
      <c r="L1" s="49" t="s">
        <v>8</v>
      </c>
      <c r="M1" s="49" t="s">
        <v>25</v>
      </c>
      <c r="N1" s="49" t="s">
        <v>9</v>
      </c>
    </row>
    <row r="2" spans="1:14">
      <c r="A2" s="8" t="s">
        <v>26</v>
      </c>
      <c r="B2" s="19">
        <v>41282</v>
      </c>
      <c r="C2" s="8" t="s">
        <v>27</v>
      </c>
      <c r="D2" s="8">
        <v>10011</v>
      </c>
      <c r="E2" s="8" t="s">
        <v>28</v>
      </c>
      <c r="F2" s="8" t="s">
        <v>29</v>
      </c>
      <c r="G2" s="36">
        <f>VLOOKUP(E2,Flipkart!$A$1:$B$296,2,0)</f>
        <v>0</v>
      </c>
      <c r="H2" s="36">
        <f ca="1">VLOOKUP(E2,INDIRECT(F2&amp;"!$A$1:$B$296"),2,0)</f>
        <v>0.01</v>
      </c>
      <c r="I2" s="36" t="str">
        <f>_xlfn.XLOOKUP(E2,'Product List'!$B$2:$B$299,'Product List'!$A$2:$A$299)</f>
        <v>Xerox 1951</v>
      </c>
      <c r="J2" s="36" t="str" cm="1">
        <f t="array" ref="J2:N2">_xlfn.XLOOKUP(D2,'Customer Details'!$A$1:$A$17,'Customer Details'!$B$1:$F$17,"No such customer",0,1)</f>
        <v>Sonata Software</v>
      </c>
      <c r="K2" s="36" t="str">
        <v>1331 Kimberly Dr.</v>
      </c>
      <c r="L2" s="36" t="str">
        <v>Olympia</v>
      </c>
      <c r="M2" s="36" t="str">
        <v>WA</v>
      </c>
      <c r="N2" s="36" t="str">
        <v>98502</v>
      </c>
    </row>
    <row r="3" spans="1:14">
      <c r="A3" s="8" t="s">
        <v>30</v>
      </c>
      <c r="B3" s="19">
        <v>41283</v>
      </c>
      <c r="C3" s="8" t="s">
        <v>27</v>
      </c>
      <c r="D3" s="8">
        <v>10007</v>
      </c>
      <c r="E3" s="8" t="s">
        <v>31</v>
      </c>
      <c r="F3" s="8" t="s">
        <v>32</v>
      </c>
      <c r="G3" s="36">
        <f>VLOOKUP(E3,Flipkart!$A$1:$B$296,2,0)</f>
        <v>0.01</v>
      </c>
      <c r="H3" s="36">
        <f ca="1">VLOOKUP(E3,INDIRECT(F3&amp;"!$A$1:$B$296"),2,0)</f>
        <v>0.05</v>
      </c>
      <c r="I3" s="36" t="str">
        <f>_xlfn.XLOOKUP(E3,'Product List'!$B$2:$B$299,'Product List'!$A$2:$A$299)</f>
        <v>Avery 494</v>
      </c>
      <c r="J3" s="36"/>
      <c r="K3" s="36"/>
      <c r="L3" s="36"/>
      <c r="M3" s="36"/>
      <c r="N3" s="36"/>
    </row>
    <row r="4" spans="1:14">
      <c r="A4" s="8" t="s">
        <v>30</v>
      </c>
      <c r="B4" s="19">
        <v>41283</v>
      </c>
      <c r="C4" s="8" t="s">
        <v>33</v>
      </c>
      <c r="D4" s="8">
        <v>10005</v>
      </c>
      <c r="E4" s="8" t="s">
        <v>34</v>
      </c>
      <c r="F4" s="8" t="s">
        <v>35</v>
      </c>
      <c r="G4" s="36">
        <f>VLOOKUP(E4,Flipkart!$A$1:$B$296,2,0)</f>
        <v>0.04</v>
      </c>
      <c r="H4" s="36">
        <f t="shared" ref="H4:H67" ca="1" si="0">VLOOKUP(E4,INDIRECT(F4&amp;"!$A$1:$B$296"),2,0)</f>
        <v>0.04</v>
      </c>
      <c r="I4" s="36" t="str">
        <f>_xlfn.XLOOKUP(E4,'Product List'!$B$2:$B$299,'Product List'!$A$2:$A$299)</f>
        <v>Xerox 203</v>
      </c>
      <c r="J4" s="36"/>
      <c r="K4" s="36"/>
      <c r="L4" s="36"/>
      <c r="M4" s="36"/>
      <c r="N4" s="36"/>
    </row>
    <row r="5" spans="1:14">
      <c r="A5" s="8" t="s">
        <v>30</v>
      </c>
      <c r="B5" s="19">
        <v>41283</v>
      </c>
      <c r="C5" s="8" t="s">
        <v>36</v>
      </c>
      <c r="D5" s="8">
        <v>10008</v>
      </c>
      <c r="E5" s="8" t="s">
        <v>37</v>
      </c>
      <c r="F5" s="8" t="s">
        <v>29</v>
      </c>
      <c r="G5" s="36">
        <f>VLOOKUP(E5,Flipkart!$A$1:$B$296,2,0)</f>
        <v>0.03</v>
      </c>
      <c r="H5" s="36">
        <f t="shared" ca="1" si="0"/>
        <v>0.03</v>
      </c>
      <c r="I5" s="36" t="str">
        <f>_xlfn.XLOOKUP(E5,'Product List'!$B$2:$B$299,'Product List'!$A$2:$A$299)</f>
        <v>Avery 508</v>
      </c>
      <c r="J5" s="36"/>
      <c r="K5" s="36"/>
      <c r="L5" s="36"/>
      <c r="M5" s="36"/>
      <c r="N5" s="36"/>
    </row>
    <row r="6" spans="1:14">
      <c r="A6" s="8" t="s">
        <v>38</v>
      </c>
      <c r="B6" s="19">
        <v>41283</v>
      </c>
      <c r="C6" s="8" t="s">
        <v>33</v>
      </c>
      <c r="D6" s="8">
        <v>10007</v>
      </c>
      <c r="E6" s="8" t="s">
        <v>39</v>
      </c>
      <c r="F6" s="8" t="s">
        <v>40</v>
      </c>
      <c r="G6" s="36">
        <f>VLOOKUP(E6,Flipkart!$A$1:$B$296,2,0)</f>
        <v>0.05</v>
      </c>
      <c r="H6" s="36">
        <f t="shared" ca="1" si="0"/>
        <v>0.04</v>
      </c>
      <c r="I6" s="36" t="str">
        <f>_xlfn.XLOOKUP(E6,'Product List'!$B$2:$B$299,'Product List'!$A$2:$A$299)</f>
        <v>Xerox 1890</v>
      </c>
      <c r="J6" s="36"/>
      <c r="K6" s="36"/>
      <c r="L6" s="36"/>
      <c r="M6" s="36"/>
      <c r="N6" s="36"/>
    </row>
    <row r="7" spans="1:14">
      <c r="A7" s="8" t="s">
        <v>41</v>
      </c>
      <c r="B7" s="19">
        <v>41287</v>
      </c>
      <c r="C7" s="8" t="s">
        <v>33</v>
      </c>
      <c r="D7" s="8">
        <v>10011</v>
      </c>
      <c r="E7" s="8" t="s">
        <v>42</v>
      </c>
      <c r="F7" s="8" t="s">
        <v>43</v>
      </c>
      <c r="G7" s="36">
        <f>VLOOKUP(E7,Flipkart!$A$1:$B$296,2,0)</f>
        <v>0.04</v>
      </c>
      <c r="H7" s="36">
        <f t="shared" ca="1" si="0"/>
        <v>0</v>
      </c>
      <c r="I7" s="36" t="str">
        <f>_xlfn.XLOOKUP(E7,'Product List'!$B$2:$B$299,'Product List'!$A$2:$A$299)</f>
        <v>Staple magnet</v>
      </c>
      <c r="J7" s="36"/>
      <c r="K7" s="36"/>
      <c r="L7" s="36"/>
      <c r="M7" s="36"/>
      <c r="N7" s="36"/>
    </row>
    <row r="8" spans="1:14">
      <c r="A8" s="8" t="s">
        <v>41</v>
      </c>
      <c r="B8" s="19">
        <v>41287</v>
      </c>
      <c r="C8" s="8" t="s">
        <v>44</v>
      </c>
      <c r="D8" s="8">
        <v>10012</v>
      </c>
      <c r="E8" s="8" t="s">
        <v>45</v>
      </c>
      <c r="F8" s="8" t="s">
        <v>35</v>
      </c>
      <c r="G8" s="36">
        <f>VLOOKUP(E8,Flipkart!$A$1:$B$296,2,0)</f>
        <v>0.04</v>
      </c>
      <c r="H8" s="36">
        <f t="shared" ca="1" si="0"/>
        <v>0.04</v>
      </c>
      <c r="I8" s="36" t="str">
        <f>_xlfn.XLOOKUP(E8,'Product List'!$B$2:$B$299,'Product List'!$A$2:$A$299)</f>
        <v>Avery 486</v>
      </c>
      <c r="J8" s="36"/>
      <c r="K8" s="36"/>
      <c r="L8" s="36"/>
      <c r="M8" s="36"/>
      <c r="N8" s="36"/>
    </row>
    <row r="9" spans="1:14">
      <c r="A9" s="8" t="s">
        <v>41</v>
      </c>
      <c r="B9" s="19">
        <v>41287</v>
      </c>
      <c r="C9" s="8" t="s">
        <v>46</v>
      </c>
      <c r="D9" s="8">
        <v>10009</v>
      </c>
      <c r="E9" s="8" t="s">
        <v>47</v>
      </c>
      <c r="F9" s="8" t="s">
        <v>35</v>
      </c>
      <c r="G9" s="36">
        <f>VLOOKUP(E9,Flipkart!$A$1:$B$296,2,0)</f>
        <v>0.03</v>
      </c>
      <c r="H9" s="36">
        <f t="shared" ca="1" si="0"/>
        <v>0.03</v>
      </c>
      <c r="I9" s="36" t="str">
        <f>_xlfn.XLOOKUP(E9,'Product List'!$B$2:$B$299,'Product List'!$A$2:$A$299)</f>
        <v>Xerox 1907</v>
      </c>
      <c r="J9" s="36"/>
      <c r="K9" s="36"/>
      <c r="L9" s="36"/>
      <c r="M9" s="36"/>
      <c r="N9" s="36"/>
    </row>
    <row r="10" spans="1:14">
      <c r="A10" s="8" t="s">
        <v>48</v>
      </c>
      <c r="B10" s="19">
        <v>41289</v>
      </c>
      <c r="C10" s="8" t="s">
        <v>36</v>
      </c>
      <c r="D10" s="8">
        <v>10002</v>
      </c>
      <c r="E10" s="8" t="s">
        <v>49</v>
      </c>
      <c r="F10" s="8" t="s">
        <v>50</v>
      </c>
      <c r="G10" s="36">
        <f>VLOOKUP(E10,Flipkart!$A$1:$B$296,2,0)</f>
        <v>0.04</v>
      </c>
      <c r="H10" s="36">
        <f t="shared" ca="1" si="0"/>
        <v>0.04</v>
      </c>
      <c r="I10" s="36" t="str">
        <f>_xlfn.XLOOKUP(E10,'Product List'!$B$2:$B$299,'Product List'!$A$2:$A$299)</f>
        <v>Avery 477</v>
      </c>
      <c r="J10" s="36"/>
      <c r="K10" s="36"/>
      <c r="L10" s="36"/>
      <c r="M10" s="36"/>
      <c r="N10" s="36"/>
    </row>
    <row r="11" spans="1:14">
      <c r="A11" s="8" t="s">
        <v>48</v>
      </c>
      <c r="B11" s="19">
        <v>41289</v>
      </c>
      <c r="C11" s="8" t="s">
        <v>51</v>
      </c>
      <c r="D11" s="8">
        <v>10010</v>
      </c>
      <c r="E11" s="8" t="s">
        <v>49</v>
      </c>
      <c r="F11" s="8" t="s">
        <v>29</v>
      </c>
      <c r="G11" s="36">
        <f>VLOOKUP(E11,Flipkart!$A$1:$B$296,2,0)</f>
        <v>0.04</v>
      </c>
      <c r="H11" s="36">
        <f t="shared" ca="1" si="0"/>
        <v>0.01</v>
      </c>
      <c r="I11" s="36" t="str">
        <f>_xlfn.XLOOKUP(E11,'Product List'!$B$2:$B$299,'Product List'!$A$2:$A$299)</f>
        <v>Avery 477</v>
      </c>
      <c r="J11" s="36"/>
      <c r="K11" s="36"/>
      <c r="L11" s="36"/>
      <c r="M11" s="36"/>
      <c r="N11" s="36"/>
    </row>
    <row r="12" spans="1:14">
      <c r="A12" s="8" t="s">
        <v>48</v>
      </c>
      <c r="B12" s="19">
        <v>41289</v>
      </c>
      <c r="C12" s="8" t="s">
        <v>51</v>
      </c>
      <c r="D12" s="8">
        <v>10001</v>
      </c>
      <c r="E12" s="8" t="s">
        <v>52</v>
      </c>
      <c r="F12" s="8" t="s">
        <v>29</v>
      </c>
      <c r="G12" s="36">
        <f>VLOOKUP(E12,Flipkart!$A$1:$B$296,2,0)</f>
        <v>0.01</v>
      </c>
      <c r="H12" s="36">
        <f t="shared" ca="1" si="0"/>
        <v>0.05</v>
      </c>
      <c r="I12" s="36" t="str">
        <f>_xlfn.XLOOKUP(E12,'Product List'!$B$2:$B$299,'Product List'!$A$2:$A$299)</f>
        <v>Avery 520</v>
      </c>
      <c r="J12" s="36"/>
      <c r="K12" s="36"/>
      <c r="L12" s="36"/>
      <c r="M12" s="36"/>
      <c r="N12" s="36"/>
    </row>
    <row r="13" spans="1:14">
      <c r="A13" s="8" t="s">
        <v>53</v>
      </c>
      <c r="B13" s="19">
        <v>41289</v>
      </c>
      <c r="C13" s="8" t="s">
        <v>54</v>
      </c>
      <c r="D13" s="8">
        <v>10005</v>
      </c>
      <c r="E13" s="8" t="s">
        <v>55</v>
      </c>
      <c r="F13" s="8" t="s">
        <v>43</v>
      </c>
      <c r="G13" s="36">
        <f>VLOOKUP(E13,Flipkart!$A$1:$B$296,2,0)</f>
        <v>0.02</v>
      </c>
      <c r="H13" s="36">
        <f t="shared" ca="1" si="0"/>
        <v>0.05</v>
      </c>
      <c r="I13" s="36" t="str">
        <f>_xlfn.XLOOKUP(E13,'Product List'!$B$2:$B$299,'Product List'!$A$2:$A$299)</f>
        <v>Xerox 229</v>
      </c>
      <c r="J13" s="36"/>
      <c r="K13" s="36"/>
      <c r="L13" s="36"/>
      <c r="M13" s="36"/>
      <c r="N13" s="36"/>
    </row>
    <row r="14" spans="1:14">
      <c r="A14" s="8" t="s">
        <v>56</v>
      </c>
      <c r="B14" s="19">
        <v>41290</v>
      </c>
      <c r="C14" s="8" t="s">
        <v>36</v>
      </c>
      <c r="D14" s="8">
        <v>10015</v>
      </c>
      <c r="E14" s="8" t="s">
        <v>57</v>
      </c>
      <c r="F14" s="8" t="s">
        <v>43</v>
      </c>
      <c r="G14" s="36">
        <f>VLOOKUP(E14,Flipkart!$A$1:$B$296,2,0)</f>
        <v>0.01</v>
      </c>
      <c r="H14" s="36">
        <f t="shared" ca="1" si="0"/>
        <v>0.02</v>
      </c>
      <c r="I14" s="36" t="str">
        <f>_xlfn.XLOOKUP(E14,'Product List'!$B$2:$B$299,'Product List'!$A$2:$A$299)</f>
        <v>Xerox 1886</v>
      </c>
      <c r="J14" s="36"/>
      <c r="K14" s="36"/>
      <c r="L14" s="36"/>
      <c r="M14" s="36"/>
      <c r="N14" s="36"/>
    </row>
    <row r="15" spans="1:14">
      <c r="A15" s="8" t="s">
        <v>56</v>
      </c>
      <c r="B15" s="19">
        <v>41290</v>
      </c>
      <c r="C15" s="8" t="s">
        <v>33</v>
      </c>
      <c r="D15" s="8">
        <v>10004</v>
      </c>
      <c r="E15" s="8" t="s">
        <v>58</v>
      </c>
      <c r="F15" s="8" t="s">
        <v>29</v>
      </c>
      <c r="G15" s="36">
        <f>VLOOKUP(E15,Flipkart!$A$1:$B$296,2,0)</f>
        <v>0.05</v>
      </c>
      <c r="H15" s="36">
        <f t="shared" ca="1" si="0"/>
        <v>0</v>
      </c>
      <c r="I15" s="36" t="str">
        <f>_xlfn.XLOOKUP(E15,'Product List'!$B$2:$B$299,'Product List'!$A$2:$A$299)</f>
        <v>Xiaomi Mi3</v>
      </c>
      <c r="J15" s="36"/>
      <c r="K15" s="36"/>
      <c r="L15" s="36"/>
      <c r="M15" s="36"/>
      <c r="N15" s="36"/>
    </row>
    <row r="16" spans="1:14">
      <c r="A16" s="8" t="s">
        <v>59</v>
      </c>
      <c r="B16" s="19">
        <v>41290</v>
      </c>
      <c r="C16" s="8" t="s">
        <v>27</v>
      </c>
      <c r="D16" s="8">
        <v>10007</v>
      </c>
      <c r="E16" s="8" t="s">
        <v>60</v>
      </c>
      <c r="F16" s="8" t="s">
        <v>43</v>
      </c>
      <c r="G16" s="36">
        <f>VLOOKUP(E16,Flipkart!$A$1:$B$296,2,0)</f>
        <v>0.03</v>
      </c>
      <c r="H16" s="36">
        <f t="shared" ca="1" si="0"/>
        <v>0.04</v>
      </c>
      <c r="I16" s="36" t="str">
        <f>_xlfn.XLOOKUP(E16,'Product List'!$B$2:$B$299,'Product List'!$A$2:$A$299)</f>
        <v>Xerox 1889</v>
      </c>
      <c r="J16" s="36"/>
      <c r="K16" s="36"/>
      <c r="L16" s="36"/>
      <c r="M16" s="36"/>
      <c r="N16" s="36"/>
    </row>
    <row r="17" spans="1:14">
      <c r="A17" s="8" t="s">
        <v>61</v>
      </c>
      <c r="B17" s="19">
        <v>41291</v>
      </c>
      <c r="C17" s="8" t="s">
        <v>36</v>
      </c>
      <c r="D17" s="8">
        <v>10009</v>
      </c>
      <c r="E17" s="8" t="s">
        <v>62</v>
      </c>
      <c r="F17" s="8" t="s">
        <v>29</v>
      </c>
      <c r="G17" s="36">
        <f>VLOOKUP(E17,Flipkart!$A$1:$B$296,2,0)</f>
        <v>0.05</v>
      </c>
      <c r="H17" s="36">
        <f t="shared" ca="1" si="0"/>
        <v>0.04</v>
      </c>
      <c r="I17" s="36" t="str">
        <f>_xlfn.XLOOKUP(E17,'Product List'!$B$2:$B$299,'Product List'!$A$2:$A$299)</f>
        <v>Newell 308</v>
      </c>
      <c r="J17" s="36"/>
      <c r="K17" s="36"/>
      <c r="L17" s="36"/>
      <c r="M17" s="36"/>
      <c r="N17" s="36"/>
    </row>
    <row r="18" spans="1:14">
      <c r="A18" s="8" t="s">
        <v>63</v>
      </c>
      <c r="B18" s="19">
        <v>41291</v>
      </c>
      <c r="C18" s="8" t="s">
        <v>51</v>
      </c>
      <c r="D18" s="8">
        <v>10010</v>
      </c>
      <c r="E18" s="8" t="s">
        <v>64</v>
      </c>
      <c r="F18" s="8" t="s">
        <v>29</v>
      </c>
      <c r="G18" s="36">
        <f>VLOOKUP(E18,Flipkart!$A$1:$B$296,2,0)</f>
        <v>0.04</v>
      </c>
      <c r="H18" s="36">
        <f t="shared" ca="1" si="0"/>
        <v>0.05</v>
      </c>
      <c r="I18" s="36" t="str">
        <f>_xlfn.XLOOKUP(E18,'Product List'!$B$2:$B$299,'Product List'!$A$2:$A$299)</f>
        <v>Xerox 226</v>
      </c>
      <c r="J18" s="36"/>
      <c r="K18" s="36"/>
      <c r="L18" s="36"/>
      <c r="M18" s="36"/>
      <c r="N18" s="36"/>
    </row>
    <row r="19" spans="1:14">
      <c r="A19" s="8" t="s">
        <v>61</v>
      </c>
      <c r="B19" s="19">
        <v>41291</v>
      </c>
      <c r="C19" s="8" t="s">
        <v>33</v>
      </c>
      <c r="D19" s="8">
        <v>10011</v>
      </c>
      <c r="E19" s="8" t="s">
        <v>65</v>
      </c>
      <c r="F19" s="8" t="s">
        <v>35</v>
      </c>
      <c r="G19" s="36">
        <f>VLOOKUP(E19,Flipkart!$A$1:$B$296,2,0)</f>
        <v>0</v>
      </c>
      <c r="H19" s="36">
        <f t="shared" ca="1" si="0"/>
        <v>0</v>
      </c>
      <c r="I19" s="36" t="str">
        <f>_xlfn.XLOOKUP(E19,'Product List'!$B$2:$B$299,'Product List'!$A$2:$A$299)</f>
        <v>Xerox 1963</v>
      </c>
      <c r="J19" s="36"/>
      <c r="K19" s="36"/>
      <c r="L19" s="36"/>
      <c r="M19" s="36"/>
      <c r="N19" s="36"/>
    </row>
    <row r="20" spans="1:14">
      <c r="A20" s="8" t="s">
        <v>63</v>
      </c>
      <c r="B20" s="19">
        <v>41291</v>
      </c>
      <c r="C20" s="8" t="s">
        <v>66</v>
      </c>
      <c r="D20" s="8">
        <v>10001</v>
      </c>
      <c r="E20" s="8" t="s">
        <v>67</v>
      </c>
      <c r="F20" s="8" t="s">
        <v>50</v>
      </c>
      <c r="G20" s="36">
        <f>VLOOKUP(E20,Flipkart!$A$1:$B$296,2,0)</f>
        <v>0</v>
      </c>
      <c r="H20" s="36">
        <f t="shared" ca="1" si="0"/>
        <v>0.02</v>
      </c>
      <c r="I20" s="36" t="str">
        <f>_xlfn.XLOOKUP(E20,'Product List'!$B$2:$B$299,'Product List'!$A$2:$A$299)</f>
        <v>Xerox 1927</v>
      </c>
      <c r="J20" s="36"/>
      <c r="K20" s="36"/>
      <c r="L20" s="36"/>
      <c r="M20" s="36"/>
      <c r="N20" s="36"/>
    </row>
    <row r="21" spans="1:14">
      <c r="A21" s="8" t="s">
        <v>68</v>
      </c>
      <c r="B21" s="19">
        <v>41292</v>
      </c>
      <c r="C21" s="8" t="s">
        <v>33</v>
      </c>
      <c r="D21" s="8">
        <v>10001</v>
      </c>
      <c r="E21" s="8" t="s">
        <v>69</v>
      </c>
      <c r="F21" s="8" t="s">
        <v>29</v>
      </c>
      <c r="G21" s="36">
        <f>VLOOKUP(E21,Flipkart!$A$1:$B$296,2,0)</f>
        <v>0.05</v>
      </c>
      <c r="H21" s="36">
        <f t="shared" ca="1" si="0"/>
        <v>0.02</v>
      </c>
      <c r="I21" s="36" t="str">
        <f>_xlfn.XLOOKUP(E21,'Product List'!$B$2:$B$299,'Product List'!$A$2:$A$299)</f>
        <v>Newell 330</v>
      </c>
      <c r="J21" s="36"/>
      <c r="K21" s="36"/>
      <c r="L21" s="36"/>
      <c r="M21" s="36"/>
      <c r="N21" s="36"/>
    </row>
    <row r="22" spans="1:14">
      <c r="A22" s="8" t="s">
        <v>70</v>
      </c>
      <c r="B22" s="19">
        <v>41293</v>
      </c>
      <c r="C22" s="8" t="s">
        <v>66</v>
      </c>
      <c r="D22" s="8">
        <v>10002</v>
      </c>
      <c r="E22" s="8" t="s">
        <v>71</v>
      </c>
      <c r="F22" s="8" t="s">
        <v>29</v>
      </c>
      <c r="G22" s="36">
        <f>VLOOKUP(E22,Flipkart!$A$1:$B$296,2,0)</f>
        <v>0.04</v>
      </c>
      <c r="H22" s="36">
        <f t="shared" ca="1" si="0"/>
        <v>0</v>
      </c>
      <c r="I22" s="36" t="str">
        <f>_xlfn.XLOOKUP(E22,'Product List'!$B$2:$B$299,'Product List'!$A$2:$A$299)</f>
        <v>GE 30522EE2</v>
      </c>
      <c r="J22" s="36"/>
      <c r="K22" s="36"/>
      <c r="L22" s="36"/>
      <c r="M22" s="36"/>
      <c r="N22" s="36"/>
    </row>
    <row r="23" spans="1:14">
      <c r="A23" s="8" t="s">
        <v>72</v>
      </c>
      <c r="B23" s="19">
        <v>41301</v>
      </c>
      <c r="C23" s="8" t="s">
        <v>54</v>
      </c>
      <c r="D23" s="8">
        <v>10015</v>
      </c>
      <c r="E23" s="8" t="s">
        <v>73</v>
      </c>
      <c r="F23" s="8" t="s">
        <v>35</v>
      </c>
      <c r="G23" s="36">
        <f>VLOOKUP(E23,Flipkart!$A$1:$B$296,2,0)</f>
        <v>0.04</v>
      </c>
      <c r="H23" s="36">
        <f t="shared" ca="1" si="0"/>
        <v>0.04</v>
      </c>
      <c r="I23" s="36" t="str">
        <f>_xlfn.XLOOKUP(E23,'Product List'!$B$2:$B$299,'Product List'!$A$2:$A$299)</f>
        <v>Xerox 1916</v>
      </c>
      <c r="J23" s="36"/>
      <c r="K23" s="36"/>
      <c r="L23" s="36"/>
      <c r="M23" s="36"/>
      <c r="N23" s="36"/>
    </row>
    <row r="24" spans="1:14">
      <c r="A24" s="8" t="s">
        <v>72</v>
      </c>
      <c r="B24" s="19">
        <v>41301</v>
      </c>
      <c r="C24" s="8" t="s">
        <v>36</v>
      </c>
      <c r="D24" s="8">
        <v>10005</v>
      </c>
      <c r="E24" s="8" t="s">
        <v>74</v>
      </c>
      <c r="F24" s="8" t="s">
        <v>29</v>
      </c>
      <c r="G24" s="36">
        <f>VLOOKUP(E24,Flipkart!$A$1:$B$296,2,0)</f>
        <v>0.03</v>
      </c>
      <c r="H24" s="36">
        <f t="shared" ca="1" si="0"/>
        <v>0.02</v>
      </c>
      <c r="I24" s="36" t="str">
        <f>_xlfn.XLOOKUP(E24,'Product List'!$B$2:$B$299,'Product List'!$A$2:$A$299)</f>
        <v>Newell 310</v>
      </c>
      <c r="J24" s="36"/>
      <c r="K24" s="36"/>
      <c r="L24" s="36"/>
      <c r="M24" s="36"/>
      <c r="N24" s="36"/>
    </row>
    <row r="25" spans="1:14">
      <c r="A25" s="8" t="s">
        <v>75</v>
      </c>
      <c r="B25" s="19">
        <v>41303</v>
      </c>
      <c r="C25" s="8" t="s">
        <v>66</v>
      </c>
      <c r="D25" s="8">
        <v>10002</v>
      </c>
      <c r="E25" s="8" t="s">
        <v>76</v>
      </c>
      <c r="F25" s="8" t="s">
        <v>32</v>
      </c>
      <c r="G25" s="36">
        <f>VLOOKUP(E25,Flipkart!$A$1:$B$296,2,0)</f>
        <v>0.05</v>
      </c>
      <c r="H25" s="36">
        <f t="shared" ca="1" si="0"/>
        <v>0</v>
      </c>
      <c r="I25" s="36" t="str">
        <f>_xlfn.XLOOKUP(E25,'Product List'!$B$2:$B$299,'Product List'!$A$2:$A$299)</f>
        <v>Avery 49</v>
      </c>
      <c r="J25" s="36"/>
      <c r="K25" s="36"/>
      <c r="L25" s="36"/>
      <c r="M25" s="36"/>
      <c r="N25" s="36"/>
    </row>
    <row r="26" spans="1:14">
      <c r="A26" s="8" t="s">
        <v>77</v>
      </c>
      <c r="B26" s="19">
        <v>41306</v>
      </c>
      <c r="C26" s="8" t="s">
        <v>51</v>
      </c>
      <c r="D26" s="8">
        <v>10008</v>
      </c>
      <c r="E26" s="8" t="s">
        <v>78</v>
      </c>
      <c r="F26" s="8" t="s">
        <v>43</v>
      </c>
      <c r="G26" s="36">
        <f>VLOOKUP(E26,Flipkart!$A$1:$B$296,2,0)</f>
        <v>0.02</v>
      </c>
      <c r="H26" s="36">
        <f t="shared" ca="1" si="0"/>
        <v>0</v>
      </c>
      <c r="I26" s="36" t="str">
        <f>_xlfn.XLOOKUP(E26,'Product List'!$B$2:$B$299,'Product List'!$A$2:$A$299)</f>
        <v>Xerox 199</v>
      </c>
      <c r="J26" s="36"/>
      <c r="K26" s="36"/>
      <c r="L26" s="36"/>
      <c r="M26" s="36"/>
      <c r="N26" s="36"/>
    </row>
    <row r="27" spans="1:14">
      <c r="A27" s="8" t="s">
        <v>79</v>
      </c>
      <c r="B27" s="19">
        <v>41308</v>
      </c>
      <c r="C27" s="8" t="s">
        <v>27</v>
      </c>
      <c r="D27" s="8">
        <v>10012</v>
      </c>
      <c r="E27" s="8" t="s">
        <v>80</v>
      </c>
      <c r="F27" s="8" t="s">
        <v>43</v>
      </c>
      <c r="G27" s="36">
        <f>VLOOKUP(E27,Flipkart!$A$1:$B$296,2,0)</f>
        <v>0.01</v>
      </c>
      <c r="H27" s="36">
        <f t="shared" ca="1" si="0"/>
        <v>0</v>
      </c>
      <c r="I27" s="36" t="str">
        <f>_xlfn.XLOOKUP(E27,'Product List'!$B$2:$B$299,'Product List'!$A$2:$A$299)</f>
        <v>Xerox 192</v>
      </c>
      <c r="J27" s="36"/>
      <c r="K27" s="36"/>
      <c r="L27" s="36"/>
      <c r="M27" s="36"/>
      <c r="N27" s="36"/>
    </row>
    <row r="28" spans="1:14">
      <c r="A28" s="8" t="s">
        <v>81</v>
      </c>
      <c r="B28" s="19">
        <v>41314</v>
      </c>
      <c r="C28" s="8" t="s">
        <v>46</v>
      </c>
      <c r="D28" s="8">
        <v>10001</v>
      </c>
      <c r="E28" s="8" t="s">
        <v>82</v>
      </c>
      <c r="F28" s="8" t="s">
        <v>50</v>
      </c>
      <c r="G28" s="36">
        <f>VLOOKUP(E28,Flipkart!$A$1:$B$296,2,0)</f>
        <v>0.02</v>
      </c>
      <c r="H28" s="36">
        <f t="shared" ca="1" si="0"/>
        <v>0.03</v>
      </c>
      <c r="I28" s="36" t="str">
        <f>_xlfn.XLOOKUP(E28,'Product List'!$B$2:$B$299,'Product List'!$A$2:$A$299)</f>
        <v>Xerox 1926</v>
      </c>
      <c r="J28" s="36"/>
      <c r="K28" s="36"/>
      <c r="L28" s="36"/>
      <c r="M28" s="36"/>
      <c r="N28" s="36"/>
    </row>
    <row r="29" spans="1:14">
      <c r="A29" s="8" t="s">
        <v>81</v>
      </c>
      <c r="B29" s="19">
        <v>41314</v>
      </c>
      <c r="C29" s="8" t="s">
        <v>54</v>
      </c>
      <c r="D29" s="8">
        <v>10008</v>
      </c>
      <c r="E29" s="8" t="s">
        <v>83</v>
      </c>
      <c r="F29" s="8" t="s">
        <v>50</v>
      </c>
      <c r="G29" s="36">
        <f>VLOOKUP(E29,Flipkart!$A$1:$B$296,2,0)</f>
        <v>0.05</v>
      </c>
      <c r="H29" s="36">
        <f t="shared" ca="1" si="0"/>
        <v>0.03</v>
      </c>
      <c r="I29" s="36" t="str">
        <f>_xlfn.XLOOKUP(E29,'Product List'!$B$2:$B$299,'Product List'!$A$2:$A$299)</f>
        <v>Xerox 211</v>
      </c>
      <c r="J29" s="36"/>
      <c r="K29" s="36"/>
      <c r="L29" s="36"/>
      <c r="M29" s="36"/>
      <c r="N29" s="36"/>
    </row>
    <row r="30" spans="1:14">
      <c r="A30" s="8" t="s">
        <v>81</v>
      </c>
      <c r="B30" s="19">
        <v>41314</v>
      </c>
      <c r="C30" s="8" t="s">
        <v>66</v>
      </c>
      <c r="D30" s="8">
        <v>10005</v>
      </c>
      <c r="E30" s="8" t="s">
        <v>84</v>
      </c>
      <c r="F30" s="8" t="s">
        <v>32</v>
      </c>
      <c r="G30" s="36">
        <f>VLOOKUP(E30,Flipkart!$A$1:$B$296,2,0)</f>
        <v>0.01</v>
      </c>
      <c r="H30" s="36">
        <f t="shared" ca="1" si="0"/>
        <v>0</v>
      </c>
      <c r="I30" s="36" t="str">
        <f>_xlfn.XLOOKUP(E30,'Product List'!$B$2:$B$299,'Product List'!$A$2:$A$299)</f>
        <v>Xerox 1979</v>
      </c>
      <c r="J30" s="36"/>
      <c r="K30" s="36"/>
      <c r="L30" s="36"/>
      <c r="M30" s="36"/>
      <c r="N30" s="36"/>
    </row>
    <row r="31" spans="1:14">
      <c r="A31" s="8" t="s">
        <v>85</v>
      </c>
      <c r="B31" s="19">
        <v>41316</v>
      </c>
      <c r="C31" s="8" t="s">
        <v>51</v>
      </c>
      <c r="D31" s="8">
        <v>10014</v>
      </c>
      <c r="E31" s="8" t="s">
        <v>86</v>
      </c>
      <c r="F31" s="8" t="s">
        <v>29</v>
      </c>
      <c r="G31" s="36">
        <f>VLOOKUP(E31,Flipkart!$A$1:$B$296,2,0)</f>
        <v>0</v>
      </c>
      <c r="H31" s="36">
        <f t="shared" ca="1" si="0"/>
        <v>0.04</v>
      </c>
      <c r="I31" s="36" t="str">
        <f>_xlfn.XLOOKUP(E31,'Product List'!$B$2:$B$299,'Product List'!$A$2:$A$299)</f>
        <v>Newell 316</v>
      </c>
      <c r="J31" s="36"/>
      <c r="K31" s="36"/>
      <c r="L31" s="36"/>
      <c r="M31" s="36"/>
      <c r="N31" s="36"/>
    </row>
    <row r="32" spans="1:14">
      <c r="A32" s="8" t="s">
        <v>87</v>
      </c>
      <c r="B32" s="19">
        <v>41319</v>
      </c>
      <c r="C32" s="8" t="s">
        <v>27</v>
      </c>
      <c r="D32" s="8">
        <v>10014</v>
      </c>
      <c r="E32" s="8" t="s">
        <v>88</v>
      </c>
      <c r="F32" s="8" t="s">
        <v>43</v>
      </c>
      <c r="G32" s="36">
        <f>VLOOKUP(E32,Flipkart!$A$1:$B$296,2,0)</f>
        <v>0</v>
      </c>
      <c r="H32" s="36">
        <f t="shared" ca="1" si="0"/>
        <v>0.05</v>
      </c>
      <c r="I32" s="36" t="str">
        <f>_xlfn.XLOOKUP(E32,'Product List'!$B$2:$B$299,'Product List'!$A$2:$A$299)</f>
        <v>Xerox 1922</v>
      </c>
      <c r="J32" s="36"/>
      <c r="K32" s="36"/>
      <c r="L32" s="36"/>
      <c r="M32" s="36"/>
      <c r="N32" s="36"/>
    </row>
    <row r="33" spans="1:14">
      <c r="A33" s="8" t="s">
        <v>89</v>
      </c>
      <c r="B33" s="19">
        <v>41320</v>
      </c>
      <c r="C33" s="8" t="s">
        <v>36</v>
      </c>
      <c r="D33" s="8">
        <v>10015</v>
      </c>
      <c r="E33" s="8" t="s">
        <v>60</v>
      </c>
      <c r="F33" s="8" t="s">
        <v>50</v>
      </c>
      <c r="G33" s="36">
        <f>VLOOKUP(E33,Flipkart!$A$1:$B$296,2,0)</f>
        <v>0.03</v>
      </c>
      <c r="H33" s="36">
        <f t="shared" ca="1" si="0"/>
        <v>0.03</v>
      </c>
      <c r="I33" s="36" t="str">
        <f>_xlfn.XLOOKUP(E33,'Product List'!$B$2:$B$299,'Product List'!$A$2:$A$299)</f>
        <v>Xerox 1889</v>
      </c>
      <c r="J33" s="36"/>
      <c r="K33" s="36"/>
      <c r="L33" s="36"/>
      <c r="M33" s="36"/>
      <c r="N33" s="36"/>
    </row>
    <row r="34" spans="1:14">
      <c r="A34" s="8" t="s">
        <v>89</v>
      </c>
      <c r="B34" s="19">
        <v>41320</v>
      </c>
      <c r="C34" s="8" t="s">
        <v>46</v>
      </c>
      <c r="D34" s="8">
        <v>10003</v>
      </c>
      <c r="E34" s="8" t="s">
        <v>90</v>
      </c>
      <c r="F34" s="8" t="s">
        <v>50</v>
      </c>
      <c r="G34" s="36">
        <f>VLOOKUP(E34,Flipkart!$A$1:$B$296,2,0)</f>
        <v>0</v>
      </c>
      <c r="H34" s="36">
        <f t="shared" ca="1" si="0"/>
        <v>0.01</v>
      </c>
      <c r="I34" s="36" t="str">
        <f>_xlfn.XLOOKUP(E34,'Product List'!$B$2:$B$299,'Product List'!$A$2:$A$299)</f>
        <v>Xerox 1974</v>
      </c>
      <c r="J34" s="36"/>
      <c r="K34" s="36"/>
      <c r="L34" s="36"/>
      <c r="M34" s="36"/>
      <c r="N34" s="36"/>
    </row>
    <row r="35" spans="1:14">
      <c r="A35" s="8" t="s">
        <v>89</v>
      </c>
      <c r="B35" s="19">
        <v>41320</v>
      </c>
      <c r="C35" s="8" t="s">
        <v>44</v>
      </c>
      <c r="D35" s="8">
        <v>10002</v>
      </c>
      <c r="E35" s="8" t="s">
        <v>91</v>
      </c>
      <c r="F35" s="8" t="s">
        <v>29</v>
      </c>
      <c r="G35" s="36">
        <f>VLOOKUP(E35,Flipkart!$A$1:$B$296,2,0)</f>
        <v>0.05</v>
      </c>
      <c r="H35" s="36">
        <f t="shared" ca="1" si="0"/>
        <v>0.04</v>
      </c>
      <c r="I35" s="36" t="str">
        <f>_xlfn.XLOOKUP(E35,'Product List'!$B$2:$B$299,'Product List'!$A$2:$A$299)</f>
        <v>Avery 475</v>
      </c>
      <c r="J35" s="36"/>
      <c r="K35" s="36"/>
      <c r="L35" s="36"/>
      <c r="M35" s="36"/>
      <c r="N35" s="36"/>
    </row>
    <row r="36" spans="1:14">
      <c r="A36" s="8" t="s">
        <v>92</v>
      </c>
      <c r="B36" s="19">
        <v>41321</v>
      </c>
      <c r="C36" s="8" t="s">
        <v>66</v>
      </c>
      <c r="D36" s="8">
        <v>10009</v>
      </c>
      <c r="E36" s="8" t="s">
        <v>93</v>
      </c>
      <c r="F36" s="8" t="s">
        <v>40</v>
      </c>
      <c r="G36" s="36">
        <f>VLOOKUP(E36,Flipkart!$A$1:$B$296,2,0)</f>
        <v>0.04</v>
      </c>
      <c r="H36" s="36">
        <f t="shared" ca="1" si="0"/>
        <v>0.03</v>
      </c>
      <c r="I36" s="36" t="str">
        <f>_xlfn.XLOOKUP(E36,'Product List'!$B$2:$B$299,'Product List'!$A$2:$A$299)</f>
        <v>Xerox 1943</v>
      </c>
      <c r="J36" s="36"/>
      <c r="K36" s="36"/>
      <c r="L36" s="36"/>
      <c r="M36" s="36"/>
      <c r="N36" s="36"/>
    </row>
    <row r="37" spans="1:14">
      <c r="A37" s="8" t="s">
        <v>92</v>
      </c>
      <c r="B37" s="19">
        <v>41321</v>
      </c>
      <c r="C37" s="8" t="s">
        <v>46</v>
      </c>
      <c r="D37" s="8">
        <v>10008</v>
      </c>
      <c r="E37" s="8" t="s">
        <v>94</v>
      </c>
      <c r="F37" s="8" t="s">
        <v>50</v>
      </c>
      <c r="G37" s="36">
        <f>VLOOKUP(E37,Flipkart!$A$1:$B$296,2,0)</f>
        <v>0.03</v>
      </c>
      <c r="H37" s="36">
        <f t="shared" ca="1" si="0"/>
        <v>0.03</v>
      </c>
      <c r="I37" s="36" t="str">
        <f>_xlfn.XLOOKUP(E37,'Product List'!$B$2:$B$299,'Product List'!$A$2:$A$299)</f>
        <v>Xerox 191</v>
      </c>
      <c r="J37" s="36"/>
      <c r="K37" s="36"/>
      <c r="L37" s="36"/>
      <c r="M37" s="36"/>
      <c r="N37" s="36"/>
    </row>
    <row r="38" spans="1:14">
      <c r="A38" s="8" t="s">
        <v>95</v>
      </c>
      <c r="B38" s="19">
        <v>41325</v>
      </c>
      <c r="C38" s="8" t="s">
        <v>27</v>
      </c>
      <c r="D38" s="8">
        <v>10007</v>
      </c>
      <c r="E38" s="8" t="s">
        <v>84</v>
      </c>
      <c r="F38" s="8" t="s">
        <v>40</v>
      </c>
      <c r="G38" s="36">
        <f>VLOOKUP(E38,Flipkart!$A$1:$B$296,2,0)</f>
        <v>0.01</v>
      </c>
      <c r="H38" s="36">
        <f t="shared" ca="1" si="0"/>
        <v>0.02</v>
      </c>
      <c r="I38" s="36" t="str">
        <f>_xlfn.XLOOKUP(E38,'Product List'!$B$2:$B$299,'Product List'!$A$2:$A$299)</f>
        <v>Xerox 1979</v>
      </c>
      <c r="J38" s="36"/>
      <c r="K38" s="36"/>
      <c r="L38" s="36"/>
      <c r="M38" s="36"/>
      <c r="N38" s="36"/>
    </row>
    <row r="39" spans="1:14">
      <c r="A39" s="8" t="s">
        <v>96</v>
      </c>
      <c r="B39" s="19">
        <v>41329</v>
      </c>
      <c r="C39" s="8" t="s">
        <v>44</v>
      </c>
      <c r="D39" s="8">
        <v>10005</v>
      </c>
      <c r="E39" s="8" t="s">
        <v>97</v>
      </c>
      <c r="F39" s="8" t="s">
        <v>32</v>
      </c>
      <c r="G39" s="36">
        <f>VLOOKUP(E39,Flipkart!$A$1:$B$296,2,0)</f>
        <v>0.04</v>
      </c>
      <c r="H39" s="36">
        <f t="shared" ca="1" si="0"/>
        <v>0.05</v>
      </c>
      <c r="I39" s="36" t="str">
        <f>_xlfn.XLOOKUP(E39,'Product List'!$B$2:$B$299,'Product List'!$A$2:$A$299)</f>
        <v>Xerox 204</v>
      </c>
      <c r="J39" s="36"/>
      <c r="K39" s="36"/>
      <c r="L39" s="36"/>
      <c r="M39" s="36"/>
      <c r="N39" s="36"/>
    </row>
    <row r="40" spans="1:14">
      <c r="A40" s="8" t="s">
        <v>96</v>
      </c>
      <c r="B40" s="19">
        <v>41329</v>
      </c>
      <c r="C40" s="8" t="s">
        <v>54</v>
      </c>
      <c r="D40" s="8">
        <v>10005</v>
      </c>
      <c r="E40" s="8" t="s">
        <v>98</v>
      </c>
      <c r="F40" s="8" t="s">
        <v>40</v>
      </c>
      <c r="G40" s="36">
        <f>VLOOKUP(E40,Flipkart!$A$1:$B$296,2,0)</f>
        <v>0.04</v>
      </c>
      <c r="H40" s="36">
        <f t="shared" ca="1" si="0"/>
        <v>0.04</v>
      </c>
      <c r="I40" s="36" t="str">
        <f>_xlfn.XLOOKUP(E40,'Product List'!$B$2:$B$299,'Product List'!$A$2:$A$299)</f>
        <v>Newell 349</v>
      </c>
      <c r="J40" s="36"/>
      <c r="K40" s="36"/>
      <c r="L40" s="36"/>
      <c r="M40" s="36"/>
      <c r="N40" s="36"/>
    </row>
    <row r="41" spans="1:14">
      <c r="A41" s="8" t="s">
        <v>99</v>
      </c>
      <c r="B41" s="19">
        <v>41329</v>
      </c>
      <c r="C41" s="8" t="s">
        <v>44</v>
      </c>
      <c r="D41" s="8">
        <v>10008</v>
      </c>
      <c r="E41" s="8" t="s">
        <v>100</v>
      </c>
      <c r="F41" s="8" t="s">
        <v>43</v>
      </c>
      <c r="G41" s="36">
        <f>VLOOKUP(E41,Flipkart!$A$1:$B$296,2,0)</f>
        <v>0.02</v>
      </c>
      <c r="H41" s="36">
        <f t="shared" ca="1" si="0"/>
        <v>0.05</v>
      </c>
      <c r="I41" s="36" t="str">
        <f>_xlfn.XLOOKUP(E41,'Product List'!$B$2:$B$299,'Product List'!$A$2:$A$299)</f>
        <v>Xerox 1893</v>
      </c>
      <c r="J41" s="36"/>
      <c r="K41" s="36"/>
      <c r="L41" s="36"/>
      <c r="M41" s="36"/>
      <c r="N41" s="36"/>
    </row>
    <row r="42" spans="1:14">
      <c r="A42" s="8" t="s">
        <v>101</v>
      </c>
      <c r="B42" s="19">
        <v>41329</v>
      </c>
      <c r="C42" s="8" t="s">
        <v>66</v>
      </c>
      <c r="D42" s="8">
        <v>10010</v>
      </c>
      <c r="E42" s="8" t="s">
        <v>102</v>
      </c>
      <c r="F42" s="8" t="s">
        <v>40</v>
      </c>
      <c r="G42" s="36">
        <f>VLOOKUP(E42,Flipkart!$A$1:$B$296,2,0)</f>
        <v>0.02</v>
      </c>
      <c r="H42" s="36">
        <f t="shared" ca="1" si="0"/>
        <v>0.01</v>
      </c>
      <c r="I42" s="36" t="str">
        <f>_xlfn.XLOOKUP(E42,'Product List'!$B$2:$B$299,'Product List'!$A$2:$A$299)</f>
        <v>Xerox 1997</v>
      </c>
      <c r="J42" s="36"/>
      <c r="K42" s="36"/>
      <c r="L42" s="36"/>
      <c r="M42" s="36"/>
      <c r="N42" s="36"/>
    </row>
    <row r="43" spans="1:14">
      <c r="A43" s="8" t="s">
        <v>99</v>
      </c>
      <c r="B43" s="19">
        <v>41329</v>
      </c>
      <c r="C43" s="8" t="s">
        <v>33</v>
      </c>
      <c r="D43" s="8">
        <v>10011</v>
      </c>
      <c r="E43" s="8" t="s">
        <v>103</v>
      </c>
      <c r="F43" s="8" t="s">
        <v>35</v>
      </c>
      <c r="G43" s="36">
        <f>VLOOKUP(E43,Flipkart!$A$1:$B$296,2,0)</f>
        <v>0.04</v>
      </c>
      <c r="H43" s="36">
        <f t="shared" ca="1" si="0"/>
        <v>0.04</v>
      </c>
      <c r="I43" s="36" t="str">
        <f>_xlfn.XLOOKUP(E43,'Product List'!$B$2:$B$299,'Product List'!$A$2:$A$299)</f>
        <v>Xerox 1981</v>
      </c>
      <c r="J43" s="36"/>
      <c r="K43" s="36"/>
      <c r="L43" s="36"/>
      <c r="M43" s="36"/>
      <c r="N43" s="36"/>
    </row>
    <row r="44" spans="1:14">
      <c r="A44" s="8" t="s">
        <v>96</v>
      </c>
      <c r="B44" s="19">
        <v>41329</v>
      </c>
      <c r="C44" s="8" t="s">
        <v>44</v>
      </c>
      <c r="D44" s="8">
        <v>10014</v>
      </c>
      <c r="E44" s="8" t="s">
        <v>47</v>
      </c>
      <c r="F44" s="8" t="s">
        <v>40</v>
      </c>
      <c r="G44" s="36">
        <f>VLOOKUP(E44,Flipkart!$A$1:$B$296,2,0)</f>
        <v>0.03</v>
      </c>
      <c r="H44" s="36">
        <f t="shared" ca="1" si="0"/>
        <v>0</v>
      </c>
      <c r="I44" s="36" t="str">
        <f>_xlfn.XLOOKUP(E44,'Product List'!$B$2:$B$299,'Product List'!$A$2:$A$299)</f>
        <v>Xerox 1907</v>
      </c>
      <c r="J44" s="36"/>
      <c r="K44" s="36"/>
      <c r="L44" s="36"/>
      <c r="M44" s="36"/>
      <c r="N44" s="36"/>
    </row>
    <row r="45" spans="1:14">
      <c r="A45" s="8" t="s">
        <v>104</v>
      </c>
      <c r="B45" s="19">
        <v>41333</v>
      </c>
      <c r="C45" s="8" t="s">
        <v>54</v>
      </c>
      <c r="D45" s="8">
        <v>10015</v>
      </c>
      <c r="E45" s="8" t="s">
        <v>105</v>
      </c>
      <c r="F45" s="8" t="s">
        <v>32</v>
      </c>
      <c r="G45" s="36">
        <f>VLOOKUP(E45,Flipkart!$A$1:$B$296,2,0)</f>
        <v>0.05</v>
      </c>
      <c r="H45" s="36">
        <f t="shared" ca="1" si="0"/>
        <v>0.01</v>
      </c>
      <c r="I45" s="36" t="str">
        <f>_xlfn.XLOOKUP(E45,'Product List'!$B$2:$B$299,'Product List'!$A$2:$A$299)</f>
        <v>Xerox 201</v>
      </c>
      <c r="J45" s="36"/>
      <c r="K45" s="36"/>
      <c r="L45" s="36"/>
      <c r="M45" s="36"/>
      <c r="N45" s="36"/>
    </row>
    <row r="46" spans="1:14">
      <c r="A46" s="8" t="s">
        <v>106</v>
      </c>
      <c r="B46" s="19">
        <v>41333</v>
      </c>
      <c r="C46" s="8" t="s">
        <v>27</v>
      </c>
      <c r="D46" s="8">
        <v>10009</v>
      </c>
      <c r="E46" s="8" t="s">
        <v>31</v>
      </c>
      <c r="F46" s="8" t="s">
        <v>29</v>
      </c>
      <c r="G46" s="36">
        <f>VLOOKUP(E46,Flipkart!$A$1:$B$296,2,0)</f>
        <v>0.01</v>
      </c>
      <c r="H46" s="36">
        <f t="shared" ca="1" si="0"/>
        <v>0.01</v>
      </c>
      <c r="I46" s="36" t="str">
        <f>_xlfn.XLOOKUP(E46,'Product List'!$B$2:$B$299,'Product List'!$A$2:$A$299)</f>
        <v>Avery 494</v>
      </c>
      <c r="J46" s="36"/>
      <c r="K46" s="36"/>
      <c r="L46" s="36"/>
      <c r="M46" s="36"/>
      <c r="N46" s="36"/>
    </row>
    <row r="47" spans="1:14">
      <c r="A47" s="8" t="s">
        <v>104</v>
      </c>
      <c r="B47" s="19">
        <v>41333</v>
      </c>
      <c r="C47" s="8" t="s">
        <v>66</v>
      </c>
      <c r="D47" s="8">
        <v>10010</v>
      </c>
      <c r="E47" s="8" t="s">
        <v>34</v>
      </c>
      <c r="F47" s="8" t="s">
        <v>50</v>
      </c>
      <c r="G47" s="36">
        <f>VLOOKUP(E47,Flipkart!$A$1:$B$296,2,0)</f>
        <v>0.04</v>
      </c>
      <c r="H47" s="36">
        <f t="shared" ca="1" si="0"/>
        <v>0.02</v>
      </c>
      <c r="I47" s="36" t="str">
        <f>_xlfn.XLOOKUP(E47,'Product List'!$B$2:$B$299,'Product List'!$A$2:$A$299)</f>
        <v>Xerox 203</v>
      </c>
      <c r="J47" s="36"/>
      <c r="K47" s="36"/>
      <c r="L47" s="36"/>
      <c r="M47" s="36"/>
      <c r="N47" s="36"/>
    </row>
    <row r="48" spans="1:14">
      <c r="A48" s="8" t="s">
        <v>106</v>
      </c>
      <c r="B48" s="19">
        <v>41333</v>
      </c>
      <c r="C48" s="8" t="s">
        <v>27</v>
      </c>
      <c r="D48" s="8">
        <v>10007</v>
      </c>
      <c r="E48" s="8" t="s">
        <v>107</v>
      </c>
      <c r="F48" s="8" t="s">
        <v>32</v>
      </c>
      <c r="G48" s="36">
        <f>VLOOKUP(E48,Flipkart!$A$1:$B$296,2,0)</f>
        <v>0</v>
      </c>
      <c r="H48" s="36">
        <f t="shared" ca="1" si="0"/>
        <v>0.02</v>
      </c>
      <c r="I48" s="36" t="str">
        <f>_xlfn.XLOOKUP(E48,'Product List'!$B$2:$B$299,'Product List'!$A$2:$A$299)</f>
        <v>Avery 493</v>
      </c>
      <c r="J48" s="36"/>
      <c r="K48" s="36"/>
      <c r="L48" s="36"/>
      <c r="M48" s="36"/>
      <c r="N48" s="36"/>
    </row>
    <row r="49" spans="1:14">
      <c r="A49" s="8" t="s">
        <v>108</v>
      </c>
      <c r="B49" s="19">
        <v>41336</v>
      </c>
      <c r="C49" s="8" t="s">
        <v>66</v>
      </c>
      <c r="D49" s="8">
        <v>10002</v>
      </c>
      <c r="E49" s="8" t="s">
        <v>93</v>
      </c>
      <c r="F49" s="8" t="s">
        <v>50</v>
      </c>
      <c r="G49" s="36">
        <f>VLOOKUP(E49,Flipkart!$A$1:$B$296,2,0)</f>
        <v>0.04</v>
      </c>
      <c r="H49" s="36">
        <f t="shared" ca="1" si="0"/>
        <v>0.05</v>
      </c>
      <c r="I49" s="36" t="str">
        <f>_xlfn.XLOOKUP(E49,'Product List'!$B$2:$B$299,'Product List'!$A$2:$A$299)</f>
        <v>Xerox 1943</v>
      </c>
      <c r="J49" s="36"/>
      <c r="K49" s="36"/>
      <c r="L49" s="36"/>
      <c r="M49" s="36"/>
      <c r="N49" s="36"/>
    </row>
    <row r="50" spans="1:14">
      <c r="A50" s="8" t="s">
        <v>109</v>
      </c>
      <c r="B50" s="19">
        <v>41344</v>
      </c>
      <c r="C50" s="8" t="s">
        <v>54</v>
      </c>
      <c r="D50" s="8">
        <v>10012</v>
      </c>
      <c r="E50" s="8" t="s">
        <v>110</v>
      </c>
      <c r="F50" s="8" t="s">
        <v>50</v>
      </c>
      <c r="G50" s="36">
        <f>VLOOKUP(E50,Flipkart!$A$1:$B$296,2,0)</f>
        <v>0.04</v>
      </c>
      <c r="H50" s="36">
        <f t="shared" ca="1" si="0"/>
        <v>0.04</v>
      </c>
      <c r="I50" s="36" t="str">
        <f>_xlfn.XLOOKUP(E50,'Product List'!$B$2:$B$299,'Product List'!$A$2:$A$299)</f>
        <v>Newell 332</v>
      </c>
      <c r="J50" s="36"/>
      <c r="K50" s="36"/>
      <c r="L50" s="36"/>
      <c r="M50" s="36"/>
      <c r="N50" s="36"/>
    </row>
    <row r="51" spans="1:14">
      <c r="A51" s="8" t="s">
        <v>111</v>
      </c>
      <c r="B51" s="19">
        <v>41345</v>
      </c>
      <c r="C51" s="8" t="s">
        <v>33</v>
      </c>
      <c r="D51" s="8">
        <v>10015</v>
      </c>
      <c r="E51" s="8" t="s">
        <v>112</v>
      </c>
      <c r="F51" s="8" t="s">
        <v>43</v>
      </c>
      <c r="G51" s="36">
        <f>VLOOKUP(E51,Flipkart!$A$1:$B$296,2,0)</f>
        <v>0.04</v>
      </c>
      <c r="H51" s="36">
        <f t="shared" ca="1" si="0"/>
        <v>0.05</v>
      </c>
      <c r="I51" s="36" t="str">
        <f>_xlfn.XLOOKUP(E51,'Product List'!$B$2:$B$299,'Product List'!$A$2:$A$299)</f>
        <v>Newell 317</v>
      </c>
      <c r="J51" s="36"/>
      <c r="K51" s="36"/>
      <c r="L51" s="36"/>
      <c r="M51" s="36"/>
      <c r="N51" s="36"/>
    </row>
    <row r="52" spans="1:14">
      <c r="A52" s="8" t="s">
        <v>113</v>
      </c>
      <c r="B52" s="19">
        <v>41352</v>
      </c>
      <c r="C52" s="8" t="s">
        <v>66</v>
      </c>
      <c r="D52" s="8">
        <v>10003</v>
      </c>
      <c r="E52" s="8" t="s">
        <v>114</v>
      </c>
      <c r="F52" s="8" t="s">
        <v>35</v>
      </c>
      <c r="G52" s="36">
        <f>VLOOKUP(E52,Flipkart!$A$1:$B$296,2,0)</f>
        <v>0.03</v>
      </c>
      <c r="H52" s="36">
        <f t="shared" ca="1" si="0"/>
        <v>0.03</v>
      </c>
      <c r="I52" s="36" t="str">
        <f>_xlfn.XLOOKUP(E52,'Product List'!$B$2:$B$299,'Product List'!$A$2:$A$299)</f>
        <v>Xerox 1910</v>
      </c>
      <c r="J52" s="36"/>
      <c r="K52" s="36"/>
      <c r="L52" s="36"/>
      <c r="M52" s="36"/>
      <c r="N52" s="36"/>
    </row>
    <row r="53" spans="1:14">
      <c r="A53" s="8" t="s">
        <v>115</v>
      </c>
      <c r="B53" s="19">
        <v>41356</v>
      </c>
      <c r="C53" s="8" t="s">
        <v>33</v>
      </c>
      <c r="D53" s="8">
        <v>10011</v>
      </c>
      <c r="E53" s="8" t="s">
        <v>116</v>
      </c>
      <c r="F53" s="8" t="s">
        <v>50</v>
      </c>
      <c r="G53" s="36">
        <f>VLOOKUP(E53,Flipkart!$A$1:$B$296,2,0)</f>
        <v>0.02</v>
      </c>
      <c r="H53" s="36">
        <f t="shared" ca="1" si="0"/>
        <v>0.04</v>
      </c>
      <c r="I53" s="36" t="str">
        <f>_xlfn.XLOOKUP(E53,'Product List'!$B$2:$B$299,'Product List'!$A$2:$A$299)</f>
        <v>Newell 326</v>
      </c>
      <c r="J53" s="36"/>
      <c r="K53" s="36"/>
      <c r="L53" s="36"/>
      <c r="M53" s="36"/>
      <c r="N53" s="36"/>
    </row>
    <row r="54" spans="1:14">
      <c r="A54" s="8" t="s">
        <v>117</v>
      </c>
      <c r="B54" s="19">
        <v>41357</v>
      </c>
      <c r="C54" s="8" t="s">
        <v>44</v>
      </c>
      <c r="D54" s="8">
        <v>10005</v>
      </c>
      <c r="E54" s="8" t="s">
        <v>118</v>
      </c>
      <c r="F54" s="8" t="s">
        <v>43</v>
      </c>
      <c r="G54" s="36">
        <f>VLOOKUP(E54,Flipkart!$A$1:$B$296,2,0)</f>
        <v>0.01</v>
      </c>
      <c r="H54" s="36">
        <f t="shared" ca="1" si="0"/>
        <v>0.05</v>
      </c>
      <c r="I54" s="36" t="str">
        <f>_xlfn.XLOOKUP(E54,'Product List'!$B$2:$B$299,'Product List'!$A$2:$A$299)</f>
        <v>Xerox 1998</v>
      </c>
      <c r="J54" s="36"/>
      <c r="K54" s="36"/>
      <c r="L54" s="36"/>
      <c r="M54" s="36"/>
      <c r="N54" s="36"/>
    </row>
    <row r="55" spans="1:14">
      <c r="A55" s="8" t="s">
        <v>119</v>
      </c>
      <c r="B55" s="19">
        <v>41361</v>
      </c>
      <c r="C55" s="8" t="s">
        <v>51</v>
      </c>
      <c r="D55" s="8">
        <v>10009</v>
      </c>
      <c r="E55" s="8" t="s">
        <v>120</v>
      </c>
      <c r="F55" s="8" t="s">
        <v>32</v>
      </c>
      <c r="G55" s="36">
        <f>VLOOKUP(E55,Flipkart!$A$1:$B$296,2,0)</f>
        <v>0</v>
      </c>
      <c r="H55" s="36">
        <f t="shared" ca="1" si="0"/>
        <v>0.05</v>
      </c>
      <c r="I55" s="36" t="str">
        <f>_xlfn.XLOOKUP(E55,'Product List'!$B$2:$B$299,'Product List'!$A$2:$A$299)</f>
        <v>Xerox 1902</v>
      </c>
      <c r="J55" s="36"/>
      <c r="K55" s="36"/>
      <c r="L55" s="36"/>
      <c r="M55" s="36"/>
      <c r="N55" s="36"/>
    </row>
    <row r="56" spans="1:14">
      <c r="A56" s="8" t="s">
        <v>121</v>
      </c>
      <c r="B56" s="19">
        <v>41361</v>
      </c>
      <c r="C56" s="8" t="s">
        <v>54</v>
      </c>
      <c r="D56" s="8">
        <v>10004</v>
      </c>
      <c r="E56" s="8" t="s">
        <v>122</v>
      </c>
      <c r="F56" s="8" t="s">
        <v>29</v>
      </c>
      <c r="G56" s="36">
        <f>VLOOKUP(E56,Flipkart!$A$1:$B$296,2,0)</f>
        <v>0.01</v>
      </c>
      <c r="H56" s="36">
        <f t="shared" ca="1" si="0"/>
        <v>0.03</v>
      </c>
      <c r="I56" s="36" t="str">
        <f>_xlfn.XLOOKUP(E56,'Product List'!$B$2:$B$299,'Product List'!$A$2:$A$299)</f>
        <v>Avery 510</v>
      </c>
      <c r="J56" s="36"/>
      <c r="K56" s="36"/>
      <c r="L56" s="36"/>
      <c r="M56" s="36"/>
      <c r="N56" s="36"/>
    </row>
    <row r="57" spans="1:14">
      <c r="A57" s="8" t="s">
        <v>119</v>
      </c>
      <c r="B57" s="19">
        <v>41361</v>
      </c>
      <c r="C57" s="8" t="s">
        <v>44</v>
      </c>
      <c r="D57" s="8">
        <v>10007</v>
      </c>
      <c r="E57" s="8" t="s">
        <v>123</v>
      </c>
      <c r="F57" s="8" t="s">
        <v>32</v>
      </c>
      <c r="G57" s="36">
        <f>VLOOKUP(E57,Flipkart!$A$1:$B$296,2,0)</f>
        <v>0.01</v>
      </c>
      <c r="H57" s="36">
        <f t="shared" ca="1" si="0"/>
        <v>0.04</v>
      </c>
      <c r="I57" s="36" t="str">
        <f>_xlfn.XLOOKUP(E57,'Product List'!$B$2:$B$299,'Product List'!$A$2:$A$299)</f>
        <v>Avery 503</v>
      </c>
      <c r="J57" s="36"/>
      <c r="K57" s="36"/>
      <c r="L57" s="36"/>
      <c r="M57" s="36"/>
      <c r="N57" s="36"/>
    </row>
    <row r="58" spans="1:14">
      <c r="A58" s="8" t="s">
        <v>124</v>
      </c>
      <c r="B58" s="19">
        <v>41361</v>
      </c>
      <c r="C58" s="8" t="s">
        <v>51</v>
      </c>
      <c r="D58" s="8">
        <v>10003</v>
      </c>
      <c r="E58" s="8" t="s">
        <v>125</v>
      </c>
      <c r="F58" s="8" t="s">
        <v>43</v>
      </c>
      <c r="G58" s="36">
        <f>VLOOKUP(E58,Flipkart!$A$1:$B$296,2,0)</f>
        <v>0.01</v>
      </c>
      <c r="H58" s="36">
        <f t="shared" ca="1" si="0"/>
        <v>0.02</v>
      </c>
      <c r="I58" s="36" t="str">
        <f>_xlfn.XLOOKUP(E58,'Product List'!$B$2:$B$299,'Product List'!$A$2:$A$299)</f>
        <v>Xerox 1921</v>
      </c>
      <c r="J58" s="36"/>
      <c r="K58" s="36"/>
      <c r="L58" s="36"/>
      <c r="M58" s="36"/>
      <c r="N58" s="36"/>
    </row>
    <row r="59" spans="1:14">
      <c r="A59" s="8" t="s">
        <v>119</v>
      </c>
      <c r="B59" s="19">
        <v>41361</v>
      </c>
      <c r="C59" s="8" t="s">
        <v>54</v>
      </c>
      <c r="D59" s="8">
        <v>10004</v>
      </c>
      <c r="E59" s="8" t="s">
        <v>126</v>
      </c>
      <c r="F59" s="8" t="s">
        <v>40</v>
      </c>
      <c r="G59" s="36">
        <f>VLOOKUP(E59,Flipkart!$A$1:$B$296,2,0)</f>
        <v>0.05</v>
      </c>
      <c r="H59" s="36">
        <f t="shared" ca="1" si="0"/>
        <v>0.03</v>
      </c>
      <c r="I59" s="36" t="str">
        <f>_xlfn.XLOOKUP(E59,'Product List'!$B$2:$B$299,'Product List'!$A$2:$A$299)</f>
        <v>Xerox 1964</v>
      </c>
      <c r="J59" s="36"/>
      <c r="K59" s="36"/>
      <c r="L59" s="36"/>
      <c r="M59" s="36"/>
      <c r="N59" s="36"/>
    </row>
    <row r="60" spans="1:14">
      <c r="A60" s="8" t="s">
        <v>127</v>
      </c>
      <c r="B60" s="19">
        <v>41361</v>
      </c>
      <c r="C60" s="8" t="s">
        <v>36</v>
      </c>
      <c r="D60" s="8">
        <v>10002</v>
      </c>
      <c r="E60" s="8" t="s">
        <v>128</v>
      </c>
      <c r="F60" s="8" t="s">
        <v>29</v>
      </c>
      <c r="G60" s="36">
        <f>VLOOKUP(E60,Flipkart!$A$1:$B$296,2,0)</f>
        <v>0.04</v>
      </c>
      <c r="H60" s="36">
        <f t="shared" ca="1" si="0"/>
        <v>0.01</v>
      </c>
      <c r="I60" s="36" t="str">
        <f>_xlfn.XLOOKUP(E60,'Product List'!$B$2:$B$299,'Product List'!$A$2:$A$299)</f>
        <v>Xerox 19</v>
      </c>
      <c r="J60" s="36"/>
      <c r="K60" s="36"/>
      <c r="L60" s="36"/>
      <c r="M60" s="36"/>
      <c r="N60" s="36"/>
    </row>
    <row r="61" spans="1:14">
      <c r="A61" s="8" t="s">
        <v>129</v>
      </c>
      <c r="B61" s="19">
        <v>41363</v>
      </c>
      <c r="C61" s="8" t="s">
        <v>46</v>
      </c>
      <c r="D61" s="8">
        <v>10007</v>
      </c>
      <c r="E61" s="8" t="s">
        <v>130</v>
      </c>
      <c r="F61" s="8" t="s">
        <v>29</v>
      </c>
      <c r="G61" s="36">
        <f>VLOOKUP(E61,Flipkart!$A$1:$B$296,2,0)</f>
        <v>0</v>
      </c>
      <c r="H61" s="36">
        <f t="shared" ca="1" si="0"/>
        <v>0.02</v>
      </c>
      <c r="I61" s="36" t="str">
        <f>_xlfn.XLOOKUP(E61,'Product List'!$B$2:$B$299,'Product List'!$A$2:$A$299)</f>
        <v>Xerox 212</v>
      </c>
      <c r="J61" s="36"/>
      <c r="K61" s="36"/>
      <c r="L61" s="36"/>
      <c r="M61" s="36"/>
      <c r="N61" s="36"/>
    </row>
    <row r="62" spans="1:14">
      <c r="A62" s="8" t="s">
        <v>129</v>
      </c>
      <c r="B62" s="19">
        <v>41363</v>
      </c>
      <c r="C62" s="8" t="s">
        <v>44</v>
      </c>
      <c r="D62" s="8">
        <v>10005</v>
      </c>
      <c r="E62" s="8" t="s">
        <v>131</v>
      </c>
      <c r="F62" s="8" t="s">
        <v>43</v>
      </c>
      <c r="G62" s="36">
        <f>VLOOKUP(E62,Flipkart!$A$1:$B$296,2,0)</f>
        <v>0.01</v>
      </c>
      <c r="H62" s="36">
        <f t="shared" ca="1" si="0"/>
        <v>0.01</v>
      </c>
      <c r="I62" s="36" t="str">
        <f>_xlfn.XLOOKUP(E62,'Product List'!$B$2:$B$299,'Product List'!$A$2:$A$299)</f>
        <v>Avery 490</v>
      </c>
      <c r="J62" s="36"/>
      <c r="K62" s="36"/>
      <c r="L62" s="36"/>
      <c r="M62" s="36"/>
      <c r="N62" s="36"/>
    </row>
    <row r="63" spans="1:14">
      <c r="A63" s="8" t="s">
        <v>129</v>
      </c>
      <c r="B63" s="19">
        <v>41363</v>
      </c>
      <c r="C63" s="8" t="s">
        <v>27</v>
      </c>
      <c r="D63" s="8">
        <v>10001</v>
      </c>
      <c r="E63" s="8" t="s">
        <v>130</v>
      </c>
      <c r="F63" s="8" t="s">
        <v>50</v>
      </c>
      <c r="G63" s="36">
        <f>VLOOKUP(E63,Flipkart!$A$1:$B$296,2,0)</f>
        <v>0</v>
      </c>
      <c r="H63" s="36">
        <f t="shared" ca="1" si="0"/>
        <v>0.03</v>
      </c>
      <c r="I63" s="36" t="str">
        <f>_xlfn.XLOOKUP(E63,'Product List'!$B$2:$B$299,'Product List'!$A$2:$A$299)</f>
        <v>Xerox 212</v>
      </c>
      <c r="J63" s="36"/>
      <c r="K63" s="36"/>
      <c r="L63" s="36"/>
      <c r="M63" s="36"/>
      <c r="N63" s="36"/>
    </row>
    <row r="64" spans="1:14">
      <c r="A64" s="8" t="s">
        <v>132</v>
      </c>
      <c r="B64" s="19">
        <v>41363</v>
      </c>
      <c r="C64" s="8" t="s">
        <v>36</v>
      </c>
      <c r="D64" s="8">
        <v>10002</v>
      </c>
      <c r="E64" s="8" t="s">
        <v>133</v>
      </c>
      <c r="F64" s="8" t="s">
        <v>35</v>
      </c>
      <c r="G64" s="36">
        <f>VLOOKUP(E64,Flipkart!$A$1:$B$296,2,0)</f>
        <v>0.02</v>
      </c>
      <c r="H64" s="36">
        <f t="shared" ca="1" si="0"/>
        <v>0.02</v>
      </c>
      <c r="I64" s="36" t="str">
        <f>_xlfn.XLOOKUP(E64,'Product List'!$B$2:$B$299,'Product List'!$A$2:$A$299)</f>
        <v>Xerox 213</v>
      </c>
      <c r="J64" s="36"/>
      <c r="K64" s="36"/>
      <c r="L64" s="36"/>
      <c r="M64" s="36"/>
      <c r="N64" s="36"/>
    </row>
    <row r="65" spans="1:14">
      <c r="A65" s="8" t="s">
        <v>134</v>
      </c>
      <c r="B65" s="19">
        <v>41366</v>
      </c>
      <c r="C65" s="8" t="s">
        <v>51</v>
      </c>
      <c r="D65" s="8">
        <v>10006</v>
      </c>
      <c r="E65" s="8" t="s">
        <v>135</v>
      </c>
      <c r="F65" s="8" t="s">
        <v>40</v>
      </c>
      <c r="G65" s="36">
        <f>VLOOKUP(E65,Flipkart!$A$1:$B$296,2,0)</f>
        <v>0.04</v>
      </c>
      <c r="H65" s="36">
        <f t="shared" ca="1" si="0"/>
        <v>0.01</v>
      </c>
      <c r="I65" s="36" t="str">
        <f>_xlfn.XLOOKUP(E65,'Product List'!$B$2:$B$299,'Product List'!$A$2:$A$299)</f>
        <v>Xerox 1939</v>
      </c>
      <c r="J65" s="36"/>
      <c r="K65" s="36"/>
      <c r="L65" s="36"/>
      <c r="M65" s="36"/>
      <c r="N65" s="36"/>
    </row>
    <row r="66" spans="1:14">
      <c r="A66" s="8" t="s">
        <v>136</v>
      </c>
      <c r="B66" s="19">
        <v>41371</v>
      </c>
      <c r="C66" s="8" t="s">
        <v>46</v>
      </c>
      <c r="D66" s="8">
        <v>10004</v>
      </c>
      <c r="E66" s="8" t="s">
        <v>137</v>
      </c>
      <c r="F66" s="8" t="s">
        <v>32</v>
      </c>
      <c r="G66" s="36">
        <f>VLOOKUP(E66,Flipkart!$A$1:$B$296,2,0)</f>
        <v>0</v>
      </c>
      <c r="H66" s="36">
        <f t="shared" ca="1" si="0"/>
        <v>0.05</v>
      </c>
      <c r="I66" s="36" t="str">
        <f>_xlfn.XLOOKUP(E66,'Product List'!$B$2:$B$299,'Product List'!$A$2:$A$299)</f>
        <v>Newell 35</v>
      </c>
      <c r="J66" s="36"/>
      <c r="K66" s="36"/>
      <c r="L66" s="36"/>
      <c r="M66" s="36"/>
      <c r="N66" s="36"/>
    </row>
    <row r="67" spans="1:14">
      <c r="A67" s="8" t="s">
        <v>138</v>
      </c>
      <c r="B67" s="19">
        <v>41372</v>
      </c>
      <c r="C67" s="8" t="s">
        <v>36</v>
      </c>
      <c r="D67" s="8">
        <v>10008</v>
      </c>
      <c r="E67" s="8" t="s">
        <v>84</v>
      </c>
      <c r="F67" s="8" t="s">
        <v>40</v>
      </c>
      <c r="G67" s="36">
        <f>VLOOKUP(E67,Flipkart!$A$1:$B$296,2,0)</f>
        <v>0.01</v>
      </c>
      <c r="H67" s="36">
        <f t="shared" ca="1" si="0"/>
        <v>0.02</v>
      </c>
      <c r="I67" s="36" t="str">
        <f>_xlfn.XLOOKUP(E67,'Product List'!$B$2:$B$299,'Product List'!$A$2:$A$299)</f>
        <v>Xerox 1979</v>
      </c>
      <c r="J67" s="36"/>
      <c r="K67" s="36"/>
      <c r="L67" s="36"/>
      <c r="M67" s="36"/>
      <c r="N67" s="36"/>
    </row>
    <row r="68" spans="1:14">
      <c r="A68" s="8" t="s">
        <v>139</v>
      </c>
      <c r="B68" s="19">
        <v>41372</v>
      </c>
      <c r="C68" s="8" t="s">
        <v>36</v>
      </c>
      <c r="D68" s="8">
        <v>10009</v>
      </c>
      <c r="E68" s="8" t="s">
        <v>140</v>
      </c>
      <c r="F68" s="8" t="s">
        <v>32</v>
      </c>
      <c r="G68" s="36">
        <f>VLOOKUP(E68,Flipkart!$A$1:$B$296,2,0)</f>
        <v>0.02</v>
      </c>
      <c r="H68" s="36">
        <f t="shared" ref="H68:H131" ca="1" si="1">VLOOKUP(E68,INDIRECT(F68&amp;"!$A$1:$B$296"),2,0)</f>
        <v>0.04</v>
      </c>
      <c r="I68" s="36" t="str">
        <f>_xlfn.XLOOKUP(E68,'Product List'!$B$2:$B$299,'Product List'!$A$2:$A$299)</f>
        <v>Xerox 1899</v>
      </c>
      <c r="J68" s="36"/>
      <c r="K68" s="36"/>
      <c r="L68" s="36"/>
      <c r="M68" s="36"/>
      <c r="N68" s="36"/>
    </row>
    <row r="69" spans="1:14">
      <c r="A69" s="8" t="s">
        <v>138</v>
      </c>
      <c r="B69" s="19">
        <v>41372</v>
      </c>
      <c r="C69" s="8" t="s">
        <v>27</v>
      </c>
      <c r="D69" s="8">
        <v>10007</v>
      </c>
      <c r="E69" s="8" t="s">
        <v>141</v>
      </c>
      <c r="F69" s="8" t="s">
        <v>32</v>
      </c>
      <c r="G69" s="36">
        <f>VLOOKUP(E69,Flipkart!$A$1:$B$296,2,0)</f>
        <v>0.03</v>
      </c>
      <c r="H69" s="36">
        <f t="shared" ca="1" si="1"/>
        <v>0.05</v>
      </c>
      <c r="I69" s="36" t="str">
        <f>_xlfn.XLOOKUP(E69,'Product List'!$B$2:$B$299,'Product List'!$A$2:$A$299)</f>
        <v>Xerox 1994</v>
      </c>
      <c r="J69" s="36"/>
      <c r="K69" s="36"/>
      <c r="L69" s="36"/>
      <c r="M69" s="36"/>
      <c r="N69" s="36"/>
    </row>
    <row r="70" spans="1:14">
      <c r="A70" s="8" t="s">
        <v>139</v>
      </c>
      <c r="B70" s="19">
        <v>41372</v>
      </c>
      <c r="C70" s="8" t="s">
        <v>66</v>
      </c>
      <c r="D70" s="8">
        <v>10004</v>
      </c>
      <c r="E70" s="8" t="s">
        <v>62</v>
      </c>
      <c r="F70" s="8" t="s">
        <v>43</v>
      </c>
      <c r="G70" s="36">
        <f>VLOOKUP(E70,Flipkart!$A$1:$B$296,2,0)</f>
        <v>0.05</v>
      </c>
      <c r="H70" s="36">
        <f t="shared" ca="1" si="1"/>
        <v>0.01</v>
      </c>
      <c r="I70" s="36" t="str">
        <f>_xlfn.XLOOKUP(E70,'Product List'!$B$2:$B$299,'Product List'!$A$2:$A$299)</f>
        <v>Newell 308</v>
      </c>
      <c r="J70" s="36"/>
      <c r="K70" s="36"/>
      <c r="L70" s="36"/>
      <c r="M70" s="36"/>
      <c r="N70" s="36"/>
    </row>
    <row r="71" spans="1:14">
      <c r="A71" s="8" t="s">
        <v>142</v>
      </c>
      <c r="B71" s="19">
        <v>41378</v>
      </c>
      <c r="C71" s="8" t="s">
        <v>46</v>
      </c>
      <c r="D71" s="8">
        <v>10003</v>
      </c>
      <c r="E71" s="8" t="s">
        <v>143</v>
      </c>
      <c r="F71" s="8" t="s">
        <v>29</v>
      </c>
      <c r="G71" s="36">
        <f>VLOOKUP(E71,Flipkart!$A$1:$B$296,2,0)</f>
        <v>0.04</v>
      </c>
      <c r="H71" s="36">
        <f t="shared" ca="1" si="1"/>
        <v>0.03</v>
      </c>
      <c r="I71" s="36" t="str">
        <f>_xlfn.XLOOKUP(E71,'Product List'!$B$2:$B$299,'Product List'!$A$2:$A$299)</f>
        <v>Xerox 1932</v>
      </c>
      <c r="J71" s="36"/>
      <c r="K71" s="36"/>
      <c r="L71" s="36"/>
      <c r="M71" s="36"/>
      <c r="N71" s="36"/>
    </row>
    <row r="72" spans="1:14">
      <c r="A72" s="8" t="s">
        <v>144</v>
      </c>
      <c r="B72" s="19">
        <v>41379</v>
      </c>
      <c r="C72" s="8" t="s">
        <v>44</v>
      </c>
      <c r="D72" s="8">
        <v>10010</v>
      </c>
      <c r="E72" s="8" t="s">
        <v>145</v>
      </c>
      <c r="F72" s="8" t="s">
        <v>32</v>
      </c>
      <c r="G72" s="36">
        <f>VLOOKUP(E72,Flipkart!$A$1:$B$296,2,0)</f>
        <v>0</v>
      </c>
      <c r="H72" s="36">
        <f t="shared" ca="1" si="1"/>
        <v>0.05</v>
      </c>
      <c r="I72" s="36" t="str">
        <f>_xlfn.XLOOKUP(E72,'Product List'!$B$2:$B$299,'Product List'!$A$2:$A$299)</f>
        <v>Xerox 1913</v>
      </c>
      <c r="J72" s="36"/>
      <c r="K72" s="36"/>
      <c r="L72" s="36"/>
      <c r="M72" s="36"/>
      <c r="N72" s="36"/>
    </row>
    <row r="73" spans="1:14">
      <c r="A73" s="8" t="s">
        <v>146</v>
      </c>
      <c r="B73" s="19">
        <v>41379</v>
      </c>
      <c r="C73" s="8" t="s">
        <v>27</v>
      </c>
      <c r="D73" s="8">
        <v>10015</v>
      </c>
      <c r="E73" s="8" t="s">
        <v>147</v>
      </c>
      <c r="F73" s="8" t="s">
        <v>50</v>
      </c>
      <c r="G73" s="36">
        <f>VLOOKUP(E73,Flipkart!$A$1:$B$296,2,0)</f>
        <v>0.03</v>
      </c>
      <c r="H73" s="36">
        <f t="shared" ca="1" si="1"/>
        <v>0</v>
      </c>
      <c r="I73" s="36" t="str">
        <f>_xlfn.XLOOKUP(E73,'Product List'!$B$2:$B$299,'Product List'!$A$2:$A$299)</f>
        <v>Xerox 1936</v>
      </c>
      <c r="J73" s="36"/>
      <c r="K73" s="36"/>
      <c r="L73" s="36"/>
      <c r="M73" s="36"/>
      <c r="N73" s="36"/>
    </row>
    <row r="74" spans="1:14">
      <c r="A74" s="8" t="s">
        <v>148</v>
      </c>
      <c r="B74" s="19">
        <v>41379</v>
      </c>
      <c r="C74" s="8" t="s">
        <v>27</v>
      </c>
      <c r="D74" s="8">
        <v>10005</v>
      </c>
      <c r="E74" s="8" t="s">
        <v>149</v>
      </c>
      <c r="F74" s="8" t="s">
        <v>32</v>
      </c>
      <c r="G74" s="36">
        <f>VLOOKUP(E74,Flipkart!$A$1:$B$296,2,0)</f>
        <v>0.05</v>
      </c>
      <c r="H74" s="36">
        <f t="shared" ca="1" si="1"/>
        <v>0</v>
      </c>
      <c r="I74" s="36" t="str">
        <f>_xlfn.XLOOKUP(E74,'Product List'!$B$2:$B$299,'Product List'!$A$2:$A$299)</f>
        <v>Xerox 1992</v>
      </c>
      <c r="J74" s="36"/>
      <c r="K74" s="36"/>
      <c r="L74" s="36"/>
      <c r="M74" s="36"/>
      <c r="N74" s="36"/>
    </row>
    <row r="75" spans="1:14">
      <c r="A75" s="8" t="s">
        <v>150</v>
      </c>
      <c r="B75" s="19">
        <v>41380</v>
      </c>
      <c r="C75" s="8" t="s">
        <v>51</v>
      </c>
      <c r="D75" s="8">
        <v>10003</v>
      </c>
      <c r="E75" s="8" t="s">
        <v>151</v>
      </c>
      <c r="F75" s="8" t="s">
        <v>35</v>
      </c>
      <c r="G75" s="36">
        <f>VLOOKUP(E75,Flipkart!$A$1:$B$296,2,0)</f>
        <v>0.01</v>
      </c>
      <c r="H75" s="36">
        <f t="shared" ca="1" si="1"/>
        <v>0.01</v>
      </c>
      <c r="I75" s="36" t="str">
        <f>_xlfn.XLOOKUP(E75,'Product List'!$B$2:$B$299,'Product List'!$A$2:$A$299)</f>
        <v>Newell 346</v>
      </c>
      <c r="J75" s="36"/>
      <c r="K75" s="36"/>
      <c r="L75" s="36"/>
      <c r="M75" s="36"/>
      <c r="N75" s="36"/>
    </row>
    <row r="76" spans="1:14">
      <c r="A76" s="8" t="s">
        <v>152</v>
      </c>
      <c r="B76" s="19">
        <v>41381</v>
      </c>
      <c r="C76" s="8" t="s">
        <v>36</v>
      </c>
      <c r="D76" s="8">
        <v>10010</v>
      </c>
      <c r="E76" s="8" t="s">
        <v>153</v>
      </c>
      <c r="F76" s="8" t="s">
        <v>29</v>
      </c>
      <c r="G76" s="36">
        <f>VLOOKUP(E76,Flipkart!$A$1:$B$296,2,0)</f>
        <v>0</v>
      </c>
      <c r="H76" s="36">
        <f t="shared" ca="1" si="1"/>
        <v>0.02</v>
      </c>
      <c r="I76" s="36" t="str">
        <f>_xlfn.XLOOKUP(E76,'Product List'!$B$2:$B$299,'Product List'!$A$2:$A$299)</f>
        <v>LG G2</v>
      </c>
      <c r="J76" s="36"/>
      <c r="K76" s="36"/>
      <c r="L76" s="36"/>
      <c r="M76" s="36"/>
      <c r="N76" s="36"/>
    </row>
    <row r="77" spans="1:14">
      <c r="A77" s="8" t="s">
        <v>152</v>
      </c>
      <c r="B77" s="19">
        <v>41381</v>
      </c>
      <c r="C77" s="8" t="s">
        <v>66</v>
      </c>
      <c r="D77" s="8">
        <v>10011</v>
      </c>
      <c r="E77" s="8" t="s">
        <v>154</v>
      </c>
      <c r="F77" s="8" t="s">
        <v>29</v>
      </c>
      <c r="G77" s="36">
        <f>VLOOKUP(E77,Flipkart!$A$1:$B$296,2,0)</f>
        <v>0.03</v>
      </c>
      <c r="H77" s="36">
        <f t="shared" ca="1" si="1"/>
        <v>0.02</v>
      </c>
      <c r="I77" s="36" t="str">
        <f>_xlfn.XLOOKUP(E77,'Product List'!$B$2:$B$299,'Product List'!$A$2:$A$299)</f>
        <v>Xerox 228</v>
      </c>
      <c r="J77" s="36"/>
      <c r="K77" s="36"/>
      <c r="L77" s="36"/>
      <c r="M77" s="36"/>
      <c r="N77" s="36"/>
    </row>
    <row r="78" spans="1:14">
      <c r="A78" s="8" t="s">
        <v>155</v>
      </c>
      <c r="B78" s="19">
        <v>41384</v>
      </c>
      <c r="C78" s="8" t="s">
        <v>66</v>
      </c>
      <c r="D78" s="8">
        <v>10008</v>
      </c>
      <c r="E78" s="8" t="s">
        <v>156</v>
      </c>
      <c r="F78" s="8" t="s">
        <v>50</v>
      </c>
      <c r="G78" s="36">
        <f>VLOOKUP(E78,Flipkart!$A$1:$B$296,2,0)</f>
        <v>0.04</v>
      </c>
      <c r="H78" s="36">
        <f t="shared" ca="1" si="1"/>
        <v>0.01</v>
      </c>
      <c r="I78" s="36" t="str">
        <f>_xlfn.XLOOKUP(E78,'Product List'!$B$2:$B$299,'Product List'!$A$2:$A$299)</f>
        <v>Avery 505</v>
      </c>
      <c r="J78" s="36"/>
      <c r="K78" s="36"/>
      <c r="L78" s="36"/>
      <c r="M78" s="36"/>
      <c r="N78" s="36"/>
    </row>
    <row r="79" spans="1:14">
      <c r="A79" s="8" t="s">
        <v>157</v>
      </c>
      <c r="B79" s="19">
        <v>41387</v>
      </c>
      <c r="C79" s="8" t="s">
        <v>46</v>
      </c>
      <c r="D79" s="8">
        <v>10006</v>
      </c>
      <c r="E79" s="8" t="s">
        <v>158</v>
      </c>
      <c r="F79" s="8" t="s">
        <v>43</v>
      </c>
      <c r="G79" s="36">
        <f>VLOOKUP(E79,Flipkart!$A$1:$B$296,2,0)</f>
        <v>0.05</v>
      </c>
      <c r="H79" s="36">
        <f t="shared" ca="1" si="1"/>
        <v>0.03</v>
      </c>
      <c r="I79" s="36" t="str">
        <f>_xlfn.XLOOKUP(E79,'Product List'!$B$2:$B$299,'Product List'!$A$2:$A$299)</f>
        <v>Vtech CS6719</v>
      </c>
      <c r="J79" s="36"/>
      <c r="K79" s="36"/>
      <c r="L79" s="36"/>
      <c r="M79" s="36"/>
      <c r="N79" s="36"/>
    </row>
    <row r="80" spans="1:14">
      <c r="A80" s="8" t="s">
        <v>159</v>
      </c>
      <c r="B80" s="19">
        <v>41387</v>
      </c>
      <c r="C80" s="8" t="s">
        <v>51</v>
      </c>
      <c r="D80" s="8">
        <v>10012</v>
      </c>
      <c r="E80" s="8" t="s">
        <v>160</v>
      </c>
      <c r="F80" s="8" t="s">
        <v>40</v>
      </c>
      <c r="G80" s="36">
        <f>VLOOKUP(E80,Flipkart!$A$1:$B$296,2,0)</f>
        <v>0.05</v>
      </c>
      <c r="H80" s="36">
        <f t="shared" ca="1" si="1"/>
        <v>0.01</v>
      </c>
      <c r="I80" s="36" t="str">
        <f>_xlfn.XLOOKUP(E80,'Product List'!$B$2:$B$299,'Product List'!$A$2:$A$299)</f>
        <v>Newell 34</v>
      </c>
      <c r="J80" s="36"/>
      <c r="K80" s="36"/>
      <c r="L80" s="36"/>
      <c r="M80" s="36"/>
      <c r="N80" s="36"/>
    </row>
    <row r="81" spans="1:14">
      <c r="A81" s="8" t="s">
        <v>161</v>
      </c>
      <c r="B81" s="19">
        <v>41391</v>
      </c>
      <c r="C81" s="8" t="s">
        <v>27</v>
      </c>
      <c r="D81" s="8">
        <v>10004</v>
      </c>
      <c r="E81" s="8" t="s">
        <v>162</v>
      </c>
      <c r="F81" s="8" t="s">
        <v>29</v>
      </c>
      <c r="G81" s="36">
        <f>VLOOKUP(E81,Flipkart!$A$1:$B$296,2,0)</f>
        <v>0.02</v>
      </c>
      <c r="H81" s="36">
        <f t="shared" ca="1" si="1"/>
        <v>0</v>
      </c>
      <c r="I81" s="36" t="str">
        <f>_xlfn.XLOOKUP(E81,'Product List'!$B$2:$B$299,'Product List'!$A$2:$A$299)</f>
        <v>Avery 483</v>
      </c>
      <c r="J81" s="36"/>
      <c r="K81" s="36"/>
      <c r="L81" s="36"/>
      <c r="M81" s="36"/>
      <c r="N81" s="36"/>
    </row>
    <row r="82" spans="1:14">
      <c r="A82" s="8" t="s">
        <v>163</v>
      </c>
      <c r="B82" s="19">
        <v>41391</v>
      </c>
      <c r="C82" s="8" t="s">
        <v>66</v>
      </c>
      <c r="D82" s="8">
        <v>10006</v>
      </c>
      <c r="E82" s="8" t="s">
        <v>73</v>
      </c>
      <c r="F82" s="8" t="s">
        <v>35</v>
      </c>
      <c r="G82" s="36">
        <f>VLOOKUP(E82,Flipkart!$A$1:$B$296,2,0)</f>
        <v>0.04</v>
      </c>
      <c r="H82" s="36">
        <f t="shared" ca="1" si="1"/>
        <v>0.04</v>
      </c>
      <c r="I82" s="36" t="str">
        <f>_xlfn.XLOOKUP(E82,'Product List'!$B$2:$B$299,'Product List'!$A$2:$A$299)</f>
        <v>Xerox 1916</v>
      </c>
      <c r="J82" s="36"/>
      <c r="K82" s="36"/>
      <c r="L82" s="36"/>
      <c r="M82" s="36"/>
      <c r="N82" s="36"/>
    </row>
    <row r="83" spans="1:14">
      <c r="A83" s="8" t="s">
        <v>161</v>
      </c>
      <c r="B83" s="19">
        <v>41391</v>
      </c>
      <c r="C83" s="8" t="s">
        <v>27</v>
      </c>
      <c r="D83" s="8">
        <v>10004</v>
      </c>
      <c r="E83" s="8" t="s">
        <v>102</v>
      </c>
      <c r="F83" s="8" t="s">
        <v>32</v>
      </c>
      <c r="G83" s="36">
        <f>VLOOKUP(E83,Flipkart!$A$1:$B$296,2,0)</f>
        <v>0.02</v>
      </c>
      <c r="H83" s="36">
        <f t="shared" ca="1" si="1"/>
        <v>0.05</v>
      </c>
      <c r="I83" s="36" t="str">
        <f>_xlfn.XLOOKUP(E83,'Product List'!$B$2:$B$299,'Product List'!$A$2:$A$299)</f>
        <v>Xerox 1997</v>
      </c>
      <c r="J83" s="36"/>
      <c r="K83" s="36"/>
      <c r="L83" s="36"/>
      <c r="M83" s="36"/>
      <c r="N83" s="36"/>
    </row>
    <row r="84" spans="1:14">
      <c r="A84" s="8" t="s">
        <v>161</v>
      </c>
      <c r="B84" s="19">
        <v>41391</v>
      </c>
      <c r="C84" s="8" t="s">
        <v>44</v>
      </c>
      <c r="D84" s="8">
        <v>10013</v>
      </c>
      <c r="E84" s="8" t="s">
        <v>164</v>
      </c>
      <c r="F84" s="8" t="s">
        <v>29</v>
      </c>
      <c r="G84" s="36">
        <f>VLOOKUP(E84,Flipkart!$A$1:$B$296,2,0)</f>
        <v>0.03</v>
      </c>
      <c r="H84" s="36">
        <f t="shared" ca="1" si="1"/>
        <v>0.02</v>
      </c>
      <c r="I84" s="36" t="str">
        <f>_xlfn.XLOOKUP(E84,'Product List'!$B$2:$B$299,'Product List'!$A$2:$A$299)</f>
        <v>Avery 52</v>
      </c>
      <c r="J84" s="36"/>
      <c r="K84" s="36"/>
      <c r="L84" s="36"/>
      <c r="M84" s="36"/>
      <c r="N84" s="36"/>
    </row>
    <row r="85" spans="1:14">
      <c r="A85" s="8" t="s">
        <v>165</v>
      </c>
      <c r="B85" s="19">
        <v>41393</v>
      </c>
      <c r="C85" s="8" t="s">
        <v>46</v>
      </c>
      <c r="D85" s="8">
        <v>10011</v>
      </c>
      <c r="E85" s="8" t="s">
        <v>166</v>
      </c>
      <c r="F85" s="8" t="s">
        <v>43</v>
      </c>
      <c r="G85" s="36">
        <f>VLOOKUP(E85,Flipkart!$A$1:$B$296,2,0)</f>
        <v>0.05</v>
      </c>
      <c r="H85" s="36">
        <f t="shared" ca="1" si="1"/>
        <v>0.01</v>
      </c>
      <c r="I85" s="36" t="str">
        <f>_xlfn.XLOOKUP(E85,'Product List'!$B$2:$B$299,'Product List'!$A$2:$A$299)</f>
        <v>Xerox 1891</v>
      </c>
      <c r="J85" s="36"/>
      <c r="K85" s="36"/>
      <c r="L85" s="36"/>
      <c r="M85" s="36"/>
      <c r="N85" s="36"/>
    </row>
    <row r="86" spans="1:14">
      <c r="A86" s="8" t="s">
        <v>167</v>
      </c>
      <c r="B86" s="19">
        <v>41393</v>
      </c>
      <c r="C86" s="8" t="s">
        <v>66</v>
      </c>
      <c r="D86" s="8">
        <v>10012</v>
      </c>
      <c r="E86" s="8" t="s">
        <v>168</v>
      </c>
      <c r="F86" s="8" t="s">
        <v>43</v>
      </c>
      <c r="G86" s="36">
        <f>VLOOKUP(E86,Flipkart!$A$1:$B$296,2,0)</f>
        <v>0.03</v>
      </c>
      <c r="H86" s="36">
        <f t="shared" ca="1" si="1"/>
        <v>0.04</v>
      </c>
      <c r="I86" s="36" t="str">
        <f>_xlfn.XLOOKUP(E86,'Product List'!$B$2:$B$299,'Product List'!$A$2:$A$299)</f>
        <v>Newell 334</v>
      </c>
      <c r="J86" s="36"/>
      <c r="K86" s="36"/>
      <c r="L86" s="36"/>
      <c r="M86" s="36"/>
      <c r="N86" s="36"/>
    </row>
    <row r="87" spans="1:14">
      <c r="A87" s="8" t="s">
        <v>169</v>
      </c>
      <c r="B87" s="19">
        <v>41395</v>
      </c>
      <c r="C87" s="8" t="s">
        <v>46</v>
      </c>
      <c r="D87" s="8">
        <v>10001</v>
      </c>
      <c r="E87" s="8" t="s">
        <v>170</v>
      </c>
      <c r="F87" s="8" t="s">
        <v>43</v>
      </c>
      <c r="G87" s="36">
        <f>VLOOKUP(E87,Flipkart!$A$1:$B$296,2,0)</f>
        <v>0.05</v>
      </c>
      <c r="H87" s="36">
        <f t="shared" ca="1" si="1"/>
        <v>0.04</v>
      </c>
      <c r="I87" s="36" t="str">
        <f>_xlfn.XLOOKUP(E87,'Product List'!$B$2:$B$299,'Product List'!$A$2:$A$299)</f>
        <v>Xerox 1930</v>
      </c>
      <c r="J87" s="36"/>
      <c r="K87" s="36"/>
      <c r="L87" s="36"/>
      <c r="M87" s="36"/>
      <c r="N87" s="36"/>
    </row>
    <row r="88" spans="1:14">
      <c r="A88" s="8" t="s">
        <v>171</v>
      </c>
      <c r="B88" s="19">
        <v>41395</v>
      </c>
      <c r="C88" s="8" t="s">
        <v>36</v>
      </c>
      <c r="D88" s="8">
        <v>10002</v>
      </c>
      <c r="E88" s="8" t="s">
        <v>172</v>
      </c>
      <c r="F88" s="8" t="s">
        <v>35</v>
      </c>
      <c r="G88" s="36">
        <f>VLOOKUP(E88,Flipkart!$A$1:$B$296,2,0)</f>
        <v>0.04</v>
      </c>
      <c r="H88" s="36">
        <f t="shared" ca="1" si="1"/>
        <v>0.04</v>
      </c>
      <c r="I88" s="36" t="str">
        <f>_xlfn.XLOOKUP(E88,'Product List'!$B$2:$B$299,'Product List'!$A$2:$A$299)</f>
        <v>Xerox 223</v>
      </c>
      <c r="J88" s="36"/>
      <c r="K88" s="36"/>
      <c r="L88" s="36"/>
      <c r="M88" s="36"/>
      <c r="N88" s="36"/>
    </row>
    <row r="89" spans="1:14">
      <c r="A89" s="8" t="s">
        <v>173</v>
      </c>
      <c r="B89" s="19">
        <v>41398</v>
      </c>
      <c r="C89" s="8" t="s">
        <v>51</v>
      </c>
      <c r="D89" s="8">
        <v>10002</v>
      </c>
      <c r="E89" s="8" t="s">
        <v>145</v>
      </c>
      <c r="F89" s="8" t="s">
        <v>43</v>
      </c>
      <c r="G89" s="36">
        <f>VLOOKUP(E89,Flipkart!$A$1:$B$296,2,0)</f>
        <v>0</v>
      </c>
      <c r="H89" s="36">
        <f t="shared" ca="1" si="1"/>
        <v>0.04</v>
      </c>
      <c r="I89" s="36" t="str">
        <f>_xlfn.XLOOKUP(E89,'Product List'!$B$2:$B$299,'Product List'!$A$2:$A$299)</f>
        <v>Xerox 1913</v>
      </c>
      <c r="J89" s="36"/>
      <c r="K89" s="36"/>
      <c r="L89" s="36"/>
      <c r="M89" s="36"/>
      <c r="N89" s="36"/>
    </row>
    <row r="90" spans="1:14">
      <c r="A90" s="8" t="s">
        <v>173</v>
      </c>
      <c r="B90" s="19">
        <v>41398</v>
      </c>
      <c r="C90" s="8" t="s">
        <v>27</v>
      </c>
      <c r="D90" s="8">
        <v>10014</v>
      </c>
      <c r="E90" s="8" t="s">
        <v>174</v>
      </c>
      <c r="F90" s="8" t="s">
        <v>50</v>
      </c>
      <c r="G90" s="36">
        <f>VLOOKUP(E90,Flipkart!$A$1:$B$296,2,0)</f>
        <v>0</v>
      </c>
      <c r="H90" s="36">
        <f t="shared" ca="1" si="1"/>
        <v>0.01</v>
      </c>
      <c r="I90" s="36" t="str">
        <f>_xlfn.XLOOKUP(E90,'Product List'!$B$2:$B$299,'Product List'!$A$2:$A$299)</f>
        <v>Staples</v>
      </c>
      <c r="J90" s="36"/>
      <c r="K90" s="36"/>
      <c r="L90" s="36"/>
      <c r="M90" s="36"/>
      <c r="N90" s="36"/>
    </row>
    <row r="91" spans="1:14">
      <c r="A91" s="8" t="s">
        <v>173</v>
      </c>
      <c r="B91" s="19">
        <v>41398</v>
      </c>
      <c r="C91" s="8" t="s">
        <v>44</v>
      </c>
      <c r="D91" s="8">
        <v>10009</v>
      </c>
      <c r="E91" s="8" t="s">
        <v>60</v>
      </c>
      <c r="F91" s="8" t="s">
        <v>40</v>
      </c>
      <c r="G91" s="36">
        <f>VLOOKUP(E91,Flipkart!$A$1:$B$296,2,0)</f>
        <v>0.03</v>
      </c>
      <c r="H91" s="36">
        <f t="shared" ca="1" si="1"/>
        <v>0.03</v>
      </c>
      <c r="I91" s="36" t="str">
        <f>_xlfn.XLOOKUP(E91,'Product List'!$B$2:$B$299,'Product List'!$A$2:$A$299)</f>
        <v>Xerox 1889</v>
      </c>
      <c r="J91" s="36"/>
      <c r="K91" s="36"/>
      <c r="L91" s="36"/>
      <c r="M91" s="36"/>
      <c r="N91" s="36"/>
    </row>
    <row r="92" spans="1:14">
      <c r="A92" s="8" t="s">
        <v>175</v>
      </c>
      <c r="B92" s="19">
        <v>41399</v>
      </c>
      <c r="C92" s="8" t="s">
        <v>44</v>
      </c>
      <c r="D92" s="8">
        <v>10003</v>
      </c>
      <c r="E92" s="8" t="s">
        <v>176</v>
      </c>
      <c r="F92" s="8" t="s">
        <v>50</v>
      </c>
      <c r="G92" s="36">
        <f>VLOOKUP(E92,Flipkart!$A$1:$B$296,2,0)</f>
        <v>0</v>
      </c>
      <c r="H92" s="36">
        <f t="shared" ca="1" si="1"/>
        <v>0.02</v>
      </c>
      <c r="I92" s="36" t="str">
        <f>_xlfn.XLOOKUP(E92,'Product List'!$B$2:$B$299,'Product List'!$A$2:$A$299)</f>
        <v>Xerox 1989</v>
      </c>
      <c r="J92" s="36"/>
      <c r="K92" s="36"/>
      <c r="L92" s="36"/>
      <c r="M92" s="36"/>
      <c r="N92" s="36"/>
    </row>
    <row r="93" spans="1:14">
      <c r="A93" s="8" t="s">
        <v>177</v>
      </c>
      <c r="B93" s="19">
        <v>41400</v>
      </c>
      <c r="C93" s="8" t="s">
        <v>46</v>
      </c>
      <c r="D93" s="8">
        <v>10006</v>
      </c>
      <c r="E93" s="8" t="s">
        <v>178</v>
      </c>
      <c r="F93" s="8" t="s">
        <v>40</v>
      </c>
      <c r="G93" s="36">
        <f>VLOOKUP(E93,Flipkart!$A$1:$B$296,2,0)</f>
        <v>0.03</v>
      </c>
      <c r="H93" s="36">
        <f t="shared" ca="1" si="1"/>
        <v>0.05</v>
      </c>
      <c r="I93" s="36" t="str">
        <f>_xlfn.XLOOKUP(E93,'Product List'!$B$2:$B$299,'Product List'!$A$2:$A$299)</f>
        <v>Xerox 1912</v>
      </c>
      <c r="J93" s="36"/>
      <c r="K93" s="36"/>
      <c r="L93" s="36"/>
      <c r="M93" s="36"/>
      <c r="N93" s="36"/>
    </row>
    <row r="94" spans="1:14">
      <c r="A94" s="8" t="s">
        <v>179</v>
      </c>
      <c r="B94" s="19">
        <v>41400</v>
      </c>
      <c r="C94" s="8" t="s">
        <v>66</v>
      </c>
      <c r="D94" s="8">
        <v>10004</v>
      </c>
      <c r="E94" s="8" t="s">
        <v>180</v>
      </c>
      <c r="F94" s="8" t="s">
        <v>43</v>
      </c>
      <c r="G94" s="36">
        <f>VLOOKUP(E94,Flipkart!$A$1:$B$296,2,0)</f>
        <v>0.04</v>
      </c>
      <c r="H94" s="36">
        <f t="shared" ca="1" si="1"/>
        <v>0.01</v>
      </c>
      <c r="I94" s="36" t="str">
        <f>_xlfn.XLOOKUP(E94,'Product List'!$B$2:$B$299,'Product List'!$A$2:$A$299)</f>
        <v>Avery 497</v>
      </c>
      <c r="J94" s="36"/>
      <c r="K94" s="36"/>
      <c r="L94" s="36"/>
      <c r="M94" s="36"/>
      <c r="N94" s="36"/>
    </row>
    <row r="95" spans="1:14">
      <c r="A95" s="8" t="s">
        <v>181</v>
      </c>
      <c r="B95" s="19">
        <v>41402</v>
      </c>
      <c r="C95" s="8" t="s">
        <v>36</v>
      </c>
      <c r="D95" s="8">
        <v>10002</v>
      </c>
      <c r="E95" s="8" t="s">
        <v>182</v>
      </c>
      <c r="F95" s="8" t="s">
        <v>35</v>
      </c>
      <c r="G95" s="36">
        <f>VLOOKUP(E95,Flipkart!$A$1:$B$296,2,0)</f>
        <v>0.04</v>
      </c>
      <c r="H95" s="36">
        <f t="shared" ca="1" si="1"/>
        <v>0.04</v>
      </c>
      <c r="I95" s="36" t="str">
        <f>_xlfn.XLOOKUP(E95,'Product List'!$B$2:$B$299,'Product List'!$A$2:$A$299)</f>
        <v>Newell 351</v>
      </c>
      <c r="J95" s="36"/>
      <c r="K95" s="36"/>
      <c r="L95" s="36"/>
      <c r="M95" s="36"/>
      <c r="N95" s="36"/>
    </row>
    <row r="96" spans="1:14">
      <c r="A96" s="8" t="s">
        <v>183</v>
      </c>
      <c r="B96" s="19">
        <v>41404</v>
      </c>
      <c r="C96" s="8" t="s">
        <v>44</v>
      </c>
      <c r="D96" s="8">
        <v>10014</v>
      </c>
      <c r="E96" s="8" t="s">
        <v>184</v>
      </c>
      <c r="F96" s="8" t="s">
        <v>43</v>
      </c>
      <c r="G96" s="36">
        <f>VLOOKUP(E96,Flipkart!$A$1:$B$296,2,0)</f>
        <v>0.03</v>
      </c>
      <c r="H96" s="36">
        <f t="shared" ca="1" si="1"/>
        <v>0.04</v>
      </c>
      <c r="I96" s="36" t="str">
        <f>_xlfn.XLOOKUP(E96,'Product List'!$B$2:$B$299,'Product List'!$A$2:$A$299)</f>
        <v>Xerox 1983</v>
      </c>
      <c r="J96" s="36"/>
      <c r="K96" s="36"/>
      <c r="L96" s="36"/>
      <c r="M96" s="36"/>
      <c r="N96" s="36"/>
    </row>
    <row r="97" spans="1:14">
      <c r="A97" s="8" t="s">
        <v>185</v>
      </c>
      <c r="B97" s="19">
        <v>41404</v>
      </c>
      <c r="C97" s="8" t="s">
        <v>66</v>
      </c>
      <c r="D97" s="8">
        <v>10008</v>
      </c>
      <c r="E97" s="8" t="s">
        <v>186</v>
      </c>
      <c r="F97" s="8" t="s">
        <v>43</v>
      </c>
      <c r="G97" s="36">
        <f>VLOOKUP(E97,Flipkart!$A$1:$B$296,2,0)</f>
        <v>0</v>
      </c>
      <c r="H97" s="36">
        <f t="shared" ca="1" si="1"/>
        <v>0.01</v>
      </c>
      <c r="I97" s="36" t="str">
        <f>_xlfn.XLOOKUP(E97,'Product List'!$B$2:$B$299,'Product List'!$A$2:$A$299)</f>
        <v>Avery 478</v>
      </c>
      <c r="J97" s="36"/>
      <c r="K97" s="36"/>
      <c r="L97" s="36"/>
      <c r="M97" s="36"/>
      <c r="N97" s="36"/>
    </row>
    <row r="98" spans="1:14">
      <c r="A98" s="8" t="s">
        <v>187</v>
      </c>
      <c r="B98" s="19">
        <v>41404</v>
      </c>
      <c r="C98" s="8" t="s">
        <v>36</v>
      </c>
      <c r="D98" s="8">
        <v>10005</v>
      </c>
      <c r="E98" s="8" t="s">
        <v>188</v>
      </c>
      <c r="F98" s="8" t="s">
        <v>32</v>
      </c>
      <c r="G98" s="36">
        <f>VLOOKUP(E98,Flipkart!$A$1:$B$296,2,0)</f>
        <v>0.03</v>
      </c>
      <c r="H98" s="36">
        <f t="shared" ca="1" si="1"/>
        <v>0.02</v>
      </c>
      <c r="I98" s="36" t="str">
        <f>_xlfn.XLOOKUP(E98,'Product List'!$B$2:$B$299,'Product List'!$A$2:$A$299)</f>
        <v>Xerox 1953</v>
      </c>
      <c r="J98" s="36"/>
      <c r="K98" s="36"/>
      <c r="L98" s="36"/>
      <c r="M98" s="36"/>
      <c r="N98" s="36"/>
    </row>
    <row r="99" spans="1:14">
      <c r="A99" s="8" t="s">
        <v>187</v>
      </c>
      <c r="B99" s="19">
        <v>41404</v>
      </c>
      <c r="C99" s="8" t="s">
        <v>36</v>
      </c>
      <c r="D99" s="8">
        <v>10003</v>
      </c>
      <c r="E99" s="8" t="s">
        <v>88</v>
      </c>
      <c r="F99" s="8" t="s">
        <v>43</v>
      </c>
      <c r="G99" s="36">
        <f>VLOOKUP(E99,Flipkart!$A$1:$B$296,2,0)</f>
        <v>0</v>
      </c>
      <c r="H99" s="36">
        <f t="shared" ca="1" si="1"/>
        <v>0.05</v>
      </c>
      <c r="I99" s="36" t="str">
        <f>_xlfn.XLOOKUP(E99,'Product List'!$B$2:$B$299,'Product List'!$A$2:$A$299)</f>
        <v>Xerox 1922</v>
      </c>
      <c r="J99" s="36"/>
      <c r="K99" s="36"/>
      <c r="L99" s="36"/>
      <c r="M99" s="36"/>
      <c r="N99" s="36"/>
    </row>
    <row r="100" spans="1:14">
      <c r="A100" s="8" t="s">
        <v>189</v>
      </c>
      <c r="B100" s="19">
        <v>41406</v>
      </c>
      <c r="C100" s="8" t="s">
        <v>44</v>
      </c>
      <c r="D100" s="8">
        <v>10003</v>
      </c>
      <c r="E100" s="8" t="s">
        <v>190</v>
      </c>
      <c r="F100" s="8" t="s">
        <v>43</v>
      </c>
      <c r="G100" s="36">
        <f>VLOOKUP(E100,Flipkart!$A$1:$B$296,2,0)</f>
        <v>0.02</v>
      </c>
      <c r="H100" s="36">
        <f t="shared" ca="1" si="1"/>
        <v>0.04</v>
      </c>
      <c r="I100" s="36" t="str">
        <f>_xlfn.XLOOKUP(E100,'Product List'!$B$2:$B$299,'Product List'!$A$2:$A$299)</f>
        <v>Xerox 1887</v>
      </c>
      <c r="J100" s="36"/>
      <c r="K100" s="36"/>
      <c r="L100" s="36"/>
      <c r="M100" s="36"/>
      <c r="N100" s="36"/>
    </row>
    <row r="101" spans="1:14">
      <c r="A101" s="8" t="s">
        <v>191</v>
      </c>
      <c r="B101" s="19">
        <v>41410</v>
      </c>
      <c r="C101" s="8" t="s">
        <v>54</v>
      </c>
      <c r="D101" s="8">
        <v>10004</v>
      </c>
      <c r="E101" s="8" t="s">
        <v>116</v>
      </c>
      <c r="F101" s="8" t="s">
        <v>50</v>
      </c>
      <c r="G101" s="36">
        <f>VLOOKUP(E101,Flipkart!$A$1:$B$296,2,0)</f>
        <v>0.02</v>
      </c>
      <c r="H101" s="36">
        <f t="shared" ca="1" si="1"/>
        <v>0.04</v>
      </c>
      <c r="I101" s="36" t="str">
        <f>_xlfn.XLOOKUP(E101,'Product List'!$B$2:$B$299,'Product List'!$A$2:$A$299)</f>
        <v>Newell 326</v>
      </c>
      <c r="J101" s="36"/>
      <c r="K101" s="36"/>
      <c r="L101" s="36"/>
      <c r="M101" s="36"/>
      <c r="N101" s="36"/>
    </row>
    <row r="102" spans="1:14">
      <c r="A102" s="8" t="s">
        <v>192</v>
      </c>
      <c r="B102" s="19">
        <v>41411</v>
      </c>
      <c r="C102" s="8" t="s">
        <v>44</v>
      </c>
      <c r="D102" s="8">
        <v>10001</v>
      </c>
      <c r="E102" s="8" t="s">
        <v>164</v>
      </c>
      <c r="F102" s="8" t="s">
        <v>50</v>
      </c>
      <c r="G102" s="36">
        <f>VLOOKUP(E102,Flipkart!$A$1:$B$296,2,0)</f>
        <v>0.03</v>
      </c>
      <c r="H102" s="36">
        <f t="shared" ca="1" si="1"/>
        <v>0.05</v>
      </c>
      <c r="I102" s="36" t="str">
        <f>_xlfn.XLOOKUP(E102,'Product List'!$B$2:$B$299,'Product List'!$A$2:$A$299)</f>
        <v>Avery 52</v>
      </c>
      <c r="J102" s="36"/>
      <c r="K102" s="36"/>
      <c r="L102" s="36"/>
      <c r="M102" s="36"/>
      <c r="N102" s="36"/>
    </row>
    <row r="103" spans="1:14">
      <c r="A103" s="8" t="s">
        <v>193</v>
      </c>
      <c r="B103" s="19">
        <v>41411</v>
      </c>
      <c r="C103" s="8" t="s">
        <v>33</v>
      </c>
      <c r="D103" s="8">
        <v>10003</v>
      </c>
      <c r="E103" s="8" t="s">
        <v>149</v>
      </c>
      <c r="F103" s="8" t="s">
        <v>29</v>
      </c>
      <c r="G103" s="36">
        <f>VLOOKUP(E103,Flipkart!$A$1:$B$296,2,0)</f>
        <v>0.05</v>
      </c>
      <c r="H103" s="36">
        <f t="shared" ca="1" si="1"/>
        <v>0.03</v>
      </c>
      <c r="I103" s="36" t="str">
        <f>_xlfn.XLOOKUP(E103,'Product List'!$B$2:$B$299,'Product List'!$A$2:$A$299)</f>
        <v>Xerox 1992</v>
      </c>
      <c r="J103" s="36"/>
      <c r="K103" s="36"/>
      <c r="L103" s="36"/>
      <c r="M103" s="36"/>
      <c r="N103" s="36"/>
    </row>
    <row r="104" spans="1:14">
      <c r="A104" s="8" t="s">
        <v>194</v>
      </c>
      <c r="B104" s="19">
        <v>41412</v>
      </c>
      <c r="C104" s="8" t="s">
        <v>27</v>
      </c>
      <c r="D104" s="8">
        <v>10015</v>
      </c>
      <c r="E104" s="8" t="s">
        <v>195</v>
      </c>
      <c r="F104" s="8" t="s">
        <v>32</v>
      </c>
      <c r="G104" s="36">
        <f>VLOOKUP(E104,Flipkart!$A$1:$B$296,2,0)</f>
        <v>0.02</v>
      </c>
      <c r="H104" s="36">
        <f t="shared" ca="1" si="1"/>
        <v>0.02</v>
      </c>
      <c r="I104" s="36" t="str">
        <f>_xlfn.XLOOKUP(E104,'Product List'!$B$2:$B$299,'Product List'!$A$2:$A$299)</f>
        <v>Newell 335</v>
      </c>
      <c r="J104" s="36"/>
      <c r="K104" s="36"/>
      <c r="L104" s="36"/>
      <c r="M104" s="36"/>
      <c r="N104" s="36"/>
    </row>
    <row r="105" spans="1:14">
      <c r="A105" s="8" t="s">
        <v>194</v>
      </c>
      <c r="B105" s="19">
        <v>41412</v>
      </c>
      <c r="C105" s="8" t="s">
        <v>44</v>
      </c>
      <c r="D105" s="8">
        <v>10008</v>
      </c>
      <c r="E105" s="8" t="s">
        <v>91</v>
      </c>
      <c r="F105" s="8" t="s">
        <v>43</v>
      </c>
      <c r="G105" s="36">
        <f>VLOOKUP(E105,Flipkart!$A$1:$B$296,2,0)</f>
        <v>0.05</v>
      </c>
      <c r="H105" s="36">
        <f t="shared" ca="1" si="1"/>
        <v>0.05</v>
      </c>
      <c r="I105" s="36" t="str">
        <f>_xlfn.XLOOKUP(E105,'Product List'!$B$2:$B$299,'Product List'!$A$2:$A$299)</f>
        <v>Avery 475</v>
      </c>
      <c r="J105" s="36"/>
      <c r="K105" s="36"/>
      <c r="L105" s="36"/>
      <c r="M105" s="36"/>
      <c r="N105" s="36"/>
    </row>
    <row r="106" spans="1:14">
      <c r="A106" s="8" t="s">
        <v>196</v>
      </c>
      <c r="B106" s="19">
        <v>41412</v>
      </c>
      <c r="C106" s="8" t="s">
        <v>51</v>
      </c>
      <c r="D106" s="8">
        <v>10015</v>
      </c>
      <c r="E106" s="8" t="s">
        <v>83</v>
      </c>
      <c r="F106" s="8" t="s">
        <v>43</v>
      </c>
      <c r="G106" s="36">
        <f>VLOOKUP(E106,Flipkart!$A$1:$B$296,2,0)</f>
        <v>0.05</v>
      </c>
      <c r="H106" s="36">
        <f t="shared" ca="1" si="1"/>
        <v>0.02</v>
      </c>
      <c r="I106" s="36" t="str">
        <f>_xlfn.XLOOKUP(E106,'Product List'!$B$2:$B$299,'Product List'!$A$2:$A$299)</f>
        <v>Xerox 211</v>
      </c>
      <c r="J106" s="36"/>
      <c r="K106" s="36"/>
      <c r="L106" s="36"/>
      <c r="M106" s="36"/>
      <c r="N106" s="36"/>
    </row>
    <row r="107" spans="1:14">
      <c r="A107" s="8" t="s">
        <v>197</v>
      </c>
      <c r="B107" s="19">
        <v>41414</v>
      </c>
      <c r="C107" s="8" t="s">
        <v>54</v>
      </c>
      <c r="D107" s="8">
        <v>10006</v>
      </c>
      <c r="E107" s="8" t="s">
        <v>78</v>
      </c>
      <c r="F107" s="8" t="s">
        <v>40</v>
      </c>
      <c r="G107" s="36">
        <f>VLOOKUP(E107,Flipkart!$A$1:$B$296,2,0)</f>
        <v>0.02</v>
      </c>
      <c r="H107" s="36">
        <f t="shared" ca="1" si="1"/>
        <v>0.01</v>
      </c>
      <c r="I107" s="36" t="str">
        <f>_xlfn.XLOOKUP(E107,'Product List'!$B$2:$B$299,'Product List'!$A$2:$A$299)</f>
        <v>Xerox 199</v>
      </c>
      <c r="J107" s="36"/>
      <c r="K107" s="36"/>
      <c r="L107" s="36"/>
      <c r="M107" s="36"/>
      <c r="N107" s="36"/>
    </row>
    <row r="108" spans="1:14">
      <c r="A108" s="8" t="s">
        <v>198</v>
      </c>
      <c r="B108" s="19">
        <v>41414</v>
      </c>
      <c r="C108" s="8" t="s">
        <v>33</v>
      </c>
      <c r="D108" s="8">
        <v>10001</v>
      </c>
      <c r="E108" s="8" t="s">
        <v>103</v>
      </c>
      <c r="F108" s="8" t="s">
        <v>29</v>
      </c>
      <c r="G108" s="36">
        <f>VLOOKUP(E108,Flipkart!$A$1:$B$296,2,0)</f>
        <v>0.04</v>
      </c>
      <c r="H108" s="36">
        <f t="shared" ca="1" si="1"/>
        <v>0.03</v>
      </c>
      <c r="I108" s="36" t="str">
        <f>_xlfn.XLOOKUP(E108,'Product List'!$B$2:$B$299,'Product List'!$A$2:$A$299)</f>
        <v>Xerox 1981</v>
      </c>
      <c r="J108" s="36"/>
      <c r="K108" s="36"/>
      <c r="L108" s="36"/>
      <c r="M108" s="36"/>
      <c r="N108" s="36"/>
    </row>
    <row r="109" spans="1:14">
      <c r="A109" s="8" t="s">
        <v>199</v>
      </c>
      <c r="B109" s="19">
        <v>41414</v>
      </c>
      <c r="C109" s="8" t="s">
        <v>66</v>
      </c>
      <c r="D109" s="8">
        <v>10001</v>
      </c>
      <c r="E109" s="8" t="s">
        <v>200</v>
      </c>
      <c r="F109" s="8" t="s">
        <v>50</v>
      </c>
      <c r="G109" s="36">
        <f>VLOOKUP(E109,Flipkart!$A$1:$B$296,2,0)</f>
        <v>0.04</v>
      </c>
      <c r="H109" s="36">
        <f t="shared" ca="1" si="1"/>
        <v>0.04</v>
      </c>
      <c r="I109" s="36" t="str">
        <f>_xlfn.XLOOKUP(E109,'Product List'!$B$2:$B$299,'Product List'!$A$2:$A$299)</f>
        <v>Xerox 1980</v>
      </c>
      <c r="J109" s="36"/>
      <c r="K109" s="36"/>
      <c r="L109" s="36"/>
      <c r="M109" s="36"/>
      <c r="N109" s="36"/>
    </row>
    <row r="110" spans="1:14">
      <c r="A110" s="8" t="s">
        <v>201</v>
      </c>
      <c r="B110" s="19">
        <v>41414</v>
      </c>
      <c r="C110" s="8" t="s">
        <v>36</v>
      </c>
      <c r="D110" s="8">
        <v>10012</v>
      </c>
      <c r="E110" s="8" t="s">
        <v>93</v>
      </c>
      <c r="F110" s="8" t="s">
        <v>32</v>
      </c>
      <c r="G110" s="36">
        <f>VLOOKUP(E110,Flipkart!$A$1:$B$296,2,0)</f>
        <v>0.04</v>
      </c>
      <c r="H110" s="36">
        <f t="shared" ca="1" si="1"/>
        <v>0</v>
      </c>
      <c r="I110" s="36" t="str">
        <f>_xlfn.XLOOKUP(E110,'Product List'!$B$2:$B$299,'Product List'!$A$2:$A$299)</f>
        <v>Xerox 1943</v>
      </c>
      <c r="J110" s="36"/>
      <c r="K110" s="36"/>
      <c r="L110" s="36"/>
      <c r="M110" s="36"/>
      <c r="N110" s="36"/>
    </row>
    <row r="111" spans="1:14">
      <c r="A111" s="8" t="s">
        <v>202</v>
      </c>
      <c r="B111" s="19">
        <v>41415</v>
      </c>
      <c r="C111" s="8" t="s">
        <v>27</v>
      </c>
      <c r="D111" s="8">
        <v>10007</v>
      </c>
      <c r="E111" s="8" t="s">
        <v>118</v>
      </c>
      <c r="F111" s="8" t="s">
        <v>50</v>
      </c>
      <c r="G111" s="36">
        <f>VLOOKUP(E111,Flipkart!$A$1:$B$296,2,0)</f>
        <v>0.01</v>
      </c>
      <c r="H111" s="36">
        <f t="shared" ca="1" si="1"/>
        <v>0</v>
      </c>
      <c r="I111" s="36" t="str">
        <f>_xlfn.XLOOKUP(E111,'Product List'!$B$2:$B$299,'Product List'!$A$2:$A$299)</f>
        <v>Xerox 1998</v>
      </c>
      <c r="J111" s="36"/>
      <c r="K111" s="36"/>
      <c r="L111" s="36"/>
      <c r="M111" s="36"/>
      <c r="N111" s="36"/>
    </row>
    <row r="112" spans="1:14">
      <c r="A112" s="8" t="s">
        <v>202</v>
      </c>
      <c r="B112" s="19">
        <v>41415</v>
      </c>
      <c r="C112" s="8" t="s">
        <v>33</v>
      </c>
      <c r="D112" s="8">
        <v>10010</v>
      </c>
      <c r="E112" s="8" t="s">
        <v>203</v>
      </c>
      <c r="F112" s="8" t="s">
        <v>29</v>
      </c>
      <c r="G112" s="36">
        <f>VLOOKUP(E112,Flipkart!$A$1:$B$296,2,0)</f>
        <v>0.02</v>
      </c>
      <c r="H112" s="36">
        <f t="shared" ca="1" si="1"/>
        <v>0</v>
      </c>
      <c r="I112" s="36" t="str">
        <f>_xlfn.XLOOKUP(E112,'Product List'!$B$2:$B$299,'Product List'!$A$2:$A$299)</f>
        <v>Xerox 1957</v>
      </c>
      <c r="J112" s="36"/>
      <c r="K112" s="36"/>
      <c r="L112" s="36"/>
      <c r="M112" s="36"/>
      <c r="N112" s="36"/>
    </row>
    <row r="113" spans="1:14">
      <c r="A113" s="8" t="s">
        <v>204</v>
      </c>
      <c r="B113" s="19">
        <v>41416</v>
      </c>
      <c r="C113" s="8" t="s">
        <v>51</v>
      </c>
      <c r="D113" s="8">
        <v>10004</v>
      </c>
      <c r="E113" s="8" t="s">
        <v>205</v>
      </c>
      <c r="F113" s="8" t="s">
        <v>50</v>
      </c>
      <c r="G113" s="36">
        <f>VLOOKUP(E113,Flipkart!$A$1:$B$296,2,0)</f>
        <v>0.02</v>
      </c>
      <c r="H113" s="36">
        <f t="shared" ca="1" si="1"/>
        <v>0.03</v>
      </c>
      <c r="I113" s="36" t="str">
        <f>_xlfn.XLOOKUP(E113,'Product List'!$B$2:$B$299,'Product List'!$A$2:$A$299)</f>
        <v>AT&amp;T TR1909W</v>
      </c>
      <c r="J113" s="36"/>
      <c r="K113" s="36"/>
      <c r="L113" s="36"/>
      <c r="M113" s="36"/>
      <c r="N113" s="36"/>
    </row>
    <row r="114" spans="1:14">
      <c r="A114" s="8" t="s">
        <v>204</v>
      </c>
      <c r="B114" s="19">
        <v>41416</v>
      </c>
      <c r="C114" s="8" t="s">
        <v>33</v>
      </c>
      <c r="D114" s="8">
        <v>10013</v>
      </c>
      <c r="E114" s="8" t="s">
        <v>206</v>
      </c>
      <c r="F114" s="8" t="s">
        <v>50</v>
      </c>
      <c r="G114" s="36">
        <f>VLOOKUP(E114,Flipkart!$A$1:$B$296,2,0)</f>
        <v>0</v>
      </c>
      <c r="H114" s="36">
        <f t="shared" ca="1" si="1"/>
        <v>0</v>
      </c>
      <c r="I114" s="36" t="str">
        <f>_xlfn.XLOOKUP(E114,'Product List'!$B$2:$B$299,'Product List'!$A$2:$A$299)</f>
        <v>Xerox 1973</v>
      </c>
      <c r="J114" s="36"/>
      <c r="K114" s="36"/>
      <c r="L114" s="36"/>
      <c r="M114" s="36"/>
      <c r="N114" s="36"/>
    </row>
    <row r="115" spans="1:14">
      <c r="A115" s="8" t="s">
        <v>207</v>
      </c>
      <c r="B115" s="19">
        <v>41417</v>
      </c>
      <c r="C115" s="8" t="s">
        <v>54</v>
      </c>
      <c r="D115" s="8">
        <v>10012</v>
      </c>
      <c r="E115" s="8" t="s">
        <v>208</v>
      </c>
      <c r="F115" s="8" t="s">
        <v>35</v>
      </c>
      <c r="G115" s="36">
        <f>VLOOKUP(E115,Flipkart!$A$1:$B$296,2,0)</f>
        <v>0</v>
      </c>
      <c r="H115" s="36">
        <f t="shared" ca="1" si="1"/>
        <v>0</v>
      </c>
      <c r="I115" s="36" t="str">
        <f>_xlfn.XLOOKUP(E115,'Product List'!$B$2:$B$299,'Product List'!$A$2:$A$299)</f>
        <v>Xerox 1928</v>
      </c>
      <c r="J115" s="36"/>
      <c r="K115" s="36"/>
      <c r="L115" s="36"/>
      <c r="M115" s="36"/>
      <c r="N115" s="36"/>
    </row>
    <row r="116" spans="1:14">
      <c r="A116" s="8" t="s">
        <v>209</v>
      </c>
      <c r="B116" s="19">
        <v>41419</v>
      </c>
      <c r="C116" s="8" t="s">
        <v>46</v>
      </c>
      <c r="D116" s="8">
        <v>10013</v>
      </c>
      <c r="E116" s="8" t="s">
        <v>28</v>
      </c>
      <c r="F116" s="8" t="s">
        <v>35</v>
      </c>
      <c r="G116" s="36">
        <f>VLOOKUP(E116,Flipkart!$A$1:$B$296,2,0)</f>
        <v>0</v>
      </c>
      <c r="H116" s="36">
        <f t="shared" ca="1" si="1"/>
        <v>0</v>
      </c>
      <c r="I116" s="36" t="str">
        <f>_xlfn.XLOOKUP(E116,'Product List'!$B$2:$B$299,'Product List'!$A$2:$A$299)</f>
        <v>Xerox 1951</v>
      </c>
      <c r="J116" s="36"/>
      <c r="K116" s="36"/>
      <c r="L116" s="36"/>
      <c r="M116" s="36"/>
      <c r="N116" s="36"/>
    </row>
    <row r="117" spans="1:14">
      <c r="A117" s="8" t="s">
        <v>210</v>
      </c>
      <c r="B117" s="19">
        <v>41420</v>
      </c>
      <c r="C117" s="8" t="s">
        <v>44</v>
      </c>
      <c r="D117" s="8">
        <v>10013</v>
      </c>
      <c r="E117" s="8" t="s">
        <v>211</v>
      </c>
      <c r="F117" s="8" t="s">
        <v>29</v>
      </c>
      <c r="G117" s="36">
        <f>VLOOKUP(E117,Flipkart!$A$1:$B$296,2,0)</f>
        <v>0.03</v>
      </c>
      <c r="H117" s="36">
        <f t="shared" ca="1" si="1"/>
        <v>0</v>
      </c>
      <c r="I117" s="36" t="str">
        <f>_xlfn.XLOOKUP(E117,'Product List'!$B$2:$B$299,'Product List'!$A$2:$A$299)</f>
        <v>Xerox 1993</v>
      </c>
      <c r="J117" s="36"/>
      <c r="K117" s="36"/>
      <c r="L117" s="36"/>
      <c r="M117" s="36"/>
      <c r="N117" s="36"/>
    </row>
    <row r="118" spans="1:14">
      <c r="A118" s="8" t="s">
        <v>212</v>
      </c>
      <c r="B118" s="19">
        <v>41420</v>
      </c>
      <c r="C118" s="8" t="s">
        <v>33</v>
      </c>
      <c r="D118" s="8">
        <v>10009</v>
      </c>
      <c r="E118" s="8" t="s">
        <v>213</v>
      </c>
      <c r="F118" s="8" t="s">
        <v>40</v>
      </c>
      <c r="G118" s="36">
        <f>VLOOKUP(E118,Flipkart!$A$1:$B$296,2,0)</f>
        <v>0.04</v>
      </c>
      <c r="H118" s="36">
        <f t="shared" ca="1" si="1"/>
        <v>0.01</v>
      </c>
      <c r="I118" s="36" t="str">
        <f>_xlfn.XLOOKUP(E118,'Product List'!$B$2:$B$299,'Product List'!$A$2:$A$299)</f>
        <v>Cisco SPA301</v>
      </c>
      <c r="J118" s="36"/>
      <c r="K118" s="36"/>
      <c r="L118" s="36"/>
      <c r="M118" s="36"/>
      <c r="N118" s="36"/>
    </row>
    <row r="119" spans="1:14">
      <c r="A119" s="8" t="s">
        <v>214</v>
      </c>
      <c r="B119" s="19">
        <v>41421</v>
      </c>
      <c r="C119" s="8" t="s">
        <v>46</v>
      </c>
      <c r="D119" s="8">
        <v>10004</v>
      </c>
      <c r="E119" s="8" t="s">
        <v>83</v>
      </c>
      <c r="F119" s="8" t="s">
        <v>29</v>
      </c>
      <c r="G119" s="36">
        <f>VLOOKUP(E119,Flipkart!$A$1:$B$296,2,0)</f>
        <v>0.05</v>
      </c>
      <c r="H119" s="36">
        <f t="shared" ca="1" si="1"/>
        <v>0.01</v>
      </c>
      <c r="I119" s="36" t="str">
        <f>_xlfn.XLOOKUP(E119,'Product List'!$B$2:$B$299,'Product List'!$A$2:$A$299)</f>
        <v>Xerox 211</v>
      </c>
      <c r="J119" s="36"/>
      <c r="K119" s="36"/>
      <c r="L119" s="36"/>
      <c r="M119" s="36"/>
      <c r="N119" s="36"/>
    </row>
    <row r="120" spans="1:14">
      <c r="A120" s="8" t="s">
        <v>215</v>
      </c>
      <c r="B120" s="19">
        <v>41423</v>
      </c>
      <c r="C120" s="8" t="s">
        <v>51</v>
      </c>
      <c r="D120" s="8">
        <v>10007</v>
      </c>
      <c r="E120" s="8" t="s">
        <v>216</v>
      </c>
      <c r="F120" s="8" t="s">
        <v>32</v>
      </c>
      <c r="G120" s="36">
        <f>VLOOKUP(E120,Flipkart!$A$1:$B$296,2,0)</f>
        <v>0</v>
      </c>
      <c r="H120" s="36">
        <f t="shared" ca="1" si="1"/>
        <v>0.05</v>
      </c>
      <c r="I120" s="36" t="str">
        <f>_xlfn.XLOOKUP(E120,'Product List'!$B$2:$B$299,'Product List'!$A$2:$A$299)</f>
        <v>Xerox 1920</v>
      </c>
      <c r="J120" s="36"/>
      <c r="K120" s="36"/>
      <c r="L120" s="36"/>
      <c r="M120" s="36"/>
      <c r="N120" s="36"/>
    </row>
    <row r="121" spans="1:14">
      <c r="A121" s="8" t="s">
        <v>217</v>
      </c>
      <c r="B121" s="19">
        <v>41423</v>
      </c>
      <c r="C121" s="8" t="s">
        <v>36</v>
      </c>
      <c r="D121" s="8">
        <v>10002</v>
      </c>
      <c r="E121" s="8" t="s">
        <v>218</v>
      </c>
      <c r="F121" s="8" t="s">
        <v>43</v>
      </c>
      <c r="G121" s="36">
        <f>VLOOKUP(E121,Flipkart!$A$1:$B$296,2,0)</f>
        <v>0.05</v>
      </c>
      <c r="H121" s="36">
        <f t="shared" ca="1" si="1"/>
        <v>0.04</v>
      </c>
      <c r="I121" s="36" t="str">
        <f>_xlfn.XLOOKUP(E121,'Product List'!$B$2:$B$299,'Product List'!$A$2:$A$299)</f>
        <v>Avery 509</v>
      </c>
      <c r="J121" s="36"/>
      <c r="K121" s="36"/>
      <c r="L121" s="36"/>
      <c r="M121" s="36"/>
      <c r="N121" s="36"/>
    </row>
    <row r="122" spans="1:14">
      <c r="A122" s="8" t="s">
        <v>219</v>
      </c>
      <c r="B122" s="19">
        <v>41424</v>
      </c>
      <c r="C122" s="8" t="s">
        <v>51</v>
      </c>
      <c r="D122" s="8">
        <v>10012</v>
      </c>
      <c r="E122" s="8" t="s">
        <v>49</v>
      </c>
      <c r="F122" s="8" t="s">
        <v>40</v>
      </c>
      <c r="G122" s="36">
        <f>VLOOKUP(E122,Flipkart!$A$1:$B$296,2,0)</f>
        <v>0.04</v>
      </c>
      <c r="H122" s="36">
        <f t="shared" ca="1" si="1"/>
        <v>0.01</v>
      </c>
      <c r="I122" s="36" t="str">
        <f>_xlfn.XLOOKUP(E122,'Product List'!$B$2:$B$299,'Product List'!$A$2:$A$299)</f>
        <v>Avery 477</v>
      </c>
      <c r="J122" s="36"/>
      <c r="K122" s="36"/>
      <c r="L122" s="36"/>
      <c r="M122" s="36"/>
      <c r="N122" s="36"/>
    </row>
    <row r="123" spans="1:14">
      <c r="A123" s="8" t="s">
        <v>220</v>
      </c>
      <c r="B123" s="19">
        <v>41426</v>
      </c>
      <c r="C123" s="8" t="s">
        <v>36</v>
      </c>
      <c r="D123" s="8">
        <v>10002</v>
      </c>
      <c r="E123" s="8" t="s">
        <v>221</v>
      </c>
      <c r="F123" s="8" t="s">
        <v>40</v>
      </c>
      <c r="G123" s="36">
        <f>VLOOKUP(E123,Flipkart!$A$1:$B$296,2,0)</f>
        <v>0.03</v>
      </c>
      <c r="H123" s="36">
        <f t="shared" ca="1" si="1"/>
        <v>0.05</v>
      </c>
      <c r="I123" s="36" t="str">
        <f>_xlfn.XLOOKUP(E123,'Product List'!$B$2:$B$299,'Product List'!$A$2:$A$299)</f>
        <v>Xerox 1942</v>
      </c>
      <c r="J123" s="36"/>
      <c r="K123" s="36"/>
      <c r="L123" s="36"/>
      <c r="M123" s="36"/>
      <c r="N123" s="36"/>
    </row>
    <row r="124" spans="1:14">
      <c r="A124" s="8" t="s">
        <v>220</v>
      </c>
      <c r="B124" s="19">
        <v>41426</v>
      </c>
      <c r="C124" s="8" t="s">
        <v>44</v>
      </c>
      <c r="D124" s="8">
        <v>10015</v>
      </c>
      <c r="E124" s="8" t="s">
        <v>91</v>
      </c>
      <c r="F124" s="8" t="s">
        <v>50</v>
      </c>
      <c r="G124" s="36">
        <f>VLOOKUP(E124,Flipkart!$A$1:$B$296,2,0)</f>
        <v>0.05</v>
      </c>
      <c r="H124" s="36">
        <f t="shared" ca="1" si="1"/>
        <v>0.01</v>
      </c>
      <c r="I124" s="36" t="str">
        <f>_xlfn.XLOOKUP(E124,'Product List'!$B$2:$B$299,'Product List'!$A$2:$A$299)</f>
        <v>Avery 475</v>
      </c>
      <c r="J124" s="36"/>
      <c r="K124" s="36"/>
      <c r="L124" s="36"/>
      <c r="M124" s="36"/>
      <c r="N124" s="36"/>
    </row>
    <row r="125" spans="1:14">
      <c r="A125" s="8" t="s">
        <v>222</v>
      </c>
      <c r="B125" s="19">
        <v>41426</v>
      </c>
      <c r="C125" s="8" t="s">
        <v>44</v>
      </c>
      <c r="D125" s="8">
        <v>10004</v>
      </c>
      <c r="E125" s="8" t="s">
        <v>223</v>
      </c>
      <c r="F125" s="8" t="s">
        <v>40</v>
      </c>
      <c r="G125" s="36">
        <f>VLOOKUP(E125,Flipkart!$A$1:$B$296,2,0)</f>
        <v>0</v>
      </c>
      <c r="H125" s="36">
        <f t="shared" ca="1" si="1"/>
        <v>0.04</v>
      </c>
      <c r="I125" s="36" t="str">
        <f>_xlfn.XLOOKUP(E125,'Product List'!$B$2:$B$299,'Product List'!$A$2:$A$299)</f>
        <v>Avery 513</v>
      </c>
      <c r="J125" s="36"/>
      <c r="K125" s="36"/>
      <c r="L125" s="36"/>
      <c r="M125" s="36"/>
      <c r="N125" s="36"/>
    </row>
    <row r="126" spans="1:14">
      <c r="A126" s="8" t="s">
        <v>224</v>
      </c>
      <c r="B126" s="19">
        <v>41429</v>
      </c>
      <c r="C126" s="8" t="s">
        <v>51</v>
      </c>
      <c r="D126" s="8">
        <v>10013</v>
      </c>
      <c r="E126" s="8" t="s">
        <v>73</v>
      </c>
      <c r="F126" s="8" t="s">
        <v>35</v>
      </c>
      <c r="G126" s="36">
        <f>VLOOKUP(E126,Flipkart!$A$1:$B$296,2,0)</f>
        <v>0.04</v>
      </c>
      <c r="H126" s="36">
        <f t="shared" ca="1" si="1"/>
        <v>0.04</v>
      </c>
      <c r="I126" s="36" t="str">
        <f>_xlfn.XLOOKUP(E126,'Product List'!$B$2:$B$299,'Product List'!$A$2:$A$299)</f>
        <v>Xerox 1916</v>
      </c>
      <c r="J126" s="36"/>
      <c r="K126" s="36"/>
      <c r="L126" s="36"/>
      <c r="M126" s="36"/>
      <c r="N126" s="36"/>
    </row>
    <row r="127" spans="1:14">
      <c r="A127" s="8" t="s">
        <v>225</v>
      </c>
      <c r="B127" s="19">
        <v>41429</v>
      </c>
      <c r="C127" s="8" t="s">
        <v>36</v>
      </c>
      <c r="D127" s="8">
        <v>10004</v>
      </c>
      <c r="E127" s="8" t="s">
        <v>226</v>
      </c>
      <c r="F127" s="8" t="s">
        <v>35</v>
      </c>
      <c r="G127" s="36">
        <f>VLOOKUP(E127,Flipkart!$A$1:$B$296,2,0)</f>
        <v>0.05</v>
      </c>
      <c r="H127" s="36">
        <f t="shared" ca="1" si="1"/>
        <v>0.05</v>
      </c>
      <c r="I127" s="36" t="str">
        <f>_xlfn.XLOOKUP(E127,'Product List'!$B$2:$B$299,'Product List'!$A$2:$A$299)</f>
        <v>Avery 517</v>
      </c>
      <c r="J127" s="36"/>
      <c r="K127" s="36"/>
      <c r="L127" s="36"/>
      <c r="M127" s="36"/>
      <c r="N127" s="36"/>
    </row>
    <row r="128" spans="1:14">
      <c r="A128" s="8" t="s">
        <v>225</v>
      </c>
      <c r="B128" s="19">
        <v>41429</v>
      </c>
      <c r="C128" s="8" t="s">
        <v>51</v>
      </c>
      <c r="D128" s="8">
        <v>10014</v>
      </c>
      <c r="E128" s="8" t="s">
        <v>227</v>
      </c>
      <c r="F128" s="8" t="s">
        <v>35</v>
      </c>
      <c r="G128" s="36">
        <f>VLOOKUP(E128,Flipkart!$A$1:$B$296,2,0)</f>
        <v>0.02</v>
      </c>
      <c r="H128" s="36">
        <f t="shared" ca="1" si="1"/>
        <v>0.02</v>
      </c>
      <c r="I128" s="36" t="str">
        <f>_xlfn.XLOOKUP(E128,'Product List'!$B$2:$B$299,'Product List'!$A$2:$A$299)</f>
        <v>Xerox 21</v>
      </c>
      <c r="J128" s="36"/>
      <c r="K128" s="36"/>
      <c r="L128" s="36"/>
      <c r="M128" s="36"/>
      <c r="N128" s="36"/>
    </row>
    <row r="129" spans="1:14">
      <c r="A129" s="8" t="s">
        <v>228</v>
      </c>
      <c r="B129" s="19">
        <v>41431</v>
      </c>
      <c r="C129" s="8" t="s">
        <v>27</v>
      </c>
      <c r="D129" s="8">
        <v>10007</v>
      </c>
      <c r="E129" s="8" t="s">
        <v>52</v>
      </c>
      <c r="F129" s="8" t="s">
        <v>35</v>
      </c>
      <c r="G129" s="36">
        <f>VLOOKUP(E129,Flipkart!$A$1:$B$296,2,0)</f>
        <v>0.01</v>
      </c>
      <c r="H129" s="36">
        <f t="shared" ca="1" si="1"/>
        <v>0.01</v>
      </c>
      <c r="I129" s="36" t="str">
        <f>_xlfn.XLOOKUP(E129,'Product List'!$B$2:$B$299,'Product List'!$A$2:$A$299)</f>
        <v>Avery 520</v>
      </c>
      <c r="J129" s="36"/>
      <c r="K129" s="36"/>
      <c r="L129" s="36"/>
      <c r="M129" s="36"/>
      <c r="N129" s="36"/>
    </row>
    <row r="130" spans="1:14">
      <c r="A130" s="8" t="s">
        <v>229</v>
      </c>
      <c r="B130" s="19">
        <v>41431</v>
      </c>
      <c r="C130" s="8" t="s">
        <v>33</v>
      </c>
      <c r="D130" s="8">
        <v>10014</v>
      </c>
      <c r="E130" s="8" t="s">
        <v>126</v>
      </c>
      <c r="F130" s="8" t="s">
        <v>35</v>
      </c>
      <c r="G130" s="36">
        <f>VLOOKUP(E130,Flipkart!$A$1:$B$296,2,0)</f>
        <v>0.05</v>
      </c>
      <c r="H130" s="36">
        <f t="shared" ca="1" si="1"/>
        <v>0.05</v>
      </c>
      <c r="I130" s="36" t="str">
        <f>_xlfn.XLOOKUP(E130,'Product List'!$B$2:$B$299,'Product List'!$A$2:$A$299)</f>
        <v>Xerox 1964</v>
      </c>
      <c r="J130" s="36"/>
      <c r="K130" s="36"/>
      <c r="L130" s="36"/>
      <c r="M130" s="36"/>
      <c r="N130" s="36"/>
    </row>
    <row r="131" spans="1:14">
      <c r="A131" s="8" t="s">
        <v>230</v>
      </c>
      <c r="B131" s="19">
        <v>41432</v>
      </c>
      <c r="C131" s="8" t="s">
        <v>36</v>
      </c>
      <c r="D131" s="8">
        <v>10001</v>
      </c>
      <c r="E131" s="8" t="s">
        <v>231</v>
      </c>
      <c r="F131" s="8" t="s">
        <v>35</v>
      </c>
      <c r="G131" s="36">
        <f>VLOOKUP(E131,Flipkart!$A$1:$B$296,2,0)</f>
        <v>0.01</v>
      </c>
      <c r="H131" s="36">
        <f t="shared" ca="1" si="1"/>
        <v>0.01</v>
      </c>
      <c r="I131" s="36" t="str">
        <f>_xlfn.XLOOKUP(E131,'Product List'!$B$2:$B$299,'Product List'!$A$2:$A$299)</f>
        <v>Newell 350</v>
      </c>
      <c r="J131" s="36"/>
      <c r="K131" s="36"/>
      <c r="L131" s="36"/>
      <c r="M131" s="36"/>
      <c r="N131" s="36"/>
    </row>
    <row r="132" spans="1:14">
      <c r="A132" s="8" t="s">
        <v>230</v>
      </c>
      <c r="B132" s="19">
        <v>41432</v>
      </c>
      <c r="C132" s="8" t="s">
        <v>54</v>
      </c>
      <c r="D132" s="8">
        <v>10005</v>
      </c>
      <c r="E132" s="8" t="s">
        <v>232</v>
      </c>
      <c r="F132" s="8" t="s">
        <v>43</v>
      </c>
      <c r="G132" s="36">
        <f>VLOOKUP(E132,Flipkart!$A$1:$B$296,2,0)</f>
        <v>0.05</v>
      </c>
      <c r="H132" s="36">
        <f t="shared" ref="H132:H195" ca="1" si="2">VLOOKUP(E132,INDIRECT(F132&amp;"!$A$1:$B$296"),2,0)</f>
        <v>0.01</v>
      </c>
      <c r="I132" s="36" t="str">
        <f>_xlfn.XLOOKUP(E132,'Product List'!$B$2:$B$299,'Product List'!$A$2:$A$299)</f>
        <v>Xerox 1914</v>
      </c>
      <c r="J132" s="36"/>
      <c r="K132" s="36"/>
      <c r="L132" s="36"/>
      <c r="M132" s="36"/>
      <c r="N132" s="36"/>
    </row>
    <row r="133" spans="1:14">
      <c r="A133" s="8" t="s">
        <v>233</v>
      </c>
      <c r="B133" s="19">
        <v>41432</v>
      </c>
      <c r="C133" s="8" t="s">
        <v>51</v>
      </c>
      <c r="D133" s="8">
        <v>10002</v>
      </c>
      <c r="E133" s="8" t="s">
        <v>133</v>
      </c>
      <c r="F133" s="8" t="s">
        <v>35</v>
      </c>
      <c r="G133" s="36">
        <f>VLOOKUP(E133,Flipkart!$A$1:$B$296,2,0)</f>
        <v>0.02</v>
      </c>
      <c r="H133" s="36">
        <f t="shared" ca="1" si="2"/>
        <v>0.02</v>
      </c>
      <c r="I133" s="36" t="str">
        <f>_xlfn.XLOOKUP(E133,'Product List'!$B$2:$B$299,'Product List'!$A$2:$A$299)</f>
        <v>Xerox 213</v>
      </c>
      <c r="J133" s="36"/>
      <c r="K133" s="36"/>
      <c r="L133" s="36"/>
      <c r="M133" s="36"/>
      <c r="N133" s="36"/>
    </row>
    <row r="134" spans="1:14">
      <c r="A134" s="8" t="s">
        <v>234</v>
      </c>
      <c r="B134" s="19">
        <v>41432</v>
      </c>
      <c r="C134" s="8" t="s">
        <v>27</v>
      </c>
      <c r="D134" s="8">
        <v>10003</v>
      </c>
      <c r="E134" s="8" t="s">
        <v>93</v>
      </c>
      <c r="F134" s="8" t="s">
        <v>40</v>
      </c>
      <c r="G134" s="36">
        <f>VLOOKUP(E134,Flipkart!$A$1:$B$296,2,0)</f>
        <v>0.04</v>
      </c>
      <c r="H134" s="36">
        <f t="shared" ca="1" si="2"/>
        <v>0.03</v>
      </c>
      <c r="I134" s="36" t="str">
        <f>_xlfn.XLOOKUP(E134,'Product List'!$B$2:$B$299,'Product List'!$A$2:$A$299)</f>
        <v>Xerox 1943</v>
      </c>
      <c r="J134" s="36"/>
      <c r="K134" s="36"/>
      <c r="L134" s="36"/>
      <c r="M134" s="36"/>
      <c r="N134" s="36"/>
    </row>
    <row r="135" spans="1:14">
      <c r="A135" s="8" t="s">
        <v>235</v>
      </c>
      <c r="B135" s="19">
        <v>41435</v>
      </c>
      <c r="C135" s="8" t="s">
        <v>46</v>
      </c>
      <c r="D135" s="8">
        <v>10015</v>
      </c>
      <c r="E135" s="8" t="s">
        <v>64</v>
      </c>
      <c r="F135" s="8" t="s">
        <v>29</v>
      </c>
      <c r="G135" s="36">
        <f>VLOOKUP(E135,Flipkart!$A$1:$B$296,2,0)</f>
        <v>0.04</v>
      </c>
      <c r="H135" s="36">
        <f t="shared" ca="1" si="2"/>
        <v>0.05</v>
      </c>
      <c r="I135" s="36" t="str">
        <f>_xlfn.XLOOKUP(E135,'Product List'!$B$2:$B$299,'Product List'!$A$2:$A$299)</f>
        <v>Xerox 226</v>
      </c>
      <c r="J135" s="36"/>
      <c r="K135" s="36"/>
      <c r="L135" s="36"/>
      <c r="M135" s="36"/>
      <c r="N135" s="36"/>
    </row>
    <row r="136" spans="1:14">
      <c r="A136" s="8" t="s">
        <v>235</v>
      </c>
      <c r="B136" s="19">
        <v>41435</v>
      </c>
      <c r="C136" s="8" t="s">
        <v>36</v>
      </c>
      <c r="D136" s="8">
        <v>10004</v>
      </c>
      <c r="E136" s="8" t="s">
        <v>236</v>
      </c>
      <c r="F136" s="8" t="s">
        <v>50</v>
      </c>
      <c r="G136" s="36">
        <f>VLOOKUP(E136,Flipkart!$A$1:$B$296,2,0)</f>
        <v>0.03</v>
      </c>
      <c r="H136" s="36">
        <f t="shared" ca="1" si="2"/>
        <v>0.03</v>
      </c>
      <c r="I136" s="36" t="str">
        <f>_xlfn.XLOOKUP(E136,'Product List'!$B$2:$B$299,'Product List'!$A$2:$A$299)</f>
        <v>Xerox 1971</v>
      </c>
      <c r="J136" s="36"/>
      <c r="K136" s="36"/>
      <c r="L136" s="36"/>
      <c r="M136" s="36"/>
      <c r="N136" s="36"/>
    </row>
    <row r="137" spans="1:14">
      <c r="A137" s="8" t="s">
        <v>237</v>
      </c>
      <c r="B137" s="19">
        <v>41440</v>
      </c>
      <c r="C137" s="8" t="s">
        <v>66</v>
      </c>
      <c r="D137" s="8">
        <v>10002</v>
      </c>
      <c r="E137" s="8" t="s">
        <v>238</v>
      </c>
      <c r="F137" s="8" t="s">
        <v>43</v>
      </c>
      <c r="G137" s="36">
        <f>VLOOKUP(E137,Flipkart!$A$1:$B$296,2,0)</f>
        <v>0.01</v>
      </c>
      <c r="H137" s="36">
        <f t="shared" ca="1" si="2"/>
        <v>0.02</v>
      </c>
      <c r="I137" s="36" t="str">
        <f>_xlfn.XLOOKUP(E137,'Product List'!$B$2:$B$299,'Product List'!$A$2:$A$299)</f>
        <v>Xerox 202</v>
      </c>
      <c r="J137" s="36"/>
      <c r="K137" s="36"/>
      <c r="L137" s="36"/>
      <c r="M137" s="36"/>
      <c r="N137" s="36"/>
    </row>
    <row r="138" spans="1:14">
      <c r="A138" s="8" t="s">
        <v>239</v>
      </c>
      <c r="B138" s="19">
        <v>41441</v>
      </c>
      <c r="C138" s="8" t="s">
        <v>46</v>
      </c>
      <c r="D138" s="8">
        <v>10013</v>
      </c>
      <c r="E138" s="8" t="s">
        <v>240</v>
      </c>
      <c r="F138" s="8" t="s">
        <v>50</v>
      </c>
      <c r="G138" s="36">
        <f>VLOOKUP(E138,Flipkart!$A$1:$B$296,2,0)</f>
        <v>0.05</v>
      </c>
      <c r="H138" s="36">
        <f t="shared" ca="1" si="2"/>
        <v>0.04</v>
      </c>
      <c r="I138" s="36" t="str">
        <f>_xlfn.XLOOKUP(E138,'Product List'!$B$2:$B$299,'Product List'!$A$2:$A$299)</f>
        <v>Xerox 2</v>
      </c>
      <c r="J138" s="36"/>
      <c r="K138" s="36"/>
      <c r="L138" s="36"/>
      <c r="M138" s="36"/>
      <c r="N138" s="36"/>
    </row>
    <row r="139" spans="1:14">
      <c r="A139" s="8" t="s">
        <v>239</v>
      </c>
      <c r="B139" s="19">
        <v>41441</v>
      </c>
      <c r="C139" s="8" t="s">
        <v>54</v>
      </c>
      <c r="D139" s="8">
        <v>10015</v>
      </c>
      <c r="E139" s="8" t="s">
        <v>241</v>
      </c>
      <c r="F139" s="8" t="s">
        <v>40</v>
      </c>
      <c r="G139" s="36">
        <f>VLOOKUP(E139,Flipkart!$A$1:$B$296,2,0)</f>
        <v>0.02</v>
      </c>
      <c r="H139" s="36">
        <f t="shared" ca="1" si="2"/>
        <v>0.01</v>
      </c>
      <c r="I139" s="36" t="str">
        <f>_xlfn.XLOOKUP(E139,'Product List'!$B$2:$B$299,'Product List'!$A$2:$A$299)</f>
        <v>Xerox 208</v>
      </c>
      <c r="J139" s="36"/>
      <c r="K139" s="36"/>
      <c r="L139" s="36"/>
      <c r="M139" s="36"/>
      <c r="N139" s="36"/>
    </row>
    <row r="140" spans="1:14">
      <c r="A140" s="8" t="s">
        <v>242</v>
      </c>
      <c r="B140" s="19">
        <v>41442</v>
      </c>
      <c r="C140" s="8" t="s">
        <v>36</v>
      </c>
      <c r="D140" s="8">
        <v>10012</v>
      </c>
      <c r="E140" s="8" t="s">
        <v>226</v>
      </c>
      <c r="F140" s="8" t="s">
        <v>35</v>
      </c>
      <c r="G140" s="36">
        <f>VLOOKUP(E140,Flipkart!$A$1:$B$296,2,0)</f>
        <v>0.05</v>
      </c>
      <c r="H140" s="36">
        <f t="shared" ca="1" si="2"/>
        <v>0.05</v>
      </c>
      <c r="I140" s="36" t="str">
        <f>_xlfn.XLOOKUP(E140,'Product List'!$B$2:$B$299,'Product List'!$A$2:$A$299)</f>
        <v>Avery 517</v>
      </c>
      <c r="J140" s="36"/>
      <c r="K140" s="36"/>
      <c r="L140" s="36"/>
      <c r="M140" s="36"/>
      <c r="N140" s="36"/>
    </row>
    <row r="141" spans="1:14">
      <c r="A141" s="8" t="s">
        <v>243</v>
      </c>
      <c r="B141" s="19">
        <v>41442</v>
      </c>
      <c r="C141" s="8" t="s">
        <v>66</v>
      </c>
      <c r="D141" s="8">
        <v>10003</v>
      </c>
      <c r="E141" s="8" t="s">
        <v>226</v>
      </c>
      <c r="F141" s="8" t="s">
        <v>50</v>
      </c>
      <c r="G141" s="36">
        <f>VLOOKUP(E141,Flipkart!$A$1:$B$296,2,0)</f>
        <v>0.05</v>
      </c>
      <c r="H141" s="36">
        <f t="shared" ca="1" si="2"/>
        <v>0.01</v>
      </c>
      <c r="I141" s="36" t="str">
        <f>_xlfn.XLOOKUP(E141,'Product List'!$B$2:$B$299,'Product List'!$A$2:$A$299)</f>
        <v>Avery 517</v>
      </c>
      <c r="J141" s="36"/>
      <c r="K141" s="36"/>
      <c r="L141" s="36"/>
      <c r="M141" s="36"/>
      <c r="N141" s="36"/>
    </row>
    <row r="142" spans="1:14">
      <c r="A142" s="8" t="s">
        <v>244</v>
      </c>
      <c r="B142" s="19">
        <v>41445</v>
      </c>
      <c r="C142" s="8" t="s">
        <v>36</v>
      </c>
      <c r="D142" s="8">
        <v>10010</v>
      </c>
      <c r="E142" s="8" t="s">
        <v>245</v>
      </c>
      <c r="F142" s="8" t="s">
        <v>29</v>
      </c>
      <c r="G142" s="36">
        <f>VLOOKUP(E142,Flipkart!$A$1:$B$296,2,0)</f>
        <v>0.04</v>
      </c>
      <c r="H142" s="36">
        <f t="shared" ca="1" si="2"/>
        <v>0.04</v>
      </c>
      <c r="I142" s="36" t="str">
        <f>_xlfn.XLOOKUP(E142,'Product List'!$B$2:$B$299,'Product List'!$A$2:$A$299)</f>
        <v>Avery 498</v>
      </c>
      <c r="J142" s="36"/>
      <c r="K142" s="36"/>
      <c r="L142" s="36"/>
      <c r="M142" s="36"/>
      <c r="N142" s="36"/>
    </row>
    <row r="143" spans="1:14">
      <c r="A143" s="8" t="s">
        <v>246</v>
      </c>
      <c r="B143" s="19">
        <v>41447</v>
      </c>
      <c r="C143" s="8" t="s">
        <v>46</v>
      </c>
      <c r="D143" s="8">
        <v>10012</v>
      </c>
      <c r="E143" s="8" t="s">
        <v>174</v>
      </c>
      <c r="F143" s="8" t="s">
        <v>35</v>
      </c>
      <c r="G143" s="36">
        <f>VLOOKUP(E143,Flipkart!$A$1:$B$296,2,0)</f>
        <v>0</v>
      </c>
      <c r="H143" s="36">
        <f t="shared" ca="1" si="2"/>
        <v>0</v>
      </c>
      <c r="I143" s="36" t="str">
        <f>_xlfn.XLOOKUP(E143,'Product List'!$B$2:$B$299,'Product List'!$A$2:$A$299)</f>
        <v>Staples</v>
      </c>
      <c r="J143" s="36"/>
      <c r="K143" s="36"/>
      <c r="L143" s="36"/>
      <c r="M143" s="36"/>
      <c r="N143" s="36"/>
    </row>
    <row r="144" spans="1:14">
      <c r="A144" s="8" t="s">
        <v>246</v>
      </c>
      <c r="B144" s="19">
        <v>41447</v>
      </c>
      <c r="C144" s="8" t="s">
        <v>33</v>
      </c>
      <c r="D144" s="8">
        <v>10015</v>
      </c>
      <c r="E144" s="8" t="s">
        <v>247</v>
      </c>
      <c r="F144" s="8" t="s">
        <v>35</v>
      </c>
      <c r="G144" s="36">
        <f>VLOOKUP(E144,Flipkart!$A$1:$B$296,2,0)</f>
        <v>0.01</v>
      </c>
      <c r="H144" s="36">
        <f t="shared" ca="1" si="2"/>
        <v>0.01</v>
      </c>
      <c r="I144" s="36" t="str">
        <f>_xlfn.XLOOKUP(E144,'Product List'!$B$2:$B$299,'Product List'!$A$2:$A$299)</f>
        <v>Newell 329</v>
      </c>
      <c r="J144" s="36"/>
      <c r="K144" s="36"/>
      <c r="L144" s="36"/>
      <c r="M144" s="36"/>
      <c r="N144" s="36"/>
    </row>
    <row r="145" spans="1:14">
      <c r="A145" s="8" t="s">
        <v>246</v>
      </c>
      <c r="B145" s="19">
        <v>41447</v>
      </c>
      <c r="C145" s="8" t="s">
        <v>51</v>
      </c>
      <c r="D145" s="8">
        <v>10003</v>
      </c>
      <c r="E145" s="8" t="s">
        <v>130</v>
      </c>
      <c r="F145" s="8" t="s">
        <v>29</v>
      </c>
      <c r="G145" s="36">
        <f>VLOOKUP(E145,Flipkart!$A$1:$B$296,2,0)</f>
        <v>0</v>
      </c>
      <c r="H145" s="36">
        <f t="shared" ca="1" si="2"/>
        <v>0.02</v>
      </c>
      <c r="I145" s="36" t="str">
        <f>_xlfn.XLOOKUP(E145,'Product List'!$B$2:$B$299,'Product List'!$A$2:$A$299)</f>
        <v>Xerox 212</v>
      </c>
      <c r="J145" s="36"/>
      <c r="K145" s="36"/>
      <c r="L145" s="36"/>
      <c r="M145" s="36"/>
      <c r="N145" s="36"/>
    </row>
    <row r="146" spans="1:14">
      <c r="A146" s="8" t="s">
        <v>248</v>
      </c>
      <c r="B146" s="19">
        <v>41449</v>
      </c>
      <c r="C146" s="8" t="s">
        <v>51</v>
      </c>
      <c r="D146" s="8">
        <v>10014</v>
      </c>
      <c r="E146" s="8" t="s">
        <v>137</v>
      </c>
      <c r="F146" s="8" t="s">
        <v>43</v>
      </c>
      <c r="G146" s="36">
        <f>VLOOKUP(E146,Flipkart!$A$1:$B$296,2,0)</f>
        <v>0</v>
      </c>
      <c r="H146" s="36">
        <f t="shared" ca="1" si="2"/>
        <v>0.05</v>
      </c>
      <c r="I146" s="36" t="str">
        <f>_xlfn.XLOOKUP(E146,'Product List'!$B$2:$B$299,'Product List'!$A$2:$A$299)</f>
        <v>Newell 35</v>
      </c>
      <c r="J146" s="36"/>
      <c r="K146" s="36"/>
      <c r="L146" s="36"/>
      <c r="M146" s="36"/>
      <c r="N146" s="36"/>
    </row>
    <row r="147" spans="1:14">
      <c r="A147" s="8" t="s">
        <v>248</v>
      </c>
      <c r="B147" s="19">
        <v>41449</v>
      </c>
      <c r="C147" s="8" t="s">
        <v>44</v>
      </c>
      <c r="D147" s="8">
        <v>10011</v>
      </c>
      <c r="E147" s="8" t="s">
        <v>249</v>
      </c>
      <c r="F147" s="8" t="s">
        <v>35</v>
      </c>
      <c r="G147" s="36">
        <f>VLOOKUP(E147,Flipkart!$A$1:$B$296,2,0)</f>
        <v>0</v>
      </c>
      <c r="H147" s="36">
        <f t="shared" ca="1" si="2"/>
        <v>0</v>
      </c>
      <c r="I147" s="36" t="str">
        <f>_xlfn.XLOOKUP(E147,'Product List'!$B$2:$B$299,'Product List'!$A$2:$A$299)</f>
        <v>Newell 315</v>
      </c>
      <c r="J147" s="36"/>
      <c r="K147" s="36"/>
      <c r="L147" s="36"/>
      <c r="M147" s="36"/>
      <c r="N147" s="36"/>
    </row>
    <row r="148" spans="1:14">
      <c r="A148" s="8" t="s">
        <v>248</v>
      </c>
      <c r="B148" s="19">
        <v>41449</v>
      </c>
      <c r="C148" s="8" t="s">
        <v>66</v>
      </c>
      <c r="D148" s="8">
        <v>10015</v>
      </c>
      <c r="E148" s="8" t="s">
        <v>250</v>
      </c>
      <c r="F148" s="8" t="s">
        <v>50</v>
      </c>
      <c r="G148" s="36">
        <f>VLOOKUP(E148,Flipkart!$A$1:$B$296,2,0)</f>
        <v>0.03</v>
      </c>
      <c r="H148" s="36">
        <f t="shared" ca="1" si="2"/>
        <v>0</v>
      </c>
      <c r="I148" s="36" t="str">
        <f>_xlfn.XLOOKUP(E148,'Product List'!$B$2:$B$299,'Product List'!$A$2:$A$299)</f>
        <v>Avery 473</v>
      </c>
      <c r="J148" s="36"/>
      <c r="K148" s="36"/>
      <c r="L148" s="36"/>
      <c r="M148" s="36"/>
      <c r="N148" s="36"/>
    </row>
    <row r="149" spans="1:14">
      <c r="A149" s="8" t="s">
        <v>251</v>
      </c>
      <c r="B149" s="19">
        <v>41452</v>
      </c>
      <c r="C149" s="8" t="s">
        <v>46</v>
      </c>
      <c r="D149" s="8">
        <v>10007</v>
      </c>
      <c r="E149" s="8" t="s">
        <v>252</v>
      </c>
      <c r="F149" s="8" t="s">
        <v>32</v>
      </c>
      <c r="G149" s="36">
        <f>VLOOKUP(E149,Flipkart!$A$1:$B$296,2,0)</f>
        <v>0</v>
      </c>
      <c r="H149" s="36">
        <f t="shared" ca="1" si="2"/>
        <v>0.01</v>
      </c>
      <c r="I149" s="36" t="str">
        <f>_xlfn.XLOOKUP(E149,'Product List'!$B$2:$B$299,'Product List'!$A$2:$A$299)</f>
        <v>Avery 481</v>
      </c>
      <c r="J149" s="36"/>
      <c r="K149" s="36"/>
      <c r="L149" s="36"/>
      <c r="M149" s="36"/>
      <c r="N149" s="36"/>
    </row>
    <row r="150" spans="1:14">
      <c r="A150" s="8" t="s">
        <v>253</v>
      </c>
      <c r="B150" s="19">
        <v>41452</v>
      </c>
      <c r="C150" s="8" t="s">
        <v>33</v>
      </c>
      <c r="D150" s="8">
        <v>10007</v>
      </c>
      <c r="E150" s="8" t="s">
        <v>254</v>
      </c>
      <c r="F150" s="8" t="s">
        <v>35</v>
      </c>
      <c r="G150" s="36">
        <f>VLOOKUP(E150,Flipkart!$A$1:$B$296,2,0)</f>
        <v>0.04</v>
      </c>
      <c r="H150" s="36">
        <f t="shared" ca="1" si="2"/>
        <v>0.04</v>
      </c>
      <c r="I150" s="36" t="str">
        <f>_xlfn.XLOOKUP(E150,'Product List'!$B$2:$B$299,'Product List'!$A$2:$A$299)</f>
        <v>VTech DS6151</v>
      </c>
      <c r="J150" s="36"/>
      <c r="K150" s="36"/>
      <c r="L150" s="36"/>
      <c r="M150" s="36"/>
      <c r="N150" s="36"/>
    </row>
    <row r="151" spans="1:14">
      <c r="A151" s="8" t="s">
        <v>255</v>
      </c>
      <c r="B151" s="19">
        <v>41454</v>
      </c>
      <c r="C151" s="8" t="s">
        <v>66</v>
      </c>
      <c r="D151" s="8">
        <v>10013</v>
      </c>
      <c r="E151" s="8" t="s">
        <v>256</v>
      </c>
      <c r="F151" s="8" t="s">
        <v>40</v>
      </c>
      <c r="G151" s="36">
        <f>VLOOKUP(E151,Flipkart!$A$1:$B$296,2,0)</f>
        <v>0.04</v>
      </c>
      <c r="H151" s="36">
        <f t="shared" ca="1" si="2"/>
        <v>0</v>
      </c>
      <c r="I151" s="36" t="str">
        <f>_xlfn.XLOOKUP(E151,'Product List'!$B$2:$B$299,'Product List'!$A$2:$A$299)</f>
        <v>Newell 313</v>
      </c>
      <c r="J151" s="36"/>
      <c r="K151" s="36"/>
      <c r="L151" s="36"/>
      <c r="M151" s="36"/>
      <c r="N151" s="36"/>
    </row>
    <row r="152" spans="1:14">
      <c r="A152" s="8" t="s">
        <v>255</v>
      </c>
      <c r="B152" s="19">
        <v>41454</v>
      </c>
      <c r="C152" s="8" t="s">
        <v>54</v>
      </c>
      <c r="D152" s="8">
        <v>10007</v>
      </c>
      <c r="E152" s="8" t="s">
        <v>69</v>
      </c>
      <c r="F152" s="8" t="s">
        <v>29</v>
      </c>
      <c r="G152" s="36">
        <f>VLOOKUP(E152,Flipkart!$A$1:$B$296,2,0)</f>
        <v>0.05</v>
      </c>
      <c r="H152" s="36">
        <f t="shared" ca="1" si="2"/>
        <v>0.02</v>
      </c>
      <c r="I152" s="36" t="str">
        <f>_xlfn.XLOOKUP(E152,'Product List'!$B$2:$B$299,'Product List'!$A$2:$A$299)</f>
        <v>Newell 330</v>
      </c>
      <c r="J152" s="36"/>
      <c r="K152" s="36"/>
      <c r="L152" s="36"/>
      <c r="M152" s="36"/>
      <c r="N152" s="36"/>
    </row>
    <row r="153" spans="1:14">
      <c r="A153" s="8" t="s">
        <v>255</v>
      </c>
      <c r="B153" s="19">
        <v>41454</v>
      </c>
      <c r="C153" s="8" t="s">
        <v>51</v>
      </c>
      <c r="D153" s="8">
        <v>10009</v>
      </c>
      <c r="E153" s="8" t="s">
        <v>257</v>
      </c>
      <c r="F153" s="8" t="s">
        <v>43</v>
      </c>
      <c r="G153" s="36">
        <f>VLOOKUP(E153,Flipkart!$A$1:$B$296,2,0)</f>
        <v>0</v>
      </c>
      <c r="H153" s="36">
        <f t="shared" ca="1" si="2"/>
        <v>0.04</v>
      </c>
      <c r="I153" s="36" t="str">
        <f>_xlfn.XLOOKUP(E153,'Product List'!$B$2:$B$299,'Product List'!$A$2:$A$299)</f>
        <v>Xerox 1977</v>
      </c>
      <c r="J153" s="36"/>
      <c r="K153" s="36"/>
      <c r="L153" s="36"/>
      <c r="M153" s="36"/>
      <c r="N153" s="36"/>
    </row>
    <row r="154" spans="1:14">
      <c r="A154" s="8" t="s">
        <v>258</v>
      </c>
      <c r="B154" s="19">
        <v>41455</v>
      </c>
      <c r="C154" s="8" t="s">
        <v>46</v>
      </c>
      <c r="D154" s="8">
        <v>10009</v>
      </c>
      <c r="E154" s="8" t="s">
        <v>259</v>
      </c>
      <c r="F154" s="8" t="s">
        <v>32</v>
      </c>
      <c r="G154" s="36">
        <f>VLOOKUP(E154,Flipkart!$A$1:$B$296,2,0)</f>
        <v>0.03</v>
      </c>
      <c r="H154" s="36">
        <f t="shared" ca="1" si="2"/>
        <v>0.02</v>
      </c>
      <c r="I154" s="36" t="str">
        <f>_xlfn.XLOOKUP(E154,'Product List'!$B$2:$B$299,'Product List'!$A$2:$A$299)</f>
        <v>Newell 328</v>
      </c>
      <c r="J154" s="36"/>
      <c r="K154" s="36"/>
      <c r="L154" s="36"/>
      <c r="M154" s="36"/>
      <c r="N154" s="36"/>
    </row>
    <row r="155" spans="1:14">
      <c r="A155" s="8" t="s">
        <v>260</v>
      </c>
      <c r="B155" s="19">
        <v>41456</v>
      </c>
      <c r="C155" s="8" t="s">
        <v>51</v>
      </c>
      <c r="D155" s="8">
        <v>10002</v>
      </c>
      <c r="E155" s="8" t="s">
        <v>184</v>
      </c>
      <c r="F155" s="8" t="s">
        <v>43</v>
      </c>
      <c r="G155" s="36">
        <f>VLOOKUP(E155,Flipkart!$A$1:$B$296,2,0)</f>
        <v>0.03</v>
      </c>
      <c r="H155" s="36">
        <f t="shared" ca="1" si="2"/>
        <v>0.04</v>
      </c>
      <c r="I155" s="36" t="str">
        <f>_xlfn.XLOOKUP(E155,'Product List'!$B$2:$B$299,'Product List'!$A$2:$A$299)</f>
        <v>Xerox 1983</v>
      </c>
      <c r="J155" s="36"/>
      <c r="K155" s="36"/>
      <c r="L155" s="36"/>
      <c r="M155" s="36"/>
      <c r="N155" s="36"/>
    </row>
    <row r="156" spans="1:14">
      <c r="A156" s="8" t="s">
        <v>261</v>
      </c>
      <c r="B156" s="19">
        <v>41458</v>
      </c>
      <c r="C156" s="8" t="s">
        <v>36</v>
      </c>
      <c r="D156" s="8">
        <v>10012</v>
      </c>
      <c r="E156" s="8" t="s">
        <v>160</v>
      </c>
      <c r="F156" s="8" t="s">
        <v>43</v>
      </c>
      <c r="G156" s="36">
        <f>VLOOKUP(E156,Flipkart!$A$1:$B$296,2,0)</f>
        <v>0.05</v>
      </c>
      <c r="H156" s="36">
        <f t="shared" ca="1" si="2"/>
        <v>0.02</v>
      </c>
      <c r="I156" s="36" t="str">
        <f>_xlfn.XLOOKUP(E156,'Product List'!$B$2:$B$299,'Product List'!$A$2:$A$299)</f>
        <v>Newell 34</v>
      </c>
      <c r="J156" s="36"/>
      <c r="K156" s="36"/>
      <c r="L156" s="36"/>
      <c r="M156" s="36"/>
      <c r="N156" s="36"/>
    </row>
    <row r="157" spans="1:14">
      <c r="A157" s="8" t="s">
        <v>262</v>
      </c>
      <c r="B157" s="19">
        <v>41458</v>
      </c>
      <c r="C157" s="8" t="s">
        <v>33</v>
      </c>
      <c r="D157" s="8">
        <v>10009</v>
      </c>
      <c r="E157" s="8" t="s">
        <v>263</v>
      </c>
      <c r="F157" s="8" t="s">
        <v>29</v>
      </c>
      <c r="G157" s="36">
        <f>VLOOKUP(E157,Flipkart!$A$1:$B$296,2,0)</f>
        <v>0.03</v>
      </c>
      <c r="H157" s="36">
        <f t="shared" ca="1" si="2"/>
        <v>0</v>
      </c>
      <c r="I157" s="36" t="str">
        <f>_xlfn.XLOOKUP(E157,'Product List'!$B$2:$B$299,'Product List'!$A$2:$A$299)</f>
        <v>Xerox 1976</v>
      </c>
      <c r="J157" s="36"/>
      <c r="K157" s="36"/>
      <c r="L157" s="36"/>
      <c r="M157" s="36"/>
      <c r="N157" s="36"/>
    </row>
    <row r="158" spans="1:14">
      <c r="A158" s="8" t="s">
        <v>262</v>
      </c>
      <c r="B158" s="19">
        <v>41458</v>
      </c>
      <c r="C158" s="8" t="s">
        <v>51</v>
      </c>
      <c r="D158" s="8">
        <v>10006</v>
      </c>
      <c r="E158" s="8" t="s">
        <v>42</v>
      </c>
      <c r="F158" s="8" t="s">
        <v>29</v>
      </c>
      <c r="G158" s="36">
        <f>VLOOKUP(E158,Flipkart!$A$1:$B$296,2,0)</f>
        <v>0.04</v>
      </c>
      <c r="H158" s="36">
        <f t="shared" ca="1" si="2"/>
        <v>0.03</v>
      </c>
      <c r="I158" s="36" t="str">
        <f>_xlfn.XLOOKUP(E158,'Product List'!$B$2:$B$299,'Product List'!$A$2:$A$299)</f>
        <v>Staple magnet</v>
      </c>
      <c r="J158" s="36"/>
      <c r="K158" s="36"/>
      <c r="L158" s="36"/>
      <c r="M158" s="36"/>
      <c r="N158" s="36"/>
    </row>
    <row r="159" spans="1:14">
      <c r="A159" s="8" t="s">
        <v>264</v>
      </c>
      <c r="B159" s="19">
        <v>41458</v>
      </c>
      <c r="C159" s="8" t="s">
        <v>51</v>
      </c>
      <c r="D159" s="8">
        <v>10014</v>
      </c>
      <c r="E159" s="8" t="s">
        <v>83</v>
      </c>
      <c r="F159" s="8" t="s">
        <v>50</v>
      </c>
      <c r="G159" s="36">
        <f>VLOOKUP(E159,Flipkart!$A$1:$B$296,2,0)</f>
        <v>0.05</v>
      </c>
      <c r="H159" s="36">
        <f t="shared" ca="1" si="2"/>
        <v>0.03</v>
      </c>
      <c r="I159" s="36" t="str">
        <f>_xlfn.XLOOKUP(E159,'Product List'!$B$2:$B$299,'Product List'!$A$2:$A$299)</f>
        <v>Xerox 211</v>
      </c>
      <c r="J159" s="36"/>
      <c r="K159" s="36"/>
      <c r="L159" s="36"/>
      <c r="M159" s="36"/>
      <c r="N159" s="36"/>
    </row>
    <row r="160" spans="1:14">
      <c r="A160" s="8" t="s">
        <v>261</v>
      </c>
      <c r="B160" s="19">
        <v>41458</v>
      </c>
      <c r="C160" s="8" t="s">
        <v>51</v>
      </c>
      <c r="D160" s="8">
        <v>10011</v>
      </c>
      <c r="E160" s="8" t="s">
        <v>265</v>
      </c>
      <c r="F160" s="8" t="s">
        <v>32</v>
      </c>
      <c r="G160" s="36">
        <f>VLOOKUP(E160,Flipkart!$A$1:$B$296,2,0)</f>
        <v>0.03</v>
      </c>
      <c r="H160" s="36">
        <f t="shared" ca="1" si="2"/>
        <v>0</v>
      </c>
      <c r="I160" s="36" t="str">
        <f>_xlfn.XLOOKUP(E160,'Product List'!$B$2:$B$299,'Product List'!$A$2:$A$299)</f>
        <v>Xerox 205</v>
      </c>
      <c r="J160" s="36"/>
      <c r="K160" s="36"/>
      <c r="L160" s="36"/>
      <c r="M160" s="36"/>
      <c r="N160" s="36"/>
    </row>
    <row r="161" spans="1:14">
      <c r="A161" s="8" t="s">
        <v>266</v>
      </c>
      <c r="B161" s="19">
        <v>41462</v>
      </c>
      <c r="C161" s="8" t="s">
        <v>46</v>
      </c>
      <c r="D161" s="8">
        <v>10014</v>
      </c>
      <c r="E161" s="8" t="s">
        <v>184</v>
      </c>
      <c r="F161" s="8" t="s">
        <v>35</v>
      </c>
      <c r="G161" s="36">
        <f>VLOOKUP(E161,Flipkart!$A$1:$B$296,2,0)</f>
        <v>0.03</v>
      </c>
      <c r="H161" s="36">
        <f t="shared" ca="1" si="2"/>
        <v>0.03</v>
      </c>
      <c r="I161" s="36" t="str">
        <f>_xlfn.XLOOKUP(E161,'Product List'!$B$2:$B$299,'Product List'!$A$2:$A$299)</f>
        <v>Xerox 1983</v>
      </c>
      <c r="J161" s="36"/>
      <c r="K161" s="36"/>
      <c r="L161" s="36"/>
      <c r="M161" s="36"/>
      <c r="N161" s="36"/>
    </row>
    <row r="162" spans="1:14">
      <c r="A162" s="8" t="s">
        <v>267</v>
      </c>
      <c r="B162" s="19">
        <v>41462</v>
      </c>
      <c r="C162" s="8" t="s">
        <v>46</v>
      </c>
      <c r="D162" s="8">
        <v>10015</v>
      </c>
      <c r="E162" s="8" t="s">
        <v>268</v>
      </c>
      <c r="F162" s="8" t="s">
        <v>29</v>
      </c>
      <c r="G162" s="36">
        <f>VLOOKUP(E162,Flipkart!$A$1:$B$296,2,0)</f>
        <v>0.01</v>
      </c>
      <c r="H162" s="36">
        <f t="shared" ca="1" si="2"/>
        <v>0</v>
      </c>
      <c r="I162" s="36" t="str">
        <f>_xlfn.XLOOKUP(E162,'Product List'!$B$2:$B$299,'Product List'!$A$2:$A$299)</f>
        <v>Avery 48</v>
      </c>
      <c r="J162" s="36"/>
      <c r="K162" s="36"/>
      <c r="L162" s="36"/>
      <c r="M162" s="36"/>
      <c r="N162" s="36"/>
    </row>
    <row r="163" spans="1:14">
      <c r="A163" s="8" t="s">
        <v>267</v>
      </c>
      <c r="B163" s="19">
        <v>41462</v>
      </c>
      <c r="C163" s="8" t="s">
        <v>33</v>
      </c>
      <c r="D163" s="8">
        <v>10001</v>
      </c>
      <c r="E163" s="8" t="s">
        <v>269</v>
      </c>
      <c r="F163" s="8" t="s">
        <v>43</v>
      </c>
      <c r="G163" s="36">
        <f>VLOOKUP(E163,Flipkart!$A$1:$B$296,2,0)</f>
        <v>0.03</v>
      </c>
      <c r="H163" s="36">
        <f t="shared" ca="1" si="2"/>
        <v>0.04</v>
      </c>
      <c r="I163" s="36" t="str">
        <f>_xlfn.XLOOKUP(E163,'Product List'!$B$2:$B$299,'Product List'!$A$2:$A$299)</f>
        <v>Xerox 1975</v>
      </c>
      <c r="J163" s="36"/>
      <c r="K163" s="36"/>
      <c r="L163" s="36"/>
      <c r="M163" s="36"/>
      <c r="N163" s="36"/>
    </row>
    <row r="164" spans="1:14">
      <c r="A164" s="8" t="s">
        <v>270</v>
      </c>
      <c r="B164" s="19">
        <v>41464</v>
      </c>
      <c r="C164" s="8" t="s">
        <v>66</v>
      </c>
      <c r="D164" s="8">
        <v>10011</v>
      </c>
      <c r="E164" s="8" t="s">
        <v>39</v>
      </c>
      <c r="F164" s="8" t="s">
        <v>50</v>
      </c>
      <c r="G164" s="36">
        <f>VLOOKUP(E164,Flipkart!$A$1:$B$296,2,0)</f>
        <v>0.05</v>
      </c>
      <c r="H164" s="36">
        <f t="shared" ca="1" si="2"/>
        <v>0.03</v>
      </c>
      <c r="I164" s="36" t="str">
        <f>_xlfn.XLOOKUP(E164,'Product List'!$B$2:$B$299,'Product List'!$A$2:$A$299)</f>
        <v>Xerox 1890</v>
      </c>
      <c r="J164" s="36"/>
      <c r="K164" s="36"/>
      <c r="L164" s="36"/>
      <c r="M164" s="36"/>
      <c r="N164" s="36"/>
    </row>
    <row r="165" spans="1:14">
      <c r="A165" s="8" t="s">
        <v>270</v>
      </c>
      <c r="B165" s="19">
        <v>41464</v>
      </c>
      <c r="C165" s="8" t="s">
        <v>51</v>
      </c>
      <c r="D165" s="8">
        <v>10007</v>
      </c>
      <c r="E165" s="8" t="s">
        <v>128</v>
      </c>
      <c r="F165" s="8" t="s">
        <v>29</v>
      </c>
      <c r="G165" s="36">
        <f>VLOOKUP(E165,Flipkart!$A$1:$B$296,2,0)</f>
        <v>0.04</v>
      </c>
      <c r="H165" s="36">
        <f t="shared" ca="1" si="2"/>
        <v>0.01</v>
      </c>
      <c r="I165" s="36" t="str">
        <f>_xlfn.XLOOKUP(E165,'Product List'!$B$2:$B$299,'Product List'!$A$2:$A$299)</f>
        <v>Xerox 19</v>
      </c>
      <c r="J165" s="36"/>
      <c r="K165" s="36"/>
      <c r="L165" s="36"/>
      <c r="M165" s="36"/>
      <c r="N165" s="36"/>
    </row>
    <row r="166" spans="1:14">
      <c r="A166" s="8" t="s">
        <v>271</v>
      </c>
      <c r="B166" s="19">
        <v>41465</v>
      </c>
      <c r="C166" s="8" t="s">
        <v>66</v>
      </c>
      <c r="D166" s="8">
        <v>10015</v>
      </c>
      <c r="E166" s="8" t="s">
        <v>112</v>
      </c>
      <c r="F166" s="8" t="s">
        <v>35</v>
      </c>
      <c r="G166" s="36">
        <f>VLOOKUP(E166,Flipkart!$A$1:$B$296,2,0)</f>
        <v>0.04</v>
      </c>
      <c r="H166" s="36">
        <f t="shared" ca="1" si="2"/>
        <v>0.04</v>
      </c>
      <c r="I166" s="36" t="str">
        <f>_xlfn.XLOOKUP(E166,'Product List'!$B$2:$B$299,'Product List'!$A$2:$A$299)</f>
        <v>Newell 317</v>
      </c>
      <c r="J166" s="36"/>
      <c r="K166" s="36"/>
      <c r="L166" s="36"/>
      <c r="M166" s="36"/>
      <c r="N166" s="36"/>
    </row>
    <row r="167" spans="1:14">
      <c r="A167" s="8" t="s">
        <v>272</v>
      </c>
      <c r="B167" s="19">
        <v>41467</v>
      </c>
      <c r="C167" s="8" t="s">
        <v>66</v>
      </c>
      <c r="D167" s="8">
        <v>10002</v>
      </c>
      <c r="E167" s="8" t="s">
        <v>269</v>
      </c>
      <c r="F167" s="8" t="s">
        <v>43</v>
      </c>
      <c r="G167" s="36">
        <f>VLOOKUP(E167,Flipkart!$A$1:$B$296,2,0)</f>
        <v>0.03</v>
      </c>
      <c r="H167" s="36">
        <f t="shared" ca="1" si="2"/>
        <v>0.04</v>
      </c>
      <c r="I167" s="36" t="str">
        <f>_xlfn.XLOOKUP(E167,'Product List'!$B$2:$B$299,'Product List'!$A$2:$A$299)</f>
        <v>Xerox 1975</v>
      </c>
      <c r="J167" s="36"/>
      <c r="K167" s="36"/>
      <c r="L167" s="36"/>
      <c r="M167" s="36"/>
      <c r="N167" s="36"/>
    </row>
    <row r="168" spans="1:14">
      <c r="A168" s="8" t="s">
        <v>273</v>
      </c>
      <c r="B168" s="19">
        <v>41467</v>
      </c>
      <c r="C168" s="8" t="s">
        <v>54</v>
      </c>
      <c r="D168" s="8">
        <v>10007</v>
      </c>
      <c r="E168" s="8" t="s">
        <v>143</v>
      </c>
      <c r="F168" s="8" t="s">
        <v>40</v>
      </c>
      <c r="G168" s="36">
        <f>VLOOKUP(E168,Flipkart!$A$1:$B$296,2,0)</f>
        <v>0.04</v>
      </c>
      <c r="H168" s="36">
        <f t="shared" ca="1" si="2"/>
        <v>0.01</v>
      </c>
      <c r="I168" s="36" t="str">
        <f>_xlfn.XLOOKUP(E168,'Product List'!$B$2:$B$299,'Product List'!$A$2:$A$299)</f>
        <v>Xerox 1932</v>
      </c>
      <c r="J168" s="36"/>
      <c r="K168" s="36"/>
      <c r="L168" s="36"/>
      <c r="M168" s="36"/>
      <c r="N168" s="36"/>
    </row>
    <row r="169" spans="1:14">
      <c r="A169" s="8" t="s">
        <v>274</v>
      </c>
      <c r="B169" s="19">
        <v>41468</v>
      </c>
      <c r="C169" s="8" t="s">
        <v>51</v>
      </c>
      <c r="D169" s="8">
        <v>10011</v>
      </c>
      <c r="E169" s="8" t="s">
        <v>275</v>
      </c>
      <c r="F169" s="8" t="s">
        <v>35</v>
      </c>
      <c r="G169" s="36">
        <f>VLOOKUP(E169,Flipkart!$A$1:$B$296,2,0)</f>
        <v>0</v>
      </c>
      <c r="H169" s="36">
        <f t="shared" ca="1" si="2"/>
        <v>0</v>
      </c>
      <c r="I169" s="36" t="str">
        <f>_xlfn.XLOOKUP(E169,'Product List'!$B$2:$B$299,'Product List'!$A$2:$A$299)</f>
        <v>Xerox 218</v>
      </c>
      <c r="J169" s="36"/>
      <c r="K169" s="36"/>
      <c r="L169" s="36"/>
      <c r="M169" s="36"/>
      <c r="N169" s="36"/>
    </row>
    <row r="170" spans="1:14">
      <c r="A170" s="8" t="s">
        <v>276</v>
      </c>
      <c r="B170" s="19">
        <v>41469</v>
      </c>
      <c r="C170" s="8" t="s">
        <v>46</v>
      </c>
      <c r="D170" s="8">
        <v>10014</v>
      </c>
      <c r="E170" s="8" t="s">
        <v>277</v>
      </c>
      <c r="F170" s="8" t="s">
        <v>43</v>
      </c>
      <c r="G170" s="36">
        <f>VLOOKUP(E170,Flipkart!$A$1:$B$296,2,0)</f>
        <v>0.01</v>
      </c>
      <c r="H170" s="36">
        <f t="shared" ca="1" si="2"/>
        <v>0.02</v>
      </c>
      <c r="I170" s="36" t="str">
        <f>_xlfn.XLOOKUP(E170,'Product List'!$B$2:$B$299,'Product List'!$A$2:$A$299)</f>
        <v>Xerox 1946</v>
      </c>
      <c r="J170" s="36"/>
      <c r="K170" s="36"/>
      <c r="L170" s="36"/>
      <c r="M170" s="36"/>
      <c r="N170" s="36"/>
    </row>
    <row r="171" spans="1:14">
      <c r="A171" s="8" t="s">
        <v>278</v>
      </c>
      <c r="B171" s="19">
        <v>41472</v>
      </c>
      <c r="C171" s="8" t="s">
        <v>51</v>
      </c>
      <c r="D171" s="8">
        <v>10002</v>
      </c>
      <c r="E171" s="8" t="s">
        <v>118</v>
      </c>
      <c r="F171" s="8" t="s">
        <v>40</v>
      </c>
      <c r="G171" s="36">
        <f>VLOOKUP(E171,Flipkart!$A$1:$B$296,2,0)</f>
        <v>0.01</v>
      </c>
      <c r="H171" s="36">
        <f t="shared" ca="1" si="2"/>
        <v>0.01</v>
      </c>
      <c r="I171" s="36" t="str">
        <f>_xlfn.XLOOKUP(E171,'Product List'!$B$2:$B$299,'Product List'!$A$2:$A$299)</f>
        <v>Xerox 1998</v>
      </c>
      <c r="J171" s="36"/>
      <c r="K171" s="36"/>
      <c r="L171" s="36"/>
      <c r="M171" s="36"/>
      <c r="N171" s="36"/>
    </row>
    <row r="172" spans="1:14">
      <c r="A172" s="8" t="s">
        <v>279</v>
      </c>
      <c r="B172" s="19">
        <v>41476</v>
      </c>
      <c r="C172" s="8" t="s">
        <v>54</v>
      </c>
      <c r="D172" s="8">
        <v>10010</v>
      </c>
      <c r="E172" s="8" t="s">
        <v>91</v>
      </c>
      <c r="F172" s="8" t="s">
        <v>43</v>
      </c>
      <c r="G172" s="36">
        <f>VLOOKUP(E172,Flipkart!$A$1:$B$296,2,0)</f>
        <v>0.05</v>
      </c>
      <c r="H172" s="36">
        <f t="shared" ca="1" si="2"/>
        <v>0.05</v>
      </c>
      <c r="I172" s="36" t="str">
        <f>_xlfn.XLOOKUP(E172,'Product List'!$B$2:$B$299,'Product List'!$A$2:$A$299)</f>
        <v>Avery 475</v>
      </c>
      <c r="J172" s="36"/>
      <c r="K172" s="36"/>
      <c r="L172" s="36"/>
      <c r="M172" s="36"/>
      <c r="N172" s="36"/>
    </row>
    <row r="173" spans="1:14">
      <c r="A173" s="8" t="s">
        <v>280</v>
      </c>
      <c r="B173" s="19">
        <v>41476</v>
      </c>
      <c r="C173" s="8" t="s">
        <v>54</v>
      </c>
      <c r="D173" s="8">
        <v>10014</v>
      </c>
      <c r="E173" s="8" t="s">
        <v>281</v>
      </c>
      <c r="F173" s="8" t="s">
        <v>35</v>
      </c>
      <c r="G173" s="36">
        <f>VLOOKUP(E173,Flipkart!$A$1:$B$296,2,0)</f>
        <v>0.03</v>
      </c>
      <c r="H173" s="36">
        <f t="shared" ca="1" si="2"/>
        <v>0.03</v>
      </c>
      <c r="I173" s="36" t="str">
        <f>_xlfn.XLOOKUP(E173,'Product List'!$B$2:$B$299,'Product List'!$A$2:$A$299)</f>
        <v>Newell 309</v>
      </c>
      <c r="J173" s="36"/>
      <c r="K173" s="36"/>
      <c r="L173" s="36"/>
      <c r="M173" s="36"/>
      <c r="N173" s="36"/>
    </row>
    <row r="174" spans="1:14">
      <c r="A174" s="8" t="s">
        <v>282</v>
      </c>
      <c r="B174" s="19">
        <v>41477</v>
      </c>
      <c r="C174" s="8" t="s">
        <v>33</v>
      </c>
      <c r="D174" s="8">
        <v>10012</v>
      </c>
      <c r="E174" s="8" t="s">
        <v>170</v>
      </c>
      <c r="F174" s="8" t="s">
        <v>35</v>
      </c>
      <c r="G174" s="36">
        <f>VLOOKUP(E174,Flipkart!$A$1:$B$296,2,0)</f>
        <v>0.05</v>
      </c>
      <c r="H174" s="36">
        <f t="shared" ca="1" si="2"/>
        <v>0.05</v>
      </c>
      <c r="I174" s="36" t="str">
        <f>_xlfn.XLOOKUP(E174,'Product List'!$B$2:$B$299,'Product List'!$A$2:$A$299)</f>
        <v>Xerox 1930</v>
      </c>
      <c r="J174" s="36"/>
      <c r="K174" s="36"/>
      <c r="L174" s="36"/>
      <c r="M174" s="36"/>
      <c r="N174" s="36"/>
    </row>
    <row r="175" spans="1:14">
      <c r="A175" s="8" t="s">
        <v>283</v>
      </c>
      <c r="B175" s="19">
        <v>41481</v>
      </c>
      <c r="C175" s="8" t="s">
        <v>27</v>
      </c>
      <c r="D175" s="8">
        <v>10001</v>
      </c>
      <c r="E175" s="8" t="s">
        <v>284</v>
      </c>
      <c r="F175" s="8" t="s">
        <v>50</v>
      </c>
      <c r="G175" s="36">
        <f>VLOOKUP(E175,Flipkart!$A$1:$B$296,2,0)</f>
        <v>0.04</v>
      </c>
      <c r="H175" s="36">
        <f t="shared" ca="1" si="2"/>
        <v>0.01</v>
      </c>
      <c r="I175" s="36" t="str">
        <f>_xlfn.XLOOKUP(E175,'Product List'!$B$2:$B$299,'Product List'!$A$2:$A$299)</f>
        <v>Xerox 1986</v>
      </c>
      <c r="J175" s="36"/>
      <c r="K175" s="36"/>
      <c r="L175" s="36"/>
      <c r="M175" s="36"/>
      <c r="N175" s="36"/>
    </row>
    <row r="176" spans="1:14">
      <c r="A176" s="8" t="s">
        <v>283</v>
      </c>
      <c r="B176" s="19">
        <v>41481</v>
      </c>
      <c r="C176" s="8" t="s">
        <v>36</v>
      </c>
      <c r="D176" s="8">
        <v>10011</v>
      </c>
      <c r="E176" s="8" t="s">
        <v>285</v>
      </c>
      <c r="F176" s="8" t="s">
        <v>32</v>
      </c>
      <c r="G176" s="36">
        <f>VLOOKUP(E176,Flipkart!$A$1:$B$296,2,0)</f>
        <v>0.05</v>
      </c>
      <c r="H176" s="36">
        <f t="shared" ca="1" si="2"/>
        <v>0.03</v>
      </c>
      <c r="I176" s="36" t="str">
        <f>_xlfn.XLOOKUP(E176,'Product List'!$B$2:$B$299,'Product List'!$A$2:$A$299)</f>
        <v>Newell 344</v>
      </c>
      <c r="J176" s="36"/>
      <c r="K176" s="36"/>
      <c r="L176" s="36"/>
      <c r="M176" s="36"/>
      <c r="N176" s="36"/>
    </row>
    <row r="177" spans="1:14">
      <c r="A177" s="8" t="s">
        <v>283</v>
      </c>
      <c r="B177" s="19">
        <v>41481</v>
      </c>
      <c r="C177" s="8" t="s">
        <v>36</v>
      </c>
      <c r="D177" s="8">
        <v>10007</v>
      </c>
      <c r="E177" s="8" t="s">
        <v>286</v>
      </c>
      <c r="F177" s="8" t="s">
        <v>40</v>
      </c>
      <c r="G177" s="36">
        <f>VLOOKUP(E177,Flipkart!$A$1:$B$296,2,0)</f>
        <v>0.05</v>
      </c>
      <c r="H177" s="36">
        <f t="shared" ca="1" si="2"/>
        <v>0.02</v>
      </c>
      <c r="I177" s="36" t="str">
        <f>_xlfn.XLOOKUP(E177,'Product List'!$B$2:$B$299,'Product List'!$A$2:$A$299)</f>
        <v>Avery 479</v>
      </c>
      <c r="J177" s="36"/>
      <c r="K177" s="36"/>
      <c r="L177" s="36"/>
      <c r="M177" s="36"/>
      <c r="N177" s="36"/>
    </row>
    <row r="178" spans="1:14">
      <c r="A178" s="8" t="s">
        <v>287</v>
      </c>
      <c r="B178" s="19">
        <v>41482</v>
      </c>
      <c r="C178" s="8" t="s">
        <v>36</v>
      </c>
      <c r="D178" s="8">
        <v>10001</v>
      </c>
      <c r="E178" s="8" t="s">
        <v>213</v>
      </c>
      <c r="F178" s="8" t="s">
        <v>32</v>
      </c>
      <c r="G178" s="36">
        <f>VLOOKUP(E178,Flipkart!$A$1:$B$296,2,0)</f>
        <v>0.04</v>
      </c>
      <c r="H178" s="36">
        <f t="shared" ca="1" si="2"/>
        <v>0.03</v>
      </c>
      <c r="I178" s="36" t="str">
        <f>_xlfn.XLOOKUP(E178,'Product List'!$B$2:$B$299,'Product List'!$A$2:$A$299)</f>
        <v>Cisco SPA301</v>
      </c>
      <c r="J178" s="36"/>
      <c r="K178" s="36"/>
      <c r="L178" s="36"/>
      <c r="M178" s="36"/>
      <c r="N178" s="36"/>
    </row>
    <row r="179" spans="1:14">
      <c r="A179" s="8" t="s">
        <v>288</v>
      </c>
      <c r="B179" s="19">
        <v>41483</v>
      </c>
      <c r="C179" s="8" t="s">
        <v>54</v>
      </c>
      <c r="D179" s="8">
        <v>10006</v>
      </c>
      <c r="E179" s="8" t="s">
        <v>289</v>
      </c>
      <c r="F179" s="8" t="s">
        <v>35</v>
      </c>
      <c r="G179" s="36">
        <f>VLOOKUP(E179,Flipkart!$A$1:$B$296,2,0)</f>
        <v>0.03</v>
      </c>
      <c r="H179" s="36">
        <f t="shared" ca="1" si="2"/>
        <v>0.03</v>
      </c>
      <c r="I179" s="36" t="str">
        <f>_xlfn.XLOOKUP(E179,'Product List'!$B$2:$B$299,'Product List'!$A$2:$A$299)</f>
        <v>Newell 348</v>
      </c>
      <c r="J179" s="36"/>
      <c r="K179" s="36"/>
      <c r="L179" s="36"/>
      <c r="M179" s="36"/>
      <c r="N179" s="36"/>
    </row>
    <row r="180" spans="1:14">
      <c r="A180" s="8" t="s">
        <v>290</v>
      </c>
      <c r="B180" s="19">
        <v>41483</v>
      </c>
      <c r="C180" s="8" t="s">
        <v>66</v>
      </c>
      <c r="D180" s="8">
        <v>10012</v>
      </c>
      <c r="E180" s="8" t="s">
        <v>291</v>
      </c>
      <c r="F180" s="8" t="s">
        <v>35</v>
      </c>
      <c r="G180" s="36">
        <f>VLOOKUP(E180,Flipkart!$A$1:$B$296,2,0)</f>
        <v>0.03</v>
      </c>
      <c r="H180" s="36">
        <f t="shared" ca="1" si="2"/>
        <v>0.03</v>
      </c>
      <c r="I180" s="36" t="str">
        <f>_xlfn.XLOOKUP(E180,'Product List'!$B$2:$B$299,'Product List'!$A$2:$A$299)</f>
        <v>Xerox 1990</v>
      </c>
      <c r="J180" s="36"/>
      <c r="K180" s="36"/>
      <c r="L180" s="36"/>
      <c r="M180" s="36"/>
      <c r="N180" s="36"/>
    </row>
    <row r="181" spans="1:14">
      <c r="A181" s="8" t="s">
        <v>292</v>
      </c>
      <c r="B181" s="19">
        <v>41486</v>
      </c>
      <c r="C181" s="8" t="s">
        <v>33</v>
      </c>
      <c r="D181" s="8">
        <v>10012</v>
      </c>
      <c r="E181" s="8" t="s">
        <v>86</v>
      </c>
      <c r="F181" s="8" t="s">
        <v>35</v>
      </c>
      <c r="G181" s="36">
        <f>VLOOKUP(E181,Flipkart!$A$1:$B$296,2,0)</f>
        <v>0</v>
      </c>
      <c r="H181" s="36">
        <f t="shared" ca="1" si="2"/>
        <v>0</v>
      </c>
      <c r="I181" s="36" t="str">
        <f>_xlfn.XLOOKUP(E181,'Product List'!$B$2:$B$299,'Product List'!$A$2:$A$299)</f>
        <v>Newell 316</v>
      </c>
      <c r="J181" s="36"/>
      <c r="K181" s="36"/>
      <c r="L181" s="36"/>
      <c r="M181" s="36"/>
      <c r="N181" s="36"/>
    </row>
    <row r="182" spans="1:14">
      <c r="A182" s="8" t="s">
        <v>292</v>
      </c>
      <c r="B182" s="19">
        <v>41486</v>
      </c>
      <c r="C182" s="8" t="s">
        <v>36</v>
      </c>
      <c r="D182" s="8">
        <v>10003</v>
      </c>
      <c r="E182" s="8" t="s">
        <v>149</v>
      </c>
      <c r="F182" s="8" t="s">
        <v>40</v>
      </c>
      <c r="G182" s="36">
        <f>VLOOKUP(E182,Flipkart!$A$1:$B$296,2,0)</f>
        <v>0.05</v>
      </c>
      <c r="H182" s="36">
        <f t="shared" ca="1" si="2"/>
        <v>0.01</v>
      </c>
      <c r="I182" s="36" t="str">
        <f>_xlfn.XLOOKUP(E182,'Product List'!$B$2:$B$299,'Product List'!$A$2:$A$299)</f>
        <v>Xerox 1992</v>
      </c>
      <c r="J182" s="36"/>
      <c r="K182" s="36"/>
      <c r="L182" s="36"/>
      <c r="M182" s="36"/>
      <c r="N182" s="36"/>
    </row>
    <row r="183" spans="1:14">
      <c r="A183" s="8" t="s">
        <v>293</v>
      </c>
      <c r="B183" s="19">
        <v>41490</v>
      </c>
      <c r="C183" s="8" t="s">
        <v>66</v>
      </c>
      <c r="D183" s="8">
        <v>10012</v>
      </c>
      <c r="E183" s="8" t="s">
        <v>116</v>
      </c>
      <c r="F183" s="8" t="s">
        <v>35</v>
      </c>
      <c r="G183" s="36">
        <f>VLOOKUP(E183,Flipkart!$A$1:$B$296,2,0)</f>
        <v>0.02</v>
      </c>
      <c r="H183" s="36">
        <f t="shared" ca="1" si="2"/>
        <v>0.02</v>
      </c>
      <c r="I183" s="36" t="str">
        <f>_xlfn.XLOOKUP(E183,'Product List'!$B$2:$B$299,'Product List'!$A$2:$A$299)</f>
        <v>Newell 326</v>
      </c>
      <c r="J183" s="36"/>
      <c r="K183" s="36"/>
      <c r="L183" s="36"/>
      <c r="M183" s="36"/>
      <c r="N183" s="36"/>
    </row>
    <row r="184" spans="1:14">
      <c r="A184" s="8" t="s">
        <v>294</v>
      </c>
      <c r="B184" s="19">
        <v>41492</v>
      </c>
      <c r="C184" s="8" t="s">
        <v>46</v>
      </c>
      <c r="D184" s="8">
        <v>10009</v>
      </c>
      <c r="E184" s="8" t="s">
        <v>295</v>
      </c>
      <c r="F184" s="8" t="s">
        <v>43</v>
      </c>
      <c r="G184" s="36">
        <f>VLOOKUP(E184,Flipkart!$A$1:$B$296,2,0)</f>
        <v>0.05</v>
      </c>
      <c r="H184" s="36">
        <f t="shared" ca="1" si="2"/>
        <v>0</v>
      </c>
      <c r="I184" s="36" t="str">
        <f>_xlfn.XLOOKUP(E184,'Product List'!$B$2:$B$299,'Product List'!$A$2:$A$299)</f>
        <v>Xerox 1950</v>
      </c>
      <c r="J184" s="36"/>
      <c r="K184" s="36"/>
      <c r="L184" s="36"/>
      <c r="M184" s="36"/>
      <c r="N184" s="36"/>
    </row>
    <row r="185" spans="1:14">
      <c r="A185" s="8" t="s">
        <v>294</v>
      </c>
      <c r="B185" s="19">
        <v>41492</v>
      </c>
      <c r="C185" s="8" t="s">
        <v>36</v>
      </c>
      <c r="D185" s="8">
        <v>10003</v>
      </c>
      <c r="E185" s="8" t="s">
        <v>296</v>
      </c>
      <c r="F185" s="8" t="s">
        <v>32</v>
      </c>
      <c r="G185" s="36">
        <f>VLOOKUP(E185,Flipkart!$A$1:$B$296,2,0)</f>
        <v>0.01</v>
      </c>
      <c r="H185" s="36">
        <f t="shared" ca="1" si="2"/>
        <v>0.03</v>
      </c>
      <c r="I185" s="36" t="str">
        <f>_xlfn.XLOOKUP(E185,'Product List'!$B$2:$B$299,'Product List'!$A$2:$A$299)</f>
        <v>Motorola L804</v>
      </c>
      <c r="J185" s="36"/>
      <c r="K185" s="36"/>
      <c r="L185" s="36"/>
      <c r="M185" s="36"/>
      <c r="N185" s="36"/>
    </row>
    <row r="186" spans="1:14">
      <c r="A186" s="8" t="s">
        <v>297</v>
      </c>
      <c r="B186" s="19">
        <v>41492</v>
      </c>
      <c r="C186" s="8" t="s">
        <v>33</v>
      </c>
      <c r="D186" s="8">
        <v>10003</v>
      </c>
      <c r="E186" s="8" t="s">
        <v>298</v>
      </c>
      <c r="F186" s="8" t="s">
        <v>40</v>
      </c>
      <c r="G186" s="36">
        <f>VLOOKUP(E186,Flipkart!$A$1:$B$296,2,0)</f>
        <v>0.04</v>
      </c>
      <c r="H186" s="36">
        <f t="shared" ca="1" si="2"/>
        <v>0</v>
      </c>
      <c r="I186" s="36" t="str">
        <f>_xlfn.XLOOKUP(E186,'Product List'!$B$2:$B$299,'Product List'!$A$2:$A$299)</f>
        <v>Xerox 216</v>
      </c>
      <c r="J186" s="36"/>
      <c r="K186" s="36"/>
      <c r="L186" s="36"/>
      <c r="M186" s="36"/>
      <c r="N186" s="36"/>
    </row>
    <row r="187" spans="1:14">
      <c r="A187" s="8" t="s">
        <v>294</v>
      </c>
      <c r="B187" s="19">
        <v>41492</v>
      </c>
      <c r="C187" s="8" t="s">
        <v>51</v>
      </c>
      <c r="D187" s="8">
        <v>10005</v>
      </c>
      <c r="E187" s="8" t="s">
        <v>299</v>
      </c>
      <c r="F187" s="8" t="s">
        <v>40</v>
      </c>
      <c r="G187" s="36">
        <f>VLOOKUP(E187,Flipkart!$A$1:$B$296,2,0)</f>
        <v>0.04</v>
      </c>
      <c r="H187" s="36">
        <f t="shared" ca="1" si="2"/>
        <v>0.05</v>
      </c>
      <c r="I187" s="36" t="str">
        <f>_xlfn.XLOOKUP(E187,'Product List'!$B$2:$B$299,'Product List'!$A$2:$A$299)</f>
        <v>Xerox 1987</v>
      </c>
      <c r="J187" s="36"/>
      <c r="K187" s="36"/>
      <c r="L187" s="36"/>
      <c r="M187" s="36"/>
      <c r="N187" s="36"/>
    </row>
    <row r="188" spans="1:14">
      <c r="A188" s="8" t="s">
        <v>297</v>
      </c>
      <c r="B188" s="19">
        <v>41492</v>
      </c>
      <c r="C188" s="8" t="s">
        <v>46</v>
      </c>
      <c r="D188" s="8">
        <v>10013</v>
      </c>
      <c r="E188" s="8" t="s">
        <v>300</v>
      </c>
      <c r="F188" s="8" t="s">
        <v>29</v>
      </c>
      <c r="G188" s="36">
        <f>VLOOKUP(E188,Flipkart!$A$1:$B$296,2,0)</f>
        <v>0.04</v>
      </c>
      <c r="H188" s="36">
        <f t="shared" ca="1" si="2"/>
        <v>0.03</v>
      </c>
      <c r="I188" s="36" t="str">
        <f>_xlfn.XLOOKUP(E188,'Product List'!$B$2:$B$299,'Product List'!$A$2:$A$299)</f>
        <v>Xerox 1892</v>
      </c>
      <c r="J188" s="36"/>
      <c r="K188" s="36"/>
      <c r="L188" s="36"/>
      <c r="M188" s="36"/>
      <c r="N188" s="36"/>
    </row>
    <row r="189" spans="1:14">
      <c r="A189" s="8" t="s">
        <v>301</v>
      </c>
      <c r="B189" s="19">
        <v>41493</v>
      </c>
      <c r="C189" s="8" t="s">
        <v>33</v>
      </c>
      <c r="D189" s="8">
        <v>10011</v>
      </c>
      <c r="E189" s="8" t="s">
        <v>302</v>
      </c>
      <c r="F189" s="8" t="s">
        <v>50</v>
      </c>
      <c r="G189" s="36">
        <f>VLOOKUP(E189,Flipkart!$A$1:$B$296,2,0)</f>
        <v>0.03</v>
      </c>
      <c r="H189" s="36">
        <f t="shared" ca="1" si="2"/>
        <v>0.04</v>
      </c>
      <c r="I189" s="36" t="str">
        <f>_xlfn.XLOOKUP(E189,'Product List'!$B$2:$B$299,'Product List'!$A$2:$A$299)</f>
        <v>Xerox 190</v>
      </c>
      <c r="J189" s="36"/>
      <c r="K189" s="36"/>
      <c r="L189" s="36"/>
      <c r="M189" s="36"/>
      <c r="N189" s="36"/>
    </row>
    <row r="190" spans="1:14">
      <c r="A190" s="8" t="s">
        <v>301</v>
      </c>
      <c r="B190" s="19">
        <v>41493</v>
      </c>
      <c r="C190" s="8" t="s">
        <v>33</v>
      </c>
      <c r="D190" s="8">
        <v>10004</v>
      </c>
      <c r="E190" s="8" t="s">
        <v>303</v>
      </c>
      <c r="F190" s="8" t="s">
        <v>40</v>
      </c>
      <c r="G190" s="36">
        <f>VLOOKUP(E190,Flipkart!$A$1:$B$296,2,0)</f>
        <v>0.01</v>
      </c>
      <c r="H190" s="36">
        <f t="shared" ca="1" si="2"/>
        <v>0.04</v>
      </c>
      <c r="I190" s="36" t="str">
        <f>_xlfn.XLOOKUP(E190,'Product List'!$B$2:$B$299,'Product List'!$A$2:$A$299)</f>
        <v>Xerox 1885</v>
      </c>
      <c r="J190" s="36"/>
      <c r="K190" s="36"/>
      <c r="L190" s="36"/>
      <c r="M190" s="36"/>
      <c r="N190" s="36"/>
    </row>
    <row r="191" spans="1:14">
      <c r="A191" s="8" t="s">
        <v>301</v>
      </c>
      <c r="B191" s="19">
        <v>41493</v>
      </c>
      <c r="C191" s="8" t="s">
        <v>54</v>
      </c>
      <c r="D191" s="8">
        <v>10014</v>
      </c>
      <c r="E191" s="8" t="s">
        <v>268</v>
      </c>
      <c r="F191" s="8" t="s">
        <v>35</v>
      </c>
      <c r="G191" s="36">
        <f>VLOOKUP(E191,Flipkart!$A$1:$B$296,2,0)</f>
        <v>0.01</v>
      </c>
      <c r="H191" s="36">
        <f t="shared" ca="1" si="2"/>
        <v>0.01</v>
      </c>
      <c r="I191" s="36" t="str">
        <f>_xlfn.XLOOKUP(E191,'Product List'!$B$2:$B$299,'Product List'!$A$2:$A$299)</f>
        <v>Avery 48</v>
      </c>
      <c r="J191" s="36"/>
      <c r="K191" s="36"/>
      <c r="L191" s="36"/>
      <c r="M191" s="36"/>
      <c r="N191" s="36"/>
    </row>
    <row r="192" spans="1:14">
      <c r="A192" s="8" t="s">
        <v>304</v>
      </c>
      <c r="B192" s="19">
        <v>41494</v>
      </c>
      <c r="C192" s="8" t="s">
        <v>27</v>
      </c>
      <c r="D192" s="8">
        <v>10007</v>
      </c>
      <c r="E192" s="8" t="s">
        <v>305</v>
      </c>
      <c r="F192" s="8" t="s">
        <v>35</v>
      </c>
      <c r="G192" s="36">
        <f>VLOOKUP(E192,Flipkart!$A$1:$B$296,2,0)</f>
        <v>0</v>
      </c>
      <c r="H192" s="36">
        <f t="shared" ca="1" si="2"/>
        <v>0</v>
      </c>
      <c r="I192" s="36" t="str">
        <f>_xlfn.XLOOKUP(E192,'Product List'!$B$2:$B$299,'Product List'!$A$2:$A$299)</f>
        <v>Binder Posts</v>
      </c>
      <c r="J192" s="36"/>
      <c r="K192" s="36"/>
      <c r="L192" s="36"/>
      <c r="M192" s="36"/>
      <c r="N192" s="36"/>
    </row>
    <row r="193" spans="1:14">
      <c r="A193" s="8" t="s">
        <v>306</v>
      </c>
      <c r="B193" s="19">
        <v>41494</v>
      </c>
      <c r="C193" s="8" t="s">
        <v>27</v>
      </c>
      <c r="D193" s="8">
        <v>10005</v>
      </c>
      <c r="E193" s="8" t="s">
        <v>307</v>
      </c>
      <c r="F193" s="8" t="s">
        <v>43</v>
      </c>
      <c r="G193" s="36">
        <f>VLOOKUP(E193,Flipkart!$A$1:$B$296,2,0)</f>
        <v>0.04</v>
      </c>
      <c r="H193" s="36">
        <f t="shared" ca="1" si="2"/>
        <v>0.05</v>
      </c>
      <c r="I193" s="36" t="str">
        <f>_xlfn.XLOOKUP(E193,'Product List'!$B$2:$B$299,'Product List'!$A$2:$A$299)</f>
        <v>Avery 519</v>
      </c>
      <c r="J193" s="36"/>
      <c r="K193" s="36"/>
      <c r="L193" s="36"/>
      <c r="M193" s="36"/>
      <c r="N193" s="36"/>
    </row>
    <row r="194" spans="1:14">
      <c r="A194" s="8" t="s">
        <v>306</v>
      </c>
      <c r="B194" s="19">
        <v>41494</v>
      </c>
      <c r="C194" s="8" t="s">
        <v>27</v>
      </c>
      <c r="D194" s="8">
        <v>10001</v>
      </c>
      <c r="E194" s="8" t="s">
        <v>114</v>
      </c>
      <c r="F194" s="8" t="s">
        <v>40</v>
      </c>
      <c r="G194" s="36">
        <f>VLOOKUP(E194,Flipkart!$A$1:$B$296,2,0)</f>
        <v>0.03</v>
      </c>
      <c r="H194" s="36">
        <f t="shared" ca="1" si="2"/>
        <v>0.03</v>
      </c>
      <c r="I194" s="36" t="str">
        <f>_xlfn.XLOOKUP(E194,'Product List'!$B$2:$B$299,'Product List'!$A$2:$A$299)</f>
        <v>Xerox 1910</v>
      </c>
      <c r="J194" s="36"/>
      <c r="K194" s="36"/>
      <c r="L194" s="36"/>
      <c r="M194" s="36"/>
      <c r="N194" s="36"/>
    </row>
    <row r="195" spans="1:14">
      <c r="A195" s="8" t="s">
        <v>308</v>
      </c>
      <c r="B195" s="19">
        <v>41494</v>
      </c>
      <c r="C195" s="8" t="s">
        <v>33</v>
      </c>
      <c r="D195" s="8">
        <v>10012</v>
      </c>
      <c r="E195" s="8" t="s">
        <v>309</v>
      </c>
      <c r="F195" s="8" t="s">
        <v>29</v>
      </c>
      <c r="G195" s="36">
        <f>VLOOKUP(E195,Flipkart!$A$1:$B$296,2,0)</f>
        <v>0.01</v>
      </c>
      <c r="H195" s="36">
        <f t="shared" ca="1" si="2"/>
        <v>0.05</v>
      </c>
      <c r="I195" s="36" t="str">
        <f>_xlfn.XLOOKUP(E195,'Product List'!$B$2:$B$299,'Product List'!$A$2:$A$299)</f>
        <v>Xerox 1996</v>
      </c>
      <c r="J195" s="36"/>
      <c r="K195" s="36"/>
      <c r="L195" s="36"/>
      <c r="M195" s="36"/>
      <c r="N195" s="36"/>
    </row>
    <row r="196" spans="1:14">
      <c r="A196" s="8" t="s">
        <v>310</v>
      </c>
      <c r="B196" s="19">
        <v>41498</v>
      </c>
      <c r="C196" s="8" t="s">
        <v>51</v>
      </c>
      <c r="D196" s="8">
        <v>10015</v>
      </c>
      <c r="E196" s="8" t="s">
        <v>311</v>
      </c>
      <c r="F196" s="8" t="s">
        <v>43</v>
      </c>
      <c r="G196" s="36">
        <f>VLOOKUP(E196,Flipkart!$A$1:$B$296,2,0)</f>
        <v>0</v>
      </c>
      <c r="H196" s="36">
        <f t="shared" ref="H196:H259" ca="1" si="3">VLOOKUP(E196,INDIRECT(F196&amp;"!$A$1:$B$296"),2,0)</f>
        <v>0</v>
      </c>
      <c r="I196" s="36" t="str">
        <f>_xlfn.XLOOKUP(E196,'Product List'!$B$2:$B$299,'Product List'!$A$2:$A$299)</f>
        <v>Xerox 1923</v>
      </c>
      <c r="J196" s="36"/>
      <c r="K196" s="36"/>
      <c r="L196" s="36"/>
      <c r="M196" s="36"/>
      <c r="N196" s="36"/>
    </row>
    <row r="197" spans="1:14">
      <c r="A197" s="8" t="s">
        <v>310</v>
      </c>
      <c r="B197" s="19">
        <v>41498</v>
      </c>
      <c r="C197" s="8" t="s">
        <v>36</v>
      </c>
      <c r="D197" s="8">
        <v>10011</v>
      </c>
      <c r="E197" s="8" t="s">
        <v>312</v>
      </c>
      <c r="F197" s="8" t="s">
        <v>29</v>
      </c>
      <c r="G197" s="36">
        <f>VLOOKUP(E197,Flipkart!$A$1:$B$296,2,0)</f>
        <v>0.01</v>
      </c>
      <c r="H197" s="36">
        <f t="shared" ca="1" si="3"/>
        <v>0.02</v>
      </c>
      <c r="I197" s="36" t="str">
        <f>_xlfn.XLOOKUP(E197,'Product List'!$B$2:$B$299,'Product List'!$A$2:$A$299)</f>
        <v>Avery 492</v>
      </c>
      <c r="J197" s="36"/>
      <c r="K197" s="36"/>
      <c r="L197" s="36"/>
      <c r="M197" s="36"/>
      <c r="N197" s="36"/>
    </row>
    <row r="198" spans="1:14">
      <c r="A198" s="8" t="s">
        <v>310</v>
      </c>
      <c r="B198" s="19">
        <v>41498</v>
      </c>
      <c r="C198" s="8" t="s">
        <v>33</v>
      </c>
      <c r="D198" s="8">
        <v>10012</v>
      </c>
      <c r="E198" s="8" t="s">
        <v>168</v>
      </c>
      <c r="F198" s="8" t="s">
        <v>50</v>
      </c>
      <c r="G198" s="36">
        <f>VLOOKUP(E198,Flipkart!$A$1:$B$296,2,0)</f>
        <v>0.03</v>
      </c>
      <c r="H198" s="36">
        <f t="shared" ca="1" si="3"/>
        <v>0.04</v>
      </c>
      <c r="I198" s="36" t="str">
        <f>_xlfn.XLOOKUP(E198,'Product List'!$B$2:$B$299,'Product List'!$A$2:$A$299)</f>
        <v>Newell 334</v>
      </c>
      <c r="J198" s="36"/>
      <c r="K198" s="36"/>
      <c r="L198" s="36"/>
      <c r="M198" s="36"/>
      <c r="N198" s="36"/>
    </row>
    <row r="199" spans="1:14">
      <c r="A199" s="8" t="s">
        <v>313</v>
      </c>
      <c r="B199" s="19">
        <v>41499</v>
      </c>
      <c r="C199" s="8" t="s">
        <v>44</v>
      </c>
      <c r="D199" s="8">
        <v>10013</v>
      </c>
      <c r="E199" s="8" t="s">
        <v>216</v>
      </c>
      <c r="F199" s="8" t="s">
        <v>32</v>
      </c>
      <c r="G199" s="36">
        <f>VLOOKUP(E199,Flipkart!$A$1:$B$296,2,0)</f>
        <v>0</v>
      </c>
      <c r="H199" s="36">
        <f t="shared" ca="1" si="3"/>
        <v>0.05</v>
      </c>
      <c r="I199" s="36" t="str">
        <f>_xlfn.XLOOKUP(E199,'Product List'!$B$2:$B$299,'Product List'!$A$2:$A$299)</f>
        <v>Xerox 1920</v>
      </c>
      <c r="J199" s="36"/>
      <c r="K199" s="36"/>
      <c r="L199" s="36"/>
      <c r="M199" s="36"/>
      <c r="N199" s="36"/>
    </row>
    <row r="200" spans="1:14">
      <c r="A200" s="8" t="s">
        <v>314</v>
      </c>
      <c r="B200" s="19">
        <v>41499</v>
      </c>
      <c r="C200" s="8" t="s">
        <v>36</v>
      </c>
      <c r="D200" s="8">
        <v>10013</v>
      </c>
      <c r="E200" s="8" t="s">
        <v>315</v>
      </c>
      <c r="F200" s="8" t="s">
        <v>32</v>
      </c>
      <c r="G200" s="36">
        <f>VLOOKUP(E200,Flipkart!$A$1:$B$296,2,0)</f>
        <v>0.04</v>
      </c>
      <c r="H200" s="36">
        <f t="shared" ca="1" si="3"/>
        <v>0</v>
      </c>
      <c r="I200" s="36" t="str">
        <f>_xlfn.XLOOKUP(E200,'Product List'!$B$2:$B$299,'Product List'!$A$2:$A$299)</f>
        <v>Xerox 1918</v>
      </c>
      <c r="J200" s="36"/>
      <c r="K200" s="36"/>
      <c r="L200" s="36"/>
      <c r="M200" s="36"/>
      <c r="N200" s="36"/>
    </row>
    <row r="201" spans="1:14">
      <c r="A201" s="8" t="s">
        <v>313</v>
      </c>
      <c r="B201" s="19">
        <v>41499</v>
      </c>
      <c r="C201" s="8" t="s">
        <v>33</v>
      </c>
      <c r="D201" s="8">
        <v>10010</v>
      </c>
      <c r="E201" s="8" t="s">
        <v>316</v>
      </c>
      <c r="F201" s="8" t="s">
        <v>35</v>
      </c>
      <c r="G201" s="36">
        <f>VLOOKUP(E201,Flipkart!$A$1:$B$296,2,0)</f>
        <v>0.03</v>
      </c>
      <c r="H201" s="36">
        <f t="shared" ca="1" si="3"/>
        <v>0.03</v>
      </c>
      <c r="I201" s="36" t="str">
        <f>_xlfn.XLOOKUP(E201,'Product List'!$B$2:$B$299,'Product List'!$A$2:$A$299)</f>
        <v>Xerox 1900</v>
      </c>
      <c r="J201" s="36"/>
      <c r="K201" s="36"/>
      <c r="L201" s="36"/>
      <c r="M201" s="36"/>
      <c r="N201" s="36"/>
    </row>
    <row r="202" spans="1:14">
      <c r="A202" s="8" t="s">
        <v>317</v>
      </c>
      <c r="B202" s="19">
        <v>41501</v>
      </c>
      <c r="C202" s="8" t="s">
        <v>44</v>
      </c>
      <c r="D202" s="8">
        <v>10004</v>
      </c>
      <c r="E202" s="8" t="s">
        <v>318</v>
      </c>
      <c r="F202" s="8" t="s">
        <v>50</v>
      </c>
      <c r="G202" s="36">
        <f>VLOOKUP(E202,Flipkart!$A$1:$B$296,2,0)</f>
        <v>0.02</v>
      </c>
      <c r="H202" s="36">
        <f t="shared" ca="1" si="3"/>
        <v>0.05</v>
      </c>
      <c r="I202" s="36" t="str">
        <f>_xlfn.XLOOKUP(E202,'Product List'!$B$2:$B$299,'Product List'!$A$2:$A$299)</f>
        <v>Newell 331</v>
      </c>
      <c r="J202" s="36"/>
      <c r="K202" s="36"/>
      <c r="L202" s="36"/>
      <c r="M202" s="36"/>
      <c r="N202" s="36"/>
    </row>
    <row r="203" spans="1:14">
      <c r="A203" s="8" t="s">
        <v>319</v>
      </c>
      <c r="B203" s="19">
        <v>41501</v>
      </c>
      <c r="C203" s="8" t="s">
        <v>33</v>
      </c>
      <c r="D203" s="8">
        <v>10011</v>
      </c>
      <c r="E203" s="8" t="s">
        <v>320</v>
      </c>
      <c r="F203" s="8" t="s">
        <v>29</v>
      </c>
      <c r="G203" s="36">
        <f>VLOOKUP(E203,Flipkart!$A$1:$B$296,2,0)</f>
        <v>0.01</v>
      </c>
      <c r="H203" s="36">
        <f t="shared" ca="1" si="3"/>
        <v>0</v>
      </c>
      <c r="I203" s="36" t="str">
        <f>_xlfn.XLOOKUP(E203,'Product List'!$B$2:$B$299,'Product List'!$A$2:$A$299)</f>
        <v>LG Exalt</v>
      </c>
      <c r="J203" s="36"/>
      <c r="K203" s="36"/>
      <c r="L203" s="36"/>
      <c r="M203" s="36"/>
      <c r="N203" s="36"/>
    </row>
    <row r="204" spans="1:14">
      <c r="A204" s="8" t="s">
        <v>319</v>
      </c>
      <c r="B204" s="19">
        <v>41501</v>
      </c>
      <c r="C204" s="8" t="s">
        <v>46</v>
      </c>
      <c r="D204" s="8">
        <v>10015</v>
      </c>
      <c r="E204" s="8" t="s">
        <v>321</v>
      </c>
      <c r="F204" s="8" t="s">
        <v>50</v>
      </c>
      <c r="G204" s="36">
        <f>VLOOKUP(E204,Flipkart!$A$1:$B$296,2,0)</f>
        <v>0</v>
      </c>
      <c r="H204" s="36">
        <f t="shared" ca="1" si="3"/>
        <v>0</v>
      </c>
      <c r="I204" s="36" t="str">
        <f>_xlfn.XLOOKUP(E204,'Product List'!$B$2:$B$299,'Product List'!$A$2:$A$299)</f>
        <v>Xerox 1938</v>
      </c>
      <c r="J204" s="36"/>
      <c r="K204" s="36"/>
      <c r="L204" s="36"/>
      <c r="M204" s="36"/>
      <c r="N204" s="36"/>
    </row>
    <row r="205" spans="1:14">
      <c r="A205" s="8" t="s">
        <v>317</v>
      </c>
      <c r="B205" s="19">
        <v>41501</v>
      </c>
      <c r="C205" s="8" t="s">
        <v>51</v>
      </c>
      <c r="D205" s="8">
        <v>10003</v>
      </c>
      <c r="E205" s="8" t="s">
        <v>149</v>
      </c>
      <c r="F205" s="8" t="s">
        <v>32</v>
      </c>
      <c r="G205" s="36">
        <f>VLOOKUP(E205,Flipkart!$A$1:$B$296,2,0)</f>
        <v>0.05</v>
      </c>
      <c r="H205" s="36">
        <f t="shared" ca="1" si="3"/>
        <v>0</v>
      </c>
      <c r="I205" s="36" t="str">
        <f>_xlfn.XLOOKUP(E205,'Product List'!$B$2:$B$299,'Product List'!$A$2:$A$299)</f>
        <v>Xerox 1992</v>
      </c>
      <c r="J205" s="36"/>
      <c r="K205" s="36"/>
      <c r="L205" s="36"/>
      <c r="M205" s="36"/>
      <c r="N205" s="36"/>
    </row>
    <row r="206" spans="1:14">
      <c r="A206" s="8" t="s">
        <v>319</v>
      </c>
      <c r="B206" s="19">
        <v>41501</v>
      </c>
      <c r="C206" s="8" t="s">
        <v>36</v>
      </c>
      <c r="D206" s="8">
        <v>10006</v>
      </c>
      <c r="E206" s="8" t="s">
        <v>322</v>
      </c>
      <c r="F206" s="8" t="s">
        <v>35</v>
      </c>
      <c r="G206" s="36">
        <f>VLOOKUP(E206,Flipkart!$A$1:$B$296,2,0)</f>
        <v>0.05</v>
      </c>
      <c r="H206" s="36">
        <f t="shared" ca="1" si="3"/>
        <v>0.05</v>
      </c>
      <c r="I206" s="36" t="str">
        <f>_xlfn.XLOOKUP(E206,'Product List'!$B$2:$B$299,'Product List'!$A$2:$A$299)</f>
        <v>Xerox 1966</v>
      </c>
      <c r="J206" s="36"/>
      <c r="K206" s="36"/>
      <c r="L206" s="36"/>
      <c r="M206" s="36"/>
      <c r="N206" s="36"/>
    </row>
    <row r="207" spans="1:14">
      <c r="A207" s="8" t="s">
        <v>323</v>
      </c>
      <c r="B207" s="19">
        <v>41501</v>
      </c>
      <c r="C207" s="8" t="s">
        <v>44</v>
      </c>
      <c r="D207" s="8">
        <v>10006</v>
      </c>
      <c r="E207" s="8" t="s">
        <v>324</v>
      </c>
      <c r="F207" s="8" t="s">
        <v>50</v>
      </c>
      <c r="G207" s="36">
        <f>VLOOKUP(E207,Flipkart!$A$1:$B$296,2,0)</f>
        <v>0.04</v>
      </c>
      <c r="H207" s="36">
        <f t="shared" ca="1" si="3"/>
        <v>0.05</v>
      </c>
      <c r="I207" s="36" t="str">
        <f>_xlfn.XLOOKUP(E207,'Product List'!$B$2:$B$299,'Product List'!$A$2:$A$299)</f>
        <v>Newell 31</v>
      </c>
      <c r="J207" s="36"/>
      <c r="K207" s="36"/>
      <c r="L207" s="36"/>
      <c r="M207" s="36"/>
      <c r="N207" s="36"/>
    </row>
    <row r="208" spans="1:14">
      <c r="A208" s="8" t="s">
        <v>325</v>
      </c>
      <c r="B208" s="19">
        <v>41503</v>
      </c>
      <c r="C208" s="8" t="s">
        <v>51</v>
      </c>
      <c r="D208" s="8">
        <v>10007</v>
      </c>
      <c r="E208" s="8" t="s">
        <v>143</v>
      </c>
      <c r="F208" s="8" t="s">
        <v>32</v>
      </c>
      <c r="G208" s="36">
        <f>VLOOKUP(E208,Flipkart!$A$1:$B$296,2,0)</f>
        <v>0.04</v>
      </c>
      <c r="H208" s="36">
        <f t="shared" ca="1" si="3"/>
        <v>0</v>
      </c>
      <c r="I208" s="36" t="str">
        <f>_xlfn.XLOOKUP(E208,'Product List'!$B$2:$B$299,'Product List'!$A$2:$A$299)</f>
        <v>Xerox 1932</v>
      </c>
      <c r="J208" s="36"/>
      <c r="K208" s="36"/>
      <c r="L208" s="36"/>
      <c r="M208" s="36"/>
      <c r="N208" s="36"/>
    </row>
    <row r="209" spans="1:14">
      <c r="A209" s="8" t="s">
        <v>326</v>
      </c>
      <c r="B209" s="19">
        <v>41503</v>
      </c>
      <c r="C209" s="8" t="s">
        <v>33</v>
      </c>
      <c r="D209" s="8">
        <v>10001</v>
      </c>
      <c r="E209" s="8" t="s">
        <v>327</v>
      </c>
      <c r="F209" s="8" t="s">
        <v>32</v>
      </c>
      <c r="G209" s="36">
        <f>VLOOKUP(E209,Flipkart!$A$1:$B$296,2,0)</f>
        <v>0.04</v>
      </c>
      <c r="H209" s="36">
        <f t="shared" ca="1" si="3"/>
        <v>0.05</v>
      </c>
      <c r="I209" s="36" t="str">
        <f>_xlfn.XLOOKUP(E209,'Product List'!$B$2:$B$299,'Product List'!$A$2:$A$299)</f>
        <v>HTC One Mini</v>
      </c>
      <c r="J209" s="36"/>
      <c r="K209" s="36"/>
      <c r="L209" s="36"/>
      <c r="M209" s="36"/>
      <c r="N209" s="36"/>
    </row>
    <row r="210" spans="1:14">
      <c r="A210" s="8" t="s">
        <v>328</v>
      </c>
      <c r="B210" s="19">
        <v>41505</v>
      </c>
      <c r="C210" s="8" t="s">
        <v>27</v>
      </c>
      <c r="D210" s="8">
        <v>10009</v>
      </c>
      <c r="E210" s="8" t="s">
        <v>329</v>
      </c>
      <c r="F210" s="8" t="s">
        <v>43</v>
      </c>
      <c r="G210" s="36">
        <f>VLOOKUP(E210,Flipkart!$A$1:$B$296,2,0)</f>
        <v>0</v>
      </c>
      <c r="H210" s="36">
        <f t="shared" ca="1" si="3"/>
        <v>0.04</v>
      </c>
      <c r="I210" s="36" t="str">
        <f>_xlfn.XLOOKUP(E210,'Product List'!$B$2:$B$299,'Product List'!$A$2:$A$299)</f>
        <v>Xerox 1991</v>
      </c>
      <c r="J210" s="36"/>
      <c r="K210" s="36"/>
      <c r="L210" s="36"/>
      <c r="M210" s="36"/>
      <c r="N210" s="36"/>
    </row>
    <row r="211" spans="1:14">
      <c r="A211" s="8" t="s">
        <v>328</v>
      </c>
      <c r="B211" s="19">
        <v>41505</v>
      </c>
      <c r="C211" s="8" t="s">
        <v>44</v>
      </c>
      <c r="D211" s="8">
        <v>10002</v>
      </c>
      <c r="E211" s="8" t="s">
        <v>330</v>
      </c>
      <c r="F211" s="8" t="s">
        <v>32</v>
      </c>
      <c r="G211" s="36">
        <f>VLOOKUP(E211,Flipkart!$A$1:$B$296,2,0)</f>
        <v>0.05</v>
      </c>
      <c r="H211" s="36">
        <f t="shared" ca="1" si="3"/>
        <v>0.03</v>
      </c>
      <c r="I211" s="36" t="str">
        <f>_xlfn.XLOOKUP(E211,'Product List'!$B$2:$B$299,'Product List'!$A$2:$A$299)</f>
        <v>Xerox 1909</v>
      </c>
      <c r="J211" s="36"/>
      <c r="K211" s="36"/>
      <c r="L211" s="36"/>
      <c r="M211" s="36"/>
      <c r="N211" s="36"/>
    </row>
    <row r="212" spans="1:14">
      <c r="A212" s="8" t="s">
        <v>331</v>
      </c>
      <c r="B212" s="19">
        <v>41505</v>
      </c>
      <c r="C212" s="8" t="s">
        <v>54</v>
      </c>
      <c r="D212" s="8">
        <v>10009</v>
      </c>
      <c r="E212" s="8" t="s">
        <v>227</v>
      </c>
      <c r="F212" s="8" t="s">
        <v>40</v>
      </c>
      <c r="G212" s="36">
        <f>VLOOKUP(E212,Flipkart!$A$1:$B$296,2,0)</f>
        <v>0.02</v>
      </c>
      <c r="H212" s="36">
        <f t="shared" ca="1" si="3"/>
        <v>0.05</v>
      </c>
      <c r="I212" s="36" t="str">
        <f>_xlfn.XLOOKUP(E212,'Product List'!$B$2:$B$299,'Product List'!$A$2:$A$299)</f>
        <v>Xerox 21</v>
      </c>
      <c r="J212" s="36"/>
      <c r="K212" s="36"/>
      <c r="L212" s="36"/>
      <c r="M212" s="36"/>
      <c r="N212" s="36"/>
    </row>
    <row r="213" spans="1:14">
      <c r="A213" s="8" t="s">
        <v>328</v>
      </c>
      <c r="B213" s="19">
        <v>41505</v>
      </c>
      <c r="C213" s="8" t="s">
        <v>54</v>
      </c>
      <c r="D213" s="8">
        <v>10007</v>
      </c>
      <c r="E213" s="8" t="s">
        <v>172</v>
      </c>
      <c r="F213" s="8" t="s">
        <v>29</v>
      </c>
      <c r="G213" s="36">
        <f>VLOOKUP(E213,Flipkart!$A$1:$B$296,2,0)</f>
        <v>0.04</v>
      </c>
      <c r="H213" s="36">
        <f t="shared" ca="1" si="3"/>
        <v>0</v>
      </c>
      <c r="I213" s="36" t="str">
        <f>_xlfn.XLOOKUP(E213,'Product List'!$B$2:$B$299,'Product List'!$A$2:$A$299)</f>
        <v>Xerox 223</v>
      </c>
      <c r="J213" s="36"/>
      <c r="K213" s="36"/>
      <c r="L213" s="36"/>
      <c r="M213" s="36"/>
      <c r="N213" s="36"/>
    </row>
    <row r="214" spans="1:14">
      <c r="A214" s="8" t="s">
        <v>332</v>
      </c>
      <c r="B214" s="19">
        <v>41506</v>
      </c>
      <c r="C214" s="8" t="s">
        <v>54</v>
      </c>
      <c r="D214" s="8">
        <v>10003</v>
      </c>
      <c r="E214" s="8" t="s">
        <v>333</v>
      </c>
      <c r="F214" s="8" t="s">
        <v>35</v>
      </c>
      <c r="G214" s="36">
        <f>VLOOKUP(E214,Flipkart!$A$1:$B$296,2,0)</f>
        <v>0.05</v>
      </c>
      <c r="H214" s="36">
        <f t="shared" ca="1" si="3"/>
        <v>0.05</v>
      </c>
      <c r="I214" s="36" t="str">
        <f>_xlfn.XLOOKUP(E214,'Product List'!$B$2:$B$299,'Product List'!$A$2:$A$299)</f>
        <v>Xerox 1881</v>
      </c>
      <c r="J214" s="36"/>
      <c r="K214" s="36"/>
      <c r="L214" s="36"/>
      <c r="M214" s="36"/>
      <c r="N214" s="36"/>
    </row>
    <row r="215" spans="1:14">
      <c r="A215" s="8" t="s">
        <v>334</v>
      </c>
      <c r="B215" s="19">
        <v>41506</v>
      </c>
      <c r="C215" s="8" t="s">
        <v>33</v>
      </c>
      <c r="D215" s="8">
        <v>10011</v>
      </c>
      <c r="E215" s="8" t="s">
        <v>335</v>
      </c>
      <c r="F215" s="8" t="s">
        <v>50</v>
      </c>
      <c r="G215" s="36">
        <f>VLOOKUP(E215,Flipkart!$A$1:$B$296,2,0)</f>
        <v>0.04</v>
      </c>
      <c r="H215" s="36">
        <f t="shared" ca="1" si="3"/>
        <v>0</v>
      </c>
      <c r="I215" s="36" t="str">
        <f>_xlfn.XLOOKUP(E215,'Product List'!$B$2:$B$299,'Product List'!$A$2:$A$299)</f>
        <v>Xerox 1940</v>
      </c>
      <c r="J215" s="36"/>
      <c r="K215" s="36"/>
      <c r="L215" s="36"/>
      <c r="M215" s="36"/>
      <c r="N215" s="36"/>
    </row>
    <row r="216" spans="1:14">
      <c r="A216" s="8" t="s">
        <v>332</v>
      </c>
      <c r="B216" s="19">
        <v>41506</v>
      </c>
      <c r="C216" s="8" t="s">
        <v>36</v>
      </c>
      <c r="D216" s="8">
        <v>10006</v>
      </c>
      <c r="E216" s="8" t="s">
        <v>250</v>
      </c>
      <c r="F216" s="8" t="s">
        <v>35</v>
      </c>
      <c r="G216" s="36">
        <f>VLOOKUP(E216,Flipkart!$A$1:$B$296,2,0)</f>
        <v>0.03</v>
      </c>
      <c r="H216" s="36">
        <f t="shared" ca="1" si="3"/>
        <v>0.03</v>
      </c>
      <c r="I216" s="36" t="str">
        <f>_xlfn.XLOOKUP(E216,'Product List'!$B$2:$B$299,'Product List'!$A$2:$A$299)</f>
        <v>Avery 473</v>
      </c>
      <c r="J216" s="36"/>
      <c r="K216" s="36"/>
      <c r="L216" s="36"/>
      <c r="M216" s="36"/>
      <c r="N216" s="36"/>
    </row>
    <row r="217" spans="1:14">
      <c r="A217" s="8" t="s">
        <v>336</v>
      </c>
      <c r="B217" s="19">
        <v>41507</v>
      </c>
      <c r="C217" s="8" t="s">
        <v>54</v>
      </c>
      <c r="D217" s="8">
        <v>10014</v>
      </c>
      <c r="E217" s="8" t="s">
        <v>337</v>
      </c>
      <c r="F217" s="8" t="s">
        <v>50</v>
      </c>
      <c r="G217" s="36">
        <f>VLOOKUP(E217,Flipkart!$A$1:$B$296,2,0)</f>
        <v>0.04</v>
      </c>
      <c r="H217" s="36">
        <f t="shared" ca="1" si="3"/>
        <v>0.05</v>
      </c>
      <c r="I217" s="36" t="str">
        <f>_xlfn.XLOOKUP(E217,'Product List'!$B$2:$B$299,'Product List'!$A$2:$A$299)</f>
        <v>Avery 487</v>
      </c>
      <c r="J217" s="36"/>
      <c r="K217" s="36"/>
      <c r="L217" s="36"/>
      <c r="M217" s="36"/>
      <c r="N217" s="36"/>
    </row>
    <row r="218" spans="1:14">
      <c r="A218" s="8" t="s">
        <v>338</v>
      </c>
      <c r="B218" s="19">
        <v>41507</v>
      </c>
      <c r="C218" s="8" t="s">
        <v>66</v>
      </c>
      <c r="D218" s="8">
        <v>10001</v>
      </c>
      <c r="E218" s="8" t="s">
        <v>339</v>
      </c>
      <c r="F218" s="8" t="s">
        <v>32</v>
      </c>
      <c r="G218" s="36">
        <f>VLOOKUP(E218,Flipkart!$A$1:$B$296,2,0)</f>
        <v>0.02</v>
      </c>
      <c r="H218" s="36">
        <f t="shared" ca="1" si="3"/>
        <v>0.01</v>
      </c>
      <c r="I218" s="36" t="str">
        <f>_xlfn.XLOOKUP(E218,'Product List'!$B$2:$B$299,'Product List'!$A$2:$A$299)</f>
        <v>Avery 489</v>
      </c>
      <c r="J218" s="36"/>
      <c r="K218" s="36"/>
      <c r="L218" s="36"/>
      <c r="M218" s="36"/>
      <c r="N218" s="36"/>
    </row>
    <row r="219" spans="1:14">
      <c r="A219" s="8" t="s">
        <v>336</v>
      </c>
      <c r="B219" s="19">
        <v>41507</v>
      </c>
      <c r="C219" s="8" t="s">
        <v>36</v>
      </c>
      <c r="D219" s="8">
        <v>10009</v>
      </c>
      <c r="E219" s="8" t="s">
        <v>339</v>
      </c>
      <c r="F219" s="8" t="s">
        <v>40</v>
      </c>
      <c r="G219" s="36">
        <f>VLOOKUP(E219,Flipkart!$A$1:$B$296,2,0)</f>
        <v>0.02</v>
      </c>
      <c r="H219" s="36">
        <f t="shared" ca="1" si="3"/>
        <v>0.03</v>
      </c>
      <c r="I219" s="36" t="str">
        <f>_xlfn.XLOOKUP(E219,'Product List'!$B$2:$B$299,'Product List'!$A$2:$A$299)</f>
        <v>Avery 489</v>
      </c>
      <c r="J219" s="36"/>
      <c r="K219" s="36"/>
      <c r="L219" s="36"/>
      <c r="M219" s="36"/>
      <c r="N219" s="36"/>
    </row>
    <row r="220" spans="1:14">
      <c r="A220" s="8" t="s">
        <v>338</v>
      </c>
      <c r="B220" s="19">
        <v>41507</v>
      </c>
      <c r="C220" s="8" t="s">
        <v>54</v>
      </c>
      <c r="D220" s="8">
        <v>10015</v>
      </c>
      <c r="E220" s="8" t="s">
        <v>42</v>
      </c>
      <c r="F220" s="8" t="s">
        <v>32</v>
      </c>
      <c r="G220" s="36">
        <f>VLOOKUP(E220,Flipkart!$A$1:$B$296,2,0)</f>
        <v>0.04</v>
      </c>
      <c r="H220" s="36">
        <f t="shared" ca="1" si="3"/>
        <v>0.02</v>
      </c>
      <c r="I220" s="36" t="str">
        <f>_xlfn.XLOOKUP(E220,'Product List'!$B$2:$B$299,'Product List'!$A$2:$A$299)</f>
        <v>Staple magnet</v>
      </c>
      <c r="J220" s="36"/>
      <c r="K220" s="36"/>
      <c r="L220" s="36"/>
      <c r="M220" s="36"/>
      <c r="N220" s="36"/>
    </row>
    <row r="221" spans="1:14">
      <c r="A221" s="8" t="s">
        <v>340</v>
      </c>
      <c r="B221" s="19">
        <v>41508</v>
      </c>
      <c r="C221" s="8" t="s">
        <v>44</v>
      </c>
      <c r="D221" s="8">
        <v>10006</v>
      </c>
      <c r="E221" s="8" t="s">
        <v>231</v>
      </c>
      <c r="F221" s="8" t="s">
        <v>35</v>
      </c>
      <c r="G221" s="36">
        <f>VLOOKUP(E221,Flipkart!$A$1:$B$296,2,0)</f>
        <v>0.01</v>
      </c>
      <c r="H221" s="36">
        <f t="shared" ca="1" si="3"/>
        <v>0.01</v>
      </c>
      <c r="I221" s="36" t="str">
        <f>_xlfn.XLOOKUP(E221,'Product List'!$B$2:$B$299,'Product List'!$A$2:$A$299)</f>
        <v>Newell 350</v>
      </c>
      <c r="J221" s="36"/>
      <c r="K221" s="36"/>
      <c r="L221" s="36"/>
      <c r="M221" s="36"/>
      <c r="N221" s="36"/>
    </row>
    <row r="222" spans="1:14">
      <c r="A222" s="8" t="s">
        <v>340</v>
      </c>
      <c r="B222" s="19">
        <v>41508</v>
      </c>
      <c r="C222" s="8" t="s">
        <v>54</v>
      </c>
      <c r="D222" s="8">
        <v>10008</v>
      </c>
      <c r="E222" s="8" t="s">
        <v>341</v>
      </c>
      <c r="F222" s="8" t="s">
        <v>50</v>
      </c>
      <c r="G222" s="36">
        <f>VLOOKUP(E222,Flipkart!$A$1:$B$296,2,0)</f>
        <v>0.02</v>
      </c>
      <c r="H222" s="36">
        <f t="shared" ca="1" si="3"/>
        <v>0.01</v>
      </c>
      <c r="I222" s="36" t="str">
        <f>_xlfn.XLOOKUP(E222,'Product List'!$B$2:$B$299,'Product List'!$A$2:$A$299)</f>
        <v>Newell 342</v>
      </c>
      <c r="J222" s="36"/>
      <c r="K222" s="36"/>
      <c r="L222" s="36"/>
      <c r="M222" s="36"/>
      <c r="N222" s="36"/>
    </row>
    <row r="223" spans="1:14">
      <c r="A223" s="8" t="s">
        <v>342</v>
      </c>
      <c r="B223" s="19">
        <v>41510</v>
      </c>
      <c r="C223" s="8" t="s">
        <v>54</v>
      </c>
      <c r="D223" s="8">
        <v>10015</v>
      </c>
      <c r="E223" s="8" t="s">
        <v>343</v>
      </c>
      <c r="F223" s="8" t="s">
        <v>43</v>
      </c>
      <c r="G223" s="36">
        <f>VLOOKUP(E223,Flipkart!$A$1:$B$296,2,0)</f>
        <v>0.01</v>
      </c>
      <c r="H223" s="36">
        <f t="shared" ca="1" si="3"/>
        <v>0.01</v>
      </c>
      <c r="I223" s="36" t="str">
        <f>_xlfn.XLOOKUP(E223,'Product List'!$B$2:$B$299,'Product List'!$A$2:$A$299)</f>
        <v>Newell 333</v>
      </c>
      <c r="J223" s="36"/>
      <c r="K223" s="36"/>
      <c r="L223" s="36"/>
      <c r="M223" s="36"/>
      <c r="N223" s="36"/>
    </row>
    <row r="224" spans="1:14">
      <c r="A224" s="8" t="s">
        <v>342</v>
      </c>
      <c r="B224" s="19">
        <v>41510</v>
      </c>
      <c r="C224" s="8" t="s">
        <v>33</v>
      </c>
      <c r="D224" s="8">
        <v>10002</v>
      </c>
      <c r="E224" s="8" t="s">
        <v>284</v>
      </c>
      <c r="F224" s="8" t="s">
        <v>32</v>
      </c>
      <c r="G224" s="36">
        <f>VLOOKUP(E224,Flipkart!$A$1:$B$296,2,0)</f>
        <v>0.04</v>
      </c>
      <c r="H224" s="36">
        <f t="shared" ca="1" si="3"/>
        <v>0.02</v>
      </c>
      <c r="I224" s="36" t="str">
        <f>_xlfn.XLOOKUP(E224,'Product List'!$B$2:$B$299,'Product List'!$A$2:$A$299)</f>
        <v>Xerox 1986</v>
      </c>
      <c r="J224" s="36"/>
      <c r="K224" s="36"/>
      <c r="L224" s="36"/>
      <c r="M224" s="36"/>
      <c r="N224" s="36"/>
    </row>
    <row r="225" spans="1:14">
      <c r="A225" s="8" t="s">
        <v>344</v>
      </c>
      <c r="B225" s="19">
        <v>41511</v>
      </c>
      <c r="C225" s="8" t="s">
        <v>27</v>
      </c>
      <c r="D225" s="8">
        <v>10003</v>
      </c>
      <c r="E225" s="8" t="s">
        <v>345</v>
      </c>
      <c r="F225" s="8" t="s">
        <v>50</v>
      </c>
      <c r="G225" s="36">
        <f>VLOOKUP(E225,Flipkart!$A$1:$B$296,2,0)</f>
        <v>0.04</v>
      </c>
      <c r="H225" s="36">
        <f t="shared" ca="1" si="3"/>
        <v>0.04</v>
      </c>
      <c r="I225" s="36" t="str">
        <f>_xlfn.XLOOKUP(E225,'Product List'!$B$2:$B$299,'Product List'!$A$2:$A$299)</f>
        <v>Newell 340</v>
      </c>
      <c r="J225" s="36"/>
      <c r="K225" s="36"/>
      <c r="L225" s="36"/>
      <c r="M225" s="36"/>
      <c r="N225" s="36"/>
    </row>
    <row r="226" spans="1:14">
      <c r="A226" s="8" t="s">
        <v>346</v>
      </c>
      <c r="B226" s="19">
        <v>41511</v>
      </c>
      <c r="C226" s="8" t="s">
        <v>54</v>
      </c>
      <c r="D226" s="8">
        <v>10011</v>
      </c>
      <c r="E226" s="8" t="s">
        <v>67</v>
      </c>
      <c r="F226" s="8" t="s">
        <v>32</v>
      </c>
      <c r="G226" s="36">
        <f>VLOOKUP(E226,Flipkart!$A$1:$B$296,2,0)</f>
        <v>0</v>
      </c>
      <c r="H226" s="36">
        <f t="shared" ca="1" si="3"/>
        <v>0.01</v>
      </c>
      <c r="I226" s="36" t="str">
        <f>_xlfn.XLOOKUP(E226,'Product List'!$B$2:$B$299,'Product List'!$A$2:$A$299)</f>
        <v>Xerox 1927</v>
      </c>
      <c r="J226" s="36"/>
      <c r="K226" s="36"/>
      <c r="L226" s="36"/>
      <c r="M226" s="36"/>
      <c r="N226" s="36"/>
    </row>
    <row r="227" spans="1:14">
      <c r="A227" s="8" t="s">
        <v>344</v>
      </c>
      <c r="B227" s="19">
        <v>41511</v>
      </c>
      <c r="C227" s="8" t="s">
        <v>33</v>
      </c>
      <c r="D227" s="8">
        <v>10001</v>
      </c>
      <c r="E227" s="8" t="s">
        <v>347</v>
      </c>
      <c r="F227" s="8" t="s">
        <v>50</v>
      </c>
      <c r="G227" s="36">
        <f>VLOOKUP(E227,Flipkart!$A$1:$B$296,2,0)</f>
        <v>0.04</v>
      </c>
      <c r="H227" s="36">
        <f t="shared" ca="1" si="3"/>
        <v>0</v>
      </c>
      <c r="I227" s="36" t="str">
        <f>_xlfn.XLOOKUP(E227,'Product List'!$B$2:$B$299,'Product List'!$A$2:$A$299)</f>
        <v>Avery 511</v>
      </c>
      <c r="J227" s="36"/>
      <c r="K227" s="36"/>
      <c r="L227" s="36"/>
      <c r="M227" s="36"/>
      <c r="N227" s="36"/>
    </row>
    <row r="228" spans="1:14">
      <c r="A228" s="8" t="s">
        <v>344</v>
      </c>
      <c r="B228" s="19">
        <v>41511</v>
      </c>
      <c r="C228" s="8" t="s">
        <v>51</v>
      </c>
      <c r="D228" s="8">
        <v>10010</v>
      </c>
      <c r="E228" s="8" t="s">
        <v>348</v>
      </c>
      <c r="F228" s="8" t="s">
        <v>40</v>
      </c>
      <c r="G228" s="36">
        <f>VLOOKUP(E228,Flipkart!$A$1:$B$296,2,0)</f>
        <v>0.02</v>
      </c>
      <c r="H228" s="36">
        <f t="shared" ca="1" si="3"/>
        <v>0.01</v>
      </c>
      <c r="I228" s="36" t="str">
        <f>_xlfn.XLOOKUP(E228,'Product List'!$B$2:$B$299,'Product List'!$A$2:$A$299)</f>
        <v>Avery 512</v>
      </c>
      <c r="J228" s="36"/>
      <c r="K228" s="36"/>
      <c r="L228" s="36"/>
      <c r="M228" s="36"/>
      <c r="N228" s="36"/>
    </row>
    <row r="229" spans="1:14">
      <c r="A229" s="8" t="s">
        <v>349</v>
      </c>
      <c r="B229" s="19">
        <v>41515</v>
      </c>
      <c r="C229" s="8" t="s">
        <v>46</v>
      </c>
      <c r="D229" s="8">
        <v>10012</v>
      </c>
      <c r="E229" s="8" t="s">
        <v>151</v>
      </c>
      <c r="F229" s="8" t="s">
        <v>50</v>
      </c>
      <c r="G229" s="36">
        <f>VLOOKUP(E229,Flipkart!$A$1:$B$296,2,0)</f>
        <v>0.01</v>
      </c>
      <c r="H229" s="36">
        <f t="shared" ca="1" si="3"/>
        <v>0.05</v>
      </c>
      <c r="I229" s="36" t="str">
        <f>_xlfn.XLOOKUP(E229,'Product List'!$B$2:$B$299,'Product List'!$A$2:$A$299)</f>
        <v>Newell 346</v>
      </c>
      <c r="J229" s="36"/>
      <c r="K229" s="36"/>
      <c r="L229" s="36"/>
      <c r="M229" s="36"/>
      <c r="N229" s="36"/>
    </row>
    <row r="230" spans="1:14">
      <c r="A230" s="8" t="s">
        <v>350</v>
      </c>
      <c r="B230" s="19">
        <v>41517</v>
      </c>
      <c r="C230" s="8" t="s">
        <v>27</v>
      </c>
      <c r="D230" s="8">
        <v>10006</v>
      </c>
      <c r="E230" s="8" t="s">
        <v>256</v>
      </c>
      <c r="F230" s="8" t="s">
        <v>40</v>
      </c>
      <c r="G230" s="36">
        <f>VLOOKUP(E230,Flipkart!$A$1:$B$296,2,0)</f>
        <v>0.04</v>
      </c>
      <c r="H230" s="36">
        <f t="shared" ca="1" si="3"/>
        <v>0</v>
      </c>
      <c r="I230" s="36" t="str">
        <f>_xlfn.XLOOKUP(E230,'Product List'!$B$2:$B$299,'Product List'!$A$2:$A$299)</f>
        <v>Newell 313</v>
      </c>
      <c r="J230" s="36"/>
      <c r="K230" s="36"/>
      <c r="L230" s="36"/>
      <c r="M230" s="36"/>
      <c r="N230" s="36"/>
    </row>
    <row r="231" spans="1:14">
      <c r="A231" s="8" t="s">
        <v>351</v>
      </c>
      <c r="B231" s="19">
        <v>41518</v>
      </c>
      <c r="C231" s="8" t="s">
        <v>51</v>
      </c>
      <c r="D231" s="8">
        <v>10012</v>
      </c>
      <c r="E231" s="8" t="s">
        <v>352</v>
      </c>
      <c r="F231" s="8" t="s">
        <v>40</v>
      </c>
      <c r="G231" s="36">
        <f>VLOOKUP(E231,Flipkart!$A$1:$B$296,2,0)</f>
        <v>0</v>
      </c>
      <c r="H231" s="36">
        <f t="shared" ca="1" si="3"/>
        <v>0.01</v>
      </c>
      <c r="I231" s="36" t="str">
        <f>_xlfn.XLOOKUP(E231,'Product List'!$B$2:$B$299,'Product List'!$A$2:$A$299)</f>
        <v>Avery 501</v>
      </c>
      <c r="J231" s="36"/>
      <c r="K231" s="36"/>
      <c r="L231" s="36"/>
      <c r="M231" s="36"/>
      <c r="N231" s="36"/>
    </row>
    <row r="232" spans="1:14">
      <c r="A232" s="8" t="s">
        <v>353</v>
      </c>
      <c r="B232" s="19">
        <v>41518</v>
      </c>
      <c r="C232" s="8" t="s">
        <v>66</v>
      </c>
      <c r="D232" s="8">
        <v>10009</v>
      </c>
      <c r="E232" s="8" t="s">
        <v>182</v>
      </c>
      <c r="F232" s="8" t="s">
        <v>50</v>
      </c>
      <c r="G232" s="36">
        <f>VLOOKUP(E232,Flipkart!$A$1:$B$296,2,0)</f>
        <v>0.04</v>
      </c>
      <c r="H232" s="36">
        <f t="shared" ca="1" si="3"/>
        <v>0.05</v>
      </c>
      <c r="I232" s="36" t="str">
        <f>_xlfn.XLOOKUP(E232,'Product List'!$B$2:$B$299,'Product List'!$A$2:$A$299)</f>
        <v>Newell 351</v>
      </c>
      <c r="J232" s="36"/>
      <c r="K232" s="36"/>
      <c r="L232" s="36"/>
      <c r="M232" s="36"/>
      <c r="N232" s="36"/>
    </row>
    <row r="233" spans="1:14">
      <c r="A233" s="8" t="s">
        <v>353</v>
      </c>
      <c r="B233" s="19">
        <v>41518</v>
      </c>
      <c r="C233" s="8" t="s">
        <v>44</v>
      </c>
      <c r="D233" s="8">
        <v>10011</v>
      </c>
      <c r="E233" s="8" t="s">
        <v>322</v>
      </c>
      <c r="F233" s="8" t="s">
        <v>32</v>
      </c>
      <c r="G233" s="36">
        <f>VLOOKUP(E233,Flipkart!$A$1:$B$296,2,0)</f>
        <v>0.05</v>
      </c>
      <c r="H233" s="36">
        <f t="shared" ca="1" si="3"/>
        <v>0</v>
      </c>
      <c r="I233" s="36" t="str">
        <f>_xlfn.XLOOKUP(E233,'Product List'!$B$2:$B$299,'Product List'!$A$2:$A$299)</f>
        <v>Xerox 1966</v>
      </c>
      <c r="J233" s="36"/>
      <c r="K233" s="36"/>
      <c r="L233" s="36"/>
      <c r="M233" s="36"/>
      <c r="N233" s="36"/>
    </row>
    <row r="234" spans="1:14">
      <c r="A234" s="8" t="s">
        <v>354</v>
      </c>
      <c r="B234" s="19">
        <v>41519</v>
      </c>
      <c r="C234" s="8" t="s">
        <v>33</v>
      </c>
      <c r="D234" s="8">
        <v>10008</v>
      </c>
      <c r="E234" s="8" t="s">
        <v>200</v>
      </c>
      <c r="F234" s="8" t="s">
        <v>50</v>
      </c>
      <c r="G234" s="36">
        <f>VLOOKUP(E234,Flipkart!$A$1:$B$296,2,0)</f>
        <v>0.04</v>
      </c>
      <c r="H234" s="36">
        <f t="shared" ca="1" si="3"/>
        <v>0.04</v>
      </c>
      <c r="I234" s="36" t="str">
        <f>_xlfn.XLOOKUP(E234,'Product List'!$B$2:$B$299,'Product List'!$A$2:$A$299)</f>
        <v>Xerox 1980</v>
      </c>
      <c r="J234" s="36"/>
      <c r="K234" s="36"/>
      <c r="L234" s="36"/>
      <c r="M234" s="36"/>
      <c r="N234" s="36"/>
    </row>
    <row r="235" spans="1:14">
      <c r="A235" s="8" t="s">
        <v>354</v>
      </c>
      <c r="B235" s="19">
        <v>41519</v>
      </c>
      <c r="C235" s="8" t="s">
        <v>66</v>
      </c>
      <c r="D235" s="8">
        <v>10007</v>
      </c>
      <c r="E235" s="8" t="s">
        <v>355</v>
      </c>
      <c r="F235" s="8" t="s">
        <v>32</v>
      </c>
      <c r="G235" s="36">
        <f>VLOOKUP(E235,Flipkart!$A$1:$B$296,2,0)</f>
        <v>0.01</v>
      </c>
      <c r="H235" s="36">
        <f t="shared" ca="1" si="3"/>
        <v>0.02</v>
      </c>
      <c r="I235" s="36" t="str">
        <f>_xlfn.XLOOKUP(E235,'Product List'!$B$2:$B$299,'Product List'!$A$2:$A$299)</f>
        <v>Avery 51</v>
      </c>
      <c r="J235" s="36"/>
      <c r="K235" s="36"/>
      <c r="L235" s="36"/>
      <c r="M235" s="36"/>
      <c r="N235" s="36"/>
    </row>
    <row r="236" spans="1:14">
      <c r="A236" s="8" t="s">
        <v>354</v>
      </c>
      <c r="B236" s="19">
        <v>41519</v>
      </c>
      <c r="C236" s="8" t="s">
        <v>27</v>
      </c>
      <c r="D236" s="8">
        <v>10009</v>
      </c>
      <c r="E236" s="8" t="s">
        <v>356</v>
      </c>
      <c r="F236" s="8" t="s">
        <v>29</v>
      </c>
      <c r="G236" s="36">
        <f>VLOOKUP(E236,Flipkart!$A$1:$B$296,2,0)</f>
        <v>0.04</v>
      </c>
      <c r="H236" s="36">
        <f t="shared" ca="1" si="3"/>
        <v>0.05</v>
      </c>
      <c r="I236" s="36" t="str">
        <f>_xlfn.XLOOKUP(E236,'Product List'!$B$2:$B$299,'Product List'!$A$2:$A$299)</f>
        <v>Newell 32</v>
      </c>
      <c r="J236" s="36"/>
      <c r="K236" s="36"/>
      <c r="L236" s="36"/>
      <c r="M236" s="36"/>
      <c r="N236" s="36"/>
    </row>
    <row r="237" spans="1:14">
      <c r="A237" s="8" t="s">
        <v>357</v>
      </c>
      <c r="B237" s="19">
        <v>41521</v>
      </c>
      <c r="C237" s="8" t="s">
        <v>46</v>
      </c>
      <c r="D237" s="8">
        <v>10005</v>
      </c>
      <c r="E237" s="8" t="s">
        <v>358</v>
      </c>
      <c r="F237" s="8" t="s">
        <v>32</v>
      </c>
      <c r="G237" s="36">
        <f>VLOOKUP(E237,Flipkart!$A$1:$B$296,2,0)</f>
        <v>0</v>
      </c>
      <c r="H237" s="36">
        <f t="shared" ca="1" si="3"/>
        <v>0.01</v>
      </c>
      <c r="I237" s="36" t="str">
        <f>_xlfn.XLOOKUP(E237,'Product List'!$B$2:$B$299,'Product List'!$A$2:$A$299)</f>
        <v>Xerox 1962</v>
      </c>
      <c r="J237" s="36"/>
      <c r="K237" s="36"/>
      <c r="L237" s="36"/>
      <c r="M237" s="36"/>
      <c r="N237" s="36"/>
    </row>
    <row r="238" spans="1:14">
      <c r="A238" s="8" t="s">
        <v>359</v>
      </c>
      <c r="B238" s="19">
        <v>41522</v>
      </c>
      <c r="C238" s="8" t="s">
        <v>46</v>
      </c>
      <c r="D238" s="8">
        <v>10004</v>
      </c>
      <c r="E238" s="8" t="s">
        <v>78</v>
      </c>
      <c r="F238" s="8" t="s">
        <v>29</v>
      </c>
      <c r="G238" s="36">
        <f>VLOOKUP(E238,Flipkart!$A$1:$B$296,2,0)</f>
        <v>0.02</v>
      </c>
      <c r="H238" s="36">
        <f t="shared" ca="1" si="3"/>
        <v>0.04</v>
      </c>
      <c r="I238" s="36" t="str">
        <f>_xlfn.XLOOKUP(E238,'Product List'!$B$2:$B$299,'Product List'!$A$2:$A$299)</f>
        <v>Xerox 199</v>
      </c>
      <c r="J238" s="36"/>
      <c r="K238" s="36"/>
      <c r="L238" s="36"/>
      <c r="M238" s="36"/>
      <c r="N238" s="36"/>
    </row>
    <row r="239" spans="1:14">
      <c r="A239" s="8" t="s">
        <v>359</v>
      </c>
      <c r="B239" s="19">
        <v>41522</v>
      </c>
      <c r="C239" s="8" t="s">
        <v>33</v>
      </c>
      <c r="D239" s="8">
        <v>10006</v>
      </c>
      <c r="E239" s="8" t="s">
        <v>356</v>
      </c>
      <c r="F239" s="8" t="s">
        <v>40</v>
      </c>
      <c r="G239" s="36">
        <f>VLOOKUP(E239,Flipkart!$A$1:$B$296,2,0)</f>
        <v>0.04</v>
      </c>
      <c r="H239" s="36">
        <f t="shared" ca="1" si="3"/>
        <v>0.02</v>
      </c>
      <c r="I239" s="36" t="str">
        <f>_xlfn.XLOOKUP(E239,'Product List'!$B$2:$B$299,'Product List'!$A$2:$A$299)</f>
        <v>Newell 32</v>
      </c>
      <c r="J239" s="36"/>
      <c r="K239" s="36"/>
      <c r="L239" s="36"/>
      <c r="M239" s="36"/>
      <c r="N239" s="36"/>
    </row>
    <row r="240" spans="1:14">
      <c r="A240" s="8" t="s">
        <v>360</v>
      </c>
      <c r="B240" s="19">
        <v>41522</v>
      </c>
      <c r="C240" s="8" t="s">
        <v>54</v>
      </c>
      <c r="D240" s="8">
        <v>10001</v>
      </c>
      <c r="E240" s="8" t="s">
        <v>361</v>
      </c>
      <c r="F240" s="8" t="s">
        <v>40</v>
      </c>
      <c r="G240" s="36">
        <f>VLOOKUP(E240,Flipkart!$A$1:$B$296,2,0)</f>
        <v>0.01</v>
      </c>
      <c r="H240" s="36">
        <f t="shared" ca="1" si="3"/>
        <v>0.03</v>
      </c>
      <c r="I240" s="36" t="str">
        <f>_xlfn.XLOOKUP(E240,'Product List'!$B$2:$B$299,'Product List'!$A$2:$A$299)</f>
        <v>Avery 518</v>
      </c>
      <c r="J240" s="36"/>
      <c r="K240" s="36"/>
      <c r="L240" s="36"/>
      <c r="M240" s="36"/>
      <c r="N240" s="36"/>
    </row>
    <row r="241" spans="1:14">
      <c r="A241" s="8" t="s">
        <v>359</v>
      </c>
      <c r="B241" s="19">
        <v>41522</v>
      </c>
      <c r="C241" s="8" t="s">
        <v>51</v>
      </c>
      <c r="D241" s="8">
        <v>10015</v>
      </c>
      <c r="E241" s="8" t="s">
        <v>362</v>
      </c>
      <c r="F241" s="8" t="s">
        <v>32</v>
      </c>
      <c r="G241" s="36">
        <f>VLOOKUP(E241,Flipkart!$A$1:$B$296,2,0)</f>
        <v>0</v>
      </c>
      <c r="H241" s="36">
        <f t="shared" ca="1" si="3"/>
        <v>0</v>
      </c>
      <c r="I241" s="36" t="str">
        <f>_xlfn.XLOOKUP(E241,'Product List'!$B$2:$B$299,'Product List'!$A$2:$A$299)</f>
        <v>Avery 499</v>
      </c>
      <c r="J241" s="36"/>
      <c r="K241" s="36"/>
      <c r="L241" s="36"/>
      <c r="M241" s="36"/>
      <c r="N241" s="36"/>
    </row>
    <row r="242" spans="1:14">
      <c r="A242" s="8" t="s">
        <v>363</v>
      </c>
      <c r="B242" s="19">
        <v>41525</v>
      </c>
      <c r="C242" s="8" t="s">
        <v>27</v>
      </c>
      <c r="D242" s="8">
        <v>10010</v>
      </c>
      <c r="E242" s="8" t="s">
        <v>364</v>
      </c>
      <c r="F242" s="8" t="s">
        <v>29</v>
      </c>
      <c r="G242" s="36">
        <f>VLOOKUP(E242,Flipkart!$A$1:$B$296,2,0)</f>
        <v>0.02</v>
      </c>
      <c r="H242" s="36">
        <f t="shared" ca="1" si="3"/>
        <v>0.01</v>
      </c>
      <c r="I242" s="36" t="str">
        <f>_xlfn.XLOOKUP(E242,'Product List'!$B$2:$B$299,'Product List'!$A$2:$A$299)</f>
        <v>Avery 474</v>
      </c>
      <c r="J242" s="36"/>
      <c r="K242" s="36"/>
      <c r="L242" s="36"/>
      <c r="M242" s="36"/>
      <c r="N242" s="36"/>
    </row>
    <row r="243" spans="1:14">
      <c r="A243" s="8" t="s">
        <v>365</v>
      </c>
      <c r="B243" s="19">
        <v>41527</v>
      </c>
      <c r="C243" s="8" t="s">
        <v>44</v>
      </c>
      <c r="D243" s="8">
        <v>10002</v>
      </c>
      <c r="E243" s="8" t="s">
        <v>135</v>
      </c>
      <c r="F243" s="8" t="s">
        <v>32</v>
      </c>
      <c r="G243" s="36">
        <f>VLOOKUP(E243,Flipkart!$A$1:$B$296,2,0)</f>
        <v>0.04</v>
      </c>
      <c r="H243" s="36">
        <f t="shared" ca="1" si="3"/>
        <v>0.02</v>
      </c>
      <c r="I243" s="36" t="str">
        <f>_xlfn.XLOOKUP(E243,'Product List'!$B$2:$B$299,'Product List'!$A$2:$A$299)</f>
        <v>Xerox 1939</v>
      </c>
      <c r="J243" s="36"/>
      <c r="K243" s="36"/>
      <c r="L243" s="36"/>
      <c r="M243" s="36"/>
      <c r="N243" s="36"/>
    </row>
    <row r="244" spans="1:14">
      <c r="A244" s="8" t="s">
        <v>366</v>
      </c>
      <c r="B244" s="19">
        <v>41529</v>
      </c>
      <c r="C244" s="8" t="s">
        <v>46</v>
      </c>
      <c r="D244" s="8">
        <v>10006</v>
      </c>
      <c r="E244" s="8" t="s">
        <v>367</v>
      </c>
      <c r="F244" s="8" t="s">
        <v>43</v>
      </c>
      <c r="G244" s="36">
        <f>VLOOKUP(E244,Flipkart!$A$1:$B$296,2,0)</f>
        <v>0.04</v>
      </c>
      <c r="H244" s="36">
        <f t="shared" ca="1" si="3"/>
        <v>0.03</v>
      </c>
      <c r="I244" s="36" t="str">
        <f>_xlfn.XLOOKUP(E244,'Product List'!$B$2:$B$299,'Product List'!$A$2:$A$299)</f>
        <v>Xerox 196</v>
      </c>
      <c r="J244" s="36"/>
      <c r="K244" s="36"/>
      <c r="L244" s="36"/>
      <c r="M244" s="36"/>
      <c r="N244" s="36"/>
    </row>
    <row r="245" spans="1:14">
      <c r="A245" s="8" t="s">
        <v>366</v>
      </c>
      <c r="B245" s="19">
        <v>41529</v>
      </c>
      <c r="C245" s="8" t="s">
        <v>66</v>
      </c>
      <c r="D245" s="8">
        <v>10012</v>
      </c>
      <c r="E245" s="8" t="s">
        <v>206</v>
      </c>
      <c r="F245" s="8" t="s">
        <v>40</v>
      </c>
      <c r="G245" s="36">
        <f>VLOOKUP(E245,Flipkart!$A$1:$B$296,2,0)</f>
        <v>0</v>
      </c>
      <c r="H245" s="36">
        <f t="shared" ca="1" si="3"/>
        <v>0.05</v>
      </c>
      <c r="I245" s="36" t="str">
        <f>_xlfn.XLOOKUP(E245,'Product List'!$B$2:$B$299,'Product List'!$A$2:$A$299)</f>
        <v>Xerox 1973</v>
      </c>
      <c r="J245" s="36"/>
      <c r="K245" s="36"/>
      <c r="L245" s="36"/>
      <c r="M245" s="36"/>
      <c r="N245" s="36"/>
    </row>
    <row r="246" spans="1:14">
      <c r="A246" s="8" t="s">
        <v>366</v>
      </c>
      <c r="B246" s="19">
        <v>41529</v>
      </c>
      <c r="C246" s="8" t="s">
        <v>66</v>
      </c>
      <c r="D246" s="8">
        <v>10015</v>
      </c>
      <c r="E246" s="8" t="s">
        <v>368</v>
      </c>
      <c r="F246" s="8" t="s">
        <v>29</v>
      </c>
      <c r="G246" s="36">
        <f>VLOOKUP(E246,Flipkart!$A$1:$B$296,2,0)</f>
        <v>0</v>
      </c>
      <c r="H246" s="36">
        <f t="shared" ca="1" si="3"/>
        <v>0</v>
      </c>
      <c r="I246" s="36" t="str">
        <f>_xlfn.XLOOKUP(E246,'Product List'!$B$2:$B$299,'Product List'!$A$2:$A$299)</f>
        <v>Xerox 1978</v>
      </c>
      <c r="J246" s="36"/>
      <c r="K246" s="36"/>
      <c r="L246" s="36"/>
      <c r="M246" s="36"/>
      <c r="N246" s="36"/>
    </row>
    <row r="247" spans="1:14">
      <c r="A247" s="8" t="s">
        <v>369</v>
      </c>
      <c r="B247" s="19">
        <v>41531</v>
      </c>
      <c r="C247" s="8" t="s">
        <v>27</v>
      </c>
      <c r="D247" s="8">
        <v>10012</v>
      </c>
      <c r="E247" s="8" t="s">
        <v>370</v>
      </c>
      <c r="F247" s="8" t="s">
        <v>43</v>
      </c>
      <c r="G247" s="36">
        <f>VLOOKUP(E247,Flipkart!$A$1:$B$296,2,0)</f>
        <v>0.05</v>
      </c>
      <c r="H247" s="36">
        <f t="shared" ca="1" si="3"/>
        <v>0</v>
      </c>
      <c r="I247" s="36" t="str">
        <f>_xlfn.XLOOKUP(E247,'Product List'!$B$2:$B$299,'Product List'!$A$2:$A$299)</f>
        <v>Avery 496</v>
      </c>
      <c r="J247" s="36"/>
      <c r="K247" s="36"/>
      <c r="L247" s="36"/>
      <c r="M247" s="36"/>
      <c r="N247" s="36"/>
    </row>
    <row r="248" spans="1:14">
      <c r="A248" s="8" t="s">
        <v>369</v>
      </c>
      <c r="B248" s="19">
        <v>41531</v>
      </c>
      <c r="C248" s="8" t="s">
        <v>27</v>
      </c>
      <c r="D248" s="8">
        <v>10006</v>
      </c>
      <c r="E248" s="8" t="s">
        <v>371</v>
      </c>
      <c r="F248" s="8" t="s">
        <v>35</v>
      </c>
      <c r="G248" s="36">
        <f>VLOOKUP(E248,Flipkart!$A$1:$B$296,2,0)</f>
        <v>0.04</v>
      </c>
      <c r="H248" s="36">
        <f t="shared" ca="1" si="3"/>
        <v>0.04</v>
      </c>
      <c r="I248" s="36" t="str">
        <f>_xlfn.XLOOKUP(E248,'Product List'!$B$2:$B$299,'Product List'!$A$2:$A$299)</f>
        <v>Xerox 1968</v>
      </c>
      <c r="J248" s="36"/>
      <c r="K248" s="36"/>
      <c r="L248" s="36"/>
      <c r="M248" s="36"/>
      <c r="N248" s="36"/>
    </row>
    <row r="249" spans="1:14">
      <c r="A249" s="8" t="s">
        <v>369</v>
      </c>
      <c r="B249" s="19">
        <v>41531</v>
      </c>
      <c r="C249" s="8" t="s">
        <v>44</v>
      </c>
      <c r="D249" s="8">
        <v>10011</v>
      </c>
      <c r="E249" s="8" t="s">
        <v>281</v>
      </c>
      <c r="F249" s="8" t="s">
        <v>50</v>
      </c>
      <c r="G249" s="36">
        <f>VLOOKUP(E249,Flipkart!$A$1:$B$296,2,0)</f>
        <v>0.03</v>
      </c>
      <c r="H249" s="36">
        <f t="shared" ca="1" si="3"/>
        <v>0.04</v>
      </c>
      <c r="I249" s="36" t="str">
        <f>_xlfn.XLOOKUP(E249,'Product List'!$B$2:$B$299,'Product List'!$A$2:$A$299)</f>
        <v>Newell 309</v>
      </c>
      <c r="J249" s="36"/>
      <c r="K249" s="36"/>
      <c r="L249" s="36"/>
      <c r="M249" s="36"/>
      <c r="N249" s="36"/>
    </row>
    <row r="250" spans="1:14">
      <c r="A250" s="8" t="s">
        <v>372</v>
      </c>
      <c r="B250" s="19">
        <v>41534</v>
      </c>
      <c r="C250" s="8" t="s">
        <v>66</v>
      </c>
      <c r="D250" s="8">
        <v>10009</v>
      </c>
      <c r="E250" s="8" t="s">
        <v>112</v>
      </c>
      <c r="F250" s="8" t="s">
        <v>35</v>
      </c>
      <c r="G250" s="36">
        <f>VLOOKUP(E250,Flipkart!$A$1:$B$296,2,0)</f>
        <v>0.04</v>
      </c>
      <c r="H250" s="36">
        <f t="shared" ca="1" si="3"/>
        <v>0.04</v>
      </c>
      <c r="I250" s="36" t="str">
        <f>_xlfn.XLOOKUP(E250,'Product List'!$B$2:$B$299,'Product List'!$A$2:$A$299)</f>
        <v>Newell 317</v>
      </c>
      <c r="J250" s="36"/>
      <c r="K250" s="36"/>
      <c r="L250" s="36"/>
      <c r="M250" s="36"/>
      <c r="N250" s="36"/>
    </row>
    <row r="251" spans="1:14">
      <c r="A251" s="8" t="s">
        <v>373</v>
      </c>
      <c r="B251" s="19">
        <v>41538</v>
      </c>
      <c r="C251" s="8" t="s">
        <v>51</v>
      </c>
      <c r="D251" s="8">
        <v>10015</v>
      </c>
      <c r="E251" s="8" t="s">
        <v>39</v>
      </c>
      <c r="F251" s="8" t="s">
        <v>35</v>
      </c>
      <c r="G251" s="36">
        <f>VLOOKUP(E251,Flipkart!$A$1:$B$296,2,0)</f>
        <v>0.05</v>
      </c>
      <c r="H251" s="36">
        <f t="shared" ca="1" si="3"/>
        <v>0.05</v>
      </c>
      <c r="I251" s="36" t="str">
        <f>_xlfn.XLOOKUP(E251,'Product List'!$B$2:$B$299,'Product List'!$A$2:$A$299)</f>
        <v>Xerox 1890</v>
      </c>
      <c r="J251" s="36"/>
      <c r="K251" s="36"/>
      <c r="L251" s="36"/>
      <c r="M251" s="36"/>
      <c r="N251" s="36"/>
    </row>
    <row r="252" spans="1:14">
      <c r="A252" s="8" t="s">
        <v>374</v>
      </c>
      <c r="B252" s="19">
        <v>41539</v>
      </c>
      <c r="C252" s="8" t="s">
        <v>46</v>
      </c>
      <c r="D252" s="8">
        <v>10012</v>
      </c>
      <c r="E252" s="8" t="s">
        <v>375</v>
      </c>
      <c r="F252" s="8" t="s">
        <v>32</v>
      </c>
      <c r="G252" s="36">
        <f>VLOOKUP(E252,Flipkart!$A$1:$B$296,2,0)</f>
        <v>0.02</v>
      </c>
      <c r="H252" s="36">
        <f t="shared" ca="1" si="3"/>
        <v>0.01</v>
      </c>
      <c r="I252" s="36" t="str">
        <f>_xlfn.XLOOKUP(E252,'Product List'!$B$2:$B$299,'Product List'!$A$2:$A$299)</f>
        <v>AT&amp;T CL2909</v>
      </c>
      <c r="J252" s="36"/>
      <c r="K252" s="36"/>
      <c r="L252" s="36"/>
      <c r="M252" s="36"/>
      <c r="N252" s="36"/>
    </row>
    <row r="253" spans="1:14">
      <c r="A253" s="8" t="s">
        <v>376</v>
      </c>
      <c r="B253" s="19">
        <v>41541</v>
      </c>
      <c r="C253" s="8" t="s">
        <v>46</v>
      </c>
      <c r="D253" s="8">
        <v>10001</v>
      </c>
      <c r="E253" s="8" t="s">
        <v>232</v>
      </c>
      <c r="F253" s="8" t="s">
        <v>32</v>
      </c>
      <c r="G253" s="36">
        <f>VLOOKUP(E253,Flipkart!$A$1:$B$296,2,0)</f>
        <v>0.05</v>
      </c>
      <c r="H253" s="36">
        <f t="shared" ca="1" si="3"/>
        <v>0</v>
      </c>
      <c r="I253" s="36" t="str">
        <f>_xlfn.XLOOKUP(E253,'Product List'!$B$2:$B$299,'Product List'!$A$2:$A$299)</f>
        <v>Xerox 1914</v>
      </c>
      <c r="J253" s="36"/>
      <c r="K253" s="36"/>
      <c r="L253" s="36"/>
      <c r="M253" s="36"/>
      <c r="N253" s="36"/>
    </row>
    <row r="254" spans="1:14">
      <c r="A254" s="8" t="s">
        <v>376</v>
      </c>
      <c r="B254" s="19">
        <v>41541</v>
      </c>
      <c r="C254" s="8" t="s">
        <v>27</v>
      </c>
      <c r="D254" s="8">
        <v>10014</v>
      </c>
      <c r="E254" s="8" t="s">
        <v>377</v>
      </c>
      <c r="F254" s="8" t="s">
        <v>35</v>
      </c>
      <c r="G254" s="36">
        <f>VLOOKUP(E254,Flipkart!$A$1:$B$296,2,0)</f>
        <v>0</v>
      </c>
      <c r="H254" s="36">
        <f t="shared" ca="1" si="3"/>
        <v>0</v>
      </c>
      <c r="I254" s="36" t="str">
        <f>_xlfn.XLOOKUP(E254,'Product List'!$B$2:$B$299,'Product List'!$A$2:$A$299)</f>
        <v>Xerox 230</v>
      </c>
      <c r="J254" s="36"/>
      <c r="K254" s="36"/>
      <c r="L254" s="36"/>
      <c r="M254" s="36"/>
      <c r="N254" s="36"/>
    </row>
    <row r="255" spans="1:14">
      <c r="A255" s="8" t="s">
        <v>378</v>
      </c>
      <c r="B255" s="19">
        <v>41545</v>
      </c>
      <c r="C255" s="8" t="s">
        <v>33</v>
      </c>
      <c r="D255" s="8">
        <v>10013</v>
      </c>
      <c r="E255" s="8" t="s">
        <v>379</v>
      </c>
      <c r="F255" s="8" t="s">
        <v>43</v>
      </c>
      <c r="G255" s="36">
        <f>VLOOKUP(E255,Flipkart!$A$1:$B$296,2,0)</f>
        <v>0.01</v>
      </c>
      <c r="H255" s="36">
        <f t="shared" ca="1" si="3"/>
        <v>0</v>
      </c>
      <c r="I255" s="36" t="str">
        <f>_xlfn.XLOOKUP(E255,'Product List'!$B$2:$B$299,'Product List'!$A$2:$A$299)</f>
        <v>Xerox 1937</v>
      </c>
      <c r="J255" s="36"/>
      <c r="K255" s="36"/>
      <c r="L255" s="36"/>
      <c r="M255" s="36"/>
      <c r="N255" s="36"/>
    </row>
    <row r="256" spans="1:14">
      <c r="A256" s="8" t="s">
        <v>380</v>
      </c>
      <c r="B256" s="19">
        <v>41546</v>
      </c>
      <c r="C256" s="8" t="s">
        <v>46</v>
      </c>
      <c r="D256" s="8">
        <v>10015</v>
      </c>
      <c r="E256" s="8" t="s">
        <v>381</v>
      </c>
      <c r="F256" s="8" t="s">
        <v>32</v>
      </c>
      <c r="G256" s="36">
        <f>VLOOKUP(E256,Flipkart!$A$1:$B$296,2,0)</f>
        <v>0.04</v>
      </c>
      <c r="H256" s="36">
        <f t="shared" ca="1" si="3"/>
        <v>0</v>
      </c>
      <c r="I256" s="36" t="str">
        <f>_xlfn.XLOOKUP(E256,'Product List'!$B$2:$B$299,'Product List'!$A$2:$A$299)</f>
        <v>Xerox 1911</v>
      </c>
      <c r="J256" s="36"/>
      <c r="K256" s="36"/>
      <c r="L256" s="36"/>
      <c r="M256" s="36"/>
      <c r="N256" s="36"/>
    </row>
    <row r="257" spans="1:14">
      <c r="A257" s="8" t="s">
        <v>382</v>
      </c>
      <c r="B257" s="19">
        <v>41547</v>
      </c>
      <c r="C257" s="8" t="s">
        <v>36</v>
      </c>
      <c r="D257" s="8">
        <v>10001</v>
      </c>
      <c r="E257" s="8" t="s">
        <v>120</v>
      </c>
      <c r="F257" s="8" t="s">
        <v>40</v>
      </c>
      <c r="G257" s="36">
        <f>VLOOKUP(E257,Flipkart!$A$1:$B$296,2,0)</f>
        <v>0</v>
      </c>
      <c r="H257" s="36">
        <f t="shared" ca="1" si="3"/>
        <v>0.05</v>
      </c>
      <c r="I257" s="36" t="str">
        <f>_xlfn.XLOOKUP(E257,'Product List'!$B$2:$B$299,'Product List'!$A$2:$A$299)</f>
        <v>Xerox 1902</v>
      </c>
      <c r="J257" s="36"/>
      <c r="K257" s="36"/>
      <c r="L257" s="36"/>
      <c r="M257" s="36"/>
      <c r="N257" s="36"/>
    </row>
    <row r="258" spans="1:14">
      <c r="A258" s="8" t="s">
        <v>383</v>
      </c>
      <c r="B258" s="19">
        <v>41550</v>
      </c>
      <c r="C258" s="8" t="s">
        <v>36</v>
      </c>
      <c r="D258" s="8">
        <v>10008</v>
      </c>
      <c r="E258" s="8" t="s">
        <v>93</v>
      </c>
      <c r="F258" s="8" t="s">
        <v>29</v>
      </c>
      <c r="G258" s="36">
        <f>VLOOKUP(E258,Flipkart!$A$1:$B$296,2,0)</f>
        <v>0.04</v>
      </c>
      <c r="H258" s="36">
        <f t="shared" ca="1" si="3"/>
        <v>0.02</v>
      </c>
      <c r="I258" s="36" t="str">
        <f>_xlfn.XLOOKUP(E258,'Product List'!$B$2:$B$299,'Product List'!$A$2:$A$299)</f>
        <v>Xerox 1943</v>
      </c>
      <c r="J258" s="36"/>
      <c r="K258" s="36"/>
      <c r="L258" s="36"/>
      <c r="M258" s="36"/>
      <c r="N258" s="36"/>
    </row>
    <row r="259" spans="1:14">
      <c r="A259" s="8" t="s">
        <v>384</v>
      </c>
      <c r="B259" s="19">
        <v>41552</v>
      </c>
      <c r="C259" s="8" t="s">
        <v>44</v>
      </c>
      <c r="D259" s="8">
        <v>10006</v>
      </c>
      <c r="E259" s="8" t="s">
        <v>307</v>
      </c>
      <c r="F259" s="8" t="s">
        <v>43</v>
      </c>
      <c r="G259" s="36">
        <f>VLOOKUP(E259,Flipkart!$A$1:$B$296,2,0)</f>
        <v>0.04</v>
      </c>
      <c r="H259" s="36">
        <f t="shared" ca="1" si="3"/>
        <v>0.05</v>
      </c>
      <c r="I259" s="36" t="str">
        <f>_xlfn.XLOOKUP(E259,'Product List'!$B$2:$B$299,'Product List'!$A$2:$A$299)</f>
        <v>Avery 519</v>
      </c>
      <c r="J259" s="36"/>
      <c r="K259" s="36"/>
      <c r="L259" s="36"/>
      <c r="M259" s="36"/>
      <c r="N259" s="36"/>
    </row>
    <row r="260" spans="1:14">
      <c r="A260" s="8" t="s">
        <v>384</v>
      </c>
      <c r="B260" s="19">
        <v>41552</v>
      </c>
      <c r="C260" s="8" t="s">
        <v>66</v>
      </c>
      <c r="D260" s="8">
        <v>10009</v>
      </c>
      <c r="E260" s="8" t="s">
        <v>309</v>
      </c>
      <c r="F260" s="8" t="s">
        <v>32</v>
      </c>
      <c r="G260" s="36">
        <f>VLOOKUP(E260,Flipkart!$A$1:$B$296,2,0)</f>
        <v>0.01</v>
      </c>
      <c r="H260" s="36">
        <f t="shared" ref="H260:H323" ca="1" si="4">VLOOKUP(E260,INDIRECT(F260&amp;"!$A$1:$B$296"),2,0)</f>
        <v>0.03</v>
      </c>
      <c r="I260" s="36" t="str">
        <f>_xlfn.XLOOKUP(E260,'Product List'!$B$2:$B$299,'Product List'!$A$2:$A$299)</f>
        <v>Xerox 1996</v>
      </c>
      <c r="J260" s="36"/>
      <c r="K260" s="36"/>
      <c r="L260" s="36"/>
      <c r="M260" s="36"/>
      <c r="N260" s="36"/>
    </row>
    <row r="261" spans="1:14">
      <c r="A261" s="8" t="s">
        <v>385</v>
      </c>
      <c r="B261" s="19">
        <v>41552</v>
      </c>
      <c r="C261" s="8" t="s">
        <v>44</v>
      </c>
      <c r="D261" s="8">
        <v>10009</v>
      </c>
      <c r="E261" s="8" t="s">
        <v>218</v>
      </c>
      <c r="F261" s="8" t="s">
        <v>35</v>
      </c>
      <c r="G261" s="36">
        <f>VLOOKUP(E261,Flipkart!$A$1:$B$296,2,0)</f>
        <v>0.05</v>
      </c>
      <c r="H261" s="36">
        <f t="shared" ca="1" si="4"/>
        <v>0.05</v>
      </c>
      <c r="I261" s="36" t="str">
        <f>_xlfn.XLOOKUP(E261,'Product List'!$B$2:$B$299,'Product List'!$A$2:$A$299)</f>
        <v>Avery 509</v>
      </c>
      <c r="J261" s="36"/>
      <c r="K261" s="36"/>
      <c r="L261" s="36"/>
      <c r="M261" s="36"/>
      <c r="N261" s="36"/>
    </row>
    <row r="262" spans="1:14">
      <c r="A262" s="8" t="s">
        <v>386</v>
      </c>
      <c r="B262" s="19">
        <v>41554</v>
      </c>
      <c r="C262" s="8" t="s">
        <v>27</v>
      </c>
      <c r="D262" s="8">
        <v>10006</v>
      </c>
      <c r="E262" s="8" t="s">
        <v>322</v>
      </c>
      <c r="F262" s="8" t="s">
        <v>32</v>
      </c>
      <c r="G262" s="36">
        <f>VLOOKUP(E262,Flipkart!$A$1:$B$296,2,0)</f>
        <v>0.05</v>
      </c>
      <c r="H262" s="36">
        <f t="shared" ca="1" si="4"/>
        <v>0</v>
      </c>
      <c r="I262" s="36" t="str">
        <f>_xlfn.XLOOKUP(E262,'Product List'!$B$2:$B$299,'Product List'!$A$2:$A$299)</f>
        <v>Xerox 1966</v>
      </c>
      <c r="J262" s="36"/>
      <c r="K262" s="36"/>
      <c r="L262" s="36"/>
      <c r="M262" s="36"/>
      <c r="N262" s="36"/>
    </row>
    <row r="263" spans="1:14">
      <c r="A263" s="8" t="s">
        <v>387</v>
      </c>
      <c r="B263" s="19">
        <v>41561</v>
      </c>
      <c r="C263" s="8" t="s">
        <v>36</v>
      </c>
      <c r="D263" s="8">
        <v>10003</v>
      </c>
      <c r="E263" s="8" t="s">
        <v>388</v>
      </c>
      <c r="F263" s="8" t="s">
        <v>43</v>
      </c>
      <c r="G263" s="36">
        <f>VLOOKUP(E263,Flipkart!$A$1:$B$296,2,0)</f>
        <v>0.03</v>
      </c>
      <c r="H263" s="36">
        <f t="shared" ca="1" si="4"/>
        <v>0.01</v>
      </c>
      <c r="I263" s="36" t="str">
        <f>_xlfn.XLOOKUP(E263,'Product List'!$B$2:$B$299,'Product List'!$A$2:$A$299)</f>
        <v>Xerox 193</v>
      </c>
      <c r="J263" s="36"/>
      <c r="K263" s="36"/>
      <c r="L263" s="36"/>
      <c r="M263" s="36"/>
      <c r="N263" s="36"/>
    </row>
    <row r="264" spans="1:14">
      <c r="A264" s="8" t="s">
        <v>389</v>
      </c>
      <c r="B264" s="19">
        <v>41561</v>
      </c>
      <c r="C264" s="8" t="s">
        <v>54</v>
      </c>
      <c r="D264" s="8">
        <v>10012</v>
      </c>
      <c r="E264" s="8" t="s">
        <v>390</v>
      </c>
      <c r="F264" s="8" t="s">
        <v>40</v>
      </c>
      <c r="G264" s="36">
        <f>VLOOKUP(E264,Flipkart!$A$1:$B$296,2,0)</f>
        <v>0.05</v>
      </c>
      <c r="H264" s="36">
        <f t="shared" ca="1" si="4"/>
        <v>0.04</v>
      </c>
      <c r="I264" s="36" t="str">
        <f>_xlfn.XLOOKUP(E264,'Product List'!$B$2:$B$299,'Product List'!$A$2:$A$299)</f>
        <v>Avery 502</v>
      </c>
      <c r="J264" s="36"/>
      <c r="K264" s="36"/>
      <c r="L264" s="36"/>
      <c r="M264" s="36"/>
      <c r="N264" s="36"/>
    </row>
    <row r="265" spans="1:14">
      <c r="A265" s="8" t="s">
        <v>387</v>
      </c>
      <c r="B265" s="19">
        <v>41561</v>
      </c>
      <c r="C265" s="8" t="s">
        <v>36</v>
      </c>
      <c r="D265" s="8">
        <v>10015</v>
      </c>
      <c r="E265" s="8" t="s">
        <v>178</v>
      </c>
      <c r="F265" s="8" t="s">
        <v>40</v>
      </c>
      <c r="G265" s="36">
        <f>VLOOKUP(E265,Flipkart!$A$1:$B$296,2,0)</f>
        <v>0.03</v>
      </c>
      <c r="H265" s="36">
        <f t="shared" ca="1" si="4"/>
        <v>0.05</v>
      </c>
      <c r="I265" s="36" t="str">
        <f>_xlfn.XLOOKUP(E265,'Product List'!$B$2:$B$299,'Product List'!$A$2:$A$299)</f>
        <v>Xerox 1912</v>
      </c>
      <c r="J265" s="36"/>
      <c r="K265" s="36"/>
      <c r="L265" s="36"/>
      <c r="M265" s="36"/>
      <c r="N265" s="36"/>
    </row>
    <row r="266" spans="1:14">
      <c r="A266" s="8" t="s">
        <v>389</v>
      </c>
      <c r="B266" s="19">
        <v>41561</v>
      </c>
      <c r="C266" s="8" t="s">
        <v>66</v>
      </c>
      <c r="D266" s="8">
        <v>10009</v>
      </c>
      <c r="E266" s="8" t="s">
        <v>307</v>
      </c>
      <c r="F266" s="8" t="s">
        <v>29</v>
      </c>
      <c r="G266" s="36">
        <f>VLOOKUP(E266,Flipkart!$A$1:$B$296,2,0)</f>
        <v>0.04</v>
      </c>
      <c r="H266" s="36">
        <f t="shared" ca="1" si="4"/>
        <v>0.01</v>
      </c>
      <c r="I266" s="36" t="str">
        <f>_xlfn.XLOOKUP(E266,'Product List'!$B$2:$B$299,'Product List'!$A$2:$A$299)</f>
        <v>Avery 519</v>
      </c>
      <c r="J266" s="36"/>
      <c r="K266" s="36"/>
      <c r="L266" s="36"/>
      <c r="M266" s="36"/>
      <c r="N266" s="36"/>
    </row>
    <row r="267" spans="1:14">
      <c r="A267" s="8" t="s">
        <v>389</v>
      </c>
      <c r="B267" s="19">
        <v>41561</v>
      </c>
      <c r="C267" s="8" t="s">
        <v>66</v>
      </c>
      <c r="D267" s="8">
        <v>10008</v>
      </c>
      <c r="E267" s="8" t="s">
        <v>391</v>
      </c>
      <c r="F267" s="8" t="s">
        <v>43</v>
      </c>
      <c r="G267" s="36">
        <f>VLOOKUP(E267,Flipkart!$A$1:$B$296,2,0)</f>
        <v>0.04</v>
      </c>
      <c r="H267" s="36">
        <f t="shared" ca="1" si="4"/>
        <v>0</v>
      </c>
      <c r="I267" s="36" t="str">
        <f>_xlfn.XLOOKUP(E267,'Product List'!$B$2:$B$299,'Product List'!$A$2:$A$299)</f>
        <v>Xerox 1958</v>
      </c>
      <c r="J267" s="36"/>
      <c r="K267" s="36"/>
      <c r="L267" s="36"/>
      <c r="M267" s="36"/>
      <c r="N267" s="36"/>
    </row>
    <row r="268" spans="1:14">
      <c r="A268" s="8" t="s">
        <v>392</v>
      </c>
      <c r="B268" s="19">
        <v>41562</v>
      </c>
      <c r="C268" s="8" t="s">
        <v>51</v>
      </c>
      <c r="D268" s="8">
        <v>10011</v>
      </c>
      <c r="E268" s="8" t="s">
        <v>39</v>
      </c>
      <c r="F268" s="8" t="s">
        <v>43</v>
      </c>
      <c r="G268" s="36">
        <f>VLOOKUP(E268,Flipkart!$A$1:$B$296,2,0)</f>
        <v>0.05</v>
      </c>
      <c r="H268" s="36">
        <f t="shared" ca="1" si="4"/>
        <v>0.05</v>
      </c>
      <c r="I268" s="36" t="str">
        <f>_xlfn.XLOOKUP(E268,'Product List'!$B$2:$B$299,'Product List'!$A$2:$A$299)</f>
        <v>Xerox 1890</v>
      </c>
      <c r="J268" s="36"/>
      <c r="K268" s="36"/>
      <c r="L268" s="36"/>
      <c r="M268" s="36"/>
      <c r="N268" s="36"/>
    </row>
    <row r="269" spans="1:14">
      <c r="A269" s="8" t="s">
        <v>393</v>
      </c>
      <c r="B269" s="19">
        <v>41562</v>
      </c>
      <c r="C269" s="8" t="s">
        <v>44</v>
      </c>
      <c r="D269" s="8">
        <v>10010</v>
      </c>
      <c r="E269" s="8" t="s">
        <v>394</v>
      </c>
      <c r="F269" s="8" t="s">
        <v>29</v>
      </c>
      <c r="G269" s="36">
        <f>VLOOKUP(E269,Flipkart!$A$1:$B$296,2,0)</f>
        <v>0.04</v>
      </c>
      <c r="H269" s="36">
        <f t="shared" ca="1" si="4"/>
        <v>0.04</v>
      </c>
      <c r="I269" s="36" t="str">
        <f>_xlfn.XLOOKUP(E269,'Product List'!$B$2:$B$299,'Product List'!$A$2:$A$299)</f>
        <v>GE 30524EE4</v>
      </c>
      <c r="J269" s="36"/>
      <c r="K269" s="36"/>
      <c r="L269" s="36"/>
      <c r="M269" s="36"/>
      <c r="N269" s="36"/>
    </row>
    <row r="270" spans="1:14">
      <c r="A270" s="8" t="s">
        <v>392</v>
      </c>
      <c r="B270" s="19">
        <v>41562</v>
      </c>
      <c r="C270" s="8" t="s">
        <v>27</v>
      </c>
      <c r="D270" s="8">
        <v>10010</v>
      </c>
      <c r="E270" s="8" t="s">
        <v>395</v>
      </c>
      <c r="F270" s="8" t="s">
        <v>50</v>
      </c>
      <c r="G270" s="36">
        <f>VLOOKUP(E270,Flipkart!$A$1:$B$296,2,0)</f>
        <v>0.03</v>
      </c>
      <c r="H270" s="36">
        <f t="shared" ca="1" si="4"/>
        <v>0.05</v>
      </c>
      <c r="I270" s="36" t="str">
        <f>_xlfn.XLOOKUP(E270,'Product List'!$B$2:$B$299,'Product List'!$A$2:$A$299)</f>
        <v>Xerox 1883</v>
      </c>
      <c r="J270" s="36"/>
      <c r="K270" s="36"/>
      <c r="L270" s="36"/>
      <c r="M270" s="36"/>
      <c r="N270" s="36"/>
    </row>
    <row r="271" spans="1:14">
      <c r="A271" s="8" t="s">
        <v>392</v>
      </c>
      <c r="B271" s="19">
        <v>41562</v>
      </c>
      <c r="C271" s="8" t="s">
        <v>27</v>
      </c>
      <c r="D271" s="8">
        <v>10014</v>
      </c>
      <c r="E271" s="8" t="s">
        <v>186</v>
      </c>
      <c r="F271" s="8" t="s">
        <v>43</v>
      </c>
      <c r="G271" s="36">
        <f>VLOOKUP(E271,Flipkart!$A$1:$B$296,2,0)</f>
        <v>0</v>
      </c>
      <c r="H271" s="36">
        <f t="shared" ca="1" si="4"/>
        <v>0.01</v>
      </c>
      <c r="I271" s="36" t="str">
        <f>_xlfn.XLOOKUP(E271,'Product List'!$B$2:$B$299,'Product List'!$A$2:$A$299)</f>
        <v>Avery 478</v>
      </c>
      <c r="J271" s="36"/>
      <c r="K271" s="36"/>
      <c r="L271" s="36"/>
      <c r="M271" s="36"/>
      <c r="N271" s="36"/>
    </row>
    <row r="272" spans="1:14">
      <c r="A272" s="8" t="s">
        <v>396</v>
      </c>
      <c r="B272" s="19">
        <v>41563</v>
      </c>
      <c r="C272" s="8" t="s">
        <v>44</v>
      </c>
      <c r="D272" s="8">
        <v>10015</v>
      </c>
      <c r="E272" s="8" t="s">
        <v>330</v>
      </c>
      <c r="F272" s="8" t="s">
        <v>43</v>
      </c>
      <c r="G272" s="36">
        <f>VLOOKUP(E272,Flipkart!$A$1:$B$296,2,0)</f>
        <v>0.05</v>
      </c>
      <c r="H272" s="36">
        <f t="shared" ca="1" si="4"/>
        <v>0.01</v>
      </c>
      <c r="I272" s="36" t="str">
        <f>_xlfn.XLOOKUP(E272,'Product List'!$B$2:$B$299,'Product List'!$A$2:$A$299)</f>
        <v>Xerox 1909</v>
      </c>
      <c r="J272" s="36"/>
      <c r="K272" s="36"/>
      <c r="L272" s="36"/>
      <c r="M272" s="36"/>
      <c r="N272" s="36"/>
    </row>
    <row r="273" spans="1:14">
      <c r="A273" s="8" t="s">
        <v>397</v>
      </c>
      <c r="B273" s="19">
        <v>41563</v>
      </c>
      <c r="C273" s="8" t="s">
        <v>36</v>
      </c>
      <c r="D273" s="8">
        <v>10011</v>
      </c>
      <c r="E273" s="8" t="s">
        <v>151</v>
      </c>
      <c r="F273" s="8" t="s">
        <v>29</v>
      </c>
      <c r="G273" s="36">
        <f>VLOOKUP(E273,Flipkart!$A$1:$B$296,2,0)</f>
        <v>0.01</v>
      </c>
      <c r="H273" s="36">
        <f t="shared" ca="1" si="4"/>
        <v>0.05</v>
      </c>
      <c r="I273" s="36" t="str">
        <f>_xlfn.XLOOKUP(E273,'Product List'!$B$2:$B$299,'Product List'!$A$2:$A$299)</f>
        <v>Newell 346</v>
      </c>
      <c r="J273" s="36"/>
      <c r="K273" s="36"/>
      <c r="L273" s="36"/>
      <c r="M273" s="36"/>
      <c r="N273" s="36"/>
    </row>
    <row r="274" spans="1:14">
      <c r="A274" s="8" t="s">
        <v>398</v>
      </c>
      <c r="B274" s="19">
        <v>41563</v>
      </c>
      <c r="C274" s="8" t="s">
        <v>44</v>
      </c>
      <c r="D274" s="8">
        <v>10010</v>
      </c>
      <c r="E274" s="8" t="s">
        <v>98</v>
      </c>
      <c r="F274" s="8" t="s">
        <v>50</v>
      </c>
      <c r="G274" s="36">
        <f>VLOOKUP(E274,Flipkart!$A$1:$B$296,2,0)</f>
        <v>0.04</v>
      </c>
      <c r="H274" s="36">
        <f t="shared" ca="1" si="4"/>
        <v>0.02</v>
      </c>
      <c r="I274" s="36" t="str">
        <f>_xlfn.XLOOKUP(E274,'Product List'!$B$2:$B$299,'Product List'!$A$2:$A$299)</f>
        <v>Newell 349</v>
      </c>
      <c r="J274" s="36"/>
      <c r="K274" s="36"/>
      <c r="L274" s="36"/>
      <c r="M274" s="36"/>
      <c r="N274" s="36"/>
    </row>
    <row r="275" spans="1:14">
      <c r="A275" s="8" t="s">
        <v>399</v>
      </c>
      <c r="B275" s="19">
        <v>41563</v>
      </c>
      <c r="C275" s="8" t="s">
        <v>66</v>
      </c>
      <c r="D275" s="8">
        <v>10008</v>
      </c>
      <c r="E275" s="8" t="s">
        <v>195</v>
      </c>
      <c r="F275" s="8" t="s">
        <v>43</v>
      </c>
      <c r="G275" s="36">
        <f>VLOOKUP(E275,Flipkart!$A$1:$B$296,2,0)</f>
        <v>0.02</v>
      </c>
      <c r="H275" s="36">
        <f t="shared" ca="1" si="4"/>
        <v>0.05</v>
      </c>
      <c r="I275" s="36" t="str">
        <f>_xlfn.XLOOKUP(E275,'Product List'!$B$2:$B$299,'Product List'!$A$2:$A$299)</f>
        <v>Newell 335</v>
      </c>
      <c r="J275" s="36"/>
      <c r="K275" s="36"/>
      <c r="L275" s="36"/>
      <c r="M275" s="36"/>
      <c r="N275" s="36"/>
    </row>
    <row r="276" spans="1:14">
      <c r="A276" s="8" t="s">
        <v>400</v>
      </c>
      <c r="B276" s="19">
        <v>41567</v>
      </c>
      <c r="C276" s="8" t="s">
        <v>33</v>
      </c>
      <c r="D276" s="8">
        <v>10006</v>
      </c>
      <c r="E276" s="8" t="s">
        <v>321</v>
      </c>
      <c r="F276" s="8" t="s">
        <v>40</v>
      </c>
      <c r="G276" s="36">
        <f>VLOOKUP(E276,Flipkart!$A$1:$B$296,2,0)</f>
        <v>0</v>
      </c>
      <c r="H276" s="36">
        <f t="shared" ca="1" si="4"/>
        <v>0</v>
      </c>
      <c r="I276" s="36" t="str">
        <f>_xlfn.XLOOKUP(E276,'Product List'!$B$2:$B$299,'Product List'!$A$2:$A$299)</f>
        <v>Xerox 1938</v>
      </c>
      <c r="J276" s="36"/>
      <c r="K276" s="36"/>
      <c r="L276" s="36"/>
      <c r="M276" s="36"/>
      <c r="N276" s="36"/>
    </row>
    <row r="277" spans="1:14">
      <c r="A277" s="8" t="s">
        <v>401</v>
      </c>
      <c r="B277" s="19">
        <v>41567</v>
      </c>
      <c r="C277" s="8" t="s">
        <v>46</v>
      </c>
      <c r="D277" s="8">
        <v>10006</v>
      </c>
      <c r="E277" s="8" t="s">
        <v>28</v>
      </c>
      <c r="F277" s="8" t="s">
        <v>32</v>
      </c>
      <c r="G277" s="36">
        <f>VLOOKUP(E277,Flipkart!$A$1:$B$296,2,0)</f>
        <v>0</v>
      </c>
      <c r="H277" s="36">
        <f t="shared" ca="1" si="4"/>
        <v>0.02</v>
      </c>
      <c r="I277" s="36" t="str">
        <f>_xlfn.XLOOKUP(E277,'Product List'!$B$2:$B$299,'Product List'!$A$2:$A$299)</f>
        <v>Xerox 1951</v>
      </c>
      <c r="J277" s="36"/>
      <c r="K277" s="36"/>
      <c r="L277" s="36"/>
      <c r="M277" s="36"/>
      <c r="N277" s="36"/>
    </row>
    <row r="278" spans="1:14">
      <c r="A278" s="8" t="s">
        <v>402</v>
      </c>
      <c r="B278" s="19">
        <v>41571</v>
      </c>
      <c r="C278" s="8" t="s">
        <v>51</v>
      </c>
      <c r="D278" s="8">
        <v>10001</v>
      </c>
      <c r="E278" s="8" t="s">
        <v>403</v>
      </c>
      <c r="F278" s="8" t="s">
        <v>43</v>
      </c>
      <c r="G278" s="36">
        <f>VLOOKUP(E278,Flipkart!$A$1:$B$296,2,0)</f>
        <v>0.04</v>
      </c>
      <c r="H278" s="36">
        <f t="shared" ca="1" si="4"/>
        <v>0</v>
      </c>
      <c r="I278" s="36" t="str">
        <f>_xlfn.XLOOKUP(E278,'Product List'!$B$2:$B$299,'Product List'!$A$2:$A$299)</f>
        <v>Xerox 188</v>
      </c>
      <c r="J278" s="36"/>
      <c r="K278" s="36"/>
      <c r="L278" s="36"/>
      <c r="M278" s="36"/>
      <c r="N278" s="36"/>
    </row>
    <row r="279" spans="1:14">
      <c r="A279" s="8" t="s">
        <v>404</v>
      </c>
      <c r="B279" s="19">
        <v>41574</v>
      </c>
      <c r="C279" s="8" t="s">
        <v>33</v>
      </c>
      <c r="D279" s="8">
        <v>10007</v>
      </c>
      <c r="E279" s="8" t="s">
        <v>213</v>
      </c>
      <c r="F279" s="8" t="s">
        <v>40</v>
      </c>
      <c r="G279" s="36">
        <f>VLOOKUP(E279,Flipkart!$A$1:$B$296,2,0)</f>
        <v>0.04</v>
      </c>
      <c r="H279" s="36">
        <f t="shared" ca="1" si="4"/>
        <v>0.01</v>
      </c>
      <c r="I279" s="36" t="str">
        <f>_xlfn.XLOOKUP(E279,'Product List'!$B$2:$B$299,'Product List'!$A$2:$A$299)</f>
        <v>Cisco SPA301</v>
      </c>
      <c r="J279" s="36"/>
      <c r="K279" s="36"/>
      <c r="L279" s="36"/>
      <c r="M279" s="36"/>
      <c r="N279" s="36"/>
    </row>
    <row r="280" spans="1:14">
      <c r="A280" s="8" t="s">
        <v>404</v>
      </c>
      <c r="B280" s="19">
        <v>41574</v>
      </c>
      <c r="C280" s="8" t="s">
        <v>46</v>
      </c>
      <c r="D280" s="8">
        <v>10012</v>
      </c>
      <c r="E280" s="8" t="s">
        <v>135</v>
      </c>
      <c r="F280" s="8" t="s">
        <v>35</v>
      </c>
      <c r="G280" s="36">
        <f>VLOOKUP(E280,Flipkart!$A$1:$B$296,2,0)</f>
        <v>0.04</v>
      </c>
      <c r="H280" s="36">
        <f t="shared" ca="1" si="4"/>
        <v>0.04</v>
      </c>
      <c r="I280" s="36" t="str">
        <f>_xlfn.XLOOKUP(E280,'Product List'!$B$2:$B$299,'Product List'!$A$2:$A$299)</f>
        <v>Xerox 1939</v>
      </c>
      <c r="J280" s="36"/>
      <c r="K280" s="36"/>
      <c r="L280" s="36"/>
      <c r="M280" s="36"/>
      <c r="N280" s="36"/>
    </row>
    <row r="281" spans="1:14">
      <c r="A281" s="8" t="s">
        <v>405</v>
      </c>
      <c r="B281" s="19">
        <v>41575</v>
      </c>
      <c r="C281" s="8" t="s">
        <v>46</v>
      </c>
      <c r="D281" s="8">
        <v>10003</v>
      </c>
      <c r="E281" s="8" t="s">
        <v>406</v>
      </c>
      <c r="F281" s="8" t="s">
        <v>50</v>
      </c>
      <c r="G281" s="36">
        <f>VLOOKUP(E281,Flipkart!$A$1:$B$296,2,0)</f>
        <v>0.01</v>
      </c>
      <c r="H281" s="36">
        <f t="shared" ca="1" si="4"/>
        <v>0.04</v>
      </c>
      <c r="I281" s="36" t="str">
        <f>_xlfn.XLOOKUP(E281,'Product List'!$B$2:$B$299,'Product List'!$A$2:$A$299)</f>
        <v>Xerox 198</v>
      </c>
      <c r="J281" s="36"/>
      <c r="K281" s="36"/>
      <c r="L281" s="36"/>
      <c r="M281" s="36"/>
      <c r="N281" s="36"/>
    </row>
    <row r="282" spans="1:14">
      <c r="A282" s="8" t="s">
        <v>407</v>
      </c>
      <c r="B282" s="19">
        <v>41576</v>
      </c>
      <c r="C282" s="8" t="s">
        <v>66</v>
      </c>
      <c r="D282" s="8">
        <v>10013</v>
      </c>
      <c r="E282" s="8" t="s">
        <v>408</v>
      </c>
      <c r="F282" s="8" t="s">
        <v>40</v>
      </c>
      <c r="G282" s="36">
        <f>VLOOKUP(E282,Flipkart!$A$1:$B$296,2,0)</f>
        <v>0.02</v>
      </c>
      <c r="H282" s="36">
        <f t="shared" ca="1" si="4"/>
        <v>0.01</v>
      </c>
      <c r="I282" s="36" t="str">
        <f>_xlfn.XLOOKUP(E282,'Product List'!$B$2:$B$299,'Product List'!$A$2:$A$299)</f>
        <v>Xerox 1955</v>
      </c>
      <c r="J282" s="36"/>
      <c r="K282" s="36"/>
      <c r="L282" s="36"/>
      <c r="M282" s="36"/>
      <c r="N282" s="36"/>
    </row>
    <row r="283" spans="1:14">
      <c r="A283" s="8" t="s">
        <v>409</v>
      </c>
      <c r="B283" s="19">
        <v>41577</v>
      </c>
      <c r="C283" s="8" t="s">
        <v>44</v>
      </c>
      <c r="D283" s="8">
        <v>10006</v>
      </c>
      <c r="E283" s="8" t="s">
        <v>321</v>
      </c>
      <c r="F283" s="8" t="s">
        <v>35</v>
      </c>
      <c r="G283" s="36">
        <f>VLOOKUP(E283,Flipkart!$A$1:$B$296,2,0)</f>
        <v>0</v>
      </c>
      <c r="H283" s="36">
        <f t="shared" ca="1" si="4"/>
        <v>0</v>
      </c>
      <c r="I283" s="36" t="str">
        <f>_xlfn.XLOOKUP(E283,'Product List'!$B$2:$B$299,'Product List'!$A$2:$A$299)</f>
        <v>Xerox 1938</v>
      </c>
      <c r="J283" s="36"/>
      <c r="K283" s="36"/>
      <c r="L283" s="36"/>
      <c r="M283" s="36"/>
      <c r="N283" s="36"/>
    </row>
    <row r="284" spans="1:14">
      <c r="A284" s="8" t="s">
        <v>409</v>
      </c>
      <c r="B284" s="19">
        <v>41577</v>
      </c>
      <c r="C284" s="8" t="s">
        <v>36</v>
      </c>
      <c r="D284" s="8">
        <v>10009</v>
      </c>
      <c r="E284" s="8" t="s">
        <v>168</v>
      </c>
      <c r="F284" s="8" t="s">
        <v>50</v>
      </c>
      <c r="G284" s="36">
        <f>VLOOKUP(E284,Flipkart!$A$1:$B$296,2,0)</f>
        <v>0.03</v>
      </c>
      <c r="H284" s="36">
        <f t="shared" ca="1" si="4"/>
        <v>0.04</v>
      </c>
      <c r="I284" s="36" t="str">
        <f>_xlfn.XLOOKUP(E284,'Product List'!$B$2:$B$299,'Product List'!$A$2:$A$299)</f>
        <v>Newell 334</v>
      </c>
      <c r="J284" s="36"/>
      <c r="K284" s="36"/>
      <c r="L284" s="36"/>
      <c r="M284" s="36"/>
      <c r="N284" s="36"/>
    </row>
    <row r="285" spans="1:14">
      <c r="A285" s="8" t="s">
        <v>410</v>
      </c>
      <c r="B285" s="19">
        <v>41578</v>
      </c>
      <c r="C285" s="8" t="s">
        <v>66</v>
      </c>
      <c r="D285" s="8">
        <v>10003</v>
      </c>
      <c r="E285" s="8" t="s">
        <v>105</v>
      </c>
      <c r="F285" s="8" t="s">
        <v>40</v>
      </c>
      <c r="G285" s="36">
        <f>VLOOKUP(E285,Flipkart!$A$1:$B$296,2,0)</f>
        <v>0.05</v>
      </c>
      <c r="H285" s="36">
        <f t="shared" ca="1" si="4"/>
        <v>0.04</v>
      </c>
      <c r="I285" s="36" t="str">
        <f>_xlfn.XLOOKUP(E285,'Product List'!$B$2:$B$299,'Product List'!$A$2:$A$299)</f>
        <v>Xerox 201</v>
      </c>
      <c r="J285" s="36"/>
      <c r="K285" s="36"/>
      <c r="L285" s="36"/>
      <c r="M285" s="36"/>
      <c r="N285" s="36"/>
    </row>
    <row r="286" spans="1:14">
      <c r="A286" s="8" t="s">
        <v>411</v>
      </c>
      <c r="B286" s="19">
        <v>41578</v>
      </c>
      <c r="C286" s="8" t="s">
        <v>51</v>
      </c>
      <c r="D286" s="8">
        <v>10007</v>
      </c>
      <c r="E286" s="8" t="s">
        <v>412</v>
      </c>
      <c r="F286" s="8" t="s">
        <v>43</v>
      </c>
      <c r="G286" s="36">
        <f>VLOOKUP(E286,Flipkart!$A$1:$B$296,2,0)</f>
        <v>0.01</v>
      </c>
      <c r="H286" s="36">
        <f t="shared" ca="1" si="4"/>
        <v>0.02</v>
      </c>
      <c r="I286" s="36" t="str">
        <f>_xlfn.XLOOKUP(E286,'Product List'!$B$2:$B$299,'Product List'!$A$2:$A$299)</f>
        <v>Avery 482</v>
      </c>
      <c r="J286" s="36"/>
      <c r="K286" s="36"/>
      <c r="L286" s="36"/>
      <c r="M286" s="36"/>
      <c r="N286" s="36"/>
    </row>
    <row r="287" spans="1:14">
      <c r="A287" s="8" t="s">
        <v>413</v>
      </c>
      <c r="B287" s="19">
        <v>41578</v>
      </c>
      <c r="C287" s="8" t="s">
        <v>27</v>
      </c>
      <c r="D287" s="8">
        <v>10003</v>
      </c>
      <c r="E287" s="8" t="s">
        <v>414</v>
      </c>
      <c r="F287" s="8" t="s">
        <v>50</v>
      </c>
      <c r="G287" s="36">
        <f>VLOOKUP(E287,Flipkart!$A$1:$B$296,2,0)</f>
        <v>0.05</v>
      </c>
      <c r="H287" s="36">
        <f t="shared" ca="1" si="4"/>
        <v>0.02</v>
      </c>
      <c r="I287" s="36" t="str">
        <f>_xlfn.XLOOKUP(E287,'Product List'!$B$2:$B$299,'Product List'!$A$2:$A$299)</f>
        <v>Xerox 1985</v>
      </c>
      <c r="J287" s="36"/>
      <c r="K287" s="36"/>
      <c r="L287" s="36"/>
      <c r="M287" s="36"/>
      <c r="N287" s="36"/>
    </row>
    <row r="288" spans="1:14">
      <c r="A288" s="8" t="s">
        <v>415</v>
      </c>
      <c r="B288" s="19">
        <v>41578</v>
      </c>
      <c r="C288" s="8" t="s">
        <v>44</v>
      </c>
      <c r="D288" s="8">
        <v>10004</v>
      </c>
      <c r="E288" s="8" t="s">
        <v>416</v>
      </c>
      <c r="F288" s="8" t="s">
        <v>50</v>
      </c>
      <c r="G288" s="36">
        <f>VLOOKUP(E288,Flipkart!$A$1:$B$296,2,0)</f>
        <v>0.03</v>
      </c>
      <c r="H288" s="36">
        <f t="shared" ca="1" si="4"/>
        <v>0.03</v>
      </c>
      <c r="I288" s="36" t="str">
        <f>_xlfn.XLOOKUP(E288,'Product List'!$B$2:$B$299,'Product List'!$A$2:$A$299)</f>
        <v>Newell 314</v>
      </c>
      <c r="J288" s="36"/>
      <c r="K288" s="36"/>
      <c r="L288" s="36"/>
      <c r="M288" s="36"/>
      <c r="N288" s="36"/>
    </row>
    <row r="289" spans="1:14">
      <c r="A289" s="8" t="s">
        <v>417</v>
      </c>
      <c r="B289" s="19">
        <v>41581</v>
      </c>
      <c r="C289" s="8" t="s">
        <v>44</v>
      </c>
      <c r="D289" s="8">
        <v>10002</v>
      </c>
      <c r="E289" s="8" t="s">
        <v>285</v>
      </c>
      <c r="F289" s="8" t="s">
        <v>32</v>
      </c>
      <c r="G289" s="36">
        <f>VLOOKUP(E289,Flipkart!$A$1:$B$296,2,0)</f>
        <v>0.05</v>
      </c>
      <c r="H289" s="36">
        <f t="shared" ca="1" si="4"/>
        <v>0.03</v>
      </c>
      <c r="I289" s="36" t="str">
        <f>_xlfn.XLOOKUP(E289,'Product List'!$B$2:$B$299,'Product List'!$A$2:$A$299)</f>
        <v>Newell 344</v>
      </c>
      <c r="J289" s="36"/>
      <c r="K289" s="36"/>
      <c r="L289" s="36"/>
      <c r="M289" s="36"/>
      <c r="N289" s="36"/>
    </row>
    <row r="290" spans="1:14">
      <c r="A290" s="8" t="s">
        <v>418</v>
      </c>
      <c r="B290" s="19">
        <v>41582</v>
      </c>
      <c r="C290" s="8" t="s">
        <v>46</v>
      </c>
      <c r="D290" s="8">
        <v>10007</v>
      </c>
      <c r="E290" s="8" t="s">
        <v>71</v>
      </c>
      <c r="F290" s="8" t="s">
        <v>40</v>
      </c>
      <c r="G290" s="36">
        <f>VLOOKUP(E290,Flipkart!$A$1:$B$296,2,0)</f>
        <v>0.04</v>
      </c>
      <c r="H290" s="36">
        <f t="shared" ca="1" si="4"/>
        <v>0.05</v>
      </c>
      <c r="I290" s="36" t="str">
        <f>_xlfn.XLOOKUP(E290,'Product List'!$B$2:$B$299,'Product List'!$A$2:$A$299)</f>
        <v>GE 30522EE2</v>
      </c>
      <c r="J290" s="36"/>
      <c r="K290" s="36"/>
      <c r="L290" s="36"/>
      <c r="M290" s="36"/>
      <c r="N290" s="36"/>
    </row>
    <row r="291" spans="1:14">
      <c r="A291" s="8" t="s">
        <v>419</v>
      </c>
      <c r="B291" s="19">
        <v>41582</v>
      </c>
      <c r="C291" s="8" t="s">
        <v>27</v>
      </c>
      <c r="D291" s="8">
        <v>10007</v>
      </c>
      <c r="E291" s="8" t="s">
        <v>420</v>
      </c>
      <c r="F291" s="8" t="s">
        <v>50</v>
      </c>
      <c r="G291" s="36">
        <f>VLOOKUP(E291,Flipkart!$A$1:$B$296,2,0)</f>
        <v>0.05</v>
      </c>
      <c r="H291" s="36">
        <f t="shared" ca="1" si="4"/>
        <v>0.01</v>
      </c>
      <c r="I291" s="36" t="str">
        <f>_xlfn.XLOOKUP(E291,'Product List'!$B$2:$B$299,'Product List'!$A$2:$A$299)</f>
        <v>Xerox 1972</v>
      </c>
      <c r="J291" s="36"/>
      <c r="K291" s="36"/>
      <c r="L291" s="36"/>
      <c r="M291" s="36"/>
      <c r="N291" s="36"/>
    </row>
    <row r="292" spans="1:14">
      <c r="A292" s="8" t="s">
        <v>421</v>
      </c>
      <c r="B292" s="19">
        <v>41582</v>
      </c>
      <c r="C292" s="8" t="s">
        <v>66</v>
      </c>
      <c r="D292" s="8">
        <v>10002</v>
      </c>
      <c r="E292" s="8" t="s">
        <v>320</v>
      </c>
      <c r="F292" s="8" t="s">
        <v>35</v>
      </c>
      <c r="G292" s="36">
        <f>VLOOKUP(E292,Flipkart!$A$1:$B$296,2,0)</f>
        <v>0.01</v>
      </c>
      <c r="H292" s="36">
        <f t="shared" ca="1" si="4"/>
        <v>0.01</v>
      </c>
      <c r="I292" s="36" t="str">
        <f>_xlfn.XLOOKUP(E292,'Product List'!$B$2:$B$299,'Product List'!$A$2:$A$299)</f>
        <v>LG Exalt</v>
      </c>
      <c r="J292" s="36"/>
      <c r="K292" s="36"/>
      <c r="L292" s="36"/>
      <c r="M292" s="36"/>
      <c r="N292" s="36"/>
    </row>
    <row r="293" spans="1:14">
      <c r="A293" s="8" t="s">
        <v>422</v>
      </c>
      <c r="B293" s="19">
        <v>41584</v>
      </c>
      <c r="C293" s="8" t="s">
        <v>54</v>
      </c>
      <c r="D293" s="8">
        <v>10001</v>
      </c>
      <c r="E293" s="8" t="s">
        <v>423</v>
      </c>
      <c r="F293" s="8" t="s">
        <v>35</v>
      </c>
      <c r="G293" s="36">
        <f>VLOOKUP(E293,Flipkart!$A$1:$B$296,2,0)</f>
        <v>0.04</v>
      </c>
      <c r="H293" s="36">
        <f t="shared" ca="1" si="4"/>
        <v>0.04</v>
      </c>
      <c r="I293" s="36" t="str">
        <f>_xlfn.XLOOKUP(E293,'Product List'!$B$2:$B$299,'Product List'!$A$2:$A$299)</f>
        <v>Newell 339</v>
      </c>
      <c r="J293" s="36"/>
      <c r="K293" s="36"/>
      <c r="L293" s="36"/>
      <c r="M293" s="36"/>
      <c r="N293" s="36"/>
    </row>
    <row r="294" spans="1:14">
      <c r="A294" s="8" t="s">
        <v>424</v>
      </c>
      <c r="B294" s="19">
        <v>41586</v>
      </c>
      <c r="C294" s="8" t="s">
        <v>51</v>
      </c>
      <c r="D294" s="8">
        <v>10005</v>
      </c>
      <c r="E294" s="8" t="s">
        <v>425</v>
      </c>
      <c r="F294" s="8" t="s">
        <v>40</v>
      </c>
      <c r="G294" s="36">
        <f>VLOOKUP(E294,Flipkart!$A$1:$B$296,2,0)</f>
        <v>0</v>
      </c>
      <c r="H294" s="36">
        <f t="shared" ca="1" si="4"/>
        <v>0</v>
      </c>
      <c r="I294" s="36" t="str">
        <f>_xlfn.XLOOKUP(E294,'Product List'!$B$2:$B$299,'Product List'!$A$2:$A$299)</f>
        <v>Newell 327</v>
      </c>
      <c r="J294" s="36"/>
      <c r="K294" s="36"/>
      <c r="L294" s="36"/>
      <c r="M294" s="36"/>
      <c r="N294" s="36"/>
    </row>
    <row r="295" spans="1:14">
      <c r="A295" s="8" t="s">
        <v>426</v>
      </c>
      <c r="B295" s="19">
        <v>41588</v>
      </c>
      <c r="C295" s="8" t="s">
        <v>54</v>
      </c>
      <c r="D295" s="8">
        <v>10002</v>
      </c>
      <c r="E295" s="8" t="s">
        <v>408</v>
      </c>
      <c r="F295" s="8" t="s">
        <v>43</v>
      </c>
      <c r="G295" s="36">
        <f>VLOOKUP(E295,Flipkart!$A$1:$B$296,2,0)</f>
        <v>0.02</v>
      </c>
      <c r="H295" s="36">
        <f t="shared" ca="1" si="4"/>
        <v>0.05</v>
      </c>
      <c r="I295" s="36" t="str">
        <f>_xlfn.XLOOKUP(E295,'Product List'!$B$2:$B$299,'Product List'!$A$2:$A$299)</f>
        <v>Xerox 1955</v>
      </c>
      <c r="J295" s="36"/>
      <c r="K295" s="36"/>
      <c r="L295" s="36"/>
      <c r="M295" s="36"/>
      <c r="N295" s="36"/>
    </row>
    <row r="296" spans="1:14">
      <c r="A296" s="8" t="s">
        <v>427</v>
      </c>
      <c r="B296" s="19">
        <v>41588</v>
      </c>
      <c r="C296" s="8" t="s">
        <v>51</v>
      </c>
      <c r="D296" s="8">
        <v>10008</v>
      </c>
      <c r="E296" s="8" t="s">
        <v>428</v>
      </c>
      <c r="F296" s="8" t="s">
        <v>50</v>
      </c>
      <c r="G296" s="36">
        <f>VLOOKUP(E296,Flipkart!$A$1:$B$296,2,0)</f>
        <v>0</v>
      </c>
      <c r="H296" s="36">
        <f t="shared" ca="1" si="4"/>
        <v>0.02</v>
      </c>
      <c r="I296" s="36" t="str">
        <f>_xlfn.XLOOKUP(E296,'Product List'!$B$2:$B$299,'Product List'!$A$2:$A$299)</f>
        <v>Avery 516</v>
      </c>
      <c r="J296" s="36"/>
      <c r="K296" s="36"/>
      <c r="L296" s="36"/>
      <c r="M296" s="36"/>
      <c r="N296" s="36"/>
    </row>
    <row r="297" spans="1:14">
      <c r="A297" s="8" t="s">
        <v>426</v>
      </c>
      <c r="B297" s="19">
        <v>41588</v>
      </c>
      <c r="C297" s="8" t="s">
        <v>36</v>
      </c>
      <c r="D297" s="8">
        <v>10009</v>
      </c>
      <c r="E297" s="8" t="s">
        <v>429</v>
      </c>
      <c r="F297" s="8" t="s">
        <v>40</v>
      </c>
      <c r="G297" s="36">
        <f>VLOOKUP(E297,Flipkart!$A$1:$B$296,2,0)</f>
        <v>0.05</v>
      </c>
      <c r="H297" s="36">
        <f t="shared" ca="1" si="4"/>
        <v>0.03</v>
      </c>
      <c r="I297" s="36" t="str">
        <f>_xlfn.XLOOKUP(E297,'Product List'!$B$2:$B$299,'Product List'!$A$2:$A$299)</f>
        <v>Xerox 214</v>
      </c>
      <c r="J297" s="36"/>
      <c r="K297" s="36"/>
      <c r="L297" s="36"/>
      <c r="M297" s="36"/>
      <c r="N297" s="36"/>
    </row>
    <row r="298" spans="1:14">
      <c r="A298" s="8" t="s">
        <v>430</v>
      </c>
      <c r="B298" s="19">
        <v>41589</v>
      </c>
      <c r="C298" s="8" t="s">
        <v>51</v>
      </c>
      <c r="D298" s="8">
        <v>10014</v>
      </c>
      <c r="E298" s="8" t="s">
        <v>97</v>
      </c>
      <c r="F298" s="8" t="s">
        <v>43</v>
      </c>
      <c r="G298" s="36">
        <f>VLOOKUP(E298,Flipkart!$A$1:$B$296,2,0)</f>
        <v>0.04</v>
      </c>
      <c r="H298" s="36">
        <f t="shared" ca="1" si="4"/>
        <v>0.01</v>
      </c>
      <c r="I298" s="36" t="str">
        <f>_xlfn.XLOOKUP(E298,'Product List'!$B$2:$B$299,'Product List'!$A$2:$A$299)</f>
        <v>Xerox 204</v>
      </c>
      <c r="J298" s="36"/>
      <c r="K298" s="36"/>
      <c r="L298" s="36"/>
      <c r="M298" s="36"/>
      <c r="N298" s="36"/>
    </row>
    <row r="299" spans="1:14">
      <c r="A299" s="8" t="s">
        <v>431</v>
      </c>
      <c r="B299" s="19">
        <v>41589</v>
      </c>
      <c r="C299" s="8" t="s">
        <v>27</v>
      </c>
      <c r="D299" s="8">
        <v>10015</v>
      </c>
      <c r="E299" s="8" t="s">
        <v>432</v>
      </c>
      <c r="F299" s="8" t="s">
        <v>32</v>
      </c>
      <c r="G299" s="36">
        <f>VLOOKUP(E299,Flipkart!$A$1:$B$296,2,0)</f>
        <v>0.04</v>
      </c>
      <c r="H299" s="36">
        <f t="shared" ca="1" si="4"/>
        <v>0.02</v>
      </c>
      <c r="I299" s="36" t="str">
        <f>_xlfn.XLOOKUP(E299,'Product List'!$B$2:$B$299,'Product List'!$A$2:$A$299)</f>
        <v>Avery 476</v>
      </c>
      <c r="J299" s="36"/>
      <c r="K299" s="36"/>
      <c r="L299" s="36"/>
      <c r="M299" s="36"/>
      <c r="N299" s="36"/>
    </row>
    <row r="300" spans="1:14">
      <c r="A300" s="8" t="s">
        <v>433</v>
      </c>
      <c r="B300" s="19">
        <v>41590</v>
      </c>
      <c r="C300" s="8" t="s">
        <v>36</v>
      </c>
      <c r="D300" s="8">
        <v>10014</v>
      </c>
      <c r="E300" s="8" t="s">
        <v>434</v>
      </c>
      <c r="F300" s="8" t="s">
        <v>50</v>
      </c>
      <c r="G300" s="36">
        <f>VLOOKUP(E300,Flipkart!$A$1:$B$296,2,0)</f>
        <v>0.04</v>
      </c>
      <c r="H300" s="36">
        <f t="shared" ca="1" si="4"/>
        <v>0.02</v>
      </c>
      <c r="I300" s="36" t="str">
        <f>_xlfn.XLOOKUP(E300,'Product List'!$B$2:$B$299,'Product List'!$A$2:$A$299)</f>
        <v>Xerox 1952</v>
      </c>
      <c r="J300" s="36"/>
      <c r="K300" s="36"/>
      <c r="L300" s="36"/>
      <c r="M300" s="36"/>
      <c r="N300" s="36"/>
    </row>
    <row r="301" spans="1:14">
      <c r="A301" s="8" t="s">
        <v>433</v>
      </c>
      <c r="B301" s="19">
        <v>41590</v>
      </c>
      <c r="C301" s="8" t="s">
        <v>44</v>
      </c>
      <c r="D301" s="8">
        <v>10012</v>
      </c>
      <c r="E301" s="8" t="s">
        <v>318</v>
      </c>
      <c r="F301" s="8" t="s">
        <v>32</v>
      </c>
      <c r="G301" s="36">
        <f>VLOOKUP(E301,Flipkart!$A$1:$B$296,2,0)</f>
        <v>0.02</v>
      </c>
      <c r="H301" s="36">
        <f t="shared" ca="1" si="4"/>
        <v>0.05</v>
      </c>
      <c r="I301" s="36" t="str">
        <f>_xlfn.XLOOKUP(E301,'Product List'!$B$2:$B$299,'Product List'!$A$2:$A$299)</f>
        <v>Newell 331</v>
      </c>
      <c r="J301" s="36"/>
      <c r="K301" s="36"/>
      <c r="L301" s="36"/>
      <c r="M301" s="36"/>
      <c r="N301" s="36"/>
    </row>
    <row r="302" spans="1:14">
      <c r="A302" s="8" t="s">
        <v>433</v>
      </c>
      <c r="B302" s="19">
        <v>41590</v>
      </c>
      <c r="C302" s="8" t="s">
        <v>66</v>
      </c>
      <c r="D302" s="8">
        <v>10005</v>
      </c>
      <c r="E302" s="8" t="s">
        <v>141</v>
      </c>
      <c r="F302" s="8" t="s">
        <v>32</v>
      </c>
      <c r="G302" s="36">
        <f>VLOOKUP(E302,Flipkart!$A$1:$B$296,2,0)</f>
        <v>0.03</v>
      </c>
      <c r="H302" s="36">
        <f t="shared" ca="1" si="4"/>
        <v>0.05</v>
      </c>
      <c r="I302" s="36" t="str">
        <f>_xlfn.XLOOKUP(E302,'Product List'!$B$2:$B$299,'Product List'!$A$2:$A$299)</f>
        <v>Xerox 1994</v>
      </c>
      <c r="J302" s="36"/>
      <c r="K302" s="36"/>
      <c r="L302" s="36"/>
      <c r="M302" s="36"/>
      <c r="N302" s="36"/>
    </row>
    <row r="303" spans="1:14">
      <c r="A303" s="8" t="s">
        <v>435</v>
      </c>
      <c r="B303" s="19">
        <v>41591</v>
      </c>
      <c r="C303" s="8" t="s">
        <v>54</v>
      </c>
      <c r="D303" s="8">
        <v>10014</v>
      </c>
      <c r="E303" s="8" t="s">
        <v>31</v>
      </c>
      <c r="F303" s="8" t="s">
        <v>32</v>
      </c>
      <c r="G303" s="36">
        <f>VLOOKUP(E303,Flipkart!$A$1:$B$296,2,0)</f>
        <v>0.01</v>
      </c>
      <c r="H303" s="36">
        <f t="shared" ca="1" si="4"/>
        <v>0.05</v>
      </c>
      <c r="I303" s="36" t="str">
        <f>_xlfn.XLOOKUP(E303,'Product List'!$B$2:$B$299,'Product List'!$A$2:$A$299)</f>
        <v>Avery 494</v>
      </c>
      <c r="J303" s="36"/>
      <c r="K303" s="36"/>
      <c r="L303" s="36"/>
      <c r="M303" s="36"/>
      <c r="N303" s="36"/>
    </row>
    <row r="304" spans="1:14">
      <c r="A304" s="8" t="s">
        <v>435</v>
      </c>
      <c r="B304" s="19">
        <v>41591</v>
      </c>
      <c r="C304" s="8" t="s">
        <v>36</v>
      </c>
      <c r="D304" s="8">
        <v>10010</v>
      </c>
      <c r="E304" s="8" t="s">
        <v>436</v>
      </c>
      <c r="F304" s="8" t="s">
        <v>29</v>
      </c>
      <c r="G304" s="36">
        <f>VLOOKUP(E304,Flipkart!$A$1:$B$296,2,0)</f>
        <v>0.03</v>
      </c>
      <c r="H304" s="36">
        <f t="shared" ca="1" si="4"/>
        <v>0.02</v>
      </c>
      <c r="I304" s="36" t="str">
        <f>_xlfn.XLOOKUP(E304,'Product List'!$B$2:$B$299,'Product List'!$A$2:$A$299)</f>
        <v>Newell 338</v>
      </c>
      <c r="J304" s="36"/>
      <c r="K304" s="36"/>
      <c r="L304" s="36"/>
      <c r="M304" s="36"/>
      <c r="N304" s="36"/>
    </row>
    <row r="305" spans="1:14">
      <c r="A305" s="8" t="s">
        <v>437</v>
      </c>
      <c r="B305" s="19">
        <v>41591</v>
      </c>
      <c r="C305" s="8" t="s">
        <v>44</v>
      </c>
      <c r="D305" s="8">
        <v>10005</v>
      </c>
      <c r="E305" s="8" t="s">
        <v>249</v>
      </c>
      <c r="F305" s="8" t="s">
        <v>40</v>
      </c>
      <c r="G305" s="36">
        <f>VLOOKUP(E305,Flipkart!$A$1:$B$296,2,0)</f>
        <v>0</v>
      </c>
      <c r="H305" s="36">
        <f t="shared" ca="1" si="4"/>
        <v>0.05</v>
      </c>
      <c r="I305" s="36" t="str">
        <f>_xlfn.XLOOKUP(E305,'Product List'!$B$2:$B$299,'Product List'!$A$2:$A$299)</f>
        <v>Newell 315</v>
      </c>
      <c r="J305" s="36"/>
      <c r="K305" s="36"/>
      <c r="L305" s="36"/>
      <c r="M305" s="36"/>
      <c r="N305" s="36"/>
    </row>
    <row r="306" spans="1:14">
      <c r="A306" s="8" t="s">
        <v>437</v>
      </c>
      <c r="B306" s="19">
        <v>41591</v>
      </c>
      <c r="C306" s="8" t="s">
        <v>51</v>
      </c>
      <c r="D306" s="8">
        <v>10006</v>
      </c>
      <c r="E306" s="8" t="s">
        <v>112</v>
      </c>
      <c r="F306" s="8" t="s">
        <v>29</v>
      </c>
      <c r="G306" s="36">
        <f>VLOOKUP(E306,Flipkart!$A$1:$B$296,2,0)</f>
        <v>0.04</v>
      </c>
      <c r="H306" s="36">
        <f t="shared" ca="1" si="4"/>
        <v>0</v>
      </c>
      <c r="I306" s="36" t="str">
        <f>_xlfn.XLOOKUP(E306,'Product List'!$B$2:$B$299,'Product List'!$A$2:$A$299)</f>
        <v>Newell 317</v>
      </c>
      <c r="J306" s="36"/>
      <c r="K306" s="36"/>
      <c r="L306" s="36"/>
      <c r="M306" s="36"/>
      <c r="N306" s="36"/>
    </row>
    <row r="307" spans="1:14">
      <c r="A307" s="8" t="s">
        <v>438</v>
      </c>
      <c r="B307" s="19">
        <v>41595</v>
      </c>
      <c r="C307" s="8" t="s">
        <v>66</v>
      </c>
      <c r="D307" s="8">
        <v>10013</v>
      </c>
      <c r="E307" s="8" t="s">
        <v>439</v>
      </c>
      <c r="F307" s="8" t="s">
        <v>32</v>
      </c>
      <c r="G307" s="36">
        <f>VLOOKUP(E307,Flipkart!$A$1:$B$296,2,0)</f>
        <v>0.05</v>
      </c>
      <c r="H307" s="36">
        <f t="shared" ca="1" si="4"/>
        <v>0</v>
      </c>
      <c r="I307" s="36" t="str">
        <f>_xlfn.XLOOKUP(E307,'Product List'!$B$2:$B$299,'Product List'!$A$2:$A$299)</f>
        <v>Xerox 1919</v>
      </c>
      <c r="J307" s="36"/>
      <c r="K307" s="36"/>
      <c r="L307" s="36"/>
      <c r="M307" s="36"/>
      <c r="N307" s="36"/>
    </row>
    <row r="308" spans="1:14">
      <c r="A308" s="8" t="s">
        <v>440</v>
      </c>
      <c r="B308" s="19">
        <v>41595</v>
      </c>
      <c r="C308" s="8" t="s">
        <v>51</v>
      </c>
      <c r="D308" s="8">
        <v>10007</v>
      </c>
      <c r="E308" s="8" t="s">
        <v>381</v>
      </c>
      <c r="F308" s="8" t="s">
        <v>35</v>
      </c>
      <c r="G308" s="36">
        <f>VLOOKUP(E308,Flipkart!$A$1:$B$296,2,0)</f>
        <v>0.04</v>
      </c>
      <c r="H308" s="36">
        <f t="shared" ca="1" si="4"/>
        <v>0.04</v>
      </c>
      <c r="I308" s="36" t="str">
        <f>_xlfn.XLOOKUP(E308,'Product List'!$B$2:$B$299,'Product List'!$A$2:$A$299)</f>
        <v>Xerox 1911</v>
      </c>
      <c r="J308" s="36"/>
      <c r="K308" s="36"/>
      <c r="L308" s="36"/>
      <c r="M308" s="36"/>
      <c r="N308" s="36"/>
    </row>
    <row r="309" spans="1:14">
      <c r="A309" s="8" t="s">
        <v>438</v>
      </c>
      <c r="B309" s="19">
        <v>41595</v>
      </c>
      <c r="C309" s="8" t="s">
        <v>46</v>
      </c>
      <c r="D309" s="8">
        <v>10001</v>
      </c>
      <c r="E309" s="8" t="s">
        <v>141</v>
      </c>
      <c r="F309" s="8" t="s">
        <v>43</v>
      </c>
      <c r="G309" s="36">
        <f>VLOOKUP(E309,Flipkart!$A$1:$B$296,2,0)</f>
        <v>0.03</v>
      </c>
      <c r="H309" s="36">
        <f t="shared" ca="1" si="4"/>
        <v>0.04</v>
      </c>
      <c r="I309" s="36" t="str">
        <f>_xlfn.XLOOKUP(E309,'Product List'!$B$2:$B$299,'Product List'!$A$2:$A$299)</f>
        <v>Xerox 1994</v>
      </c>
      <c r="J309" s="36"/>
      <c r="K309" s="36"/>
      <c r="L309" s="36"/>
      <c r="M309" s="36"/>
      <c r="N309" s="36"/>
    </row>
    <row r="310" spans="1:14">
      <c r="A310" s="8" t="s">
        <v>438</v>
      </c>
      <c r="B310" s="19">
        <v>41595</v>
      </c>
      <c r="C310" s="8" t="s">
        <v>44</v>
      </c>
      <c r="D310" s="8">
        <v>10005</v>
      </c>
      <c r="E310" s="8" t="s">
        <v>86</v>
      </c>
      <c r="F310" s="8" t="s">
        <v>40</v>
      </c>
      <c r="G310" s="36">
        <f>VLOOKUP(E310,Flipkart!$A$1:$B$296,2,0)</f>
        <v>0</v>
      </c>
      <c r="H310" s="36">
        <f t="shared" ca="1" si="4"/>
        <v>0.01</v>
      </c>
      <c r="I310" s="36" t="str">
        <f>_xlfn.XLOOKUP(E310,'Product List'!$B$2:$B$299,'Product List'!$A$2:$A$299)</f>
        <v>Newell 316</v>
      </c>
      <c r="J310" s="36"/>
      <c r="K310" s="36"/>
      <c r="L310" s="36"/>
      <c r="M310" s="36"/>
      <c r="N310" s="36"/>
    </row>
    <row r="311" spans="1:14">
      <c r="A311" s="8" t="s">
        <v>441</v>
      </c>
      <c r="B311" s="19">
        <v>41596</v>
      </c>
      <c r="C311" s="8" t="s">
        <v>46</v>
      </c>
      <c r="D311" s="8">
        <v>10015</v>
      </c>
      <c r="E311" s="8" t="s">
        <v>184</v>
      </c>
      <c r="F311" s="8" t="s">
        <v>32</v>
      </c>
      <c r="G311" s="36">
        <f>VLOOKUP(E311,Flipkart!$A$1:$B$296,2,0)</f>
        <v>0.03</v>
      </c>
      <c r="H311" s="36">
        <f t="shared" ca="1" si="4"/>
        <v>0</v>
      </c>
      <c r="I311" s="36" t="str">
        <f>_xlfn.XLOOKUP(E311,'Product List'!$B$2:$B$299,'Product List'!$A$2:$A$299)</f>
        <v>Xerox 1983</v>
      </c>
      <c r="J311" s="36"/>
      <c r="K311" s="36"/>
      <c r="L311" s="36"/>
      <c r="M311" s="36"/>
      <c r="N311" s="36"/>
    </row>
    <row r="312" spans="1:14">
      <c r="A312" s="8" t="s">
        <v>442</v>
      </c>
      <c r="B312" s="19">
        <v>41597</v>
      </c>
      <c r="C312" s="8" t="s">
        <v>33</v>
      </c>
      <c r="D312" s="8">
        <v>10014</v>
      </c>
      <c r="E312" s="8" t="s">
        <v>443</v>
      </c>
      <c r="F312" s="8" t="s">
        <v>43</v>
      </c>
      <c r="G312" s="36">
        <f>VLOOKUP(E312,Flipkart!$A$1:$B$296,2,0)</f>
        <v>0.02</v>
      </c>
      <c r="H312" s="36">
        <f t="shared" ca="1" si="4"/>
        <v>0</v>
      </c>
      <c r="I312" s="36" t="str">
        <f>_xlfn.XLOOKUP(E312,'Product List'!$B$2:$B$299,'Product List'!$A$2:$A$299)</f>
        <v>Avery 485</v>
      </c>
      <c r="J312" s="36"/>
      <c r="K312" s="36"/>
      <c r="L312" s="36"/>
      <c r="M312" s="36"/>
      <c r="N312" s="36"/>
    </row>
    <row r="313" spans="1:14">
      <c r="A313" s="8" t="s">
        <v>444</v>
      </c>
      <c r="B313" s="19">
        <v>41600</v>
      </c>
      <c r="C313" s="8" t="s">
        <v>51</v>
      </c>
      <c r="D313" s="8">
        <v>10008</v>
      </c>
      <c r="E313" s="8" t="s">
        <v>445</v>
      </c>
      <c r="F313" s="8" t="s">
        <v>40</v>
      </c>
      <c r="G313" s="36">
        <f>VLOOKUP(E313,Flipkart!$A$1:$B$296,2,0)</f>
        <v>0.01</v>
      </c>
      <c r="H313" s="36">
        <f t="shared" ca="1" si="4"/>
        <v>0</v>
      </c>
      <c r="I313" s="36" t="str">
        <f>_xlfn.XLOOKUP(E313,'Product List'!$B$2:$B$299,'Product List'!$A$2:$A$299)</f>
        <v>Xerox 1882</v>
      </c>
      <c r="J313" s="36"/>
      <c r="K313" s="36"/>
      <c r="L313" s="36"/>
      <c r="M313" s="36"/>
      <c r="N313" s="36"/>
    </row>
    <row r="314" spans="1:14">
      <c r="A314" s="8" t="s">
        <v>444</v>
      </c>
      <c r="B314" s="19">
        <v>41600</v>
      </c>
      <c r="C314" s="8" t="s">
        <v>66</v>
      </c>
      <c r="D314" s="8">
        <v>10013</v>
      </c>
      <c r="E314" s="8" t="s">
        <v>322</v>
      </c>
      <c r="F314" s="8" t="s">
        <v>29</v>
      </c>
      <c r="G314" s="36">
        <f>VLOOKUP(E314,Flipkart!$A$1:$B$296,2,0)</f>
        <v>0.05</v>
      </c>
      <c r="H314" s="36">
        <f t="shared" ca="1" si="4"/>
        <v>0.01</v>
      </c>
      <c r="I314" s="36" t="str">
        <f>_xlfn.XLOOKUP(E314,'Product List'!$B$2:$B$299,'Product List'!$A$2:$A$299)</f>
        <v>Xerox 1966</v>
      </c>
      <c r="J314" s="36"/>
      <c r="K314" s="36"/>
      <c r="L314" s="36"/>
      <c r="M314" s="36"/>
      <c r="N314" s="36"/>
    </row>
    <row r="315" spans="1:14">
      <c r="A315" s="8" t="s">
        <v>444</v>
      </c>
      <c r="B315" s="19">
        <v>41600</v>
      </c>
      <c r="C315" s="8" t="s">
        <v>66</v>
      </c>
      <c r="D315" s="8">
        <v>10012</v>
      </c>
      <c r="E315" s="8" t="s">
        <v>446</v>
      </c>
      <c r="F315" s="8" t="s">
        <v>29</v>
      </c>
      <c r="G315" s="36">
        <f>VLOOKUP(E315,Flipkart!$A$1:$B$296,2,0)</f>
        <v>0.02</v>
      </c>
      <c r="H315" s="36">
        <f t="shared" ca="1" si="4"/>
        <v>0.05</v>
      </c>
      <c r="I315" s="36" t="str">
        <f>_xlfn.XLOOKUP(E315,'Product List'!$B$2:$B$299,'Product List'!$A$2:$A$299)</f>
        <v>Xerox 1956</v>
      </c>
      <c r="J315" s="36"/>
      <c r="K315" s="36"/>
      <c r="L315" s="36"/>
      <c r="M315" s="36"/>
      <c r="N315" s="36"/>
    </row>
    <row r="316" spans="1:14">
      <c r="A316" s="8" t="s">
        <v>447</v>
      </c>
      <c r="B316" s="19">
        <v>41603</v>
      </c>
      <c r="C316" s="8" t="s">
        <v>51</v>
      </c>
      <c r="D316" s="8">
        <v>10005</v>
      </c>
      <c r="E316" s="8" t="s">
        <v>352</v>
      </c>
      <c r="F316" s="8" t="s">
        <v>50</v>
      </c>
      <c r="G316" s="36">
        <f>VLOOKUP(E316,Flipkart!$A$1:$B$296,2,0)</f>
        <v>0</v>
      </c>
      <c r="H316" s="36">
        <f t="shared" ca="1" si="4"/>
        <v>0.02</v>
      </c>
      <c r="I316" s="36" t="str">
        <f>_xlfn.XLOOKUP(E316,'Product List'!$B$2:$B$299,'Product List'!$A$2:$A$299)</f>
        <v>Avery 501</v>
      </c>
      <c r="J316" s="36"/>
      <c r="K316" s="36"/>
      <c r="L316" s="36"/>
      <c r="M316" s="36"/>
      <c r="N316" s="36"/>
    </row>
    <row r="317" spans="1:14">
      <c r="A317" s="8" t="s">
        <v>448</v>
      </c>
      <c r="B317" s="19">
        <v>41603</v>
      </c>
      <c r="C317" s="8" t="s">
        <v>54</v>
      </c>
      <c r="D317" s="8">
        <v>10012</v>
      </c>
      <c r="E317" s="8" t="s">
        <v>449</v>
      </c>
      <c r="F317" s="8" t="s">
        <v>40</v>
      </c>
      <c r="G317" s="36">
        <f>VLOOKUP(E317,Flipkart!$A$1:$B$296,2,0)</f>
        <v>0.05</v>
      </c>
      <c r="H317" s="36">
        <f t="shared" ca="1" si="4"/>
        <v>0.01</v>
      </c>
      <c r="I317" s="36" t="str">
        <f>_xlfn.XLOOKUP(E317,'Product List'!$B$2:$B$299,'Product List'!$A$2:$A$299)</f>
        <v>AT&amp;T CL82213</v>
      </c>
      <c r="J317" s="36"/>
      <c r="K317" s="36"/>
      <c r="L317" s="36"/>
      <c r="M317" s="36"/>
      <c r="N317" s="36"/>
    </row>
    <row r="318" spans="1:14">
      <c r="A318" s="8" t="s">
        <v>447</v>
      </c>
      <c r="B318" s="19">
        <v>41603</v>
      </c>
      <c r="C318" s="8" t="s">
        <v>33</v>
      </c>
      <c r="D318" s="8">
        <v>10006</v>
      </c>
      <c r="E318" s="8" t="s">
        <v>296</v>
      </c>
      <c r="F318" s="8" t="s">
        <v>50</v>
      </c>
      <c r="G318" s="36">
        <f>VLOOKUP(E318,Flipkart!$A$1:$B$296,2,0)</f>
        <v>0.01</v>
      </c>
      <c r="H318" s="36">
        <f t="shared" ca="1" si="4"/>
        <v>0.03</v>
      </c>
      <c r="I318" s="36" t="str">
        <f>_xlfn.XLOOKUP(E318,'Product List'!$B$2:$B$299,'Product List'!$A$2:$A$299)</f>
        <v>Motorola L804</v>
      </c>
      <c r="J318" s="36"/>
      <c r="K318" s="36"/>
      <c r="L318" s="36"/>
      <c r="M318" s="36"/>
      <c r="N318" s="36"/>
    </row>
    <row r="319" spans="1:14">
      <c r="A319" s="8" t="s">
        <v>450</v>
      </c>
      <c r="B319" s="19">
        <v>41607</v>
      </c>
      <c r="C319" s="8" t="s">
        <v>66</v>
      </c>
      <c r="D319" s="8">
        <v>10013</v>
      </c>
      <c r="E319" s="8" t="s">
        <v>451</v>
      </c>
      <c r="F319" s="8" t="s">
        <v>32</v>
      </c>
      <c r="G319" s="36">
        <f>VLOOKUP(E319,Flipkart!$A$1:$B$296,2,0)</f>
        <v>0.01</v>
      </c>
      <c r="H319" s="36">
        <f t="shared" ca="1" si="4"/>
        <v>0</v>
      </c>
      <c r="I319" s="36" t="str">
        <f>_xlfn.XLOOKUP(E319,'Product List'!$B$2:$B$299,'Product List'!$A$2:$A$299)</f>
        <v>Xerox 1903</v>
      </c>
      <c r="J319" s="36"/>
      <c r="K319" s="36"/>
      <c r="L319" s="36"/>
      <c r="M319" s="36"/>
      <c r="N319" s="36"/>
    </row>
    <row r="320" spans="1:14">
      <c r="A320" s="8" t="s">
        <v>452</v>
      </c>
      <c r="B320" s="19">
        <v>41607</v>
      </c>
      <c r="C320" s="8" t="s">
        <v>51</v>
      </c>
      <c r="D320" s="8">
        <v>10005</v>
      </c>
      <c r="E320" s="8" t="s">
        <v>453</v>
      </c>
      <c r="F320" s="8" t="s">
        <v>50</v>
      </c>
      <c r="G320" s="36">
        <f>VLOOKUP(E320,Flipkart!$A$1:$B$296,2,0)</f>
        <v>0</v>
      </c>
      <c r="H320" s="36">
        <f t="shared" ca="1" si="4"/>
        <v>0.04</v>
      </c>
      <c r="I320" s="36" t="str">
        <f>_xlfn.XLOOKUP(E320,'Product List'!$B$2:$B$299,'Product List'!$A$2:$A$299)</f>
        <v>Xerox 231</v>
      </c>
      <c r="J320" s="36"/>
      <c r="K320" s="36"/>
      <c r="L320" s="36"/>
      <c r="M320" s="36"/>
      <c r="N320" s="36"/>
    </row>
    <row r="321" spans="1:14">
      <c r="A321" s="8" t="s">
        <v>454</v>
      </c>
      <c r="B321" s="19">
        <v>41607</v>
      </c>
      <c r="C321" s="8" t="s">
        <v>33</v>
      </c>
      <c r="D321" s="8">
        <v>10003</v>
      </c>
      <c r="E321" s="8" t="s">
        <v>295</v>
      </c>
      <c r="F321" s="8" t="s">
        <v>35</v>
      </c>
      <c r="G321" s="36">
        <f>VLOOKUP(E321,Flipkart!$A$1:$B$296,2,0)</f>
        <v>0.05</v>
      </c>
      <c r="H321" s="36">
        <f t="shared" ca="1" si="4"/>
        <v>0.05</v>
      </c>
      <c r="I321" s="36" t="str">
        <f>_xlfn.XLOOKUP(E321,'Product List'!$B$2:$B$299,'Product List'!$A$2:$A$299)</f>
        <v>Xerox 1950</v>
      </c>
      <c r="J321" s="36"/>
      <c r="K321" s="36"/>
      <c r="L321" s="36"/>
      <c r="M321" s="36"/>
      <c r="N321" s="36"/>
    </row>
    <row r="322" spans="1:14">
      <c r="A322" s="8" t="s">
        <v>452</v>
      </c>
      <c r="B322" s="19">
        <v>41607</v>
      </c>
      <c r="C322" s="8" t="s">
        <v>33</v>
      </c>
      <c r="D322" s="8">
        <v>10010</v>
      </c>
      <c r="E322" s="8" t="s">
        <v>455</v>
      </c>
      <c r="F322" s="8" t="s">
        <v>32</v>
      </c>
      <c r="G322" s="36">
        <f>VLOOKUP(E322,Flipkart!$A$1:$B$296,2,0)</f>
        <v>0</v>
      </c>
      <c r="H322" s="36">
        <f t="shared" ca="1" si="4"/>
        <v>0.05</v>
      </c>
      <c r="I322" s="36" t="str">
        <f>_xlfn.XLOOKUP(E322,'Product List'!$B$2:$B$299,'Product List'!$A$2:$A$299)</f>
        <v>Newell 307</v>
      </c>
      <c r="J322" s="36"/>
      <c r="K322" s="36"/>
      <c r="L322" s="36"/>
      <c r="M322" s="36"/>
      <c r="N322" s="36"/>
    </row>
    <row r="323" spans="1:14">
      <c r="A323" s="8" t="s">
        <v>456</v>
      </c>
      <c r="B323" s="19">
        <v>41610</v>
      </c>
      <c r="C323" s="8" t="s">
        <v>36</v>
      </c>
      <c r="D323" s="8">
        <v>10001</v>
      </c>
      <c r="E323" s="8" t="s">
        <v>408</v>
      </c>
      <c r="F323" s="8" t="s">
        <v>29</v>
      </c>
      <c r="G323" s="36">
        <f>VLOOKUP(E323,Flipkart!$A$1:$B$296,2,0)</f>
        <v>0.02</v>
      </c>
      <c r="H323" s="36">
        <f t="shared" ca="1" si="4"/>
        <v>0.05</v>
      </c>
      <c r="I323" s="36" t="str">
        <f>_xlfn.XLOOKUP(E323,'Product List'!$B$2:$B$299,'Product List'!$A$2:$A$299)</f>
        <v>Xerox 1955</v>
      </c>
      <c r="J323" s="36"/>
      <c r="K323" s="36"/>
      <c r="L323" s="36"/>
      <c r="M323" s="36"/>
      <c r="N323" s="36"/>
    </row>
    <row r="324" spans="1:14">
      <c r="A324" s="8" t="s">
        <v>457</v>
      </c>
      <c r="B324" s="19">
        <v>41610</v>
      </c>
      <c r="C324" s="8" t="s">
        <v>51</v>
      </c>
      <c r="D324" s="8">
        <v>10005</v>
      </c>
      <c r="E324" s="8" t="s">
        <v>445</v>
      </c>
      <c r="F324" s="8" t="s">
        <v>50</v>
      </c>
      <c r="G324" s="36">
        <f>VLOOKUP(E324,Flipkart!$A$1:$B$296,2,0)</f>
        <v>0.01</v>
      </c>
      <c r="H324" s="36">
        <f t="shared" ref="H324:H387" ca="1" si="5">VLOOKUP(E324,INDIRECT(F324&amp;"!$A$1:$B$296"),2,0)</f>
        <v>0.01</v>
      </c>
      <c r="I324" s="36" t="str">
        <f>_xlfn.XLOOKUP(E324,'Product List'!$B$2:$B$299,'Product List'!$A$2:$A$299)</f>
        <v>Xerox 1882</v>
      </c>
      <c r="J324" s="36"/>
      <c r="K324" s="36"/>
      <c r="L324" s="36"/>
      <c r="M324" s="36"/>
      <c r="N324" s="36"/>
    </row>
    <row r="325" spans="1:14">
      <c r="A325" s="8" t="s">
        <v>458</v>
      </c>
      <c r="B325" s="19">
        <v>41612</v>
      </c>
      <c r="C325" s="8" t="s">
        <v>33</v>
      </c>
      <c r="D325" s="8">
        <v>10004</v>
      </c>
      <c r="E325" s="8" t="s">
        <v>459</v>
      </c>
      <c r="F325" s="8" t="s">
        <v>32</v>
      </c>
      <c r="G325" s="36">
        <f>VLOOKUP(E325,Flipkart!$A$1:$B$296,2,0)</f>
        <v>0.01</v>
      </c>
      <c r="H325" s="36">
        <f t="shared" ca="1" si="5"/>
        <v>0.01</v>
      </c>
      <c r="I325" s="36" t="str">
        <f>_xlfn.XLOOKUP(E325,'Product List'!$B$2:$B$299,'Product List'!$A$2:$A$299)</f>
        <v>Xerox 1917</v>
      </c>
      <c r="J325" s="36"/>
      <c r="K325" s="36"/>
      <c r="L325" s="36"/>
      <c r="M325" s="36"/>
      <c r="N325" s="36"/>
    </row>
    <row r="326" spans="1:14">
      <c r="A326" s="8" t="s">
        <v>460</v>
      </c>
      <c r="B326" s="19">
        <v>41615</v>
      </c>
      <c r="C326" s="8" t="s">
        <v>36</v>
      </c>
      <c r="D326" s="8">
        <v>10010</v>
      </c>
      <c r="E326" s="8" t="s">
        <v>130</v>
      </c>
      <c r="F326" s="8" t="s">
        <v>32</v>
      </c>
      <c r="G326" s="36">
        <f>VLOOKUP(E326,Flipkart!$A$1:$B$296,2,0)</f>
        <v>0</v>
      </c>
      <c r="H326" s="36">
        <f t="shared" ca="1" si="5"/>
        <v>0.01</v>
      </c>
      <c r="I326" s="36" t="str">
        <f>_xlfn.XLOOKUP(E326,'Product List'!$B$2:$B$299,'Product List'!$A$2:$A$299)</f>
        <v>Xerox 212</v>
      </c>
      <c r="J326" s="36"/>
      <c r="K326" s="36"/>
      <c r="L326" s="36"/>
      <c r="M326" s="36"/>
      <c r="N326" s="36"/>
    </row>
    <row r="327" spans="1:14">
      <c r="A327" s="8" t="s">
        <v>461</v>
      </c>
      <c r="B327" s="19">
        <v>41616</v>
      </c>
      <c r="C327" s="8" t="s">
        <v>66</v>
      </c>
      <c r="D327" s="8">
        <v>10007</v>
      </c>
      <c r="E327" s="8" t="s">
        <v>462</v>
      </c>
      <c r="F327" s="8" t="s">
        <v>50</v>
      </c>
      <c r="G327" s="36">
        <f>VLOOKUP(E327,Flipkart!$A$1:$B$296,2,0)</f>
        <v>0.04</v>
      </c>
      <c r="H327" s="36">
        <f t="shared" ca="1" si="5"/>
        <v>0.01</v>
      </c>
      <c r="I327" s="36" t="str">
        <f>_xlfn.XLOOKUP(E327,'Product List'!$B$2:$B$299,'Product List'!$A$2:$A$299)</f>
        <v>Newell 322</v>
      </c>
      <c r="J327" s="36"/>
      <c r="K327" s="36"/>
      <c r="L327" s="36"/>
      <c r="M327" s="36"/>
      <c r="N327" s="36"/>
    </row>
    <row r="328" spans="1:14">
      <c r="A328" s="8" t="s">
        <v>463</v>
      </c>
      <c r="B328" s="19">
        <v>41619</v>
      </c>
      <c r="C328" s="8" t="s">
        <v>66</v>
      </c>
      <c r="D328" s="8">
        <v>10015</v>
      </c>
      <c r="E328" s="8" t="s">
        <v>464</v>
      </c>
      <c r="F328" s="8" t="s">
        <v>29</v>
      </c>
      <c r="G328" s="36">
        <f>VLOOKUP(E328,Flipkart!$A$1:$B$296,2,0)</f>
        <v>0.03</v>
      </c>
      <c r="H328" s="36">
        <f t="shared" ca="1" si="5"/>
        <v>0.02</v>
      </c>
      <c r="I328" s="36" t="str">
        <f>_xlfn.XLOOKUP(E328,'Product List'!$B$2:$B$299,'Product List'!$A$2:$A$299)</f>
        <v>Xerox 22</v>
      </c>
      <c r="J328" s="36"/>
      <c r="K328" s="36"/>
      <c r="L328" s="36"/>
      <c r="M328" s="36"/>
      <c r="N328" s="36"/>
    </row>
    <row r="329" spans="1:14">
      <c r="A329" s="8" t="s">
        <v>465</v>
      </c>
      <c r="B329" s="19">
        <v>41619</v>
      </c>
      <c r="C329" s="8" t="s">
        <v>44</v>
      </c>
      <c r="D329" s="8">
        <v>10004</v>
      </c>
      <c r="E329" s="8" t="s">
        <v>462</v>
      </c>
      <c r="F329" s="8" t="s">
        <v>40</v>
      </c>
      <c r="G329" s="36">
        <f>VLOOKUP(E329,Flipkart!$A$1:$B$296,2,0)</f>
        <v>0.04</v>
      </c>
      <c r="H329" s="36">
        <f t="shared" ca="1" si="5"/>
        <v>0.02</v>
      </c>
      <c r="I329" s="36" t="str">
        <f>_xlfn.XLOOKUP(E329,'Product List'!$B$2:$B$299,'Product List'!$A$2:$A$299)</f>
        <v>Newell 322</v>
      </c>
      <c r="J329" s="36"/>
      <c r="K329" s="36"/>
      <c r="L329" s="36"/>
      <c r="M329" s="36"/>
      <c r="N329" s="36"/>
    </row>
    <row r="330" spans="1:14">
      <c r="A330" s="8" t="s">
        <v>466</v>
      </c>
      <c r="B330" s="19">
        <v>41620</v>
      </c>
      <c r="C330" s="8" t="s">
        <v>51</v>
      </c>
      <c r="D330" s="8">
        <v>10008</v>
      </c>
      <c r="E330" s="8" t="s">
        <v>467</v>
      </c>
      <c r="F330" s="8" t="s">
        <v>43</v>
      </c>
      <c r="G330" s="36">
        <f>VLOOKUP(E330,Flipkart!$A$1:$B$296,2,0)</f>
        <v>0.05</v>
      </c>
      <c r="H330" s="36">
        <f t="shared" ca="1" si="5"/>
        <v>0.04</v>
      </c>
      <c r="I330" s="36" t="str">
        <f>_xlfn.XLOOKUP(E330,'Product List'!$B$2:$B$299,'Product List'!$A$2:$A$299)</f>
        <v>Xerox 215</v>
      </c>
      <c r="J330" s="36"/>
      <c r="K330" s="36"/>
      <c r="L330" s="36"/>
      <c r="M330" s="36"/>
      <c r="N330" s="36"/>
    </row>
    <row r="331" spans="1:14">
      <c r="A331" s="8" t="s">
        <v>466</v>
      </c>
      <c r="B331" s="19">
        <v>41620</v>
      </c>
      <c r="C331" s="8" t="s">
        <v>36</v>
      </c>
      <c r="D331" s="8">
        <v>10005</v>
      </c>
      <c r="E331" s="8" t="s">
        <v>337</v>
      </c>
      <c r="F331" s="8" t="s">
        <v>32</v>
      </c>
      <c r="G331" s="36">
        <f>VLOOKUP(E331,Flipkart!$A$1:$B$296,2,0)</f>
        <v>0.04</v>
      </c>
      <c r="H331" s="36">
        <f t="shared" ca="1" si="5"/>
        <v>0</v>
      </c>
      <c r="I331" s="36" t="str">
        <f>_xlfn.XLOOKUP(E331,'Product List'!$B$2:$B$299,'Product List'!$A$2:$A$299)</f>
        <v>Avery 487</v>
      </c>
      <c r="J331" s="36"/>
      <c r="K331" s="36"/>
      <c r="L331" s="36"/>
      <c r="M331" s="36"/>
      <c r="N331" s="36"/>
    </row>
    <row r="332" spans="1:14">
      <c r="A332" s="8" t="s">
        <v>468</v>
      </c>
      <c r="B332" s="19">
        <v>41620</v>
      </c>
      <c r="C332" s="8" t="s">
        <v>44</v>
      </c>
      <c r="D332" s="8">
        <v>10012</v>
      </c>
      <c r="E332" s="8" t="s">
        <v>122</v>
      </c>
      <c r="F332" s="8" t="s">
        <v>43</v>
      </c>
      <c r="G332" s="36">
        <f>VLOOKUP(E332,Flipkart!$A$1:$B$296,2,0)</f>
        <v>0.01</v>
      </c>
      <c r="H332" s="36">
        <f t="shared" ca="1" si="5"/>
        <v>0.04</v>
      </c>
      <c r="I332" s="36" t="str">
        <f>_xlfn.XLOOKUP(E332,'Product List'!$B$2:$B$299,'Product List'!$A$2:$A$299)</f>
        <v>Avery 510</v>
      </c>
      <c r="J332" s="36"/>
      <c r="K332" s="36"/>
      <c r="L332" s="36"/>
      <c r="M332" s="36"/>
      <c r="N332" s="36"/>
    </row>
    <row r="333" spans="1:14">
      <c r="A333" s="8" t="s">
        <v>469</v>
      </c>
      <c r="B333" s="19">
        <v>41622</v>
      </c>
      <c r="C333" s="8" t="s">
        <v>33</v>
      </c>
      <c r="D333" s="8">
        <v>10010</v>
      </c>
      <c r="E333" s="8" t="s">
        <v>470</v>
      </c>
      <c r="F333" s="8" t="s">
        <v>40</v>
      </c>
      <c r="G333" s="36">
        <f>VLOOKUP(E333,Flipkart!$A$1:$B$296,2,0)</f>
        <v>0.04</v>
      </c>
      <c r="H333" s="36">
        <f t="shared" ca="1" si="5"/>
        <v>0.05</v>
      </c>
      <c r="I333" s="36" t="str">
        <f>_xlfn.XLOOKUP(E333,'Product List'!$B$2:$B$299,'Product List'!$A$2:$A$299)</f>
        <v>Xerox 1884</v>
      </c>
      <c r="J333" s="36"/>
      <c r="K333" s="36"/>
      <c r="L333" s="36"/>
      <c r="M333" s="36"/>
      <c r="N333" s="36"/>
    </row>
    <row r="334" spans="1:14">
      <c r="A334" s="8" t="s">
        <v>471</v>
      </c>
      <c r="B334" s="19">
        <v>41622</v>
      </c>
      <c r="C334" s="8" t="s">
        <v>44</v>
      </c>
      <c r="D334" s="8">
        <v>10002</v>
      </c>
      <c r="E334" s="8" t="s">
        <v>375</v>
      </c>
      <c r="F334" s="8" t="s">
        <v>35</v>
      </c>
      <c r="G334" s="36">
        <f>VLOOKUP(E334,Flipkart!$A$1:$B$296,2,0)</f>
        <v>0.02</v>
      </c>
      <c r="H334" s="36">
        <f t="shared" ca="1" si="5"/>
        <v>0.02</v>
      </c>
      <c r="I334" s="36" t="str">
        <f>_xlfn.XLOOKUP(E334,'Product List'!$B$2:$B$299,'Product List'!$A$2:$A$299)</f>
        <v>AT&amp;T CL2909</v>
      </c>
      <c r="J334" s="36"/>
      <c r="K334" s="36"/>
      <c r="L334" s="36"/>
      <c r="M334" s="36"/>
      <c r="N334" s="36"/>
    </row>
    <row r="335" spans="1:14">
      <c r="A335" s="8" t="s">
        <v>469</v>
      </c>
      <c r="B335" s="19">
        <v>41622</v>
      </c>
      <c r="C335" s="8" t="s">
        <v>44</v>
      </c>
      <c r="D335" s="8">
        <v>10009</v>
      </c>
      <c r="E335" s="8" t="s">
        <v>472</v>
      </c>
      <c r="F335" s="8" t="s">
        <v>32</v>
      </c>
      <c r="G335" s="36">
        <f>VLOOKUP(E335,Flipkart!$A$1:$B$296,2,0)</f>
        <v>0.04</v>
      </c>
      <c r="H335" s="36">
        <f t="shared" ca="1" si="5"/>
        <v>0.04</v>
      </c>
      <c r="I335" s="36" t="str">
        <f>_xlfn.XLOOKUP(E335,'Product List'!$B$2:$B$299,'Product List'!$A$2:$A$299)</f>
        <v>Avery 488</v>
      </c>
      <c r="J335" s="36"/>
      <c r="K335" s="36"/>
      <c r="L335" s="36"/>
      <c r="M335" s="36"/>
      <c r="N335" s="36"/>
    </row>
    <row r="336" spans="1:14">
      <c r="A336" s="8" t="s">
        <v>473</v>
      </c>
      <c r="B336" s="19">
        <v>41624</v>
      </c>
      <c r="C336" s="8" t="s">
        <v>44</v>
      </c>
      <c r="D336" s="8">
        <v>10003</v>
      </c>
      <c r="E336" s="8" t="s">
        <v>474</v>
      </c>
      <c r="F336" s="8" t="s">
        <v>40</v>
      </c>
      <c r="G336" s="36">
        <f>VLOOKUP(E336,Flipkart!$A$1:$B$296,2,0)</f>
        <v>0.03</v>
      </c>
      <c r="H336" s="36">
        <f t="shared" ca="1" si="5"/>
        <v>0.02</v>
      </c>
      <c r="I336" s="36" t="str">
        <f>_xlfn.XLOOKUP(E336,'Product List'!$B$2:$B$299,'Product List'!$A$2:$A$299)</f>
        <v>Ideal Clamps</v>
      </c>
      <c r="J336" s="36"/>
      <c r="K336" s="36"/>
      <c r="L336" s="36"/>
      <c r="M336" s="36"/>
      <c r="N336" s="36"/>
    </row>
    <row r="337" spans="1:14">
      <c r="A337" s="8" t="s">
        <v>475</v>
      </c>
      <c r="B337" s="19">
        <v>41626</v>
      </c>
      <c r="C337" s="8" t="s">
        <v>54</v>
      </c>
      <c r="D337" s="8">
        <v>10014</v>
      </c>
      <c r="E337" s="8" t="s">
        <v>476</v>
      </c>
      <c r="F337" s="8" t="s">
        <v>32</v>
      </c>
      <c r="G337" s="36">
        <f>VLOOKUP(E337,Flipkart!$A$1:$B$296,2,0)</f>
        <v>0.04</v>
      </c>
      <c r="H337" s="36">
        <f t="shared" ca="1" si="5"/>
        <v>0.05</v>
      </c>
      <c r="I337" s="36" t="str">
        <f>_xlfn.XLOOKUP(E337,'Product List'!$B$2:$B$299,'Product List'!$A$2:$A$299)</f>
        <v>Xerox 200</v>
      </c>
      <c r="J337" s="36"/>
      <c r="K337" s="36"/>
      <c r="L337" s="36"/>
      <c r="M337" s="36"/>
      <c r="N337" s="36"/>
    </row>
    <row r="338" spans="1:14">
      <c r="A338" s="8" t="s">
        <v>477</v>
      </c>
      <c r="B338" s="19">
        <v>41627</v>
      </c>
      <c r="C338" s="8" t="s">
        <v>51</v>
      </c>
      <c r="D338" s="8">
        <v>10004</v>
      </c>
      <c r="E338" s="8" t="s">
        <v>143</v>
      </c>
      <c r="F338" s="8" t="s">
        <v>43</v>
      </c>
      <c r="G338" s="36">
        <f>VLOOKUP(E338,Flipkart!$A$1:$B$296,2,0)</f>
        <v>0.04</v>
      </c>
      <c r="H338" s="36">
        <f t="shared" ca="1" si="5"/>
        <v>0.02</v>
      </c>
      <c r="I338" s="36" t="str">
        <f>_xlfn.XLOOKUP(E338,'Product List'!$B$2:$B$299,'Product List'!$A$2:$A$299)</f>
        <v>Xerox 1932</v>
      </c>
      <c r="J338" s="36"/>
      <c r="K338" s="36"/>
      <c r="L338" s="36"/>
      <c r="M338" s="36"/>
      <c r="N338" s="36"/>
    </row>
    <row r="339" spans="1:14">
      <c r="A339" s="8" t="s">
        <v>478</v>
      </c>
      <c r="B339" s="19">
        <v>41627</v>
      </c>
      <c r="C339" s="8" t="s">
        <v>44</v>
      </c>
      <c r="D339" s="8">
        <v>10015</v>
      </c>
      <c r="E339" s="8" t="s">
        <v>479</v>
      </c>
      <c r="F339" s="8" t="s">
        <v>29</v>
      </c>
      <c r="G339" s="36">
        <f>VLOOKUP(E339,Flipkart!$A$1:$B$296,2,0)</f>
        <v>0.01</v>
      </c>
      <c r="H339" s="36">
        <f t="shared" ca="1" si="5"/>
        <v>0.03</v>
      </c>
      <c r="I339" s="36" t="str">
        <f>_xlfn.XLOOKUP(E339,'Product List'!$B$2:$B$299,'Product List'!$A$2:$A$299)</f>
        <v>Xerox 23</v>
      </c>
      <c r="J339" s="36"/>
      <c r="K339" s="36"/>
      <c r="L339" s="36"/>
      <c r="M339" s="36"/>
      <c r="N339" s="36"/>
    </row>
    <row r="340" spans="1:14">
      <c r="A340" s="8" t="s">
        <v>478</v>
      </c>
      <c r="B340" s="19">
        <v>41627</v>
      </c>
      <c r="C340" s="8" t="s">
        <v>27</v>
      </c>
      <c r="D340" s="8">
        <v>10014</v>
      </c>
      <c r="E340" s="8" t="s">
        <v>291</v>
      </c>
      <c r="F340" s="8" t="s">
        <v>32</v>
      </c>
      <c r="G340" s="36">
        <f>VLOOKUP(E340,Flipkart!$A$1:$B$296,2,0)</f>
        <v>0.03</v>
      </c>
      <c r="H340" s="36">
        <f t="shared" ca="1" si="5"/>
        <v>0.03</v>
      </c>
      <c r="I340" s="36" t="str">
        <f>_xlfn.XLOOKUP(E340,'Product List'!$B$2:$B$299,'Product List'!$A$2:$A$299)</f>
        <v>Xerox 1990</v>
      </c>
      <c r="J340" s="36"/>
      <c r="K340" s="36"/>
      <c r="L340" s="36"/>
      <c r="M340" s="36"/>
      <c r="N340" s="36"/>
    </row>
    <row r="341" spans="1:14">
      <c r="A341" s="8" t="s">
        <v>478</v>
      </c>
      <c r="B341" s="19">
        <v>41627</v>
      </c>
      <c r="C341" s="8" t="s">
        <v>66</v>
      </c>
      <c r="D341" s="8">
        <v>10001</v>
      </c>
      <c r="E341" s="8" t="s">
        <v>337</v>
      </c>
      <c r="F341" s="8" t="s">
        <v>29</v>
      </c>
      <c r="G341" s="36">
        <f>VLOOKUP(E341,Flipkart!$A$1:$B$296,2,0)</f>
        <v>0.04</v>
      </c>
      <c r="H341" s="36">
        <f t="shared" ca="1" si="5"/>
        <v>0.05</v>
      </c>
      <c r="I341" s="36" t="str">
        <f>_xlfn.XLOOKUP(E341,'Product List'!$B$2:$B$299,'Product List'!$A$2:$A$299)</f>
        <v>Avery 487</v>
      </c>
      <c r="J341" s="36"/>
      <c r="K341" s="36"/>
      <c r="L341" s="36"/>
      <c r="M341" s="36"/>
      <c r="N341" s="36"/>
    </row>
    <row r="342" spans="1:14">
      <c r="A342" s="8" t="s">
        <v>480</v>
      </c>
      <c r="B342" s="19">
        <v>41628</v>
      </c>
      <c r="C342" s="8" t="s">
        <v>44</v>
      </c>
      <c r="D342" s="8">
        <v>10008</v>
      </c>
      <c r="E342" s="8" t="s">
        <v>481</v>
      </c>
      <c r="F342" s="8" t="s">
        <v>50</v>
      </c>
      <c r="G342" s="36">
        <f>VLOOKUP(E342,Flipkart!$A$1:$B$296,2,0)</f>
        <v>0.02</v>
      </c>
      <c r="H342" s="36">
        <f t="shared" ca="1" si="5"/>
        <v>0.01</v>
      </c>
      <c r="I342" s="36" t="str">
        <f>_xlfn.XLOOKUP(E342,'Product List'!$B$2:$B$299,'Product List'!$A$2:$A$299)</f>
        <v>Xerox 219</v>
      </c>
      <c r="J342" s="36"/>
      <c r="K342" s="36"/>
      <c r="L342" s="36"/>
      <c r="M342" s="36"/>
      <c r="N342" s="36"/>
    </row>
    <row r="343" spans="1:14">
      <c r="A343" s="8" t="s">
        <v>480</v>
      </c>
      <c r="B343" s="19">
        <v>41628</v>
      </c>
      <c r="C343" s="8" t="s">
        <v>33</v>
      </c>
      <c r="D343" s="8">
        <v>10010</v>
      </c>
      <c r="E343" s="8" t="s">
        <v>412</v>
      </c>
      <c r="F343" s="8" t="s">
        <v>50</v>
      </c>
      <c r="G343" s="36">
        <f>VLOOKUP(E343,Flipkart!$A$1:$B$296,2,0)</f>
        <v>0.01</v>
      </c>
      <c r="H343" s="36">
        <f t="shared" ca="1" si="5"/>
        <v>0.02</v>
      </c>
      <c r="I343" s="36" t="str">
        <f>_xlfn.XLOOKUP(E343,'Product List'!$B$2:$B$299,'Product List'!$A$2:$A$299)</f>
        <v>Avery 482</v>
      </c>
      <c r="J343" s="36"/>
      <c r="K343" s="36"/>
      <c r="L343" s="36"/>
      <c r="M343" s="36"/>
      <c r="N343" s="36"/>
    </row>
    <row r="344" spans="1:14">
      <c r="A344" s="8" t="s">
        <v>482</v>
      </c>
      <c r="B344" s="19">
        <v>41630</v>
      </c>
      <c r="C344" s="8" t="s">
        <v>51</v>
      </c>
      <c r="D344" s="8">
        <v>10015</v>
      </c>
      <c r="E344" s="8" t="s">
        <v>330</v>
      </c>
      <c r="F344" s="8" t="s">
        <v>32</v>
      </c>
      <c r="G344" s="36">
        <f>VLOOKUP(E344,Flipkart!$A$1:$B$296,2,0)</f>
        <v>0.05</v>
      </c>
      <c r="H344" s="36">
        <f t="shared" ca="1" si="5"/>
        <v>0.03</v>
      </c>
      <c r="I344" s="36" t="str">
        <f>_xlfn.XLOOKUP(E344,'Product List'!$B$2:$B$299,'Product List'!$A$2:$A$299)</f>
        <v>Xerox 1909</v>
      </c>
      <c r="J344" s="36"/>
      <c r="K344" s="36"/>
      <c r="L344" s="36"/>
      <c r="M344" s="36"/>
      <c r="N344" s="36"/>
    </row>
    <row r="345" spans="1:14">
      <c r="A345" s="8" t="s">
        <v>482</v>
      </c>
      <c r="B345" s="19">
        <v>41630</v>
      </c>
      <c r="C345" s="8" t="s">
        <v>33</v>
      </c>
      <c r="D345" s="8">
        <v>10009</v>
      </c>
      <c r="E345" s="8" t="s">
        <v>100</v>
      </c>
      <c r="F345" s="8" t="s">
        <v>43</v>
      </c>
      <c r="G345" s="36">
        <f>VLOOKUP(E345,Flipkart!$A$1:$B$296,2,0)</f>
        <v>0.02</v>
      </c>
      <c r="H345" s="36">
        <f t="shared" ca="1" si="5"/>
        <v>0.05</v>
      </c>
      <c r="I345" s="36" t="str">
        <f>_xlfn.XLOOKUP(E345,'Product List'!$B$2:$B$299,'Product List'!$A$2:$A$299)</f>
        <v>Xerox 1893</v>
      </c>
      <c r="J345" s="36"/>
      <c r="K345" s="36"/>
      <c r="L345" s="36"/>
      <c r="M345" s="36"/>
      <c r="N345" s="36"/>
    </row>
    <row r="346" spans="1:14">
      <c r="A346" s="8" t="s">
        <v>483</v>
      </c>
      <c r="B346" s="19">
        <v>41632</v>
      </c>
      <c r="C346" s="8" t="s">
        <v>46</v>
      </c>
      <c r="D346" s="8">
        <v>10013</v>
      </c>
      <c r="E346" s="8" t="s">
        <v>345</v>
      </c>
      <c r="F346" s="8" t="s">
        <v>35</v>
      </c>
      <c r="G346" s="36">
        <f>VLOOKUP(E346,Flipkart!$A$1:$B$296,2,0)</f>
        <v>0.04</v>
      </c>
      <c r="H346" s="36">
        <f t="shared" ca="1" si="5"/>
        <v>0.04</v>
      </c>
      <c r="I346" s="36" t="str">
        <f>_xlfn.XLOOKUP(E346,'Product List'!$B$2:$B$299,'Product List'!$A$2:$A$299)</f>
        <v>Newell 340</v>
      </c>
      <c r="J346" s="36"/>
      <c r="K346" s="36"/>
      <c r="L346" s="36"/>
      <c r="M346" s="36"/>
      <c r="N346" s="36"/>
    </row>
    <row r="347" spans="1:14">
      <c r="A347" s="8" t="s">
        <v>484</v>
      </c>
      <c r="B347" s="19">
        <v>41635</v>
      </c>
      <c r="C347" s="8" t="s">
        <v>27</v>
      </c>
      <c r="D347" s="8">
        <v>10010</v>
      </c>
      <c r="E347" s="8" t="s">
        <v>485</v>
      </c>
      <c r="F347" s="8" t="s">
        <v>43</v>
      </c>
      <c r="G347" s="36">
        <f>VLOOKUP(E347,Flipkart!$A$1:$B$296,2,0)</f>
        <v>0.01</v>
      </c>
      <c r="H347" s="36">
        <f t="shared" ca="1" si="5"/>
        <v>0.04</v>
      </c>
      <c r="I347" s="36" t="str">
        <f>_xlfn.XLOOKUP(E347,'Product List'!$B$2:$B$299,'Product List'!$A$2:$A$299)</f>
        <v>Xerox 1967</v>
      </c>
      <c r="J347" s="36"/>
      <c r="K347" s="36"/>
      <c r="L347" s="36"/>
      <c r="M347" s="36"/>
      <c r="N347" s="36"/>
    </row>
    <row r="348" spans="1:14">
      <c r="A348" s="8" t="s">
        <v>486</v>
      </c>
      <c r="B348" s="19">
        <v>41636</v>
      </c>
      <c r="C348" s="8" t="s">
        <v>33</v>
      </c>
      <c r="D348" s="8">
        <v>10005</v>
      </c>
      <c r="E348" s="8" t="s">
        <v>487</v>
      </c>
      <c r="F348" s="8" t="s">
        <v>50</v>
      </c>
      <c r="G348" s="36">
        <f>VLOOKUP(E348,Flipkart!$A$1:$B$296,2,0)</f>
        <v>0.05</v>
      </c>
      <c r="H348" s="36">
        <f t="shared" ca="1" si="5"/>
        <v>0.04</v>
      </c>
      <c r="I348" s="36" t="str">
        <f>_xlfn.XLOOKUP(E348,'Product List'!$B$2:$B$299,'Product List'!$A$2:$A$299)</f>
        <v>Xerox 1949</v>
      </c>
      <c r="J348" s="36"/>
      <c r="K348" s="36"/>
      <c r="L348" s="36"/>
      <c r="M348" s="36"/>
      <c r="N348" s="36"/>
    </row>
    <row r="349" spans="1:14">
      <c r="A349" s="8" t="s">
        <v>488</v>
      </c>
      <c r="B349" s="19">
        <v>41637</v>
      </c>
      <c r="C349" s="8" t="s">
        <v>54</v>
      </c>
      <c r="D349" s="8">
        <v>10011</v>
      </c>
      <c r="E349" s="8" t="s">
        <v>83</v>
      </c>
      <c r="F349" s="8" t="s">
        <v>40</v>
      </c>
      <c r="G349" s="36">
        <f>VLOOKUP(E349,Flipkart!$A$1:$B$296,2,0)</f>
        <v>0.05</v>
      </c>
      <c r="H349" s="36">
        <f t="shared" ca="1" si="5"/>
        <v>0.01</v>
      </c>
      <c r="I349" s="36" t="str">
        <f>_xlfn.XLOOKUP(E349,'Product List'!$B$2:$B$299,'Product List'!$A$2:$A$299)</f>
        <v>Xerox 211</v>
      </c>
      <c r="J349" s="36"/>
      <c r="K349" s="36"/>
      <c r="L349" s="36"/>
      <c r="M349" s="36"/>
      <c r="N349" s="36"/>
    </row>
    <row r="350" spans="1:14">
      <c r="A350" s="8" t="s">
        <v>489</v>
      </c>
      <c r="B350" s="19">
        <v>41637</v>
      </c>
      <c r="C350" s="8" t="s">
        <v>66</v>
      </c>
      <c r="D350" s="8">
        <v>10013</v>
      </c>
      <c r="E350" s="8" t="s">
        <v>60</v>
      </c>
      <c r="F350" s="8" t="s">
        <v>50</v>
      </c>
      <c r="G350" s="36">
        <f>VLOOKUP(E350,Flipkart!$A$1:$B$296,2,0)</f>
        <v>0.03</v>
      </c>
      <c r="H350" s="36">
        <f t="shared" ca="1" si="5"/>
        <v>0.03</v>
      </c>
      <c r="I350" s="36" t="str">
        <f>_xlfn.XLOOKUP(E350,'Product List'!$B$2:$B$299,'Product List'!$A$2:$A$299)</f>
        <v>Xerox 1889</v>
      </c>
      <c r="J350" s="36"/>
      <c r="K350" s="36"/>
      <c r="L350" s="36"/>
      <c r="M350" s="36"/>
      <c r="N350" s="36"/>
    </row>
    <row r="351" spans="1:14">
      <c r="A351" s="8" t="s">
        <v>488</v>
      </c>
      <c r="B351" s="19">
        <v>41637</v>
      </c>
      <c r="C351" s="8" t="s">
        <v>27</v>
      </c>
      <c r="D351" s="8">
        <v>10006</v>
      </c>
      <c r="E351" s="8" t="s">
        <v>84</v>
      </c>
      <c r="F351" s="8" t="s">
        <v>32</v>
      </c>
      <c r="G351" s="36">
        <f>VLOOKUP(E351,Flipkart!$A$1:$B$296,2,0)</f>
        <v>0.01</v>
      </c>
      <c r="H351" s="36">
        <f t="shared" ca="1" si="5"/>
        <v>0</v>
      </c>
      <c r="I351" s="36" t="str">
        <f>_xlfn.XLOOKUP(E351,'Product List'!$B$2:$B$299,'Product List'!$A$2:$A$299)</f>
        <v>Xerox 1979</v>
      </c>
      <c r="J351" s="36"/>
      <c r="K351" s="36"/>
      <c r="L351" s="36"/>
      <c r="M351" s="36"/>
      <c r="N351" s="36"/>
    </row>
    <row r="352" spans="1:14">
      <c r="A352" s="8" t="s">
        <v>490</v>
      </c>
      <c r="B352" s="19">
        <v>41638</v>
      </c>
      <c r="C352" s="8" t="s">
        <v>66</v>
      </c>
      <c r="D352" s="8">
        <v>10006</v>
      </c>
      <c r="E352" s="8" t="s">
        <v>180</v>
      </c>
      <c r="F352" s="8" t="s">
        <v>50</v>
      </c>
      <c r="G352" s="36">
        <f>VLOOKUP(E352,Flipkart!$A$1:$B$296,2,0)</f>
        <v>0.04</v>
      </c>
      <c r="H352" s="36">
        <f t="shared" ca="1" si="5"/>
        <v>0.01</v>
      </c>
      <c r="I352" s="36" t="str">
        <f>_xlfn.XLOOKUP(E352,'Product List'!$B$2:$B$299,'Product List'!$A$2:$A$299)</f>
        <v>Avery 497</v>
      </c>
      <c r="J352" s="36"/>
      <c r="K352" s="36"/>
      <c r="L352" s="36"/>
      <c r="M352" s="36"/>
      <c r="N352" s="36"/>
    </row>
    <row r="353" spans="1:14">
      <c r="A353" s="8" t="s">
        <v>491</v>
      </c>
      <c r="B353" s="19">
        <v>41641</v>
      </c>
      <c r="C353" s="8" t="s">
        <v>51</v>
      </c>
      <c r="D353" s="8">
        <v>10010</v>
      </c>
      <c r="E353" s="8" t="s">
        <v>367</v>
      </c>
      <c r="F353" s="8" t="s">
        <v>32</v>
      </c>
      <c r="G353" s="36">
        <f>VLOOKUP(E353,Flipkart!$A$1:$B$296,2,0)</f>
        <v>0.04</v>
      </c>
      <c r="H353" s="36">
        <f t="shared" ca="1" si="5"/>
        <v>0.03</v>
      </c>
      <c r="I353" s="36" t="str">
        <f>_xlfn.XLOOKUP(E353,'Product List'!$B$2:$B$299,'Product List'!$A$2:$A$299)</f>
        <v>Xerox 196</v>
      </c>
      <c r="J353" s="36"/>
      <c r="K353" s="36"/>
      <c r="L353" s="36"/>
      <c r="M353" s="36"/>
      <c r="N353" s="36"/>
    </row>
    <row r="354" spans="1:14">
      <c r="A354" s="8" t="s">
        <v>492</v>
      </c>
      <c r="B354" s="19">
        <v>41641</v>
      </c>
      <c r="C354" s="8" t="s">
        <v>54</v>
      </c>
      <c r="D354" s="8">
        <v>10011</v>
      </c>
      <c r="E354" s="8" t="s">
        <v>493</v>
      </c>
      <c r="F354" s="8" t="s">
        <v>32</v>
      </c>
      <c r="G354" s="36">
        <f>VLOOKUP(E354,Flipkart!$A$1:$B$296,2,0)</f>
        <v>0.03</v>
      </c>
      <c r="H354" s="36">
        <f t="shared" ca="1" si="5"/>
        <v>0.03</v>
      </c>
      <c r="I354" s="36" t="str">
        <f>_xlfn.XLOOKUP(E354,'Product List'!$B$2:$B$299,'Product List'!$A$2:$A$299)</f>
        <v>Newell 320</v>
      </c>
      <c r="J354" s="36"/>
      <c r="K354" s="36"/>
      <c r="L354" s="36"/>
      <c r="M354" s="36"/>
      <c r="N354" s="36"/>
    </row>
    <row r="355" spans="1:14">
      <c r="A355" s="8" t="s">
        <v>494</v>
      </c>
      <c r="B355" s="19">
        <v>41643</v>
      </c>
      <c r="C355" s="8" t="s">
        <v>54</v>
      </c>
      <c r="D355" s="8">
        <v>10015</v>
      </c>
      <c r="E355" s="8" t="s">
        <v>238</v>
      </c>
      <c r="F355" s="8" t="s">
        <v>43</v>
      </c>
      <c r="G355" s="36">
        <f>VLOOKUP(E355,Flipkart!$A$1:$B$296,2,0)</f>
        <v>0.01</v>
      </c>
      <c r="H355" s="36">
        <f t="shared" ca="1" si="5"/>
        <v>0.02</v>
      </c>
      <c r="I355" s="36" t="str">
        <f>_xlfn.XLOOKUP(E355,'Product List'!$B$2:$B$299,'Product List'!$A$2:$A$299)</f>
        <v>Xerox 202</v>
      </c>
      <c r="J355" s="36"/>
      <c r="K355" s="36"/>
      <c r="L355" s="36"/>
      <c r="M355" s="36"/>
      <c r="N355" s="36"/>
    </row>
    <row r="356" spans="1:14">
      <c r="A356" s="8" t="s">
        <v>495</v>
      </c>
      <c r="B356" s="19">
        <v>41644</v>
      </c>
      <c r="C356" s="8" t="s">
        <v>51</v>
      </c>
      <c r="D356" s="8">
        <v>10004</v>
      </c>
      <c r="E356" s="8" t="s">
        <v>496</v>
      </c>
      <c r="F356" s="8" t="s">
        <v>29</v>
      </c>
      <c r="G356" s="36">
        <f>VLOOKUP(E356,Flipkart!$A$1:$B$296,2,0)</f>
        <v>0.05</v>
      </c>
      <c r="H356" s="36">
        <f t="shared" ca="1" si="5"/>
        <v>0</v>
      </c>
      <c r="I356" s="36" t="str">
        <f>_xlfn.XLOOKUP(E356,'Product List'!$B$2:$B$299,'Product List'!$A$2:$A$299)</f>
        <v>Avery 514</v>
      </c>
      <c r="J356" s="36"/>
      <c r="K356" s="36"/>
      <c r="L356" s="36"/>
      <c r="M356" s="36"/>
      <c r="N356" s="36"/>
    </row>
    <row r="357" spans="1:14">
      <c r="A357" s="8" t="s">
        <v>495</v>
      </c>
      <c r="B357" s="19">
        <v>41644</v>
      </c>
      <c r="C357" s="8" t="s">
        <v>46</v>
      </c>
      <c r="D357" s="8">
        <v>10002</v>
      </c>
      <c r="E357" s="8" t="s">
        <v>497</v>
      </c>
      <c r="F357" s="8" t="s">
        <v>43</v>
      </c>
      <c r="G357" s="36">
        <f>VLOOKUP(E357,Flipkart!$A$1:$B$296,2,0)</f>
        <v>0.04</v>
      </c>
      <c r="H357" s="36">
        <f t="shared" ca="1" si="5"/>
        <v>0.02</v>
      </c>
      <c r="I357" s="36" t="str">
        <f>_xlfn.XLOOKUP(E357,'Product List'!$B$2:$B$299,'Product List'!$A$2:$A$299)</f>
        <v>Xerox 232</v>
      </c>
      <c r="J357" s="36"/>
      <c r="K357" s="36"/>
      <c r="L357" s="36"/>
      <c r="M357" s="36"/>
      <c r="N357" s="36"/>
    </row>
    <row r="358" spans="1:14">
      <c r="A358" s="8" t="s">
        <v>498</v>
      </c>
      <c r="B358" s="19">
        <v>41644</v>
      </c>
      <c r="C358" s="8" t="s">
        <v>54</v>
      </c>
      <c r="D358" s="8">
        <v>10014</v>
      </c>
      <c r="E358" s="8" t="s">
        <v>137</v>
      </c>
      <c r="F358" s="8" t="s">
        <v>29</v>
      </c>
      <c r="G358" s="36">
        <f>VLOOKUP(E358,Flipkart!$A$1:$B$296,2,0)</f>
        <v>0</v>
      </c>
      <c r="H358" s="36">
        <f t="shared" ca="1" si="5"/>
        <v>0.04</v>
      </c>
      <c r="I358" s="36" t="str">
        <f>_xlfn.XLOOKUP(E358,'Product List'!$B$2:$B$299,'Product List'!$A$2:$A$299)</f>
        <v>Newell 35</v>
      </c>
      <c r="J358" s="36"/>
      <c r="K358" s="36"/>
      <c r="L358" s="36"/>
      <c r="M358" s="36"/>
      <c r="N358" s="36"/>
    </row>
    <row r="359" spans="1:14">
      <c r="A359" s="8" t="s">
        <v>499</v>
      </c>
      <c r="B359" s="19">
        <v>41645</v>
      </c>
      <c r="C359" s="8" t="s">
        <v>46</v>
      </c>
      <c r="D359" s="8">
        <v>10009</v>
      </c>
      <c r="E359" s="8" t="s">
        <v>227</v>
      </c>
      <c r="F359" s="8" t="s">
        <v>43</v>
      </c>
      <c r="G359" s="36">
        <f>VLOOKUP(E359,Flipkart!$A$1:$B$296,2,0)</f>
        <v>0.02</v>
      </c>
      <c r="H359" s="36">
        <f t="shared" ca="1" si="5"/>
        <v>0</v>
      </c>
      <c r="I359" s="36" t="str">
        <f>_xlfn.XLOOKUP(E359,'Product List'!$B$2:$B$299,'Product List'!$A$2:$A$299)</f>
        <v>Xerox 21</v>
      </c>
      <c r="J359" s="36"/>
      <c r="K359" s="36"/>
      <c r="L359" s="36"/>
      <c r="M359" s="36"/>
      <c r="N359" s="36"/>
    </row>
    <row r="360" spans="1:14">
      <c r="A360" s="8" t="s">
        <v>499</v>
      </c>
      <c r="B360" s="19">
        <v>41645</v>
      </c>
      <c r="C360" s="8" t="s">
        <v>36</v>
      </c>
      <c r="D360" s="8">
        <v>10012</v>
      </c>
      <c r="E360" s="8" t="s">
        <v>31</v>
      </c>
      <c r="F360" s="8" t="s">
        <v>35</v>
      </c>
      <c r="G360" s="36">
        <f>VLOOKUP(E360,Flipkart!$A$1:$B$296,2,0)</f>
        <v>0.01</v>
      </c>
      <c r="H360" s="36">
        <f t="shared" ca="1" si="5"/>
        <v>0.01</v>
      </c>
      <c r="I360" s="36" t="str">
        <f>_xlfn.XLOOKUP(E360,'Product List'!$B$2:$B$299,'Product List'!$A$2:$A$299)</f>
        <v>Avery 494</v>
      </c>
      <c r="J360" s="36"/>
      <c r="K360" s="36"/>
      <c r="L360" s="36"/>
      <c r="M360" s="36"/>
      <c r="N360" s="36"/>
    </row>
    <row r="361" spans="1:14">
      <c r="A361" s="8" t="s">
        <v>500</v>
      </c>
      <c r="B361" s="19">
        <v>41645</v>
      </c>
      <c r="C361" s="8" t="s">
        <v>54</v>
      </c>
      <c r="D361" s="8">
        <v>10003</v>
      </c>
      <c r="E361" s="8" t="s">
        <v>449</v>
      </c>
      <c r="F361" s="8" t="s">
        <v>32</v>
      </c>
      <c r="G361" s="36">
        <f>VLOOKUP(E361,Flipkart!$A$1:$B$296,2,0)</f>
        <v>0.05</v>
      </c>
      <c r="H361" s="36">
        <f t="shared" ca="1" si="5"/>
        <v>0.02</v>
      </c>
      <c r="I361" s="36" t="str">
        <f>_xlfn.XLOOKUP(E361,'Product List'!$B$2:$B$299,'Product List'!$A$2:$A$299)</f>
        <v>AT&amp;T CL82213</v>
      </c>
      <c r="J361" s="36"/>
      <c r="K361" s="36"/>
      <c r="L361" s="36"/>
      <c r="M361" s="36"/>
      <c r="N361" s="36"/>
    </row>
    <row r="362" spans="1:14">
      <c r="A362" s="8" t="s">
        <v>499</v>
      </c>
      <c r="B362" s="19">
        <v>41645</v>
      </c>
      <c r="C362" s="8" t="s">
        <v>36</v>
      </c>
      <c r="D362" s="8">
        <v>10012</v>
      </c>
      <c r="E362" s="8" t="s">
        <v>501</v>
      </c>
      <c r="F362" s="8" t="s">
        <v>43</v>
      </c>
      <c r="G362" s="36">
        <f>VLOOKUP(E362,Flipkart!$A$1:$B$296,2,0)</f>
        <v>0</v>
      </c>
      <c r="H362" s="36">
        <f t="shared" ca="1" si="5"/>
        <v>0.05</v>
      </c>
      <c r="I362" s="36" t="str">
        <f>_xlfn.XLOOKUP(E362,'Product List'!$B$2:$B$299,'Product List'!$A$2:$A$299)</f>
        <v>Avery 500</v>
      </c>
      <c r="J362" s="36"/>
      <c r="K362" s="36"/>
      <c r="L362" s="36"/>
      <c r="M362" s="36"/>
      <c r="N362" s="36"/>
    </row>
    <row r="363" spans="1:14">
      <c r="A363" s="8" t="s">
        <v>500</v>
      </c>
      <c r="B363" s="19">
        <v>41645</v>
      </c>
      <c r="C363" s="8" t="s">
        <v>66</v>
      </c>
      <c r="D363" s="8">
        <v>10008</v>
      </c>
      <c r="E363" s="8" t="s">
        <v>502</v>
      </c>
      <c r="F363" s="8" t="s">
        <v>50</v>
      </c>
      <c r="G363" s="36">
        <f>VLOOKUP(E363,Flipkart!$A$1:$B$296,2,0)</f>
        <v>0</v>
      </c>
      <c r="H363" s="36">
        <f t="shared" ca="1" si="5"/>
        <v>0.04</v>
      </c>
      <c r="I363" s="36" t="str">
        <f>_xlfn.XLOOKUP(E363,'Product List'!$B$2:$B$299,'Product List'!$A$2:$A$299)</f>
        <v>Xerox 1896</v>
      </c>
      <c r="J363" s="36"/>
      <c r="K363" s="36"/>
      <c r="L363" s="36"/>
      <c r="M363" s="36"/>
      <c r="N363" s="36"/>
    </row>
    <row r="364" spans="1:14">
      <c r="A364" s="8" t="s">
        <v>503</v>
      </c>
      <c r="B364" s="19">
        <v>41651</v>
      </c>
      <c r="C364" s="8" t="s">
        <v>46</v>
      </c>
      <c r="D364" s="8">
        <v>10003</v>
      </c>
      <c r="E364" s="8" t="s">
        <v>78</v>
      </c>
      <c r="F364" s="8" t="s">
        <v>50</v>
      </c>
      <c r="G364" s="36">
        <f>VLOOKUP(E364,Flipkart!$A$1:$B$296,2,0)</f>
        <v>0.02</v>
      </c>
      <c r="H364" s="36">
        <f t="shared" ca="1" si="5"/>
        <v>0.01</v>
      </c>
      <c r="I364" s="36" t="str">
        <f>_xlfn.XLOOKUP(E364,'Product List'!$B$2:$B$299,'Product List'!$A$2:$A$299)</f>
        <v>Xerox 199</v>
      </c>
      <c r="J364" s="36"/>
      <c r="K364" s="36"/>
      <c r="L364" s="36"/>
      <c r="M364" s="36"/>
      <c r="N364" s="36"/>
    </row>
    <row r="365" spans="1:14">
      <c r="A365" s="8" t="s">
        <v>504</v>
      </c>
      <c r="B365" s="19">
        <v>41651</v>
      </c>
      <c r="C365" s="8" t="s">
        <v>54</v>
      </c>
      <c r="D365" s="8">
        <v>10003</v>
      </c>
      <c r="E365" s="8" t="s">
        <v>184</v>
      </c>
      <c r="F365" s="8" t="s">
        <v>43</v>
      </c>
      <c r="G365" s="36">
        <f>VLOOKUP(E365,Flipkart!$A$1:$B$296,2,0)</f>
        <v>0.03</v>
      </c>
      <c r="H365" s="36">
        <f t="shared" ca="1" si="5"/>
        <v>0.04</v>
      </c>
      <c r="I365" s="36" t="str">
        <f>_xlfn.XLOOKUP(E365,'Product List'!$B$2:$B$299,'Product List'!$A$2:$A$299)</f>
        <v>Xerox 1983</v>
      </c>
      <c r="J365" s="36"/>
      <c r="K365" s="36"/>
      <c r="L365" s="36"/>
      <c r="M365" s="36"/>
      <c r="N365" s="36"/>
    </row>
    <row r="366" spans="1:14">
      <c r="A366" s="8" t="s">
        <v>503</v>
      </c>
      <c r="B366" s="19">
        <v>41651</v>
      </c>
      <c r="C366" s="8" t="s">
        <v>46</v>
      </c>
      <c r="D366" s="8">
        <v>10005</v>
      </c>
      <c r="E366" s="8" t="s">
        <v>505</v>
      </c>
      <c r="F366" s="8" t="s">
        <v>40</v>
      </c>
      <c r="G366" s="36">
        <f>VLOOKUP(E366,Flipkart!$A$1:$B$296,2,0)</f>
        <v>0.05</v>
      </c>
      <c r="H366" s="36">
        <f t="shared" ca="1" si="5"/>
        <v>0.01</v>
      </c>
      <c r="I366" s="36" t="str">
        <f>_xlfn.XLOOKUP(E366,'Product List'!$B$2:$B$299,'Product List'!$A$2:$A$299)</f>
        <v>Xerox 1934</v>
      </c>
      <c r="J366" s="36"/>
      <c r="K366" s="36"/>
      <c r="L366" s="36"/>
      <c r="M366" s="36"/>
      <c r="N366" s="36"/>
    </row>
    <row r="367" spans="1:14">
      <c r="A367" s="8" t="s">
        <v>503</v>
      </c>
      <c r="B367" s="19">
        <v>41651</v>
      </c>
      <c r="C367" s="8" t="s">
        <v>54</v>
      </c>
      <c r="D367" s="8">
        <v>10001</v>
      </c>
      <c r="E367" s="8" t="s">
        <v>162</v>
      </c>
      <c r="F367" s="8" t="s">
        <v>50</v>
      </c>
      <c r="G367" s="36">
        <f>VLOOKUP(E367,Flipkart!$A$1:$B$296,2,0)</f>
        <v>0.02</v>
      </c>
      <c r="H367" s="36">
        <f t="shared" ca="1" si="5"/>
        <v>0.04</v>
      </c>
      <c r="I367" s="36" t="str">
        <f>_xlfn.XLOOKUP(E367,'Product List'!$B$2:$B$299,'Product List'!$A$2:$A$299)</f>
        <v>Avery 483</v>
      </c>
      <c r="J367" s="36"/>
      <c r="K367" s="36"/>
      <c r="L367" s="36"/>
      <c r="M367" s="36"/>
      <c r="N367" s="36"/>
    </row>
    <row r="368" spans="1:14">
      <c r="A368" s="8" t="s">
        <v>504</v>
      </c>
      <c r="B368" s="19">
        <v>41651</v>
      </c>
      <c r="C368" s="8" t="s">
        <v>27</v>
      </c>
      <c r="D368" s="8">
        <v>10006</v>
      </c>
      <c r="E368" s="8" t="s">
        <v>112</v>
      </c>
      <c r="F368" s="8" t="s">
        <v>32</v>
      </c>
      <c r="G368" s="36">
        <f>VLOOKUP(E368,Flipkart!$A$1:$B$296,2,0)</f>
        <v>0.04</v>
      </c>
      <c r="H368" s="36">
        <f t="shared" ca="1" si="5"/>
        <v>0.03</v>
      </c>
      <c r="I368" s="36" t="str">
        <f>_xlfn.XLOOKUP(E368,'Product List'!$B$2:$B$299,'Product List'!$A$2:$A$299)</f>
        <v>Newell 317</v>
      </c>
      <c r="J368" s="36"/>
      <c r="K368" s="36"/>
      <c r="L368" s="36"/>
      <c r="M368" s="36"/>
      <c r="N368" s="36"/>
    </row>
    <row r="369" spans="1:14">
      <c r="A369" s="8" t="s">
        <v>506</v>
      </c>
      <c r="B369" s="19">
        <v>41652</v>
      </c>
      <c r="C369" s="8" t="s">
        <v>44</v>
      </c>
      <c r="D369" s="8">
        <v>10014</v>
      </c>
      <c r="E369" s="8" t="s">
        <v>507</v>
      </c>
      <c r="F369" s="8" t="s">
        <v>32</v>
      </c>
      <c r="G369" s="36">
        <f>VLOOKUP(E369,Flipkart!$A$1:$B$296,2,0)</f>
        <v>0.04</v>
      </c>
      <c r="H369" s="36">
        <f t="shared" ca="1" si="5"/>
        <v>0.04</v>
      </c>
      <c r="I369" s="36" t="str">
        <f>_xlfn.XLOOKUP(E369,'Product List'!$B$2:$B$299,'Product List'!$A$2:$A$299)</f>
        <v>Xerox 1905</v>
      </c>
      <c r="J369" s="36"/>
      <c r="K369" s="36"/>
      <c r="L369" s="36"/>
      <c r="M369" s="36"/>
      <c r="N369" s="36"/>
    </row>
    <row r="370" spans="1:14">
      <c r="A370" s="8" t="s">
        <v>506</v>
      </c>
      <c r="B370" s="19">
        <v>41652</v>
      </c>
      <c r="C370" s="8" t="s">
        <v>54</v>
      </c>
      <c r="D370" s="8">
        <v>10001</v>
      </c>
      <c r="E370" s="8" t="s">
        <v>343</v>
      </c>
      <c r="F370" s="8" t="s">
        <v>29</v>
      </c>
      <c r="G370" s="36">
        <f>VLOOKUP(E370,Flipkart!$A$1:$B$296,2,0)</f>
        <v>0.01</v>
      </c>
      <c r="H370" s="36">
        <f t="shared" ca="1" si="5"/>
        <v>0.01</v>
      </c>
      <c r="I370" s="36" t="str">
        <f>_xlfn.XLOOKUP(E370,'Product List'!$B$2:$B$299,'Product List'!$A$2:$A$299)</f>
        <v>Newell 333</v>
      </c>
      <c r="J370" s="36"/>
      <c r="K370" s="36"/>
      <c r="L370" s="36"/>
      <c r="M370" s="36"/>
      <c r="N370" s="36"/>
    </row>
    <row r="371" spans="1:14">
      <c r="A371" s="8" t="s">
        <v>508</v>
      </c>
      <c r="B371" s="19">
        <v>41653</v>
      </c>
      <c r="C371" s="8" t="s">
        <v>33</v>
      </c>
      <c r="D371" s="8">
        <v>10013</v>
      </c>
      <c r="E371" s="8" t="s">
        <v>291</v>
      </c>
      <c r="F371" s="8" t="s">
        <v>43</v>
      </c>
      <c r="G371" s="36">
        <f>VLOOKUP(E371,Flipkart!$A$1:$B$296,2,0)</f>
        <v>0.03</v>
      </c>
      <c r="H371" s="36">
        <f t="shared" ca="1" si="5"/>
        <v>0.01</v>
      </c>
      <c r="I371" s="36" t="str">
        <f>_xlfn.XLOOKUP(E371,'Product List'!$B$2:$B$299,'Product List'!$A$2:$A$299)</f>
        <v>Xerox 1990</v>
      </c>
      <c r="J371" s="36"/>
      <c r="K371" s="36"/>
      <c r="L371" s="36"/>
      <c r="M371" s="36"/>
      <c r="N371" s="36"/>
    </row>
    <row r="372" spans="1:14">
      <c r="A372" s="8" t="s">
        <v>509</v>
      </c>
      <c r="B372" s="19">
        <v>41653</v>
      </c>
      <c r="C372" s="8" t="s">
        <v>46</v>
      </c>
      <c r="D372" s="8">
        <v>10006</v>
      </c>
      <c r="E372" s="8" t="s">
        <v>510</v>
      </c>
      <c r="F372" s="8" t="s">
        <v>50</v>
      </c>
      <c r="G372" s="36">
        <f>VLOOKUP(E372,Flipkart!$A$1:$B$296,2,0)</f>
        <v>0.04</v>
      </c>
      <c r="H372" s="36">
        <f t="shared" ca="1" si="5"/>
        <v>0.03</v>
      </c>
      <c r="I372" s="36" t="str">
        <f>_xlfn.XLOOKUP(E372,'Product List'!$B$2:$B$299,'Product List'!$A$2:$A$299)</f>
        <v>Avery 507</v>
      </c>
      <c r="J372" s="36"/>
      <c r="K372" s="36"/>
      <c r="L372" s="36"/>
      <c r="M372" s="36"/>
      <c r="N372" s="36"/>
    </row>
    <row r="373" spans="1:14">
      <c r="A373" s="8" t="s">
        <v>509</v>
      </c>
      <c r="B373" s="19">
        <v>41653</v>
      </c>
      <c r="C373" s="8" t="s">
        <v>66</v>
      </c>
      <c r="D373" s="8">
        <v>10009</v>
      </c>
      <c r="E373" s="8" t="s">
        <v>511</v>
      </c>
      <c r="F373" s="8" t="s">
        <v>40</v>
      </c>
      <c r="G373" s="36">
        <f>VLOOKUP(E373,Flipkart!$A$1:$B$296,2,0)</f>
        <v>0.03</v>
      </c>
      <c r="H373" s="36">
        <f t="shared" ca="1" si="5"/>
        <v>0.03</v>
      </c>
      <c r="I373" s="36" t="str">
        <f>_xlfn.XLOOKUP(E373,'Product List'!$B$2:$B$299,'Product List'!$A$2:$A$299)</f>
        <v>Xerox 1999</v>
      </c>
      <c r="J373" s="36"/>
      <c r="K373" s="36"/>
      <c r="L373" s="36"/>
      <c r="M373" s="36"/>
      <c r="N373" s="36"/>
    </row>
    <row r="374" spans="1:14">
      <c r="A374" s="8" t="s">
        <v>512</v>
      </c>
      <c r="B374" s="19">
        <v>41654</v>
      </c>
      <c r="C374" s="8" t="s">
        <v>27</v>
      </c>
      <c r="D374" s="8">
        <v>10002</v>
      </c>
      <c r="E374" s="8" t="s">
        <v>62</v>
      </c>
      <c r="F374" s="8" t="s">
        <v>40</v>
      </c>
      <c r="G374" s="36">
        <f>VLOOKUP(E374,Flipkart!$A$1:$B$296,2,0)</f>
        <v>0.05</v>
      </c>
      <c r="H374" s="36">
        <f t="shared" ca="1" si="5"/>
        <v>0</v>
      </c>
      <c r="I374" s="36" t="str">
        <f>_xlfn.XLOOKUP(E374,'Product List'!$B$2:$B$299,'Product List'!$A$2:$A$299)</f>
        <v>Newell 308</v>
      </c>
      <c r="J374" s="36"/>
      <c r="K374" s="36"/>
      <c r="L374" s="36"/>
      <c r="M374" s="36"/>
      <c r="N374" s="36"/>
    </row>
    <row r="375" spans="1:14">
      <c r="A375" s="8" t="s">
        <v>513</v>
      </c>
      <c r="B375" s="19">
        <v>41654</v>
      </c>
      <c r="C375" s="8" t="s">
        <v>36</v>
      </c>
      <c r="D375" s="8">
        <v>10010</v>
      </c>
      <c r="E375" s="8" t="s">
        <v>231</v>
      </c>
      <c r="F375" s="8" t="s">
        <v>35</v>
      </c>
      <c r="G375" s="36">
        <f>VLOOKUP(E375,Flipkart!$A$1:$B$296,2,0)</f>
        <v>0.01</v>
      </c>
      <c r="H375" s="36">
        <f t="shared" ca="1" si="5"/>
        <v>0.01</v>
      </c>
      <c r="I375" s="36" t="str">
        <f>_xlfn.XLOOKUP(E375,'Product List'!$B$2:$B$299,'Product List'!$A$2:$A$299)</f>
        <v>Newell 350</v>
      </c>
      <c r="J375" s="36"/>
      <c r="K375" s="36"/>
      <c r="L375" s="36"/>
      <c r="M375" s="36"/>
      <c r="N375" s="36"/>
    </row>
    <row r="376" spans="1:14">
      <c r="A376" s="8" t="s">
        <v>512</v>
      </c>
      <c r="B376" s="19">
        <v>41654</v>
      </c>
      <c r="C376" s="8" t="s">
        <v>36</v>
      </c>
      <c r="D376" s="8">
        <v>10015</v>
      </c>
      <c r="E376" s="8" t="s">
        <v>247</v>
      </c>
      <c r="F376" s="8" t="s">
        <v>32</v>
      </c>
      <c r="G376" s="36">
        <f>VLOOKUP(E376,Flipkart!$A$1:$B$296,2,0)</f>
        <v>0.01</v>
      </c>
      <c r="H376" s="36">
        <f t="shared" ca="1" si="5"/>
        <v>0.02</v>
      </c>
      <c r="I376" s="36" t="str">
        <f>_xlfn.XLOOKUP(E376,'Product List'!$B$2:$B$299,'Product List'!$A$2:$A$299)</f>
        <v>Newell 329</v>
      </c>
      <c r="J376" s="36"/>
      <c r="K376" s="36"/>
      <c r="L376" s="36"/>
      <c r="M376" s="36"/>
      <c r="N376" s="36"/>
    </row>
    <row r="377" spans="1:14">
      <c r="A377" s="8" t="s">
        <v>512</v>
      </c>
      <c r="B377" s="19">
        <v>41654</v>
      </c>
      <c r="C377" s="8" t="s">
        <v>27</v>
      </c>
      <c r="D377" s="8">
        <v>10006</v>
      </c>
      <c r="E377" s="8" t="s">
        <v>88</v>
      </c>
      <c r="F377" s="8" t="s">
        <v>35</v>
      </c>
      <c r="G377" s="36">
        <f>VLOOKUP(E377,Flipkart!$A$1:$B$296,2,0)</f>
        <v>0</v>
      </c>
      <c r="H377" s="36">
        <f t="shared" ca="1" si="5"/>
        <v>0</v>
      </c>
      <c r="I377" s="36" t="str">
        <f>_xlfn.XLOOKUP(E377,'Product List'!$B$2:$B$299,'Product List'!$A$2:$A$299)</f>
        <v>Xerox 1922</v>
      </c>
      <c r="J377" s="36"/>
      <c r="K377" s="36"/>
      <c r="L377" s="36"/>
      <c r="M377" s="36"/>
      <c r="N377" s="36"/>
    </row>
    <row r="378" spans="1:14">
      <c r="A378" s="8" t="s">
        <v>514</v>
      </c>
      <c r="B378" s="19">
        <v>41656</v>
      </c>
      <c r="C378" s="8" t="s">
        <v>33</v>
      </c>
      <c r="D378" s="8">
        <v>10004</v>
      </c>
      <c r="E378" s="8" t="s">
        <v>515</v>
      </c>
      <c r="F378" s="8" t="s">
        <v>32</v>
      </c>
      <c r="G378" s="36">
        <f>VLOOKUP(E378,Flipkart!$A$1:$B$296,2,0)</f>
        <v>0.05</v>
      </c>
      <c r="H378" s="36">
        <f t="shared" ca="1" si="5"/>
        <v>0.05</v>
      </c>
      <c r="I378" s="36" t="str">
        <f>_xlfn.XLOOKUP(E378,'Product List'!$B$2:$B$299,'Product List'!$A$2:$A$299)</f>
        <v>Staple holder</v>
      </c>
      <c r="J378" s="36"/>
      <c r="K378" s="36"/>
      <c r="L378" s="36"/>
      <c r="M378" s="36"/>
      <c r="N378" s="36"/>
    </row>
    <row r="379" spans="1:14">
      <c r="A379" s="8" t="s">
        <v>516</v>
      </c>
      <c r="B379" s="19">
        <v>41658</v>
      </c>
      <c r="C379" s="8" t="s">
        <v>66</v>
      </c>
      <c r="D379" s="8">
        <v>10002</v>
      </c>
      <c r="E379" s="8" t="s">
        <v>102</v>
      </c>
      <c r="F379" s="8" t="s">
        <v>40</v>
      </c>
      <c r="G379" s="36">
        <f>VLOOKUP(E379,Flipkart!$A$1:$B$296,2,0)</f>
        <v>0.02</v>
      </c>
      <c r="H379" s="36">
        <f t="shared" ca="1" si="5"/>
        <v>0.01</v>
      </c>
      <c r="I379" s="36" t="str">
        <f>_xlfn.XLOOKUP(E379,'Product List'!$B$2:$B$299,'Product List'!$A$2:$A$299)</f>
        <v>Xerox 1997</v>
      </c>
      <c r="J379" s="36"/>
      <c r="K379" s="36"/>
      <c r="L379" s="36"/>
      <c r="M379" s="36"/>
      <c r="N379" s="36"/>
    </row>
    <row r="380" spans="1:14">
      <c r="A380" s="8" t="s">
        <v>517</v>
      </c>
      <c r="B380" s="19">
        <v>41659</v>
      </c>
      <c r="C380" s="8" t="s">
        <v>33</v>
      </c>
      <c r="D380" s="8">
        <v>10010</v>
      </c>
      <c r="E380" s="8" t="s">
        <v>518</v>
      </c>
      <c r="F380" s="8" t="s">
        <v>40</v>
      </c>
      <c r="G380" s="36">
        <f>VLOOKUP(E380,Flipkart!$A$1:$B$296,2,0)</f>
        <v>0.02</v>
      </c>
      <c r="H380" s="36">
        <f t="shared" ca="1" si="5"/>
        <v>0.01</v>
      </c>
      <c r="I380" s="36" t="str">
        <f>_xlfn.XLOOKUP(E380,'Product List'!$B$2:$B$299,'Product List'!$A$2:$A$299)</f>
        <v>Xerox 1931</v>
      </c>
      <c r="J380" s="36"/>
      <c r="K380" s="36"/>
      <c r="L380" s="36"/>
      <c r="M380" s="36"/>
      <c r="N380" s="36"/>
    </row>
    <row r="381" spans="1:14">
      <c r="A381" s="8" t="s">
        <v>519</v>
      </c>
      <c r="B381" s="19">
        <v>41661</v>
      </c>
      <c r="C381" s="8" t="s">
        <v>27</v>
      </c>
      <c r="D381" s="8">
        <v>10015</v>
      </c>
      <c r="E381" s="8" t="s">
        <v>178</v>
      </c>
      <c r="F381" s="8" t="s">
        <v>35</v>
      </c>
      <c r="G381" s="36">
        <f>VLOOKUP(E381,Flipkart!$A$1:$B$296,2,0)</f>
        <v>0.03</v>
      </c>
      <c r="H381" s="36">
        <f t="shared" ca="1" si="5"/>
        <v>0.03</v>
      </c>
      <c r="I381" s="36" t="str">
        <f>_xlfn.XLOOKUP(E381,'Product List'!$B$2:$B$299,'Product List'!$A$2:$A$299)</f>
        <v>Xerox 1912</v>
      </c>
      <c r="J381" s="36"/>
      <c r="K381" s="36"/>
      <c r="L381" s="36"/>
      <c r="M381" s="36"/>
      <c r="N381" s="36"/>
    </row>
    <row r="382" spans="1:14">
      <c r="A382" s="8" t="s">
        <v>519</v>
      </c>
      <c r="B382" s="19">
        <v>41661</v>
      </c>
      <c r="C382" s="8" t="s">
        <v>27</v>
      </c>
      <c r="D382" s="8">
        <v>10003</v>
      </c>
      <c r="E382" s="8" t="s">
        <v>57</v>
      </c>
      <c r="F382" s="8" t="s">
        <v>40</v>
      </c>
      <c r="G382" s="36">
        <f>VLOOKUP(E382,Flipkart!$A$1:$B$296,2,0)</f>
        <v>0.01</v>
      </c>
      <c r="H382" s="36">
        <f t="shared" ca="1" si="5"/>
        <v>0.02</v>
      </c>
      <c r="I382" s="36" t="str">
        <f>_xlfn.XLOOKUP(E382,'Product List'!$B$2:$B$299,'Product List'!$A$2:$A$299)</f>
        <v>Xerox 1886</v>
      </c>
      <c r="J382" s="36"/>
      <c r="K382" s="36"/>
      <c r="L382" s="36"/>
      <c r="M382" s="36"/>
      <c r="N382" s="36"/>
    </row>
    <row r="383" spans="1:14">
      <c r="A383" s="8" t="s">
        <v>520</v>
      </c>
      <c r="B383" s="19">
        <v>41662</v>
      </c>
      <c r="C383" s="8" t="s">
        <v>66</v>
      </c>
      <c r="D383" s="8">
        <v>10011</v>
      </c>
      <c r="E383" s="8" t="s">
        <v>147</v>
      </c>
      <c r="F383" s="8" t="s">
        <v>29</v>
      </c>
      <c r="G383" s="36">
        <f>VLOOKUP(E383,Flipkart!$A$1:$B$296,2,0)</f>
        <v>0.03</v>
      </c>
      <c r="H383" s="36">
        <f t="shared" ca="1" si="5"/>
        <v>0.05</v>
      </c>
      <c r="I383" s="36" t="str">
        <f>_xlfn.XLOOKUP(E383,'Product List'!$B$2:$B$299,'Product List'!$A$2:$A$299)</f>
        <v>Xerox 1936</v>
      </c>
      <c r="J383" s="36"/>
      <c r="K383" s="36"/>
      <c r="L383" s="36"/>
      <c r="M383" s="36"/>
      <c r="N383" s="36"/>
    </row>
    <row r="384" spans="1:14">
      <c r="A384" s="8" t="s">
        <v>520</v>
      </c>
      <c r="B384" s="19">
        <v>41662</v>
      </c>
      <c r="C384" s="8" t="s">
        <v>33</v>
      </c>
      <c r="D384" s="8">
        <v>10009</v>
      </c>
      <c r="E384" s="8" t="s">
        <v>355</v>
      </c>
      <c r="F384" s="8" t="s">
        <v>50</v>
      </c>
      <c r="G384" s="36">
        <f>VLOOKUP(E384,Flipkart!$A$1:$B$296,2,0)</f>
        <v>0.01</v>
      </c>
      <c r="H384" s="36">
        <f t="shared" ca="1" si="5"/>
        <v>0.05</v>
      </c>
      <c r="I384" s="36" t="str">
        <f>_xlfn.XLOOKUP(E384,'Product List'!$B$2:$B$299,'Product List'!$A$2:$A$299)</f>
        <v>Avery 51</v>
      </c>
      <c r="J384" s="36"/>
      <c r="K384" s="36"/>
      <c r="L384" s="36"/>
      <c r="M384" s="36"/>
      <c r="N384" s="36"/>
    </row>
    <row r="385" spans="1:14">
      <c r="A385" s="8" t="s">
        <v>521</v>
      </c>
      <c r="B385" s="19">
        <v>41662</v>
      </c>
      <c r="C385" s="8" t="s">
        <v>51</v>
      </c>
      <c r="D385" s="8">
        <v>10011</v>
      </c>
      <c r="E385" s="8" t="s">
        <v>295</v>
      </c>
      <c r="F385" s="8" t="s">
        <v>35</v>
      </c>
      <c r="G385" s="36">
        <f>VLOOKUP(E385,Flipkart!$A$1:$B$296,2,0)</f>
        <v>0.05</v>
      </c>
      <c r="H385" s="36">
        <f t="shared" ca="1" si="5"/>
        <v>0.05</v>
      </c>
      <c r="I385" s="36" t="str">
        <f>_xlfn.XLOOKUP(E385,'Product List'!$B$2:$B$299,'Product List'!$A$2:$A$299)</f>
        <v>Xerox 1950</v>
      </c>
      <c r="J385" s="36"/>
      <c r="K385" s="36"/>
      <c r="L385" s="36"/>
      <c r="M385" s="36"/>
      <c r="N385" s="36"/>
    </row>
    <row r="386" spans="1:14">
      <c r="A386" s="8" t="s">
        <v>521</v>
      </c>
      <c r="B386" s="19">
        <v>41662</v>
      </c>
      <c r="C386" s="8" t="s">
        <v>51</v>
      </c>
      <c r="D386" s="8">
        <v>10005</v>
      </c>
      <c r="E386" s="8" t="s">
        <v>522</v>
      </c>
      <c r="F386" s="8" t="s">
        <v>35</v>
      </c>
      <c r="G386" s="36">
        <f>VLOOKUP(E386,Flipkart!$A$1:$B$296,2,0)</f>
        <v>0.01</v>
      </c>
      <c r="H386" s="36">
        <f t="shared" ca="1" si="5"/>
        <v>0.01</v>
      </c>
      <c r="I386" s="36" t="str">
        <f>_xlfn.XLOOKUP(E386,'Product List'!$B$2:$B$299,'Product List'!$A$2:$A$299)</f>
        <v>HTC One</v>
      </c>
      <c r="J386" s="36"/>
      <c r="K386" s="36"/>
      <c r="L386" s="36"/>
      <c r="M386" s="36"/>
      <c r="N386" s="36"/>
    </row>
    <row r="387" spans="1:14">
      <c r="A387" s="8" t="s">
        <v>523</v>
      </c>
      <c r="B387" s="19">
        <v>41662</v>
      </c>
      <c r="C387" s="8" t="s">
        <v>66</v>
      </c>
      <c r="D387" s="8">
        <v>10001</v>
      </c>
      <c r="E387" s="8" t="s">
        <v>82</v>
      </c>
      <c r="F387" s="8" t="s">
        <v>35</v>
      </c>
      <c r="G387" s="36">
        <f>VLOOKUP(E387,Flipkart!$A$1:$B$296,2,0)</f>
        <v>0.02</v>
      </c>
      <c r="H387" s="36">
        <f t="shared" ca="1" si="5"/>
        <v>0.02</v>
      </c>
      <c r="I387" s="36" t="str">
        <f>_xlfn.XLOOKUP(E387,'Product List'!$B$2:$B$299,'Product List'!$A$2:$A$299)</f>
        <v>Xerox 1926</v>
      </c>
      <c r="J387" s="36"/>
      <c r="K387" s="36"/>
      <c r="L387" s="36"/>
      <c r="M387" s="36"/>
      <c r="N387" s="36"/>
    </row>
    <row r="388" spans="1:14">
      <c r="A388" s="8" t="s">
        <v>520</v>
      </c>
      <c r="B388" s="19">
        <v>41662</v>
      </c>
      <c r="C388" s="8" t="s">
        <v>36</v>
      </c>
      <c r="D388" s="8">
        <v>10011</v>
      </c>
      <c r="E388" s="8" t="s">
        <v>524</v>
      </c>
      <c r="F388" s="8" t="s">
        <v>40</v>
      </c>
      <c r="G388" s="36">
        <f>VLOOKUP(E388,Flipkart!$A$1:$B$296,2,0)</f>
        <v>0.02</v>
      </c>
      <c r="H388" s="36">
        <f t="shared" ref="H388:H451" ca="1" si="6">VLOOKUP(E388,INDIRECT(F388&amp;"!$A$1:$B$296"),2,0)</f>
        <v>0.02</v>
      </c>
      <c r="I388" s="36" t="str">
        <f>_xlfn.XLOOKUP(E388,'Product List'!$B$2:$B$299,'Product List'!$A$2:$A$299)</f>
        <v>Avery 495</v>
      </c>
      <c r="J388" s="36"/>
      <c r="K388" s="36"/>
      <c r="L388" s="36"/>
      <c r="M388" s="36"/>
      <c r="N388" s="36"/>
    </row>
    <row r="389" spans="1:14">
      <c r="A389" s="8" t="s">
        <v>521</v>
      </c>
      <c r="B389" s="19">
        <v>41662</v>
      </c>
      <c r="C389" s="8" t="s">
        <v>44</v>
      </c>
      <c r="D389" s="8">
        <v>10005</v>
      </c>
      <c r="E389" s="8" t="s">
        <v>47</v>
      </c>
      <c r="F389" s="8" t="s">
        <v>43</v>
      </c>
      <c r="G389" s="36">
        <f>VLOOKUP(E389,Flipkart!$A$1:$B$296,2,0)</f>
        <v>0.03</v>
      </c>
      <c r="H389" s="36">
        <f t="shared" ca="1" si="6"/>
        <v>0</v>
      </c>
      <c r="I389" s="36" t="str">
        <f>_xlfn.XLOOKUP(E389,'Product List'!$B$2:$B$299,'Product List'!$A$2:$A$299)</f>
        <v>Xerox 1907</v>
      </c>
      <c r="J389" s="36"/>
      <c r="K389" s="36"/>
      <c r="L389" s="36"/>
      <c r="M389" s="36"/>
      <c r="N389" s="36"/>
    </row>
    <row r="390" spans="1:14">
      <c r="A390" s="8" t="s">
        <v>525</v>
      </c>
      <c r="B390" s="19">
        <v>41665</v>
      </c>
      <c r="C390" s="8" t="s">
        <v>66</v>
      </c>
      <c r="D390" s="8">
        <v>10008</v>
      </c>
      <c r="E390" s="8" t="s">
        <v>337</v>
      </c>
      <c r="F390" s="8" t="s">
        <v>29</v>
      </c>
      <c r="G390" s="36">
        <f>VLOOKUP(E390,Flipkart!$A$1:$B$296,2,0)</f>
        <v>0.04</v>
      </c>
      <c r="H390" s="36">
        <f t="shared" ca="1" si="6"/>
        <v>0.05</v>
      </c>
      <c r="I390" s="36" t="str">
        <f>_xlfn.XLOOKUP(E390,'Product List'!$B$2:$B$299,'Product List'!$A$2:$A$299)</f>
        <v>Avery 487</v>
      </c>
      <c r="J390" s="36"/>
      <c r="K390" s="36"/>
      <c r="L390" s="36"/>
      <c r="M390" s="36"/>
      <c r="N390" s="36"/>
    </row>
    <row r="391" spans="1:14">
      <c r="A391" s="8" t="s">
        <v>525</v>
      </c>
      <c r="B391" s="19">
        <v>41665</v>
      </c>
      <c r="C391" s="8" t="s">
        <v>66</v>
      </c>
      <c r="D391" s="8">
        <v>10006</v>
      </c>
      <c r="E391" s="8" t="s">
        <v>74</v>
      </c>
      <c r="F391" s="8" t="s">
        <v>32</v>
      </c>
      <c r="G391" s="36">
        <f>VLOOKUP(E391,Flipkart!$A$1:$B$296,2,0)</f>
        <v>0.03</v>
      </c>
      <c r="H391" s="36">
        <f t="shared" ca="1" si="6"/>
        <v>0.01</v>
      </c>
      <c r="I391" s="36" t="str">
        <f>_xlfn.XLOOKUP(E391,'Product List'!$B$2:$B$299,'Product List'!$A$2:$A$299)</f>
        <v>Newell 310</v>
      </c>
      <c r="J391" s="36"/>
      <c r="K391" s="36"/>
      <c r="L391" s="36"/>
      <c r="M391" s="36"/>
      <c r="N391" s="36"/>
    </row>
    <row r="392" spans="1:14">
      <c r="A392" s="8" t="s">
        <v>525</v>
      </c>
      <c r="B392" s="19">
        <v>41665</v>
      </c>
      <c r="C392" s="8" t="s">
        <v>51</v>
      </c>
      <c r="D392" s="8">
        <v>10010</v>
      </c>
      <c r="E392" s="8" t="s">
        <v>501</v>
      </c>
      <c r="F392" s="8" t="s">
        <v>35</v>
      </c>
      <c r="G392" s="36">
        <f>VLOOKUP(E392,Flipkart!$A$1:$B$296,2,0)</f>
        <v>0</v>
      </c>
      <c r="H392" s="36">
        <f t="shared" ca="1" si="6"/>
        <v>0</v>
      </c>
      <c r="I392" s="36" t="str">
        <f>_xlfn.XLOOKUP(E392,'Product List'!$B$2:$B$299,'Product List'!$A$2:$A$299)</f>
        <v>Avery 500</v>
      </c>
      <c r="J392" s="36"/>
      <c r="K392" s="36"/>
      <c r="L392" s="36"/>
      <c r="M392" s="36"/>
      <c r="N392" s="36"/>
    </row>
    <row r="393" spans="1:14">
      <c r="A393" s="8" t="s">
        <v>526</v>
      </c>
      <c r="B393" s="19">
        <v>41668</v>
      </c>
      <c r="C393" s="8" t="s">
        <v>33</v>
      </c>
      <c r="D393" s="8">
        <v>10009</v>
      </c>
      <c r="E393" s="8" t="s">
        <v>137</v>
      </c>
      <c r="F393" s="8" t="s">
        <v>32</v>
      </c>
      <c r="G393" s="36">
        <f>VLOOKUP(E393,Flipkart!$A$1:$B$296,2,0)</f>
        <v>0</v>
      </c>
      <c r="H393" s="36">
        <f t="shared" ca="1" si="6"/>
        <v>0.05</v>
      </c>
      <c r="I393" s="36" t="str">
        <f>_xlfn.XLOOKUP(E393,'Product List'!$B$2:$B$299,'Product List'!$A$2:$A$299)</f>
        <v>Newell 35</v>
      </c>
      <c r="J393" s="36"/>
      <c r="K393" s="36"/>
      <c r="L393" s="36"/>
      <c r="M393" s="36"/>
      <c r="N393" s="36"/>
    </row>
    <row r="394" spans="1:14">
      <c r="A394" s="8" t="s">
        <v>527</v>
      </c>
      <c r="B394" s="19">
        <v>41672</v>
      </c>
      <c r="C394" s="8" t="s">
        <v>51</v>
      </c>
      <c r="D394" s="8">
        <v>10007</v>
      </c>
      <c r="E394" s="8" t="s">
        <v>446</v>
      </c>
      <c r="F394" s="8" t="s">
        <v>32</v>
      </c>
      <c r="G394" s="36">
        <f>VLOOKUP(E394,Flipkart!$A$1:$B$296,2,0)</f>
        <v>0.02</v>
      </c>
      <c r="H394" s="36">
        <f t="shared" ca="1" si="6"/>
        <v>0.01</v>
      </c>
      <c r="I394" s="36" t="str">
        <f>_xlfn.XLOOKUP(E394,'Product List'!$B$2:$B$299,'Product List'!$A$2:$A$299)</f>
        <v>Xerox 1956</v>
      </c>
      <c r="J394" s="36"/>
      <c r="K394" s="36"/>
      <c r="L394" s="36"/>
      <c r="M394" s="36"/>
      <c r="N394" s="36"/>
    </row>
    <row r="395" spans="1:14">
      <c r="A395" s="8" t="s">
        <v>527</v>
      </c>
      <c r="B395" s="19">
        <v>41672</v>
      </c>
      <c r="C395" s="8" t="s">
        <v>36</v>
      </c>
      <c r="D395" s="8">
        <v>10011</v>
      </c>
      <c r="E395" s="8" t="s">
        <v>74</v>
      </c>
      <c r="F395" s="8" t="s">
        <v>40</v>
      </c>
      <c r="G395" s="36">
        <f>VLOOKUP(E395,Flipkart!$A$1:$B$296,2,0)</f>
        <v>0.03</v>
      </c>
      <c r="H395" s="36">
        <f t="shared" ca="1" si="6"/>
        <v>0</v>
      </c>
      <c r="I395" s="36" t="str">
        <f>_xlfn.XLOOKUP(E395,'Product List'!$B$2:$B$299,'Product List'!$A$2:$A$299)</f>
        <v>Newell 310</v>
      </c>
      <c r="J395" s="36"/>
      <c r="K395" s="36"/>
      <c r="L395" s="36"/>
      <c r="M395" s="36"/>
      <c r="N395" s="36"/>
    </row>
    <row r="396" spans="1:14">
      <c r="A396" s="8" t="s">
        <v>528</v>
      </c>
      <c r="B396" s="19">
        <v>41675</v>
      </c>
      <c r="C396" s="8" t="s">
        <v>66</v>
      </c>
      <c r="D396" s="8">
        <v>10009</v>
      </c>
      <c r="E396" s="8" t="s">
        <v>320</v>
      </c>
      <c r="F396" s="8" t="s">
        <v>29</v>
      </c>
      <c r="G396" s="36">
        <f>VLOOKUP(E396,Flipkart!$A$1:$B$296,2,0)</f>
        <v>0.01</v>
      </c>
      <c r="H396" s="36">
        <f t="shared" ca="1" si="6"/>
        <v>0</v>
      </c>
      <c r="I396" s="36" t="str">
        <f>_xlfn.XLOOKUP(E396,'Product List'!$B$2:$B$299,'Product List'!$A$2:$A$299)</f>
        <v>LG Exalt</v>
      </c>
      <c r="J396" s="36"/>
      <c r="K396" s="36"/>
      <c r="L396" s="36"/>
      <c r="M396" s="36"/>
      <c r="N396" s="36"/>
    </row>
    <row r="397" spans="1:14">
      <c r="A397" s="8" t="s">
        <v>529</v>
      </c>
      <c r="B397" s="19">
        <v>41675</v>
      </c>
      <c r="C397" s="8" t="s">
        <v>44</v>
      </c>
      <c r="D397" s="8">
        <v>10002</v>
      </c>
      <c r="E397" s="8" t="s">
        <v>227</v>
      </c>
      <c r="F397" s="8" t="s">
        <v>40</v>
      </c>
      <c r="G397" s="36">
        <f>VLOOKUP(E397,Flipkart!$A$1:$B$296,2,0)</f>
        <v>0.02</v>
      </c>
      <c r="H397" s="36">
        <f t="shared" ca="1" si="6"/>
        <v>0.05</v>
      </c>
      <c r="I397" s="36" t="str">
        <f>_xlfn.XLOOKUP(E397,'Product List'!$B$2:$B$299,'Product List'!$A$2:$A$299)</f>
        <v>Xerox 21</v>
      </c>
      <c r="J397" s="36"/>
      <c r="K397" s="36"/>
      <c r="L397" s="36"/>
      <c r="M397" s="36"/>
      <c r="N397" s="36"/>
    </row>
    <row r="398" spans="1:14">
      <c r="A398" s="8" t="s">
        <v>528</v>
      </c>
      <c r="B398" s="19">
        <v>41675</v>
      </c>
      <c r="C398" s="8" t="s">
        <v>66</v>
      </c>
      <c r="D398" s="8">
        <v>10009</v>
      </c>
      <c r="E398" s="8" t="s">
        <v>275</v>
      </c>
      <c r="F398" s="8" t="s">
        <v>50</v>
      </c>
      <c r="G398" s="36">
        <f>VLOOKUP(E398,Flipkart!$A$1:$B$296,2,0)</f>
        <v>0</v>
      </c>
      <c r="H398" s="36">
        <f t="shared" ca="1" si="6"/>
        <v>0</v>
      </c>
      <c r="I398" s="36" t="str">
        <f>_xlfn.XLOOKUP(E398,'Product List'!$B$2:$B$299,'Product List'!$A$2:$A$299)</f>
        <v>Xerox 218</v>
      </c>
      <c r="J398" s="36"/>
      <c r="K398" s="36"/>
      <c r="L398" s="36"/>
      <c r="M398" s="36"/>
      <c r="N398" s="36"/>
    </row>
    <row r="399" spans="1:14">
      <c r="A399" s="8" t="s">
        <v>530</v>
      </c>
      <c r="B399" s="19">
        <v>41678</v>
      </c>
      <c r="C399" s="8" t="s">
        <v>66</v>
      </c>
      <c r="D399" s="8">
        <v>10006</v>
      </c>
      <c r="E399" s="8" t="s">
        <v>114</v>
      </c>
      <c r="F399" s="8" t="s">
        <v>50</v>
      </c>
      <c r="G399" s="36">
        <f>VLOOKUP(E399,Flipkart!$A$1:$B$296,2,0)</f>
        <v>0.03</v>
      </c>
      <c r="H399" s="36">
        <f t="shared" ca="1" si="6"/>
        <v>0.04</v>
      </c>
      <c r="I399" s="36" t="str">
        <f>_xlfn.XLOOKUP(E399,'Product List'!$B$2:$B$299,'Product List'!$A$2:$A$299)</f>
        <v>Xerox 1910</v>
      </c>
      <c r="J399" s="36"/>
      <c r="K399" s="36"/>
      <c r="L399" s="36"/>
      <c r="M399" s="36"/>
      <c r="N399" s="36"/>
    </row>
    <row r="400" spans="1:14">
      <c r="A400" s="8" t="s">
        <v>531</v>
      </c>
      <c r="B400" s="19">
        <v>41680</v>
      </c>
      <c r="C400" s="8" t="s">
        <v>44</v>
      </c>
      <c r="D400" s="8">
        <v>10005</v>
      </c>
      <c r="E400" s="8" t="s">
        <v>532</v>
      </c>
      <c r="F400" s="8" t="s">
        <v>40</v>
      </c>
      <c r="G400" s="36">
        <f>VLOOKUP(E400,Flipkart!$A$1:$B$296,2,0)</f>
        <v>0.05</v>
      </c>
      <c r="H400" s="36">
        <f t="shared" ca="1" si="6"/>
        <v>0.01</v>
      </c>
      <c r="I400" s="36" t="str">
        <f>_xlfn.XLOOKUP(E400,'Product List'!$B$2:$B$299,'Product List'!$A$2:$A$299)</f>
        <v>Clarity 53712</v>
      </c>
      <c r="J400" s="36"/>
      <c r="K400" s="36"/>
      <c r="L400" s="36"/>
      <c r="M400" s="36"/>
      <c r="N400" s="36"/>
    </row>
    <row r="401" spans="1:14">
      <c r="A401" s="8" t="s">
        <v>533</v>
      </c>
      <c r="B401" s="19">
        <v>41680</v>
      </c>
      <c r="C401" s="8" t="s">
        <v>33</v>
      </c>
      <c r="D401" s="8">
        <v>10015</v>
      </c>
      <c r="E401" s="8" t="s">
        <v>102</v>
      </c>
      <c r="F401" s="8" t="s">
        <v>35</v>
      </c>
      <c r="G401" s="36">
        <f>VLOOKUP(E401,Flipkart!$A$1:$B$296,2,0)</f>
        <v>0.02</v>
      </c>
      <c r="H401" s="36">
        <f t="shared" ca="1" si="6"/>
        <v>0.02</v>
      </c>
      <c r="I401" s="36" t="str">
        <f>_xlfn.XLOOKUP(E401,'Product List'!$B$2:$B$299,'Product List'!$A$2:$A$299)</f>
        <v>Xerox 1997</v>
      </c>
      <c r="J401" s="36"/>
      <c r="K401" s="36"/>
      <c r="L401" s="36"/>
      <c r="M401" s="36"/>
      <c r="N401" s="36"/>
    </row>
    <row r="402" spans="1:14">
      <c r="A402" s="8" t="s">
        <v>533</v>
      </c>
      <c r="B402" s="19">
        <v>41680</v>
      </c>
      <c r="C402" s="8" t="s">
        <v>66</v>
      </c>
      <c r="D402" s="8">
        <v>10003</v>
      </c>
      <c r="E402" s="8" t="s">
        <v>524</v>
      </c>
      <c r="F402" s="8" t="s">
        <v>43</v>
      </c>
      <c r="G402" s="36">
        <f>VLOOKUP(E402,Flipkart!$A$1:$B$296,2,0)</f>
        <v>0.02</v>
      </c>
      <c r="H402" s="36">
        <f t="shared" ca="1" si="6"/>
        <v>0.03</v>
      </c>
      <c r="I402" s="36" t="str">
        <f>_xlfn.XLOOKUP(E402,'Product List'!$B$2:$B$299,'Product List'!$A$2:$A$299)</f>
        <v>Avery 495</v>
      </c>
      <c r="J402" s="36"/>
      <c r="K402" s="36"/>
      <c r="L402" s="36"/>
      <c r="M402" s="36"/>
      <c r="N402" s="36"/>
    </row>
    <row r="403" spans="1:14">
      <c r="A403" s="8" t="s">
        <v>534</v>
      </c>
      <c r="B403" s="19">
        <v>41681</v>
      </c>
      <c r="C403" s="8" t="s">
        <v>33</v>
      </c>
      <c r="D403" s="8">
        <v>10006</v>
      </c>
      <c r="E403" s="8" t="s">
        <v>52</v>
      </c>
      <c r="F403" s="8" t="s">
        <v>29</v>
      </c>
      <c r="G403" s="36">
        <f>VLOOKUP(E403,Flipkart!$A$1:$B$296,2,0)</f>
        <v>0.01</v>
      </c>
      <c r="H403" s="36">
        <f t="shared" ca="1" si="6"/>
        <v>0.05</v>
      </c>
      <c r="I403" s="36" t="str">
        <f>_xlfn.XLOOKUP(E403,'Product List'!$B$2:$B$299,'Product List'!$A$2:$A$299)</f>
        <v>Avery 520</v>
      </c>
      <c r="J403" s="36"/>
      <c r="K403" s="36"/>
      <c r="L403" s="36"/>
      <c r="M403" s="36"/>
      <c r="N403" s="36"/>
    </row>
    <row r="404" spans="1:14">
      <c r="A404" s="8" t="s">
        <v>534</v>
      </c>
      <c r="B404" s="19">
        <v>41681</v>
      </c>
      <c r="C404" s="8" t="s">
        <v>46</v>
      </c>
      <c r="D404" s="8">
        <v>10011</v>
      </c>
      <c r="E404" s="8" t="s">
        <v>535</v>
      </c>
      <c r="F404" s="8" t="s">
        <v>29</v>
      </c>
      <c r="G404" s="36">
        <f>VLOOKUP(E404,Flipkart!$A$1:$B$296,2,0)</f>
        <v>0.01</v>
      </c>
      <c r="H404" s="36">
        <f t="shared" ca="1" si="6"/>
        <v>0.04</v>
      </c>
      <c r="I404" s="36" t="str">
        <f>_xlfn.XLOOKUP(E404,'Product List'!$B$2:$B$299,'Product List'!$A$2:$A$299)</f>
        <v>Newell 325</v>
      </c>
      <c r="J404" s="36"/>
      <c r="K404" s="36"/>
      <c r="L404" s="36"/>
      <c r="M404" s="36"/>
      <c r="N404" s="36"/>
    </row>
    <row r="405" spans="1:14">
      <c r="A405" s="8" t="s">
        <v>536</v>
      </c>
      <c r="B405" s="19">
        <v>41683</v>
      </c>
      <c r="C405" s="8" t="s">
        <v>36</v>
      </c>
      <c r="D405" s="8">
        <v>10011</v>
      </c>
      <c r="E405" s="8" t="s">
        <v>537</v>
      </c>
      <c r="F405" s="8" t="s">
        <v>50</v>
      </c>
      <c r="G405" s="36">
        <f>VLOOKUP(E405,Flipkart!$A$1:$B$296,2,0)</f>
        <v>0</v>
      </c>
      <c r="H405" s="36">
        <f t="shared" ca="1" si="6"/>
        <v>0.04</v>
      </c>
      <c r="I405" s="36" t="str">
        <f>_xlfn.XLOOKUP(E405,'Product List'!$B$2:$B$299,'Product List'!$A$2:$A$299)</f>
        <v>Xerox 210</v>
      </c>
      <c r="J405" s="36"/>
      <c r="K405" s="36"/>
      <c r="L405" s="36"/>
      <c r="M405" s="36"/>
      <c r="N405" s="36"/>
    </row>
    <row r="406" spans="1:14">
      <c r="A406" s="8" t="s">
        <v>538</v>
      </c>
      <c r="B406" s="19">
        <v>41684</v>
      </c>
      <c r="C406" s="8" t="s">
        <v>33</v>
      </c>
      <c r="D406" s="8">
        <v>10008</v>
      </c>
      <c r="E406" s="8" t="s">
        <v>522</v>
      </c>
      <c r="F406" s="8" t="s">
        <v>35</v>
      </c>
      <c r="G406" s="36">
        <f>VLOOKUP(E406,Flipkart!$A$1:$B$296,2,0)</f>
        <v>0.01</v>
      </c>
      <c r="H406" s="36">
        <f t="shared" ca="1" si="6"/>
        <v>0.01</v>
      </c>
      <c r="I406" s="36" t="str">
        <f>_xlfn.XLOOKUP(E406,'Product List'!$B$2:$B$299,'Product List'!$A$2:$A$299)</f>
        <v>HTC One</v>
      </c>
      <c r="J406" s="36"/>
      <c r="K406" s="36"/>
      <c r="L406" s="36"/>
      <c r="M406" s="36"/>
      <c r="N406" s="36"/>
    </row>
    <row r="407" spans="1:14">
      <c r="A407" s="8" t="s">
        <v>538</v>
      </c>
      <c r="B407" s="19">
        <v>41684</v>
      </c>
      <c r="C407" s="8" t="s">
        <v>54</v>
      </c>
      <c r="D407" s="8">
        <v>10005</v>
      </c>
      <c r="E407" s="8" t="s">
        <v>539</v>
      </c>
      <c r="F407" s="8" t="s">
        <v>35</v>
      </c>
      <c r="G407" s="36">
        <f>VLOOKUP(E407,Flipkart!$A$1:$B$296,2,0)</f>
        <v>0</v>
      </c>
      <c r="H407" s="36">
        <f t="shared" ca="1" si="6"/>
        <v>0</v>
      </c>
      <c r="I407" s="36" t="str">
        <f>_xlfn.XLOOKUP(E407,'Product List'!$B$2:$B$299,'Product List'!$A$2:$A$299)</f>
        <v>Xerox 220</v>
      </c>
      <c r="J407" s="36"/>
      <c r="K407" s="36"/>
      <c r="L407" s="36"/>
      <c r="M407" s="36"/>
      <c r="N407" s="36"/>
    </row>
    <row r="408" spans="1:14">
      <c r="A408" s="8" t="s">
        <v>540</v>
      </c>
      <c r="B408" s="19">
        <v>41685</v>
      </c>
      <c r="C408" s="8" t="s">
        <v>51</v>
      </c>
      <c r="D408" s="8">
        <v>10002</v>
      </c>
      <c r="E408" s="8" t="s">
        <v>541</v>
      </c>
      <c r="F408" s="8" t="s">
        <v>40</v>
      </c>
      <c r="G408" s="36">
        <f>VLOOKUP(E408,Flipkart!$A$1:$B$296,2,0)</f>
        <v>0</v>
      </c>
      <c r="H408" s="36">
        <f t="shared" ca="1" si="6"/>
        <v>0.01</v>
      </c>
      <c r="I408" s="36" t="str">
        <f>_xlfn.XLOOKUP(E408,'Product List'!$B$2:$B$299,'Product List'!$A$2:$A$299)</f>
        <v>Xerox 221</v>
      </c>
      <c r="J408" s="36"/>
      <c r="K408" s="36"/>
      <c r="L408" s="36"/>
      <c r="M408" s="36"/>
      <c r="N408" s="36"/>
    </row>
    <row r="409" spans="1:14">
      <c r="A409" s="8" t="s">
        <v>542</v>
      </c>
      <c r="B409" s="19">
        <v>41686</v>
      </c>
      <c r="C409" s="8" t="s">
        <v>51</v>
      </c>
      <c r="D409" s="8">
        <v>10006</v>
      </c>
      <c r="E409" s="8" t="s">
        <v>487</v>
      </c>
      <c r="F409" s="8" t="s">
        <v>35</v>
      </c>
      <c r="G409" s="36">
        <f>VLOOKUP(E409,Flipkart!$A$1:$B$296,2,0)</f>
        <v>0.05</v>
      </c>
      <c r="H409" s="36">
        <f t="shared" ca="1" si="6"/>
        <v>0.05</v>
      </c>
      <c r="I409" s="36" t="str">
        <f>_xlfn.XLOOKUP(E409,'Product List'!$B$2:$B$299,'Product List'!$A$2:$A$299)</f>
        <v>Xerox 1949</v>
      </c>
      <c r="J409" s="36"/>
      <c r="K409" s="36"/>
      <c r="L409" s="36"/>
      <c r="M409" s="36"/>
      <c r="N409" s="36"/>
    </row>
    <row r="410" spans="1:14">
      <c r="A410" s="8" t="s">
        <v>543</v>
      </c>
      <c r="B410" s="19">
        <v>41688</v>
      </c>
      <c r="C410" s="8" t="s">
        <v>33</v>
      </c>
      <c r="D410" s="8">
        <v>10008</v>
      </c>
      <c r="E410" s="8" t="s">
        <v>64</v>
      </c>
      <c r="F410" s="8" t="s">
        <v>35</v>
      </c>
      <c r="G410" s="36">
        <f>VLOOKUP(E410,Flipkart!$A$1:$B$296,2,0)</f>
        <v>0.04</v>
      </c>
      <c r="H410" s="36">
        <f t="shared" ca="1" si="6"/>
        <v>0.04</v>
      </c>
      <c r="I410" s="36" t="str">
        <f>_xlfn.XLOOKUP(E410,'Product List'!$B$2:$B$299,'Product List'!$A$2:$A$299)</f>
        <v>Xerox 226</v>
      </c>
      <c r="J410" s="36"/>
      <c r="K410" s="36"/>
      <c r="L410" s="36"/>
      <c r="M410" s="36"/>
      <c r="N410" s="36"/>
    </row>
    <row r="411" spans="1:14">
      <c r="A411" s="8" t="s">
        <v>544</v>
      </c>
      <c r="B411" s="19">
        <v>41688</v>
      </c>
      <c r="C411" s="8" t="s">
        <v>33</v>
      </c>
      <c r="D411" s="8">
        <v>10007</v>
      </c>
      <c r="E411" s="8" t="s">
        <v>545</v>
      </c>
      <c r="F411" s="8" t="s">
        <v>29</v>
      </c>
      <c r="G411" s="36">
        <f>VLOOKUP(E411,Flipkart!$A$1:$B$296,2,0)</f>
        <v>0.05</v>
      </c>
      <c r="H411" s="36">
        <f t="shared" ca="1" si="6"/>
        <v>0.05</v>
      </c>
      <c r="I411" s="36" t="str">
        <f>_xlfn.XLOOKUP(E411,'Product List'!$B$2:$B$299,'Product List'!$A$2:$A$299)</f>
        <v>Xerox 227</v>
      </c>
      <c r="J411" s="36"/>
      <c r="K411" s="36"/>
      <c r="L411" s="36"/>
      <c r="M411" s="36"/>
      <c r="N411" s="36"/>
    </row>
    <row r="412" spans="1:14">
      <c r="A412" s="8" t="s">
        <v>546</v>
      </c>
      <c r="B412" s="19">
        <v>41689</v>
      </c>
      <c r="C412" s="8" t="s">
        <v>27</v>
      </c>
      <c r="D412" s="8">
        <v>10003</v>
      </c>
      <c r="E412" s="8" t="s">
        <v>128</v>
      </c>
      <c r="F412" s="8" t="s">
        <v>29</v>
      </c>
      <c r="G412" s="36">
        <f>VLOOKUP(E412,Flipkart!$A$1:$B$296,2,0)</f>
        <v>0.04</v>
      </c>
      <c r="H412" s="36">
        <f t="shared" ca="1" si="6"/>
        <v>0.01</v>
      </c>
      <c r="I412" s="36" t="str">
        <f>_xlfn.XLOOKUP(E412,'Product List'!$B$2:$B$299,'Product List'!$A$2:$A$299)</f>
        <v>Xerox 19</v>
      </c>
      <c r="J412" s="36"/>
      <c r="K412" s="36"/>
      <c r="L412" s="36"/>
      <c r="M412" s="36"/>
      <c r="N412" s="36"/>
    </row>
    <row r="413" spans="1:14">
      <c r="A413" s="8" t="s">
        <v>546</v>
      </c>
      <c r="B413" s="19">
        <v>41691</v>
      </c>
      <c r="C413" s="8" t="s">
        <v>27</v>
      </c>
      <c r="D413" s="8">
        <v>10014</v>
      </c>
      <c r="E413" s="8" t="s">
        <v>352</v>
      </c>
      <c r="F413" s="8" t="s">
        <v>40</v>
      </c>
      <c r="G413" s="36">
        <f>VLOOKUP(E413,Flipkart!$A$1:$B$296,2,0)</f>
        <v>0</v>
      </c>
      <c r="H413" s="36">
        <f t="shared" ca="1" si="6"/>
        <v>0.01</v>
      </c>
      <c r="I413" s="36" t="str">
        <f>_xlfn.XLOOKUP(E413,'Product List'!$B$2:$B$299,'Product List'!$A$2:$A$299)</f>
        <v>Avery 501</v>
      </c>
      <c r="J413" s="36"/>
      <c r="K413" s="36"/>
      <c r="L413" s="36"/>
      <c r="M413" s="36"/>
      <c r="N413" s="36"/>
    </row>
    <row r="414" spans="1:14">
      <c r="A414" s="8" t="s">
        <v>547</v>
      </c>
      <c r="B414" s="19">
        <v>41691</v>
      </c>
      <c r="C414" s="8" t="s">
        <v>54</v>
      </c>
      <c r="D414" s="8">
        <v>10015</v>
      </c>
      <c r="E414" s="8" t="s">
        <v>232</v>
      </c>
      <c r="F414" s="8" t="s">
        <v>40</v>
      </c>
      <c r="G414" s="36">
        <f>VLOOKUP(E414,Flipkart!$A$1:$B$296,2,0)</f>
        <v>0.05</v>
      </c>
      <c r="H414" s="36">
        <f t="shared" ca="1" si="6"/>
        <v>0.01</v>
      </c>
      <c r="I414" s="36" t="str">
        <f>_xlfn.XLOOKUP(E414,'Product List'!$B$2:$B$299,'Product List'!$A$2:$A$299)</f>
        <v>Xerox 1914</v>
      </c>
      <c r="J414" s="36"/>
      <c r="K414" s="36"/>
      <c r="L414" s="36"/>
      <c r="M414" s="36"/>
      <c r="N414" s="36"/>
    </row>
    <row r="415" spans="1:14">
      <c r="A415" s="8" t="s">
        <v>548</v>
      </c>
      <c r="B415" s="19">
        <v>41692</v>
      </c>
      <c r="C415" s="8" t="s">
        <v>36</v>
      </c>
      <c r="D415" s="8">
        <v>10001</v>
      </c>
      <c r="E415" s="8" t="s">
        <v>154</v>
      </c>
      <c r="F415" s="8" t="s">
        <v>29</v>
      </c>
      <c r="G415" s="36">
        <f>VLOOKUP(E415,Flipkart!$A$1:$B$296,2,0)</f>
        <v>0.03</v>
      </c>
      <c r="H415" s="36">
        <f t="shared" ca="1" si="6"/>
        <v>0.02</v>
      </c>
      <c r="I415" s="36" t="str">
        <f>_xlfn.XLOOKUP(E415,'Product List'!$B$2:$B$299,'Product List'!$A$2:$A$299)</f>
        <v>Xerox 228</v>
      </c>
      <c r="J415" s="36"/>
      <c r="K415" s="36"/>
      <c r="L415" s="36"/>
      <c r="M415" s="36"/>
      <c r="N415" s="36"/>
    </row>
    <row r="416" spans="1:14">
      <c r="A416" s="8" t="s">
        <v>549</v>
      </c>
      <c r="B416" s="19">
        <v>41695</v>
      </c>
      <c r="C416" s="8" t="s">
        <v>44</v>
      </c>
      <c r="D416" s="8">
        <v>10014</v>
      </c>
      <c r="E416" s="8" t="s">
        <v>74</v>
      </c>
      <c r="F416" s="8" t="s">
        <v>35</v>
      </c>
      <c r="G416" s="36">
        <f>VLOOKUP(E416,Flipkart!$A$1:$B$296,2,0)</f>
        <v>0.03</v>
      </c>
      <c r="H416" s="36">
        <f t="shared" ca="1" si="6"/>
        <v>0.03</v>
      </c>
      <c r="I416" s="36" t="str">
        <f>_xlfn.XLOOKUP(E416,'Product List'!$B$2:$B$299,'Product List'!$A$2:$A$299)</f>
        <v>Newell 310</v>
      </c>
      <c r="J416" s="36"/>
      <c r="K416" s="36"/>
      <c r="L416" s="36"/>
      <c r="M416" s="36"/>
      <c r="N416" s="36"/>
    </row>
    <row r="417" spans="1:14">
      <c r="A417" s="8" t="s">
        <v>550</v>
      </c>
      <c r="B417" s="19">
        <v>41695</v>
      </c>
      <c r="C417" s="8" t="s">
        <v>46</v>
      </c>
      <c r="D417" s="8">
        <v>10005</v>
      </c>
      <c r="E417" s="8" t="s">
        <v>436</v>
      </c>
      <c r="F417" s="8" t="s">
        <v>43</v>
      </c>
      <c r="G417" s="36">
        <f>VLOOKUP(E417,Flipkart!$A$1:$B$296,2,0)</f>
        <v>0.03</v>
      </c>
      <c r="H417" s="36">
        <f t="shared" ca="1" si="6"/>
        <v>0.04</v>
      </c>
      <c r="I417" s="36" t="str">
        <f>_xlfn.XLOOKUP(E417,'Product List'!$B$2:$B$299,'Product List'!$A$2:$A$299)</f>
        <v>Newell 338</v>
      </c>
      <c r="J417" s="36"/>
      <c r="K417" s="36"/>
      <c r="L417" s="36"/>
      <c r="M417" s="36"/>
      <c r="N417" s="36"/>
    </row>
    <row r="418" spans="1:14">
      <c r="A418" s="8" t="s">
        <v>549</v>
      </c>
      <c r="B418" s="19">
        <v>41695</v>
      </c>
      <c r="C418" s="8" t="s">
        <v>36</v>
      </c>
      <c r="D418" s="8">
        <v>10002</v>
      </c>
      <c r="E418" s="8" t="s">
        <v>39</v>
      </c>
      <c r="F418" s="8" t="s">
        <v>43</v>
      </c>
      <c r="G418" s="36">
        <f>VLOOKUP(E418,Flipkart!$A$1:$B$296,2,0)</f>
        <v>0.05</v>
      </c>
      <c r="H418" s="36">
        <f t="shared" ca="1" si="6"/>
        <v>0.05</v>
      </c>
      <c r="I418" s="36" t="str">
        <f>_xlfn.XLOOKUP(E418,'Product List'!$B$2:$B$299,'Product List'!$A$2:$A$299)</f>
        <v>Xerox 1890</v>
      </c>
      <c r="J418" s="36"/>
      <c r="K418" s="36"/>
      <c r="L418" s="36"/>
      <c r="M418" s="36"/>
      <c r="N418" s="36"/>
    </row>
    <row r="419" spans="1:14">
      <c r="A419" s="8" t="s">
        <v>551</v>
      </c>
      <c r="B419" s="19">
        <v>41696</v>
      </c>
      <c r="C419" s="8" t="s">
        <v>36</v>
      </c>
      <c r="D419" s="8">
        <v>10007</v>
      </c>
      <c r="E419" s="8" t="s">
        <v>90</v>
      </c>
      <c r="F419" s="8" t="s">
        <v>50</v>
      </c>
      <c r="G419" s="36">
        <f>VLOOKUP(E419,Flipkart!$A$1:$B$296,2,0)</f>
        <v>0</v>
      </c>
      <c r="H419" s="36">
        <f t="shared" ca="1" si="6"/>
        <v>0.01</v>
      </c>
      <c r="I419" s="36" t="str">
        <f>_xlfn.XLOOKUP(E419,'Product List'!$B$2:$B$299,'Product List'!$A$2:$A$299)</f>
        <v>Xerox 1974</v>
      </c>
      <c r="J419" s="36"/>
      <c r="K419" s="36"/>
      <c r="L419" s="36"/>
      <c r="M419" s="36"/>
      <c r="N419" s="36"/>
    </row>
    <row r="420" spans="1:14">
      <c r="A420" s="8" t="s">
        <v>551</v>
      </c>
      <c r="B420" s="19">
        <v>41696</v>
      </c>
      <c r="C420" s="8" t="s">
        <v>27</v>
      </c>
      <c r="D420" s="8">
        <v>10004</v>
      </c>
      <c r="E420" s="8" t="s">
        <v>371</v>
      </c>
      <c r="F420" s="8" t="s">
        <v>40</v>
      </c>
      <c r="G420" s="36">
        <f>VLOOKUP(E420,Flipkart!$A$1:$B$296,2,0)</f>
        <v>0.04</v>
      </c>
      <c r="H420" s="36">
        <f t="shared" ca="1" si="6"/>
        <v>0.05</v>
      </c>
      <c r="I420" s="36" t="str">
        <f>_xlfn.XLOOKUP(E420,'Product List'!$B$2:$B$299,'Product List'!$A$2:$A$299)</f>
        <v>Xerox 1968</v>
      </c>
      <c r="J420" s="36"/>
      <c r="K420" s="36"/>
      <c r="L420" s="36"/>
      <c r="M420" s="36"/>
      <c r="N420" s="36"/>
    </row>
    <row r="421" spans="1:14">
      <c r="A421" s="8" t="s">
        <v>552</v>
      </c>
      <c r="B421" s="19">
        <v>41697</v>
      </c>
      <c r="C421" s="8" t="s">
        <v>36</v>
      </c>
      <c r="D421" s="8">
        <v>10009</v>
      </c>
      <c r="E421" s="8" t="s">
        <v>257</v>
      </c>
      <c r="F421" s="8" t="s">
        <v>43</v>
      </c>
      <c r="G421" s="36">
        <f>VLOOKUP(E421,Flipkart!$A$1:$B$296,2,0)</f>
        <v>0</v>
      </c>
      <c r="H421" s="36">
        <f t="shared" ca="1" si="6"/>
        <v>0.04</v>
      </c>
      <c r="I421" s="36" t="str">
        <f>_xlfn.XLOOKUP(E421,'Product List'!$B$2:$B$299,'Product List'!$A$2:$A$299)</f>
        <v>Xerox 1977</v>
      </c>
      <c r="J421" s="36"/>
      <c r="K421" s="36"/>
      <c r="L421" s="36"/>
      <c r="M421" s="36"/>
      <c r="N421" s="36"/>
    </row>
    <row r="422" spans="1:14">
      <c r="A422" s="8" t="s">
        <v>553</v>
      </c>
      <c r="B422" s="19">
        <v>41698</v>
      </c>
      <c r="C422" s="8" t="s">
        <v>27</v>
      </c>
      <c r="D422" s="8">
        <v>10014</v>
      </c>
      <c r="E422" s="8" t="s">
        <v>133</v>
      </c>
      <c r="F422" s="8" t="s">
        <v>32</v>
      </c>
      <c r="G422" s="36">
        <f>VLOOKUP(E422,Flipkart!$A$1:$B$296,2,0)</f>
        <v>0.02</v>
      </c>
      <c r="H422" s="36">
        <f t="shared" ca="1" si="6"/>
        <v>0</v>
      </c>
      <c r="I422" s="36" t="str">
        <f>_xlfn.XLOOKUP(E422,'Product List'!$B$2:$B$299,'Product List'!$A$2:$A$299)</f>
        <v>Xerox 213</v>
      </c>
      <c r="J422" s="36"/>
      <c r="K422" s="36"/>
      <c r="L422" s="36"/>
      <c r="M422" s="36"/>
      <c r="N422" s="36"/>
    </row>
    <row r="423" spans="1:14">
      <c r="A423" s="8" t="s">
        <v>554</v>
      </c>
      <c r="B423" s="19">
        <v>41698</v>
      </c>
      <c r="C423" s="8" t="s">
        <v>66</v>
      </c>
      <c r="D423" s="8">
        <v>10011</v>
      </c>
      <c r="E423" s="8" t="s">
        <v>555</v>
      </c>
      <c r="F423" s="8" t="s">
        <v>43</v>
      </c>
      <c r="G423" s="36">
        <f>VLOOKUP(E423,Flipkart!$A$1:$B$296,2,0)</f>
        <v>0.04</v>
      </c>
      <c r="H423" s="36">
        <f t="shared" ca="1" si="6"/>
        <v>0.02</v>
      </c>
      <c r="I423" s="36" t="str">
        <f>_xlfn.XLOOKUP(E423,'Product List'!$B$2:$B$299,'Product List'!$A$2:$A$299)</f>
        <v>Xerox 1880</v>
      </c>
      <c r="J423" s="36"/>
      <c r="K423" s="36"/>
      <c r="L423" s="36"/>
      <c r="M423" s="36"/>
      <c r="N423" s="36"/>
    </row>
    <row r="424" spans="1:14">
      <c r="A424" s="8" t="s">
        <v>556</v>
      </c>
      <c r="B424" s="19">
        <v>41701</v>
      </c>
      <c r="C424" s="8" t="s">
        <v>51</v>
      </c>
      <c r="D424" s="8">
        <v>10015</v>
      </c>
      <c r="E424" s="8" t="s">
        <v>123</v>
      </c>
      <c r="F424" s="8" t="s">
        <v>43</v>
      </c>
      <c r="G424" s="36">
        <f>VLOOKUP(E424,Flipkart!$A$1:$B$296,2,0)</f>
        <v>0.01</v>
      </c>
      <c r="H424" s="36">
        <f t="shared" ca="1" si="6"/>
        <v>0.02</v>
      </c>
      <c r="I424" s="36" t="str">
        <f>_xlfn.XLOOKUP(E424,'Product List'!$B$2:$B$299,'Product List'!$A$2:$A$299)</f>
        <v>Avery 503</v>
      </c>
      <c r="J424" s="36"/>
      <c r="K424" s="36"/>
      <c r="L424" s="36"/>
      <c r="M424" s="36"/>
      <c r="N424" s="36"/>
    </row>
    <row r="425" spans="1:14">
      <c r="A425" s="8" t="s">
        <v>557</v>
      </c>
      <c r="B425" s="19">
        <v>41701</v>
      </c>
      <c r="C425" s="8" t="s">
        <v>46</v>
      </c>
      <c r="D425" s="8">
        <v>10001</v>
      </c>
      <c r="E425" s="8" t="s">
        <v>558</v>
      </c>
      <c r="F425" s="8" t="s">
        <v>32</v>
      </c>
      <c r="G425" s="36">
        <f>VLOOKUP(E425,Flipkart!$A$1:$B$296,2,0)</f>
        <v>0.03</v>
      </c>
      <c r="H425" s="36">
        <f t="shared" ca="1" si="6"/>
        <v>0</v>
      </c>
      <c r="I425" s="36" t="str">
        <f>_xlfn.XLOOKUP(E425,'Product List'!$B$2:$B$299,'Product List'!$A$2:$A$299)</f>
        <v>Xerox 206</v>
      </c>
      <c r="J425" s="36"/>
      <c r="K425" s="36"/>
      <c r="L425" s="36"/>
      <c r="M425" s="36"/>
      <c r="N425" s="36"/>
    </row>
    <row r="426" spans="1:14">
      <c r="A426" s="8" t="s">
        <v>559</v>
      </c>
      <c r="B426" s="19">
        <v>41702</v>
      </c>
      <c r="C426" s="8" t="s">
        <v>54</v>
      </c>
      <c r="D426" s="8">
        <v>10004</v>
      </c>
      <c r="E426" s="8" t="s">
        <v>510</v>
      </c>
      <c r="F426" s="8" t="s">
        <v>50</v>
      </c>
      <c r="G426" s="36">
        <f>VLOOKUP(E426,Flipkart!$A$1:$B$296,2,0)</f>
        <v>0.04</v>
      </c>
      <c r="H426" s="36">
        <f t="shared" ca="1" si="6"/>
        <v>0.03</v>
      </c>
      <c r="I426" s="36" t="str">
        <f>_xlfn.XLOOKUP(E426,'Product List'!$B$2:$B$299,'Product List'!$A$2:$A$299)</f>
        <v>Avery 507</v>
      </c>
      <c r="J426" s="36"/>
      <c r="K426" s="36"/>
      <c r="L426" s="36"/>
      <c r="M426" s="36"/>
      <c r="N426" s="36"/>
    </row>
    <row r="427" spans="1:14">
      <c r="A427" s="8" t="s">
        <v>559</v>
      </c>
      <c r="B427" s="19">
        <v>41702</v>
      </c>
      <c r="C427" s="8" t="s">
        <v>66</v>
      </c>
      <c r="D427" s="8">
        <v>10013</v>
      </c>
      <c r="E427" s="8" t="s">
        <v>60</v>
      </c>
      <c r="F427" s="8" t="s">
        <v>32</v>
      </c>
      <c r="G427" s="36">
        <f>VLOOKUP(E427,Flipkart!$A$1:$B$296,2,0)</f>
        <v>0.03</v>
      </c>
      <c r="H427" s="36">
        <f t="shared" ca="1" si="6"/>
        <v>0</v>
      </c>
      <c r="I427" s="36" t="str">
        <f>_xlfn.XLOOKUP(E427,'Product List'!$B$2:$B$299,'Product List'!$A$2:$A$299)</f>
        <v>Xerox 1889</v>
      </c>
      <c r="J427" s="36"/>
      <c r="K427" s="36"/>
      <c r="L427" s="36"/>
      <c r="M427" s="36"/>
      <c r="N427" s="36"/>
    </row>
    <row r="428" spans="1:14">
      <c r="A428" s="8" t="s">
        <v>559</v>
      </c>
      <c r="B428" s="19">
        <v>41702</v>
      </c>
      <c r="C428" s="8" t="s">
        <v>51</v>
      </c>
      <c r="D428" s="8">
        <v>10004</v>
      </c>
      <c r="E428" s="8" t="s">
        <v>269</v>
      </c>
      <c r="F428" s="8" t="s">
        <v>35</v>
      </c>
      <c r="G428" s="36">
        <f>VLOOKUP(E428,Flipkart!$A$1:$B$296,2,0)</f>
        <v>0.03</v>
      </c>
      <c r="H428" s="36">
        <f t="shared" ca="1" si="6"/>
        <v>0.03</v>
      </c>
      <c r="I428" s="36" t="str">
        <f>_xlfn.XLOOKUP(E428,'Product List'!$B$2:$B$299,'Product List'!$A$2:$A$299)</f>
        <v>Xerox 1975</v>
      </c>
      <c r="J428" s="36"/>
      <c r="K428" s="36"/>
      <c r="L428" s="36"/>
      <c r="M428" s="36"/>
      <c r="N428" s="36"/>
    </row>
    <row r="429" spans="1:14">
      <c r="A429" s="8" t="s">
        <v>560</v>
      </c>
      <c r="B429" s="19">
        <v>41704</v>
      </c>
      <c r="C429" s="8" t="s">
        <v>27</v>
      </c>
      <c r="D429" s="8">
        <v>10009</v>
      </c>
      <c r="E429" s="8" t="s">
        <v>168</v>
      </c>
      <c r="F429" s="8" t="s">
        <v>40</v>
      </c>
      <c r="G429" s="36">
        <f>VLOOKUP(E429,Flipkart!$A$1:$B$296,2,0)</f>
        <v>0.03</v>
      </c>
      <c r="H429" s="36">
        <f t="shared" ca="1" si="6"/>
        <v>0.05</v>
      </c>
      <c r="I429" s="36" t="str">
        <f>_xlfn.XLOOKUP(E429,'Product List'!$B$2:$B$299,'Product List'!$A$2:$A$299)</f>
        <v>Newell 334</v>
      </c>
      <c r="J429" s="36"/>
      <c r="K429" s="36"/>
      <c r="L429" s="36"/>
      <c r="M429" s="36"/>
      <c r="N429" s="36"/>
    </row>
    <row r="430" spans="1:14">
      <c r="A430" s="8" t="s">
        <v>561</v>
      </c>
      <c r="B430" s="19">
        <v>41705</v>
      </c>
      <c r="C430" s="8" t="s">
        <v>33</v>
      </c>
      <c r="D430" s="8">
        <v>10002</v>
      </c>
      <c r="E430" s="8" t="s">
        <v>485</v>
      </c>
      <c r="F430" s="8" t="s">
        <v>40</v>
      </c>
      <c r="G430" s="36">
        <f>VLOOKUP(E430,Flipkart!$A$1:$B$296,2,0)</f>
        <v>0.01</v>
      </c>
      <c r="H430" s="36">
        <f t="shared" ca="1" si="6"/>
        <v>0.05</v>
      </c>
      <c r="I430" s="36" t="str">
        <f>_xlfn.XLOOKUP(E430,'Product List'!$B$2:$B$299,'Product List'!$A$2:$A$299)</f>
        <v>Xerox 1967</v>
      </c>
      <c r="J430" s="36"/>
      <c r="K430" s="36"/>
      <c r="L430" s="36"/>
      <c r="M430" s="36"/>
      <c r="N430" s="36"/>
    </row>
    <row r="431" spans="1:14">
      <c r="A431" s="8" t="s">
        <v>562</v>
      </c>
      <c r="B431" s="19">
        <v>41705</v>
      </c>
      <c r="C431" s="8" t="s">
        <v>46</v>
      </c>
      <c r="D431" s="8">
        <v>10007</v>
      </c>
      <c r="E431" s="8" t="s">
        <v>195</v>
      </c>
      <c r="F431" s="8" t="s">
        <v>29</v>
      </c>
      <c r="G431" s="36">
        <f>VLOOKUP(E431,Flipkart!$A$1:$B$296,2,0)</f>
        <v>0.02</v>
      </c>
      <c r="H431" s="36">
        <f t="shared" ca="1" si="6"/>
        <v>0.04</v>
      </c>
      <c r="I431" s="36" t="str">
        <f>_xlfn.XLOOKUP(E431,'Product List'!$B$2:$B$299,'Product List'!$A$2:$A$299)</f>
        <v>Newell 335</v>
      </c>
      <c r="J431" s="36"/>
      <c r="K431" s="36"/>
      <c r="L431" s="36"/>
      <c r="M431" s="36"/>
      <c r="N431" s="36"/>
    </row>
    <row r="432" spans="1:14">
      <c r="A432" s="8" t="s">
        <v>563</v>
      </c>
      <c r="B432" s="19">
        <v>41705</v>
      </c>
      <c r="C432" s="8" t="s">
        <v>51</v>
      </c>
      <c r="D432" s="8">
        <v>10003</v>
      </c>
      <c r="E432" s="8" t="s">
        <v>223</v>
      </c>
      <c r="F432" s="8" t="s">
        <v>35</v>
      </c>
      <c r="G432" s="36">
        <f>VLOOKUP(E432,Flipkart!$A$1:$B$296,2,0)</f>
        <v>0</v>
      </c>
      <c r="H432" s="36">
        <f t="shared" ca="1" si="6"/>
        <v>0</v>
      </c>
      <c r="I432" s="36" t="str">
        <f>_xlfn.XLOOKUP(E432,'Product List'!$B$2:$B$299,'Product List'!$A$2:$A$299)</f>
        <v>Avery 513</v>
      </c>
      <c r="J432" s="36"/>
      <c r="K432" s="36"/>
      <c r="L432" s="36"/>
      <c r="M432" s="36"/>
      <c r="N432" s="36"/>
    </row>
    <row r="433" spans="1:14">
      <c r="A433" s="8" t="s">
        <v>564</v>
      </c>
      <c r="B433" s="19">
        <v>41706</v>
      </c>
      <c r="C433" s="8" t="s">
        <v>33</v>
      </c>
      <c r="D433" s="8">
        <v>10015</v>
      </c>
      <c r="E433" s="8" t="s">
        <v>565</v>
      </c>
      <c r="F433" s="8" t="s">
        <v>35</v>
      </c>
      <c r="G433" s="36">
        <f>VLOOKUP(E433,Flipkart!$A$1:$B$296,2,0)</f>
        <v>0.04</v>
      </c>
      <c r="H433" s="36">
        <f t="shared" ca="1" si="6"/>
        <v>0.04</v>
      </c>
      <c r="I433" s="36" t="str">
        <f>_xlfn.XLOOKUP(E433,'Product List'!$B$2:$B$299,'Product List'!$A$2:$A$299)</f>
        <v>Xerox 1944</v>
      </c>
      <c r="J433" s="36"/>
      <c r="K433" s="36"/>
      <c r="L433" s="36"/>
      <c r="M433" s="36"/>
      <c r="N433" s="36"/>
    </row>
    <row r="434" spans="1:14">
      <c r="A434" s="8" t="s">
        <v>566</v>
      </c>
      <c r="B434" s="19">
        <v>41706</v>
      </c>
      <c r="C434" s="8" t="s">
        <v>66</v>
      </c>
      <c r="D434" s="8">
        <v>10002</v>
      </c>
      <c r="E434" s="8" t="s">
        <v>91</v>
      </c>
      <c r="F434" s="8" t="s">
        <v>35</v>
      </c>
      <c r="G434" s="36">
        <f>VLOOKUP(E434,Flipkart!$A$1:$B$296,2,0)</f>
        <v>0.05</v>
      </c>
      <c r="H434" s="36">
        <f t="shared" ca="1" si="6"/>
        <v>0.05</v>
      </c>
      <c r="I434" s="36" t="str">
        <f>_xlfn.XLOOKUP(E434,'Product List'!$B$2:$B$299,'Product List'!$A$2:$A$299)</f>
        <v>Avery 475</v>
      </c>
      <c r="J434" s="36"/>
      <c r="K434" s="36"/>
      <c r="L434" s="36"/>
      <c r="M434" s="36"/>
      <c r="N434" s="36"/>
    </row>
    <row r="435" spans="1:14">
      <c r="A435" s="8" t="s">
        <v>567</v>
      </c>
      <c r="B435" s="19">
        <v>41707</v>
      </c>
      <c r="C435" s="8" t="s">
        <v>46</v>
      </c>
      <c r="D435" s="8">
        <v>10003</v>
      </c>
      <c r="E435" s="8" t="s">
        <v>98</v>
      </c>
      <c r="F435" s="8" t="s">
        <v>40</v>
      </c>
      <c r="G435" s="36">
        <f>VLOOKUP(E435,Flipkart!$A$1:$B$296,2,0)</f>
        <v>0.04</v>
      </c>
      <c r="H435" s="36">
        <f t="shared" ca="1" si="6"/>
        <v>0.04</v>
      </c>
      <c r="I435" s="36" t="str">
        <f>_xlfn.XLOOKUP(E435,'Product List'!$B$2:$B$299,'Product List'!$A$2:$A$299)</f>
        <v>Newell 349</v>
      </c>
      <c r="J435" s="36"/>
      <c r="K435" s="36"/>
      <c r="L435" s="36"/>
      <c r="M435" s="36"/>
      <c r="N435" s="36"/>
    </row>
    <row r="436" spans="1:14">
      <c r="A436" s="8" t="s">
        <v>567</v>
      </c>
      <c r="B436" s="19">
        <v>41707</v>
      </c>
      <c r="C436" s="8" t="s">
        <v>44</v>
      </c>
      <c r="D436" s="8">
        <v>10001</v>
      </c>
      <c r="E436" s="8" t="s">
        <v>434</v>
      </c>
      <c r="F436" s="8" t="s">
        <v>50</v>
      </c>
      <c r="G436" s="36">
        <f>VLOOKUP(E436,Flipkart!$A$1:$B$296,2,0)</f>
        <v>0.04</v>
      </c>
      <c r="H436" s="36">
        <f t="shared" ca="1" si="6"/>
        <v>0.02</v>
      </c>
      <c r="I436" s="36" t="str">
        <f>_xlfn.XLOOKUP(E436,'Product List'!$B$2:$B$299,'Product List'!$A$2:$A$299)</f>
        <v>Xerox 1952</v>
      </c>
      <c r="J436" s="36"/>
      <c r="K436" s="36"/>
      <c r="L436" s="36"/>
      <c r="M436" s="36"/>
      <c r="N436" s="36"/>
    </row>
    <row r="437" spans="1:14">
      <c r="A437" s="8" t="s">
        <v>568</v>
      </c>
      <c r="B437" s="19">
        <v>41707</v>
      </c>
      <c r="C437" s="8" t="s">
        <v>66</v>
      </c>
      <c r="D437" s="8">
        <v>10009</v>
      </c>
      <c r="E437" s="8" t="s">
        <v>172</v>
      </c>
      <c r="F437" s="8" t="s">
        <v>40</v>
      </c>
      <c r="G437" s="36">
        <f>VLOOKUP(E437,Flipkart!$A$1:$B$296,2,0)</f>
        <v>0.04</v>
      </c>
      <c r="H437" s="36">
        <f t="shared" ca="1" si="6"/>
        <v>0.04</v>
      </c>
      <c r="I437" s="36" t="str">
        <f>_xlfn.XLOOKUP(E437,'Product List'!$B$2:$B$299,'Product List'!$A$2:$A$299)</f>
        <v>Xerox 223</v>
      </c>
      <c r="J437" s="36"/>
      <c r="K437" s="36"/>
      <c r="L437" s="36"/>
      <c r="M437" s="36"/>
      <c r="N437" s="36"/>
    </row>
    <row r="438" spans="1:14">
      <c r="A438" s="8" t="s">
        <v>567</v>
      </c>
      <c r="B438" s="19">
        <v>41707</v>
      </c>
      <c r="C438" s="8" t="s">
        <v>27</v>
      </c>
      <c r="D438" s="8">
        <v>10006</v>
      </c>
      <c r="E438" s="8" t="s">
        <v>428</v>
      </c>
      <c r="F438" s="8" t="s">
        <v>40</v>
      </c>
      <c r="G438" s="36">
        <f>VLOOKUP(E438,Flipkart!$A$1:$B$296,2,0)</f>
        <v>0</v>
      </c>
      <c r="H438" s="36">
        <f t="shared" ca="1" si="6"/>
        <v>0.02</v>
      </c>
      <c r="I438" s="36" t="str">
        <f>_xlfn.XLOOKUP(E438,'Product List'!$B$2:$B$299,'Product List'!$A$2:$A$299)</f>
        <v>Avery 516</v>
      </c>
      <c r="J438" s="36"/>
      <c r="K438" s="36"/>
      <c r="L438" s="36"/>
      <c r="M438" s="36"/>
      <c r="N438" s="36"/>
    </row>
    <row r="439" spans="1:14">
      <c r="A439" s="8" t="s">
        <v>569</v>
      </c>
      <c r="B439" s="19">
        <v>41709</v>
      </c>
      <c r="C439" s="8" t="s">
        <v>44</v>
      </c>
      <c r="D439" s="8">
        <v>10011</v>
      </c>
      <c r="E439" s="8" t="s">
        <v>368</v>
      </c>
      <c r="F439" s="8" t="s">
        <v>35</v>
      </c>
      <c r="G439" s="36">
        <f>VLOOKUP(E439,Flipkart!$A$1:$B$296,2,0)</f>
        <v>0</v>
      </c>
      <c r="H439" s="36">
        <f t="shared" ca="1" si="6"/>
        <v>0</v>
      </c>
      <c r="I439" s="36" t="str">
        <f>_xlfn.XLOOKUP(E439,'Product List'!$B$2:$B$299,'Product List'!$A$2:$A$299)</f>
        <v>Xerox 1978</v>
      </c>
      <c r="J439" s="36"/>
      <c r="K439" s="36"/>
      <c r="L439" s="36"/>
      <c r="M439" s="36"/>
      <c r="N439" s="36"/>
    </row>
    <row r="440" spans="1:14">
      <c r="A440" s="8" t="s">
        <v>570</v>
      </c>
      <c r="B440" s="19">
        <v>41709</v>
      </c>
      <c r="C440" s="8" t="s">
        <v>27</v>
      </c>
      <c r="D440" s="8">
        <v>10002</v>
      </c>
      <c r="E440" s="8" t="s">
        <v>34</v>
      </c>
      <c r="F440" s="8" t="s">
        <v>35</v>
      </c>
      <c r="G440" s="36">
        <f>VLOOKUP(E440,Flipkart!$A$1:$B$296,2,0)</f>
        <v>0.04</v>
      </c>
      <c r="H440" s="36">
        <f t="shared" ca="1" si="6"/>
        <v>0.04</v>
      </c>
      <c r="I440" s="36" t="str">
        <f>_xlfn.XLOOKUP(E440,'Product List'!$B$2:$B$299,'Product List'!$A$2:$A$299)</f>
        <v>Xerox 203</v>
      </c>
      <c r="J440" s="36"/>
      <c r="K440" s="36"/>
      <c r="L440" s="36"/>
      <c r="M440" s="36"/>
      <c r="N440" s="36"/>
    </row>
    <row r="441" spans="1:14">
      <c r="A441" s="8" t="s">
        <v>571</v>
      </c>
      <c r="B441" s="19">
        <v>41710</v>
      </c>
      <c r="C441" s="8" t="s">
        <v>46</v>
      </c>
      <c r="D441" s="8">
        <v>10010</v>
      </c>
      <c r="E441" s="8" t="s">
        <v>107</v>
      </c>
      <c r="F441" s="8" t="s">
        <v>32</v>
      </c>
      <c r="G441" s="36">
        <f>VLOOKUP(E441,Flipkart!$A$1:$B$296,2,0)</f>
        <v>0</v>
      </c>
      <c r="H441" s="36">
        <f t="shared" ca="1" si="6"/>
        <v>0.02</v>
      </c>
      <c r="I441" s="36" t="str">
        <f>_xlfn.XLOOKUP(E441,'Product List'!$B$2:$B$299,'Product List'!$A$2:$A$299)</f>
        <v>Avery 493</v>
      </c>
      <c r="J441" s="36"/>
      <c r="K441" s="36"/>
      <c r="L441" s="36"/>
      <c r="M441" s="36"/>
      <c r="N441" s="36"/>
    </row>
    <row r="442" spans="1:14">
      <c r="A442" s="8" t="s">
        <v>572</v>
      </c>
      <c r="B442" s="19">
        <v>41711</v>
      </c>
      <c r="C442" s="8" t="s">
        <v>44</v>
      </c>
      <c r="D442" s="8">
        <v>10007</v>
      </c>
      <c r="E442" s="8" t="s">
        <v>358</v>
      </c>
      <c r="F442" s="8" t="s">
        <v>35</v>
      </c>
      <c r="G442" s="36">
        <f>VLOOKUP(E442,Flipkart!$A$1:$B$296,2,0)</f>
        <v>0</v>
      </c>
      <c r="H442" s="36">
        <f t="shared" ca="1" si="6"/>
        <v>0</v>
      </c>
      <c r="I442" s="36" t="str">
        <f>_xlfn.XLOOKUP(E442,'Product List'!$B$2:$B$299,'Product List'!$A$2:$A$299)</f>
        <v>Xerox 1962</v>
      </c>
      <c r="J442" s="36"/>
      <c r="K442" s="36"/>
      <c r="L442" s="36"/>
      <c r="M442" s="36"/>
      <c r="N442" s="36"/>
    </row>
    <row r="443" spans="1:14">
      <c r="A443" s="8" t="s">
        <v>573</v>
      </c>
      <c r="B443" s="19">
        <v>41713</v>
      </c>
      <c r="C443" s="8" t="s">
        <v>46</v>
      </c>
      <c r="D443" s="8">
        <v>10013</v>
      </c>
      <c r="E443" s="8" t="s">
        <v>532</v>
      </c>
      <c r="F443" s="8" t="s">
        <v>35</v>
      </c>
      <c r="G443" s="36">
        <f>VLOOKUP(E443,Flipkart!$A$1:$B$296,2,0)</f>
        <v>0.05</v>
      </c>
      <c r="H443" s="36">
        <f t="shared" ca="1" si="6"/>
        <v>0.05</v>
      </c>
      <c r="I443" s="36" t="str">
        <f>_xlfn.XLOOKUP(E443,'Product List'!$B$2:$B$299,'Product List'!$A$2:$A$299)</f>
        <v>Clarity 53712</v>
      </c>
      <c r="J443" s="36"/>
      <c r="K443" s="36"/>
      <c r="L443" s="36"/>
      <c r="M443" s="36"/>
      <c r="N443" s="36"/>
    </row>
    <row r="444" spans="1:14">
      <c r="A444" s="8" t="s">
        <v>573</v>
      </c>
      <c r="B444" s="19">
        <v>41713</v>
      </c>
      <c r="C444" s="8" t="s">
        <v>66</v>
      </c>
      <c r="D444" s="8">
        <v>10006</v>
      </c>
      <c r="E444" s="8" t="s">
        <v>356</v>
      </c>
      <c r="F444" s="8" t="s">
        <v>35</v>
      </c>
      <c r="G444" s="36">
        <f>VLOOKUP(E444,Flipkart!$A$1:$B$296,2,0)</f>
        <v>0.04</v>
      </c>
      <c r="H444" s="36">
        <f t="shared" ca="1" si="6"/>
        <v>0.04</v>
      </c>
      <c r="I444" s="36" t="str">
        <f>_xlfn.XLOOKUP(E444,'Product List'!$B$2:$B$299,'Product List'!$A$2:$A$299)</f>
        <v>Newell 32</v>
      </c>
      <c r="J444" s="36"/>
      <c r="K444" s="36"/>
      <c r="L444" s="36"/>
      <c r="M444" s="36"/>
      <c r="N444" s="36"/>
    </row>
    <row r="445" spans="1:14">
      <c r="A445" s="8" t="s">
        <v>574</v>
      </c>
      <c r="B445" s="19">
        <v>41716</v>
      </c>
      <c r="C445" s="8" t="s">
        <v>33</v>
      </c>
      <c r="D445" s="8">
        <v>10006</v>
      </c>
      <c r="E445" s="8" t="s">
        <v>73</v>
      </c>
      <c r="F445" s="8" t="s">
        <v>29</v>
      </c>
      <c r="G445" s="36">
        <f>VLOOKUP(E445,Flipkart!$A$1:$B$296,2,0)</f>
        <v>0.04</v>
      </c>
      <c r="H445" s="36">
        <f t="shared" ca="1" si="6"/>
        <v>0.04</v>
      </c>
      <c r="I445" s="36" t="str">
        <f>_xlfn.XLOOKUP(E445,'Product List'!$B$2:$B$299,'Product List'!$A$2:$A$299)</f>
        <v>Xerox 1916</v>
      </c>
      <c r="J445" s="36"/>
      <c r="K445" s="36"/>
      <c r="L445" s="36"/>
      <c r="M445" s="36"/>
      <c r="N445" s="36"/>
    </row>
    <row r="446" spans="1:14">
      <c r="A446" s="8" t="s">
        <v>575</v>
      </c>
      <c r="B446" s="19">
        <v>41717</v>
      </c>
      <c r="C446" s="8" t="s">
        <v>51</v>
      </c>
      <c r="D446" s="8">
        <v>10003</v>
      </c>
      <c r="E446" s="8" t="s">
        <v>203</v>
      </c>
      <c r="F446" s="8" t="s">
        <v>35</v>
      </c>
      <c r="G446" s="36">
        <f>VLOOKUP(E446,Flipkart!$A$1:$B$296,2,0)</f>
        <v>0.02</v>
      </c>
      <c r="H446" s="36">
        <f t="shared" ca="1" si="6"/>
        <v>0.02</v>
      </c>
      <c r="I446" s="36" t="str">
        <f>_xlfn.XLOOKUP(E446,'Product List'!$B$2:$B$299,'Product List'!$A$2:$A$299)</f>
        <v>Xerox 1957</v>
      </c>
      <c r="J446" s="36"/>
      <c r="K446" s="36"/>
      <c r="L446" s="36"/>
      <c r="M446" s="36"/>
      <c r="N446" s="36"/>
    </row>
    <row r="447" spans="1:14">
      <c r="A447" s="8" t="s">
        <v>575</v>
      </c>
      <c r="B447" s="19">
        <v>41717</v>
      </c>
      <c r="C447" s="8" t="s">
        <v>44</v>
      </c>
      <c r="D447" s="8">
        <v>10015</v>
      </c>
      <c r="E447" s="8" t="s">
        <v>487</v>
      </c>
      <c r="F447" s="8" t="s">
        <v>35</v>
      </c>
      <c r="G447" s="36">
        <f>VLOOKUP(E447,Flipkart!$A$1:$B$296,2,0)</f>
        <v>0.05</v>
      </c>
      <c r="H447" s="36">
        <f t="shared" ca="1" si="6"/>
        <v>0.05</v>
      </c>
      <c r="I447" s="36" t="str">
        <f>_xlfn.XLOOKUP(E447,'Product List'!$B$2:$B$299,'Product List'!$A$2:$A$299)</f>
        <v>Xerox 1949</v>
      </c>
      <c r="J447" s="36"/>
      <c r="K447" s="36"/>
      <c r="L447" s="36"/>
      <c r="M447" s="36"/>
      <c r="N447" s="36"/>
    </row>
    <row r="448" spans="1:14">
      <c r="A448" s="8" t="s">
        <v>576</v>
      </c>
      <c r="B448" s="19">
        <v>41718</v>
      </c>
      <c r="C448" s="8" t="s">
        <v>51</v>
      </c>
      <c r="D448" s="8">
        <v>10009</v>
      </c>
      <c r="E448" s="8" t="s">
        <v>247</v>
      </c>
      <c r="F448" s="8" t="s">
        <v>43</v>
      </c>
      <c r="G448" s="36">
        <f>VLOOKUP(E448,Flipkart!$A$1:$B$296,2,0)</f>
        <v>0.01</v>
      </c>
      <c r="H448" s="36">
        <f t="shared" ca="1" si="6"/>
        <v>0.04</v>
      </c>
      <c r="I448" s="36" t="str">
        <f>_xlfn.XLOOKUP(E448,'Product List'!$B$2:$B$299,'Product List'!$A$2:$A$299)</f>
        <v>Newell 329</v>
      </c>
      <c r="J448" s="36"/>
      <c r="K448" s="36"/>
      <c r="L448" s="36"/>
      <c r="M448" s="36"/>
      <c r="N448" s="36"/>
    </row>
    <row r="449" spans="1:14">
      <c r="A449" s="8" t="s">
        <v>577</v>
      </c>
      <c r="B449" s="19">
        <v>41718</v>
      </c>
      <c r="C449" s="8" t="s">
        <v>46</v>
      </c>
      <c r="D449" s="8">
        <v>10005</v>
      </c>
      <c r="E449" s="8" t="s">
        <v>170</v>
      </c>
      <c r="F449" s="8" t="s">
        <v>29</v>
      </c>
      <c r="G449" s="36">
        <f>VLOOKUP(E449,Flipkart!$A$1:$B$296,2,0)</f>
        <v>0.05</v>
      </c>
      <c r="H449" s="36">
        <f t="shared" ca="1" si="6"/>
        <v>0</v>
      </c>
      <c r="I449" s="36" t="str">
        <f>_xlfn.XLOOKUP(E449,'Product List'!$B$2:$B$299,'Product List'!$A$2:$A$299)</f>
        <v>Xerox 1930</v>
      </c>
      <c r="J449" s="36"/>
      <c r="K449" s="36"/>
      <c r="L449" s="36"/>
      <c r="M449" s="36"/>
      <c r="N449" s="36"/>
    </row>
    <row r="450" spans="1:14">
      <c r="A450" s="8" t="s">
        <v>576</v>
      </c>
      <c r="B450" s="19">
        <v>41718</v>
      </c>
      <c r="C450" s="8" t="s">
        <v>66</v>
      </c>
      <c r="D450" s="8">
        <v>10001</v>
      </c>
      <c r="E450" s="8" t="s">
        <v>414</v>
      </c>
      <c r="F450" s="8" t="s">
        <v>50</v>
      </c>
      <c r="G450" s="36">
        <f>VLOOKUP(E450,Flipkart!$A$1:$B$296,2,0)</f>
        <v>0.05</v>
      </c>
      <c r="H450" s="36">
        <f t="shared" ca="1" si="6"/>
        <v>0.02</v>
      </c>
      <c r="I450" s="36" t="str">
        <f>_xlfn.XLOOKUP(E450,'Product List'!$B$2:$B$299,'Product List'!$A$2:$A$299)</f>
        <v>Xerox 1985</v>
      </c>
      <c r="J450" s="36"/>
      <c r="K450" s="36"/>
      <c r="L450" s="36"/>
      <c r="M450" s="36"/>
      <c r="N450" s="36"/>
    </row>
    <row r="451" spans="1:14">
      <c r="A451" s="8" t="s">
        <v>576</v>
      </c>
      <c r="B451" s="19">
        <v>41718</v>
      </c>
      <c r="C451" s="8" t="s">
        <v>66</v>
      </c>
      <c r="D451" s="8">
        <v>10004</v>
      </c>
      <c r="E451" s="8" t="s">
        <v>578</v>
      </c>
      <c r="F451" s="8" t="s">
        <v>29</v>
      </c>
      <c r="G451" s="36">
        <f>VLOOKUP(E451,Flipkart!$A$1:$B$296,2,0)</f>
        <v>0.04</v>
      </c>
      <c r="H451" s="36">
        <f t="shared" ca="1" si="6"/>
        <v>0.02</v>
      </c>
      <c r="I451" s="36" t="str">
        <f>_xlfn.XLOOKUP(E451,'Product List'!$B$2:$B$299,'Product List'!$A$2:$A$299)</f>
        <v>Xerox 1948</v>
      </c>
      <c r="J451" s="36"/>
      <c r="K451" s="36"/>
      <c r="L451" s="36"/>
      <c r="M451" s="36"/>
      <c r="N451" s="36"/>
    </row>
    <row r="452" spans="1:14">
      <c r="A452" s="8" t="s">
        <v>579</v>
      </c>
      <c r="B452" s="19">
        <v>41719</v>
      </c>
      <c r="C452" s="8" t="s">
        <v>27</v>
      </c>
      <c r="D452" s="8">
        <v>10008</v>
      </c>
      <c r="E452" s="8" t="s">
        <v>94</v>
      </c>
      <c r="F452" s="8" t="s">
        <v>43</v>
      </c>
      <c r="G452" s="36">
        <f>VLOOKUP(E452,Flipkart!$A$1:$B$296,2,0)</f>
        <v>0.03</v>
      </c>
      <c r="H452" s="36">
        <f t="shared" ref="H452:H515" ca="1" si="7">VLOOKUP(E452,INDIRECT(F452&amp;"!$A$1:$B$296"),2,0)</f>
        <v>0.04</v>
      </c>
      <c r="I452" s="36" t="str">
        <f>_xlfn.XLOOKUP(E452,'Product List'!$B$2:$B$299,'Product List'!$A$2:$A$299)</f>
        <v>Xerox 191</v>
      </c>
      <c r="J452" s="36"/>
      <c r="K452" s="36"/>
      <c r="L452" s="36"/>
      <c r="M452" s="36"/>
      <c r="N452" s="36"/>
    </row>
    <row r="453" spans="1:14">
      <c r="A453" s="8" t="s">
        <v>580</v>
      </c>
      <c r="B453" s="19">
        <v>41720</v>
      </c>
      <c r="C453" s="8" t="s">
        <v>33</v>
      </c>
      <c r="D453" s="8">
        <v>10012</v>
      </c>
      <c r="E453" s="8" t="s">
        <v>160</v>
      </c>
      <c r="F453" s="8" t="s">
        <v>32</v>
      </c>
      <c r="G453" s="36">
        <f>VLOOKUP(E453,Flipkart!$A$1:$B$296,2,0)</f>
        <v>0.05</v>
      </c>
      <c r="H453" s="36">
        <f t="shared" ca="1" si="7"/>
        <v>0</v>
      </c>
      <c r="I453" s="36" t="str">
        <f>_xlfn.XLOOKUP(E453,'Product List'!$B$2:$B$299,'Product List'!$A$2:$A$299)</f>
        <v>Newell 34</v>
      </c>
      <c r="J453" s="36"/>
      <c r="K453" s="36"/>
      <c r="L453" s="36"/>
      <c r="M453" s="36"/>
      <c r="N453" s="36"/>
    </row>
    <row r="454" spans="1:14">
      <c r="A454" s="8" t="s">
        <v>581</v>
      </c>
      <c r="B454" s="19">
        <v>41720</v>
      </c>
      <c r="C454" s="8" t="s">
        <v>44</v>
      </c>
      <c r="D454" s="8">
        <v>10010</v>
      </c>
      <c r="E454" s="8" t="s">
        <v>355</v>
      </c>
      <c r="F454" s="8" t="s">
        <v>40</v>
      </c>
      <c r="G454" s="36">
        <f>VLOOKUP(E454,Flipkart!$A$1:$B$296,2,0)</f>
        <v>0.01</v>
      </c>
      <c r="H454" s="36">
        <f t="shared" ca="1" si="7"/>
        <v>0.04</v>
      </c>
      <c r="I454" s="36" t="str">
        <f>_xlfn.XLOOKUP(E454,'Product List'!$B$2:$B$299,'Product List'!$A$2:$A$299)</f>
        <v>Avery 51</v>
      </c>
      <c r="J454" s="36"/>
      <c r="K454" s="36"/>
      <c r="L454" s="36"/>
      <c r="M454" s="36"/>
      <c r="N454" s="36"/>
    </row>
    <row r="455" spans="1:14">
      <c r="A455" s="8" t="s">
        <v>582</v>
      </c>
      <c r="B455" s="19">
        <v>41721</v>
      </c>
      <c r="C455" s="8" t="s">
        <v>54</v>
      </c>
      <c r="D455" s="8">
        <v>10006</v>
      </c>
      <c r="E455" s="8" t="s">
        <v>420</v>
      </c>
      <c r="F455" s="8" t="s">
        <v>32</v>
      </c>
      <c r="G455" s="36">
        <f>VLOOKUP(E455,Flipkart!$A$1:$B$296,2,0)</f>
        <v>0.05</v>
      </c>
      <c r="H455" s="36">
        <f t="shared" ca="1" si="7"/>
        <v>0.02</v>
      </c>
      <c r="I455" s="36" t="str">
        <f>_xlfn.XLOOKUP(E455,'Product List'!$B$2:$B$299,'Product List'!$A$2:$A$299)</f>
        <v>Xerox 1972</v>
      </c>
      <c r="J455" s="36"/>
      <c r="K455" s="36"/>
      <c r="L455" s="36"/>
      <c r="M455" s="36"/>
      <c r="N455" s="36"/>
    </row>
    <row r="456" spans="1:14">
      <c r="A456" s="8" t="s">
        <v>582</v>
      </c>
      <c r="B456" s="19">
        <v>41721</v>
      </c>
      <c r="C456" s="8" t="s">
        <v>66</v>
      </c>
      <c r="D456" s="8">
        <v>10006</v>
      </c>
      <c r="E456" s="8" t="s">
        <v>583</v>
      </c>
      <c r="F456" s="8" t="s">
        <v>50</v>
      </c>
      <c r="G456" s="36">
        <f>VLOOKUP(E456,Flipkart!$A$1:$B$296,2,0)</f>
        <v>0.02</v>
      </c>
      <c r="H456" s="36">
        <f t="shared" ca="1" si="7"/>
        <v>0</v>
      </c>
      <c r="I456" s="36" t="str">
        <f>_xlfn.XLOOKUP(E456,'Product List'!$B$2:$B$299,'Product List'!$A$2:$A$299)</f>
        <v>Cisco SPA508G</v>
      </c>
      <c r="J456" s="36"/>
      <c r="K456" s="36"/>
      <c r="L456" s="36"/>
      <c r="M456" s="36"/>
      <c r="N456" s="36"/>
    </row>
    <row r="457" spans="1:14">
      <c r="A457" s="8" t="s">
        <v>582</v>
      </c>
      <c r="B457" s="19">
        <v>41721</v>
      </c>
      <c r="C457" s="8" t="s">
        <v>36</v>
      </c>
      <c r="D457" s="8">
        <v>10012</v>
      </c>
      <c r="E457" s="8" t="s">
        <v>584</v>
      </c>
      <c r="F457" s="8" t="s">
        <v>32</v>
      </c>
      <c r="G457" s="36">
        <f>VLOOKUP(E457,Flipkart!$A$1:$B$296,2,0)</f>
        <v>0.02</v>
      </c>
      <c r="H457" s="36">
        <f t="shared" ca="1" si="7"/>
        <v>0.01</v>
      </c>
      <c r="I457" s="36" t="str">
        <f>_xlfn.XLOOKUP(E457,'Product List'!$B$2:$B$299,'Product List'!$A$2:$A$299)</f>
        <v>Xerox 1894</v>
      </c>
      <c r="J457" s="36"/>
      <c r="K457" s="36"/>
      <c r="L457" s="36"/>
      <c r="M457" s="36"/>
      <c r="N457" s="36"/>
    </row>
    <row r="458" spans="1:14">
      <c r="A458" s="8" t="s">
        <v>585</v>
      </c>
      <c r="B458" s="19">
        <v>41722</v>
      </c>
      <c r="C458" s="8" t="s">
        <v>27</v>
      </c>
      <c r="D458" s="8">
        <v>10010</v>
      </c>
      <c r="E458" s="8" t="s">
        <v>103</v>
      </c>
      <c r="F458" s="8" t="s">
        <v>29</v>
      </c>
      <c r="G458" s="36">
        <f>VLOOKUP(E458,Flipkart!$A$1:$B$296,2,0)</f>
        <v>0.04</v>
      </c>
      <c r="H458" s="36">
        <f t="shared" ca="1" si="7"/>
        <v>0.03</v>
      </c>
      <c r="I458" s="36" t="str">
        <f>_xlfn.XLOOKUP(E458,'Product List'!$B$2:$B$299,'Product List'!$A$2:$A$299)</f>
        <v>Xerox 1981</v>
      </c>
      <c r="J458" s="36"/>
      <c r="K458" s="36"/>
      <c r="L458" s="36"/>
      <c r="M458" s="36"/>
      <c r="N458" s="36"/>
    </row>
    <row r="459" spans="1:14">
      <c r="A459" s="8" t="s">
        <v>585</v>
      </c>
      <c r="B459" s="19">
        <v>41722</v>
      </c>
      <c r="C459" s="8" t="s">
        <v>66</v>
      </c>
      <c r="D459" s="8">
        <v>10003</v>
      </c>
      <c r="E459" s="8" t="s">
        <v>586</v>
      </c>
      <c r="F459" s="8" t="s">
        <v>40</v>
      </c>
      <c r="G459" s="36">
        <f>VLOOKUP(E459,Flipkart!$A$1:$B$296,2,0)</f>
        <v>0.04</v>
      </c>
      <c r="H459" s="36">
        <f t="shared" ca="1" si="7"/>
        <v>0.05</v>
      </c>
      <c r="I459" s="36" t="str">
        <f>_xlfn.XLOOKUP(E459,'Product List'!$B$2:$B$299,'Product List'!$A$2:$A$299)</f>
        <v>Xerox 222</v>
      </c>
      <c r="J459" s="36"/>
      <c r="K459" s="36"/>
      <c r="L459" s="36"/>
      <c r="M459" s="36"/>
      <c r="N459" s="36"/>
    </row>
    <row r="460" spans="1:14">
      <c r="A460" s="8" t="s">
        <v>587</v>
      </c>
      <c r="B460" s="19">
        <v>41728</v>
      </c>
      <c r="C460" s="8" t="s">
        <v>54</v>
      </c>
      <c r="D460" s="8">
        <v>10014</v>
      </c>
      <c r="E460" s="8" t="s">
        <v>588</v>
      </c>
      <c r="F460" s="8" t="s">
        <v>43</v>
      </c>
      <c r="G460" s="36">
        <f>VLOOKUP(E460,Flipkart!$A$1:$B$296,2,0)</f>
        <v>0.05</v>
      </c>
      <c r="H460" s="36">
        <f t="shared" ca="1" si="7"/>
        <v>0.02</v>
      </c>
      <c r="I460" s="36" t="str">
        <f>_xlfn.XLOOKUP(E460,'Product List'!$B$2:$B$299,'Product List'!$A$2:$A$299)</f>
        <v>Xerox 1947</v>
      </c>
      <c r="J460" s="36"/>
      <c r="K460" s="36"/>
      <c r="L460" s="36"/>
      <c r="M460" s="36"/>
      <c r="N460" s="36"/>
    </row>
    <row r="461" spans="1:14">
      <c r="A461" s="8" t="s">
        <v>589</v>
      </c>
      <c r="B461" s="19">
        <v>41729</v>
      </c>
      <c r="C461" s="8" t="s">
        <v>36</v>
      </c>
      <c r="D461" s="8">
        <v>10008</v>
      </c>
      <c r="E461" s="8" t="s">
        <v>141</v>
      </c>
      <c r="F461" s="8" t="s">
        <v>40</v>
      </c>
      <c r="G461" s="36">
        <f>VLOOKUP(E461,Flipkart!$A$1:$B$296,2,0)</f>
        <v>0.03</v>
      </c>
      <c r="H461" s="36">
        <f t="shared" ca="1" si="7"/>
        <v>0.03</v>
      </c>
      <c r="I461" s="36" t="str">
        <f>_xlfn.XLOOKUP(E461,'Product List'!$B$2:$B$299,'Product List'!$A$2:$A$299)</f>
        <v>Xerox 1994</v>
      </c>
      <c r="J461" s="36"/>
      <c r="K461" s="36"/>
      <c r="L461" s="36"/>
      <c r="M461" s="36"/>
      <c r="N461" s="36"/>
    </row>
    <row r="462" spans="1:14">
      <c r="A462" s="8" t="s">
        <v>590</v>
      </c>
      <c r="B462" s="19">
        <v>41729</v>
      </c>
      <c r="C462" s="8" t="s">
        <v>54</v>
      </c>
      <c r="D462" s="8">
        <v>10002</v>
      </c>
      <c r="E462" s="8" t="s">
        <v>69</v>
      </c>
      <c r="F462" s="8" t="s">
        <v>29</v>
      </c>
      <c r="G462" s="36">
        <f>VLOOKUP(E462,Flipkart!$A$1:$B$296,2,0)</f>
        <v>0.05</v>
      </c>
      <c r="H462" s="36">
        <f t="shared" ca="1" si="7"/>
        <v>0.02</v>
      </c>
      <c r="I462" s="36" t="str">
        <f>_xlfn.XLOOKUP(E462,'Product List'!$B$2:$B$299,'Product List'!$A$2:$A$299)</f>
        <v>Newell 330</v>
      </c>
      <c r="J462" s="36"/>
      <c r="K462" s="36"/>
      <c r="L462" s="36"/>
      <c r="M462" s="36"/>
      <c r="N462" s="36"/>
    </row>
    <row r="463" spans="1:14">
      <c r="A463" s="8" t="s">
        <v>591</v>
      </c>
      <c r="B463" s="19">
        <v>41729</v>
      </c>
      <c r="C463" s="8" t="s">
        <v>46</v>
      </c>
      <c r="D463" s="8">
        <v>10009</v>
      </c>
      <c r="E463" s="8" t="s">
        <v>592</v>
      </c>
      <c r="F463" s="8" t="s">
        <v>43</v>
      </c>
      <c r="G463" s="36">
        <f>VLOOKUP(E463,Flipkart!$A$1:$B$296,2,0)</f>
        <v>0</v>
      </c>
      <c r="H463" s="36">
        <f t="shared" ca="1" si="7"/>
        <v>0</v>
      </c>
      <c r="I463" s="36" t="str">
        <f>_xlfn.XLOOKUP(E463,'Product List'!$B$2:$B$299,'Product List'!$A$2:$A$299)</f>
        <v>Avery 5</v>
      </c>
      <c r="J463" s="36"/>
      <c r="K463" s="36"/>
      <c r="L463" s="36"/>
      <c r="M463" s="36"/>
      <c r="N463" s="36"/>
    </row>
    <row r="464" spans="1:14">
      <c r="A464" s="8" t="s">
        <v>590</v>
      </c>
      <c r="B464" s="19">
        <v>41729</v>
      </c>
      <c r="C464" s="8" t="s">
        <v>36</v>
      </c>
      <c r="D464" s="8">
        <v>10013</v>
      </c>
      <c r="E464" s="8" t="s">
        <v>143</v>
      </c>
      <c r="F464" s="8" t="s">
        <v>32</v>
      </c>
      <c r="G464" s="36">
        <f>VLOOKUP(E464,Flipkart!$A$1:$B$296,2,0)</f>
        <v>0.04</v>
      </c>
      <c r="H464" s="36">
        <f t="shared" ca="1" si="7"/>
        <v>0</v>
      </c>
      <c r="I464" s="36" t="str">
        <f>_xlfn.XLOOKUP(E464,'Product List'!$B$2:$B$299,'Product List'!$A$2:$A$299)</f>
        <v>Xerox 1932</v>
      </c>
      <c r="J464" s="36"/>
      <c r="K464" s="36"/>
      <c r="L464" s="36"/>
      <c r="M464" s="36"/>
      <c r="N464" s="36"/>
    </row>
    <row r="465" spans="1:14">
      <c r="A465" s="8" t="s">
        <v>591</v>
      </c>
      <c r="B465" s="19">
        <v>41729</v>
      </c>
      <c r="C465" s="8" t="s">
        <v>66</v>
      </c>
      <c r="D465" s="8">
        <v>10012</v>
      </c>
      <c r="E465" s="8" t="s">
        <v>479</v>
      </c>
      <c r="F465" s="8" t="s">
        <v>50</v>
      </c>
      <c r="G465" s="36">
        <f>VLOOKUP(E465,Flipkart!$A$1:$B$296,2,0)</f>
        <v>0.01</v>
      </c>
      <c r="H465" s="36">
        <f t="shared" ca="1" si="7"/>
        <v>0.01</v>
      </c>
      <c r="I465" s="36" t="str">
        <f>_xlfn.XLOOKUP(E465,'Product List'!$B$2:$B$299,'Product List'!$A$2:$A$299)</f>
        <v>Xerox 23</v>
      </c>
      <c r="J465" s="36"/>
      <c r="K465" s="36"/>
      <c r="L465" s="36"/>
      <c r="M465" s="36"/>
      <c r="N465" s="36"/>
    </row>
    <row r="466" spans="1:14">
      <c r="A466" s="8" t="s">
        <v>593</v>
      </c>
      <c r="B466" s="19">
        <v>41733</v>
      </c>
      <c r="C466" s="8" t="s">
        <v>54</v>
      </c>
      <c r="D466" s="8">
        <v>10002</v>
      </c>
      <c r="E466" s="8" t="s">
        <v>594</v>
      </c>
      <c r="F466" s="8" t="s">
        <v>32</v>
      </c>
      <c r="G466" s="36">
        <f>VLOOKUP(E466,Flipkart!$A$1:$B$296,2,0)</f>
        <v>0.04</v>
      </c>
      <c r="H466" s="36">
        <f t="shared" ca="1" si="7"/>
        <v>0.03</v>
      </c>
      <c r="I466" s="36" t="str">
        <f>_xlfn.XLOOKUP(E466,'Product List'!$B$2:$B$299,'Product List'!$A$2:$A$299)</f>
        <v>Xerox 217</v>
      </c>
      <c r="J466" s="36"/>
      <c r="K466" s="36"/>
      <c r="L466" s="36"/>
      <c r="M466" s="36"/>
      <c r="N466" s="36"/>
    </row>
    <row r="467" spans="1:14">
      <c r="A467" s="8" t="s">
        <v>595</v>
      </c>
      <c r="B467" s="19">
        <v>41734</v>
      </c>
      <c r="C467" s="8" t="s">
        <v>54</v>
      </c>
      <c r="D467" s="8">
        <v>10011</v>
      </c>
      <c r="E467" s="8" t="s">
        <v>71</v>
      </c>
      <c r="F467" s="8" t="s">
        <v>32</v>
      </c>
      <c r="G467" s="36">
        <f>VLOOKUP(E467,Flipkart!$A$1:$B$296,2,0)</f>
        <v>0.04</v>
      </c>
      <c r="H467" s="36">
        <f t="shared" ca="1" si="7"/>
        <v>0.02</v>
      </c>
      <c r="I467" s="36" t="str">
        <f>_xlfn.XLOOKUP(E467,'Product List'!$B$2:$B$299,'Product List'!$A$2:$A$299)</f>
        <v>GE 30522EE2</v>
      </c>
      <c r="J467" s="36"/>
      <c r="K467" s="36"/>
      <c r="L467" s="36"/>
      <c r="M467" s="36"/>
      <c r="N467" s="36"/>
    </row>
    <row r="468" spans="1:14">
      <c r="A468" s="8" t="s">
        <v>596</v>
      </c>
      <c r="B468" s="19">
        <v>41734</v>
      </c>
      <c r="C468" s="8" t="s">
        <v>27</v>
      </c>
      <c r="D468" s="8">
        <v>10008</v>
      </c>
      <c r="E468" s="8" t="s">
        <v>597</v>
      </c>
      <c r="F468" s="8" t="s">
        <v>50</v>
      </c>
      <c r="G468" s="36">
        <f>VLOOKUP(E468,Flipkart!$A$1:$B$296,2,0)</f>
        <v>0.04</v>
      </c>
      <c r="H468" s="36">
        <f t="shared" ca="1" si="7"/>
        <v>0.03</v>
      </c>
      <c r="I468" s="36" t="str">
        <f>_xlfn.XLOOKUP(E468,'Product List'!$B$2:$B$299,'Product List'!$A$2:$A$299)</f>
        <v>Xerox 1959</v>
      </c>
      <c r="J468" s="36"/>
      <c r="K468" s="36"/>
      <c r="L468" s="36"/>
      <c r="M468" s="36"/>
      <c r="N468" s="36"/>
    </row>
    <row r="469" spans="1:14">
      <c r="A469" s="8" t="s">
        <v>598</v>
      </c>
      <c r="B469" s="19">
        <v>41740</v>
      </c>
      <c r="C469" s="8" t="s">
        <v>66</v>
      </c>
      <c r="D469" s="8">
        <v>10005</v>
      </c>
      <c r="E469" s="8" t="s">
        <v>102</v>
      </c>
      <c r="F469" s="8" t="s">
        <v>40</v>
      </c>
      <c r="G469" s="36">
        <f>VLOOKUP(E469,Flipkart!$A$1:$B$296,2,0)</f>
        <v>0.02</v>
      </c>
      <c r="H469" s="36">
        <f t="shared" ca="1" si="7"/>
        <v>0.01</v>
      </c>
      <c r="I469" s="36" t="str">
        <f>_xlfn.XLOOKUP(E469,'Product List'!$B$2:$B$299,'Product List'!$A$2:$A$299)</f>
        <v>Xerox 1997</v>
      </c>
      <c r="J469" s="36"/>
      <c r="K469" s="36"/>
      <c r="L469" s="36"/>
      <c r="M469" s="36"/>
      <c r="N469" s="36"/>
    </row>
    <row r="470" spans="1:14">
      <c r="A470" s="8" t="s">
        <v>599</v>
      </c>
      <c r="B470" s="19">
        <v>41740</v>
      </c>
      <c r="C470" s="8" t="s">
        <v>46</v>
      </c>
      <c r="D470" s="8">
        <v>10010</v>
      </c>
      <c r="E470" s="8" t="s">
        <v>600</v>
      </c>
      <c r="F470" s="8" t="s">
        <v>32</v>
      </c>
      <c r="G470" s="36">
        <f>VLOOKUP(E470,Flipkart!$A$1:$B$296,2,0)</f>
        <v>0.03</v>
      </c>
      <c r="H470" s="36">
        <f t="shared" ca="1" si="7"/>
        <v>0.04</v>
      </c>
      <c r="I470" s="36" t="str">
        <f>_xlfn.XLOOKUP(E470,'Product List'!$B$2:$B$299,'Product List'!$A$2:$A$299)</f>
        <v>Xerox 189</v>
      </c>
      <c r="J470" s="36"/>
      <c r="K470" s="36"/>
      <c r="L470" s="36"/>
      <c r="M470" s="36"/>
      <c r="N470" s="36"/>
    </row>
    <row r="471" spans="1:14">
      <c r="A471" s="8" t="s">
        <v>598</v>
      </c>
      <c r="B471" s="19">
        <v>41740</v>
      </c>
      <c r="C471" s="8" t="s">
        <v>27</v>
      </c>
      <c r="D471" s="8">
        <v>10013</v>
      </c>
      <c r="E471" s="8" t="s">
        <v>312</v>
      </c>
      <c r="F471" s="8" t="s">
        <v>50</v>
      </c>
      <c r="G471" s="36">
        <f>VLOOKUP(E471,Flipkart!$A$1:$B$296,2,0)</f>
        <v>0.01</v>
      </c>
      <c r="H471" s="36">
        <f t="shared" ca="1" si="7"/>
        <v>0</v>
      </c>
      <c r="I471" s="36" t="str">
        <f>_xlfn.XLOOKUP(E471,'Product List'!$B$2:$B$299,'Product List'!$A$2:$A$299)</f>
        <v>Avery 492</v>
      </c>
      <c r="J471" s="36"/>
      <c r="K471" s="36"/>
      <c r="L471" s="36"/>
      <c r="M471" s="36"/>
      <c r="N471" s="36"/>
    </row>
    <row r="472" spans="1:14">
      <c r="A472" s="8" t="s">
        <v>599</v>
      </c>
      <c r="B472" s="19">
        <v>41740</v>
      </c>
      <c r="C472" s="8" t="s">
        <v>54</v>
      </c>
      <c r="D472" s="8">
        <v>10009</v>
      </c>
      <c r="E472" s="8" t="s">
        <v>309</v>
      </c>
      <c r="F472" s="8" t="s">
        <v>40</v>
      </c>
      <c r="G472" s="36">
        <f>VLOOKUP(E472,Flipkart!$A$1:$B$296,2,0)</f>
        <v>0.01</v>
      </c>
      <c r="H472" s="36">
        <f t="shared" ca="1" si="7"/>
        <v>0.04</v>
      </c>
      <c r="I472" s="36" t="str">
        <f>_xlfn.XLOOKUP(E472,'Product List'!$B$2:$B$299,'Product List'!$A$2:$A$299)</f>
        <v>Xerox 1996</v>
      </c>
      <c r="J472" s="36"/>
      <c r="K472" s="36"/>
      <c r="L472" s="36"/>
      <c r="M472" s="36"/>
      <c r="N472" s="36"/>
    </row>
    <row r="473" spans="1:14">
      <c r="A473" s="8" t="s">
        <v>601</v>
      </c>
      <c r="B473" s="19">
        <v>41741</v>
      </c>
      <c r="C473" s="8" t="s">
        <v>36</v>
      </c>
      <c r="D473" s="8">
        <v>10003</v>
      </c>
      <c r="E473" s="8" t="s">
        <v>90</v>
      </c>
      <c r="F473" s="8" t="s">
        <v>35</v>
      </c>
      <c r="G473" s="36">
        <f>VLOOKUP(E473,Flipkart!$A$1:$B$296,2,0)</f>
        <v>0</v>
      </c>
      <c r="H473" s="36">
        <f t="shared" ca="1" si="7"/>
        <v>0</v>
      </c>
      <c r="I473" s="36" t="str">
        <f>_xlfn.XLOOKUP(E473,'Product List'!$B$2:$B$299,'Product List'!$A$2:$A$299)</f>
        <v>Xerox 1974</v>
      </c>
      <c r="J473" s="36"/>
      <c r="K473" s="36"/>
      <c r="L473" s="36"/>
      <c r="M473" s="36"/>
      <c r="N473" s="36"/>
    </row>
    <row r="474" spans="1:14">
      <c r="A474" s="8" t="s">
        <v>602</v>
      </c>
      <c r="B474" s="19">
        <v>41742</v>
      </c>
      <c r="C474" s="8" t="s">
        <v>66</v>
      </c>
      <c r="D474" s="8">
        <v>10011</v>
      </c>
      <c r="E474" s="8" t="s">
        <v>603</v>
      </c>
      <c r="F474" s="8" t="s">
        <v>35</v>
      </c>
      <c r="G474" s="36">
        <f>VLOOKUP(E474,Flipkart!$A$1:$B$296,2,0)</f>
        <v>0.02</v>
      </c>
      <c r="H474" s="36">
        <f t="shared" ca="1" si="7"/>
        <v>0.02</v>
      </c>
      <c r="I474" s="36" t="str">
        <f>_xlfn.XLOOKUP(E474,'Product List'!$B$2:$B$299,'Product List'!$A$2:$A$299)</f>
        <v>Xerox 1945</v>
      </c>
      <c r="J474" s="36"/>
      <c r="K474" s="36"/>
      <c r="L474" s="36"/>
      <c r="M474" s="36"/>
      <c r="N474" s="36"/>
    </row>
    <row r="475" spans="1:14">
      <c r="A475" s="8" t="s">
        <v>602</v>
      </c>
      <c r="B475" s="19">
        <v>41742</v>
      </c>
      <c r="C475" s="8" t="s">
        <v>51</v>
      </c>
      <c r="D475" s="8">
        <v>10009</v>
      </c>
      <c r="E475" s="8" t="s">
        <v>390</v>
      </c>
      <c r="F475" s="8" t="s">
        <v>43</v>
      </c>
      <c r="G475" s="36">
        <f>VLOOKUP(E475,Flipkart!$A$1:$B$296,2,0)</f>
        <v>0.05</v>
      </c>
      <c r="H475" s="36">
        <f t="shared" ca="1" si="7"/>
        <v>0.05</v>
      </c>
      <c r="I475" s="36" t="str">
        <f>_xlfn.XLOOKUP(E475,'Product List'!$B$2:$B$299,'Product List'!$A$2:$A$299)</f>
        <v>Avery 502</v>
      </c>
      <c r="J475" s="36"/>
      <c r="K475" s="36"/>
      <c r="L475" s="36"/>
      <c r="M475" s="36"/>
      <c r="N475" s="36"/>
    </row>
    <row r="476" spans="1:14">
      <c r="A476" s="8" t="s">
        <v>604</v>
      </c>
      <c r="B476" s="19">
        <v>41743</v>
      </c>
      <c r="C476" s="8" t="s">
        <v>51</v>
      </c>
      <c r="D476" s="8">
        <v>10013</v>
      </c>
      <c r="E476" s="8" t="s">
        <v>605</v>
      </c>
      <c r="F476" s="8" t="s">
        <v>40</v>
      </c>
      <c r="G476" s="36">
        <f>VLOOKUP(E476,Flipkart!$A$1:$B$296,2,0)</f>
        <v>0.01</v>
      </c>
      <c r="H476" s="36">
        <f t="shared" ca="1" si="7"/>
        <v>0.04</v>
      </c>
      <c r="I476" s="36" t="str">
        <f>_xlfn.XLOOKUP(E476,'Product List'!$B$2:$B$299,'Product List'!$A$2:$A$299)</f>
        <v>Pyle PMP37LED</v>
      </c>
      <c r="J476" s="36"/>
      <c r="K476" s="36"/>
      <c r="L476" s="36"/>
      <c r="M476" s="36"/>
      <c r="N476" s="36"/>
    </row>
    <row r="477" spans="1:14">
      <c r="A477" s="8" t="s">
        <v>606</v>
      </c>
      <c r="B477" s="19">
        <v>41743</v>
      </c>
      <c r="C477" s="8" t="s">
        <v>54</v>
      </c>
      <c r="D477" s="8">
        <v>10010</v>
      </c>
      <c r="E477" s="8" t="s">
        <v>592</v>
      </c>
      <c r="F477" s="8" t="s">
        <v>50</v>
      </c>
      <c r="G477" s="36">
        <f>VLOOKUP(E477,Flipkart!$A$1:$B$296,2,0)</f>
        <v>0</v>
      </c>
      <c r="H477" s="36">
        <f t="shared" ca="1" si="7"/>
        <v>0.04</v>
      </c>
      <c r="I477" s="36" t="str">
        <f>_xlfn.XLOOKUP(E477,'Product List'!$B$2:$B$299,'Product List'!$A$2:$A$299)</f>
        <v>Avery 5</v>
      </c>
      <c r="J477" s="36"/>
      <c r="K477" s="36"/>
      <c r="L477" s="36"/>
      <c r="M477" s="36"/>
      <c r="N477" s="36"/>
    </row>
    <row r="478" spans="1:14">
      <c r="A478" s="8" t="s">
        <v>607</v>
      </c>
      <c r="B478" s="19">
        <v>41743</v>
      </c>
      <c r="C478" s="8" t="s">
        <v>44</v>
      </c>
      <c r="D478" s="8">
        <v>10002</v>
      </c>
      <c r="E478" s="8" t="s">
        <v>184</v>
      </c>
      <c r="F478" s="8" t="s">
        <v>29</v>
      </c>
      <c r="G478" s="36">
        <f>VLOOKUP(E478,Flipkart!$A$1:$B$296,2,0)</f>
        <v>0.03</v>
      </c>
      <c r="H478" s="36">
        <f t="shared" ca="1" si="7"/>
        <v>0.02</v>
      </c>
      <c r="I478" s="36" t="str">
        <f>_xlfn.XLOOKUP(E478,'Product List'!$B$2:$B$299,'Product List'!$A$2:$A$299)</f>
        <v>Xerox 1983</v>
      </c>
      <c r="J478" s="36"/>
      <c r="K478" s="36"/>
      <c r="L478" s="36"/>
      <c r="M478" s="36"/>
      <c r="N478" s="36"/>
    </row>
    <row r="479" spans="1:14">
      <c r="A479" s="8" t="s">
        <v>608</v>
      </c>
      <c r="B479" s="19">
        <v>41744</v>
      </c>
      <c r="C479" s="8" t="s">
        <v>46</v>
      </c>
      <c r="D479" s="8">
        <v>10007</v>
      </c>
      <c r="E479" s="8" t="s">
        <v>348</v>
      </c>
      <c r="F479" s="8" t="s">
        <v>35</v>
      </c>
      <c r="G479" s="36">
        <f>VLOOKUP(E479,Flipkart!$A$1:$B$296,2,0)</f>
        <v>0.02</v>
      </c>
      <c r="H479" s="36">
        <f t="shared" ca="1" si="7"/>
        <v>0.02</v>
      </c>
      <c r="I479" s="36" t="str">
        <f>_xlfn.XLOOKUP(E479,'Product List'!$B$2:$B$299,'Product List'!$A$2:$A$299)</f>
        <v>Avery 512</v>
      </c>
      <c r="J479" s="36"/>
      <c r="K479" s="36"/>
      <c r="L479" s="36"/>
      <c r="M479" s="36"/>
      <c r="N479" s="36"/>
    </row>
    <row r="480" spans="1:14">
      <c r="A480" s="8" t="s">
        <v>608</v>
      </c>
      <c r="B480" s="19">
        <v>41744</v>
      </c>
      <c r="C480" s="8" t="s">
        <v>54</v>
      </c>
      <c r="D480" s="8">
        <v>10006</v>
      </c>
      <c r="E480" s="8" t="s">
        <v>588</v>
      </c>
      <c r="F480" s="8" t="s">
        <v>35</v>
      </c>
      <c r="G480" s="36">
        <f>VLOOKUP(E480,Flipkart!$A$1:$B$296,2,0)</f>
        <v>0.05</v>
      </c>
      <c r="H480" s="36">
        <f t="shared" ca="1" si="7"/>
        <v>0.05</v>
      </c>
      <c r="I480" s="36" t="str">
        <f>_xlfn.XLOOKUP(E480,'Product List'!$B$2:$B$299,'Product List'!$A$2:$A$299)</f>
        <v>Xerox 1947</v>
      </c>
      <c r="J480" s="36"/>
      <c r="K480" s="36"/>
      <c r="L480" s="36"/>
      <c r="M480" s="36"/>
      <c r="N480" s="36"/>
    </row>
    <row r="481" spans="1:14">
      <c r="A481" s="8" t="s">
        <v>609</v>
      </c>
      <c r="B481" s="19">
        <v>41747</v>
      </c>
      <c r="C481" s="8" t="s">
        <v>33</v>
      </c>
      <c r="D481" s="8">
        <v>10001</v>
      </c>
      <c r="E481" s="8" t="s">
        <v>162</v>
      </c>
      <c r="F481" s="8" t="s">
        <v>50</v>
      </c>
      <c r="G481" s="36">
        <f>VLOOKUP(E481,Flipkart!$A$1:$B$296,2,0)</f>
        <v>0.02</v>
      </c>
      <c r="H481" s="36">
        <f t="shared" ca="1" si="7"/>
        <v>0.04</v>
      </c>
      <c r="I481" s="36" t="str">
        <f>_xlfn.XLOOKUP(E481,'Product List'!$B$2:$B$299,'Product List'!$A$2:$A$299)</f>
        <v>Avery 483</v>
      </c>
      <c r="J481" s="36"/>
      <c r="K481" s="36"/>
      <c r="L481" s="36"/>
      <c r="M481" s="36"/>
      <c r="N481" s="36"/>
    </row>
    <row r="482" spans="1:14">
      <c r="A482" s="8" t="s">
        <v>609</v>
      </c>
      <c r="B482" s="19">
        <v>41747</v>
      </c>
      <c r="C482" s="8" t="s">
        <v>27</v>
      </c>
      <c r="D482" s="8">
        <v>10013</v>
      </c>
      <c r="E482" s="8" t="s">
        <v>610</v>
      </c>
      <c r="F482" s="8" t="s">
        <v>43</v>
      </c>
      <c r="G482" s="36">
        <f>VLOOKUP(E482,Flipkart!$A$1:$B$296,2,0)</f>
        <v>0</v>
      </c>
      <c r="H482" s="36">
        <f t="shared" ca="1" si="7"/>
        <v>0.02</v>
      </c>
      <c r="I482" s="36" t="str">
        <f>_xlfn.XLOOKUP(E482,'Product List'!$B$2:$B$299,'Product List'!$A$2:$A$299)</f>
        <v>Newell 311</v>
      </c>
      <c r="J482" s="36"/>
      <c r="K482" s="36"/>
      <c r="L482" s="36"/>
      <c r="M482" s="36"/>
      <c r="N482" s="36"/>
    </row>
    <row r="483" spans="1:14">
      <c r="A483" s="8" t="s">
        <v>609</v>
      </c>
      <c r="B483" s="19">
        <v>41747</v>
      </c>
      <c r="C483" s="8" t="s">
        <v>36</v>
      </c>
      <c r="D483" s="8">
        <v>10004</v>
      </c>
      <c r="E483" s="8" t="s">
        <v>510</v>
      </c>
      <c r="F483" s="8" t="s">
        <v>32</v>
      </c>
      <c r="G483" s="36">
        <f>VLOOKUP(E483,Flipkart!$A$1:$B$296,2,0)</f>
        <v>0.04</v>
      </c>
      <c r="H483" s="36">
        <f t="shared" ca="1" si="7"/>
        <v>0.04</v>
      </c>
      <c r="I483" s="36" t="str">
        <f>_xlfn.XLOOKUP(E483,'Product List'!$B$2:$B$299,'Product List'!$A$2:$A$299)</f>
        <v>Avery 507</v>
      </c>
      <c r="J483" s="36"/>
      <c r="K483" s="36"/>
      <c r="L483" s="36"/>
      <c r="M483" s="36"/>
      <c r="N483" s="36"/>
    </row>
    <row r="484" spans="1:14">
      <c r="A484" s="8" t="s">
        <v>611</v>
      </c>
      <c r="B484" s="19">
        <v>41749</v>
      </c>
      <c r="C484" s="8" t="s">
        <v>36</v>
      </c>
      <c r="D484" s="8">
        <v>10002</v>
      </c>
      <c r="E484" s="8" t="s">
        <v>515</v>
      </c>
      <c r="F484" s="8" t="s">
        <v>35</v>
      </c>
      <c r="G484" s="36">
        <f>VLOOKUP(E484,Flipkart!$A$1:$B$296,2,0)</f>
        <v>0.05</v>
      </c>
      <c r="H484" s="36">
        <f t="shared" ca="1" si="7"/>
        <v>0.05</v>
      </c>
      <c r="I484" s="36" t="str">
        <f>_xlfn.XLOOKUP(E484,'Product List'!$B$2:$B$299,'Product List'!$A$2:$A$299)</f>
        <v>Staple holder</v>
      </c>
      <c r="J484" s="36"/>
      <c r="K484" s="36"/>
      <c r="L484" s="36"/>
      <c r="M484" s="36"/>
      <c r="N484" s="36"/>
    </row>
    <row r="485" spans="1:14">
      <c r="A485" s="8" t="s">
        <v>612</v>
      </c>
      <c r="B485" s="19">
        <v>41749</v>
      </c>
      <c r="C485" s="8" t="s">
        <v>51</v>
      </c>
      <c r="D485" s="8">
        <v>10001</v>
      </c>
      <c r="E485" s="8" t="s">
        <v>164</v>
      </c>
      <c r="F485" s="8" t="s">
        <v>43</v>
      </c>
      <c r="G485" s="36">
        <f>VLOOKUP(E485,Flipkart!$A$1:$B$296,2,0)</f>
        <v>0.03</v>
      </c>
      <c r="H485" s="36">
        <f t="shared" ca="1" si="7"/>
        <v>0.05</v>
      </c>
      <c r="I485" s="36" t="str">
        <f>_xlfn.XLOOKUP(E485,'Product List'!$B$2:$B$299,'Product List'!$A$2:$A$299)</f>
        <v>Avery 52</v>
      </c>
      <c r="J485" s="36"/>
      <c r="K485" s="36"/>
      <c r="L485" s="36"/>
      <c r="M485" s="36"/>
      <c r="N485" s="36"/>
    </row>
    <row r="486" spans="1:14">
      <c r="A486" s="8" t="s">
        <v>611</v>
      </c>
      <c r="B486" s="19">
        <v>41749</v>
      </c>
      <c r="C486" s="8" t="s">
        <v>66</v>
      </c>
      <c r="D486" s="8">
        <v>10001</v>
      </c>
      <c r="E486" s="8" t="s">
        <v>613</v>
      </c>
      <c r="F486" s="8" t="s">
        <v>35</v>
      </c>
      <c r="G486" s="36">
        <f>VLOOKUP(E486,Flipkart!$A$1:$B$296,2,0)</f>
        <v>0.01</v>
      </c>
      <c r="H486" s="36">
        <f t="shared" ca="1" si="7"/>
        <v>0.01</v>
      </c>
      <c r="I486" s="36" t="str">
        <f>_xlfn.XLOOKUP(E486,'Product List'!$B$2:$B$299,'Product List'!$A$2:$A$299)</f>
        <v>Xerox 194</v>
      </c>
      <c r="J486" s="36"/>
      <c r="K486" s="36"/>
      <c r="L486" s="36"/>
      <c r="M486" s="36"/>
      <c r="N486" s="36"/>
    </row>
    <row r="487" spans="1:14">
      <c r="A487" s="8" t="s">
        <v>611</v>
      </c>
      <c r="B487" s="19">
        <v>41749</v>
      </c>
      <c r="C487" s="8" t="s">
        <v>36</v>
      </c>
      <c r="D487" s="8">
        <v>10015</v>
      </c>
      <c r="E487" s="8" t="s">
        <v>88</v>
      </c>
      <c r="F487" s="8" t="s">
        <v>50</v>
      </c>
      <c r="G487" s="36">
        <f>VLOOKUP(E487,Flipkart!$A$1:$B$296,2,0)</f>
        <v>0</v>
      </c>
      <c r="H487" s="36">
        <f t="shared" ca="1" si="7"/>
        <v>0</v>
      </c>
      <c r="I487" s="36" t="str">
        <f>_xlfn.XLOOKUP(E487,'Product List'!$B$2:$B$299,'Product List'!$A$2:$A$299)</f>
        <v>Xerox 1922</v>
      </c>
      <c r="J487" s="36"/>
      <c r="K487" s="36"/>
      <c r="L487" s="36"/>
      <c r="M487" s="36"/>
      <c r="N487" s="36"/>
    </row>
    <row r="488" spans="1:14">
      <c r="A488" s="8" t="s">
        <v>614</v>
      </c>
      <c r="B488" s="19">
        <v>41749</v>
      </c>
      <c r="C488" s="8" t="s">
        <v>27</v>
      </c>
      <c r="D488" s="8">
        <v>10009</v>
      </c>
      <c r="E488" s="8" t="s">
        <v>98</v>
      </c>
      <c r="F488" s="8" t="s">
        <v>40</v>
      </c>
      <c r="G488" s="36">
        <f>VLOOKUP(E488,Flipkart!$A$1:$B$296,2,0)</f>
        <v>0.04</v>
      </c>
      <c r="H488" s="36">
        <f t="shared" ca="1" si="7"/>
        <v>0.04</v>
      </c>
      <c r="I488" s="36" t="str">
        <f>_xlfn.XLOOKUP(E488,'Product List'!$B$2:$B$299,'Product List'!$A$2:$A$299)</f>
        <v>Newell 349</v>
      </c>
      <c r="J488" s="36"/>
      <c r="K488" s="36"/>
      <c r="L488" s="36"/>
      <c r="M488" s="36"/>
      <c r="N488" s="36"/>
    </row>
    <row r="489" spans="1:14">
      <c r="A489" s="8" t="s">
        <v>615</v>
      </c>
      <c r="B489" s="19">
        <v>41751</v>
      </c>
      <c r="C489" s="8" t="s">
        <v>66</v>
      </c>
      <c r="D489" s="8">
        <v>10001</v>
      </c>
      <c r="E489" s="8" t="s">
        <v>143</v>
      </c>
      <c r="F489" s="8" t="s">
        <v>29</v>
      </c>
      <c r="G489" s="36">
        <f>VLOOKUP(E489,Flipkart!$A$1:$B$296,2,0)</f>
        <v>0.04</v>
      </c>
      <c r="H489" s="36">
        <f t="shared" ca="1" si="7"/>
        <v>0.03</v>
      </c>
      <c r="I489" s="36" t="str">
        <f>_xlfn.XLOOKUP(E489,'Product List'!$B$2:$B$299,'Product List'!$A$2:$A$299)</f>
        <v>Xerox 1932</v>
      </c>
      <c r="J489" s="36"/>
      <c r="K489" s="36"/>
      <c r="L489" s="36"/>
      <c r="M489" s="36"/>
      <c r="N489" s="36"/>
    </row>
    <row r="490" spans="1:14">
      <c r="A490" s="8" t="s">
        <v>616</v>
      </c>
      <c r="B490" s="19">
        <v>41751</v>
      </c>
      <c r="C490" s="8" t="s">
        <v>36</v>
      </c>
      <c r="D490" s="8">
        <v>10011</v>
      </c>
      <c r="E490" s="8" t="s">
        <v>62</v>
      </c>
      <c r="F490" s="8" t="s">
        <v>40</v>
      </c>
      <c r="G490" s="36">
        <f>VLOOKUP(E490,Flipkart!$A$1:$B$296,2,0)</f>
        <v>0.05</v>
      </c>
      <c r="H490" s="36">
        <f t="shared" ca="1" si="7"/>
        <v>0</v>
      </c>
      <c r="I490" s="36" t="str">
        <f>_xlfn.XLOOKUP(E490,'Product List'!$B$2:$B$299,'Product List'!$A$2:$A$299)</f>
        <v>Newell 308</v>
      </c>
      <c r="J490" s="36"/>
      <c r="K490" s="36"/>
      <c r="L490" s="36"/>
      <c r="M490" s="36"/>
      <c r="N490" s="36"/>
    </row>
    <row r="491" spans="1:14">
      <c r="A491" s="8" t="s">
        <v>615</v>
      </c>
      <c r="B491" s="19">
        <v>41751</v>
      </c>
      <c r="C491" s="8" t="s">
        <v>54</v>
      </c>
      <c r="D491" s="8">
        <v>10007</v>
      </c>
      <c r="E491" s="8" t="s">
        <v>617</v>
      </c>
      <c r="F491" s="8" t="s">
        <v>32</v>
      </c>
      <c r="G491" s="36">
        <f>VLOOKUP(E491,Flipkart!$A$1:$B$296,2,0)</f>
        <v>0.01</v>
      </c>
      <c r="H491" s="36">
        <f t="shared" ca="1" si="7"/>
        <v>0</v>
      </c>
      <c r="I491" s="36" t="str">
        <f>_xlfn.XLOOKUP(E491,'Product List'!$B$2:$B$299,'Product List'!$A$2:$A$299)</f>
        <v>Xerox 1915</v>
      </c>
      <c r="J491" s="36"/>
      <c r="K491" s="36"/>
      <c r="L491" s="36"/>
      <c r="M491" s="36"/>
      <c r="N491" s="36"/>
    </row>
    <row r="492" spans="1:14">
      <c r="A492" s="8" t="s">
        <v>618</v>
      </c>
      <c r="B492" s="19">
        <v>41751</v>
      </c>
      <c r="C492" s="8" t="s">
        <v>54</v>
      </c>
      <c r="D492" s="8">
        <v>10004</v>
      </c>
      <c r="E492" s="8" t="s">
        <v>298</v>
      </c>
      <c r="F492" s="8" t="s">
        <v>32</v>
      </c>
      <c r="G492" s="36">
        <f>VLOOKUP(E492,Flipkart!$A$1:$B$296,2,0)</f>
        <v>0.04</v>
      </c>
      <c r="H492" s="36">
        <f t="shared" ca="1" si="7"/>
        <v>0</v>
      </c>
      <c r="I492" s="36" t="str">
        <f>_xlfn.XLOOKUP(E492,'Product List'!$B$2:$B$299,'Product List'!$A$2:$A$299)</f>
        <v>Xerox 216</v>
      </c>
      <c r="J492" s="36"/>
      <c r="K492" s="36"/>
      <c r="L492" s="36"/>
      <c r="M492" s="36"/>
      <c r="N492" s="36"/>
    </row>
    <row r="493" spans="1:14">
      <c r="A493" s="8" t="s">
        <v>619</v>
      </c>
      <c r="B493" s="19">
        <v>41752</v>
      </c>
      <c r="C493" s="8" t="s">
        <v>51</v>
      </c>
      <c r="D493" s="8">
        <v>10006</v>
      </c>
      <c r="E493" s="8" t="s">
        <v>445</v>
      </c>
      <c r="F493" s="8" t="s">
        <v>50</v>
      </c>
      <c r="G493" s="36">
        <f>VLOOKUP(E493,Flipkart!$A$1:$B$296,2,0)</f>
        <v>0.01</v>
      </c>
      <c r="H493" s="36">
        <f t="shared" ca="1" si="7"/>
        <v>0.01</v>
      </c>
      <c r="I493" s="36" t="str">
        <f>_xlfn.XLOOKUP(E493,'Product List'!$B$2:$B$299,'Product List'!$A$2:$A$299)</f>
        <v>Xerox 1882</v>
      </c>
      <c r="J493" s="36"/>
      <c r="K493" s="36"/>
      <c r="L493" s="36"/>
      <c r="M493" s="36"/>
      <c r="N493" s="36"/>
    </row>
    <row r="494" spans="1:14">
      <c r="A494" s="8" t="s">
        <v>620</v>
      </c>
      <c r="B494" s="19">
        <v>41753</v>
      </c>
      <c r="C494" s="8" t="s">
        <v>27</v>
      </c>
      <c r="D494" s="8">
        <v>10006</v>
      </c>
      <c r="E494" s="8" t="s">
        <v>84</v>
      </c>
      <c r="F494" s="8" t="s">
        <v>43</v>
      </c>
      <c r="G494" s="36">
        <f>VLOOKUP(E494,Flipkart!$A$1:$B$296,2,0)</f>
        <v>0.01</v>
      </c>
      <c r="H494" s="36">
        <f t="shared" ca="1" si="7"/>
        <v>0</v>
      </c>
      <c r="I494" s="36" t="str">
        <f>_xlfn.XLOOKUP(E494,'Product List'!$B$2:$B$299,'Product List'!$A$2:$A$299)</f>
        <v>Xerox 1979</v>
      </c>
      <c r="J494" s="36"/>
      <c r="K494" s="36"/>
      <c r="L494" s="36"/>
      <c r="M494" s="36"/>
      <c r="N494" s="36"/>
    </row>
    <row r="495" spans="1:14">
      <c r="A495" s="8" t="s">
        <v>621</v>
      </c>
      <c r="B495" s="19">
        <v>41753</v>
      </c>
      <c r="C495" s="8" t="s">
        <v>51</v>
      </c>
      <c r="D495" s="8">
        <v>10001</v>
      </c>
      <c r="E495" s="8" t="s">
        <v>622</v>
      </c>
      <c r="F495" s="8" t="s">
        <v>43</v>
      </c>
      <c r="G495" s="36">
        <f>VLOOKUP(E495,Flipkart!$A$1:$B$296,2,0)</f>
        <v>0.01</v>
      </c>
      <c r="H495" s="36">
        <f t="shared" ca="1" si="7"/>
        <v>0.01</v>
      </c>
      <c r="I495" s="36" t="str">
        <f>_xlfn.XLOOKUP(E495,'Product List'!$B$2:$B$299,'Product List'!$A$2:$A$299)</f>
        <v>Xerox 1995</v>
      </c>
      <c r="J495" s="36"/>
      <c r="K495" s="36"/>
      <c r="L495" s="36"/>
      <c r="M495" s="36"/>
      <c r="N495" s="36"/>
    </row>
    <row r="496" spans="1:14">
      <c r="A496" s="8" t="s">
        <v>620</v>
      </c>
      <c r="B496" s="19">
        <v>41753</v>
      </c>
      <c r="C496" s="8" t="s">
        <v>44</v>
      </c>
      <c r="D496" s="8">
        <v>10003</v>
      </c>
      <c r="E496" s="8" t="s">
        <v>451</v>
      </c>
      <c r="F496" s="8" t="s">
        <v>40</v>
      </c>
      <c r="G496" s="36">
        <f>VLOOKUP(E496,Flipkart!$A$1:$B$296,2,0)</f>
        <v>0.01</v>
      </c>
      <c r="H496" s="36">
        <f t="shared" ca="1" si="7"/>
        <v>0.02</v>
      </c>
      <c r="I496" s="36" t="str">
        <f>_xlfn.XLOOKUP(E496,'Product List'!$B$2:$B$299,'Product List'!$A$2:$A$299)</f>
        <v>Xerox 1903</v>
      </c>
      <c r="J496" s="36"/>
      <c r="K496" s="36"/>
      <c r="L496" s="36"/>
      <c r="M496" s="36"/>
      <c r="N496" s="36"/>
    </row>
    <row r="497" spans="1:14">
      <c r="A497" s="8" t="s">
        <v>623</v>
      </c>
      <c r="B497" s="19">
        <v>41756</v>
      </c>
      <c r="C497" s="8" t="s">
        <v>44</v>
      </c>
      <c r="D497" s="8">
        <v>10010</v>
      </c>
      <c r="E497" s="8" t="s">
        <v>311</v>
      </c>
      <c r="F497" s="8" t="s">
        <v>32</v>
      </c>
      <c r="G497" s="36">
        <f>VLOOKUP(E497,Flipkart!$A$1:$B$296,2,0)</f>
        <v>0</v>
      </c>
      <c r="H497" s="36">
        <f t="shared" ca="1" si="7"/>
        <v>0.04</v>
      </c>
      <c r="I497" s="36" t="str">
        <f>_xlfn.XLOOKUP(E497,'Product List'!$B$2:$B$299,'Product List'!$A$2:$A$299)</f>
        <v>Xerox 1923</v>
      </c>
      <c r="J497" s="36"/>
      <c r="K497" s="36"/>
      <c r="L497" s="36"/>
      <c r="M497" s="36"/>
      <c r="N497" s="36"/>
    </row>
    <row r="498" spans="1:14">
      <c r="A498" s="8" t="s">
        <v>624</v>
      </c>
      <c r="B498" s="19">
        <v>41759</v>
      </c>
      <c r="C498" s="8" t="s">
        <v>54</v>
      </c>
      <c r="D498" s="8">
        <v>10004</v>
      </c>
      <c r="E498" s="8" t="s">
        <v>583</v>
      </c>
      <c r="F498" s="8" t="s">
        <v>40</v>
      </c>
      <c r="G498" s="36">
        <f>VLOOKUP(E498,Flipkart!$A$1:$B$296,2,0)</f>
        <v>0.02</v>
      </c>
      <c r="H498" s="36">
        <f t="shared" ca="1" si="7"/>
        <v>0.01</v>
      </c>
      <c r="I498" s="36" t="str">
        <f>_xlfn.XLOOKUP(E498,'Product List'!$B$2:$B$299,'Product List'!$A$2:$A$299)</f>
        <v>Cisco SPA508G</v>
      </c>
      <c r="J498" s="36"/>
      <c r="K498" s="36"/>
      <c r="L498" s="36"/>
      <c r="M498" s="36"/>
      <c r="N498" s="36"/>
    </row>
    <row r="499" spans="1:14">
      <c r="A499" s="8" t="s">
        <v>625</v>
      </c>
      <c r="B499" s="19">
        <v>41760</v>
      </c>
      <c r="C499" s="8" t="s">
        <v>33</v>
      </c>
      <c r="D499" s="8">
        <v>10001</v>
      </c>
      <c r="E499" s="8" t="s">
        <v>321</v>
      </c>
      <c r="F499" s="8" t="s">
        <v>40</v>
      </c>
      <c r="G499" s="36">
        <f>VLOOKUP(E499,Flipkart!$A$1:$B$296,2,0)</f>
        <v>0</v>
      </c>
      <c r="H499" s="36">
        <f t="shared" ca="1" si="7"/>
        <v>0</v>
      </c>
      <c r="I499" s="36" t="str">
        <f>_xlfn.XLOOKUP(E499,'Product List'!$B$2:$B$299,'Product List'!$A$2:$A$299)</f>
        <v>Xerox 1938</v>
      </c>
      <c r="J499" s="36"/>
      <c r="K499" s="36"/>
      <c r="L499" s="36"/>
      <c r="M499" s="36"/>
      <c r="N499" s="36"/>
    </row>
    <row r="500" spans="1:14">
      <c r="A500" s="8" t="s">
        <v>626</v>
      </c>
      <c r="B500" s="19">
        <v>41761</v>
      </c>
      <c r="C500" s="8" t="s">
        <v>27</v>
      </c>
      <c r="D500" s="8">
        <v>10008</v>
      </c>
      <c r="E500" s="8" t="s">
        <v>394</v>
      </c>
      <c r="F500" s="8" t="s">
        <v>32</v>
      </c>
      <c r="G500" s="36">
        <f>VLOOKUP(E500,Flipkart!$A$1:$B$296,2,0)</f>
        <v>0.04</v>
      </c>
      <c r="H500" s="36">
        <f t="shared" ca="1" si="7"/>
        <v>0</v>
      </c>
      <c r="I500" s="36" t="str">
        <f>_xlfn.XLOOKUP(E500,'Product List'!$B$2:$B$299,'Product List'!$A$2:$A$299)</f>
        <v>GE 30524EE4</v>
      </c>
      <c r="J500" s="36"/>
      <c r="K500" s="36"/>
      <c r="L500" s="36"/>
      <c r="M500" s="36"/>
      <c r="N500" s="36"/>
    </row>
    <row r="501" spans="1:14">
      <c r="A501" s="8" t="s">
        <v>626</v>
      </c>
      <c r="B501" s="19">
        <v>41761</v>
      </c>
      <c r="C501" s="8" t="s">
        <v>27</v>
      </c>
      <c r="D501" s="8">
        <v>10005</v>
      </c>
      <c r="E501" s="8" t="s">
        <v>356</v>
      </c>
      <c r="F501" s="8" t="s">
        <v>50</v>
      </c>
      <c r="G501" s="36">
        <f>VLOOKUP(E501,Flipkart!$A$1:$B$296,2,0)</f>
        <v>0.04</v>
      </c>
      <c r="H501" s="36">
        <f t="shared" ca="1" si="7"/>
        <v>0.02</v>
      </c>
      <c r="I501" s="36" t="str">
        <f>_xlfn.XLOOKUP(E501,'Product List'!$B$2:$B$299,'Product List'!$A$2:$A$299)</f>
        <v>Newell 32</v>
      </c>
      <c r="J501" s="36"/>
      <c r="K501" s="36"/>
      <c r="L501" s="36"/>
      <c r="M501" s="36"/>
      <c r="N501" s="36"/>
    </row>
    <row r="502" spans="1:14">
      <c r="A502" s="8" t="s">
        <v>626</v>
      </c>
      <c r="B502" s="19">
        <v>41761</v>
      </c>
      <c r="C502" s="8" t="s">
        <v>27</v>
      </c>
      <c r="D502" s="8">
        <v>10010</v>
      </c>
      <c r="E502" s="8" t="s">
        <v>186</v>
      </c>
      <c r="F502" s="8" t="s">
        <v>35</v>
      </c>
      <c r="G502" s="36">
        <f>VLOOKUP(E502,Flipkart!$A$1:$B$296,2,0)</f>
        <v>0</v>
      </c>
      <c r="H502" s="36">
        <f t="shared" ca="1" si="7"/>
        <v>0</v>
      </c>
      <c r="I502" s="36" t="str">
        <f>_xlfn.XLOOKUP(E502,'Product List'!$B$2:$B$299,'Product List'!$A$2:$A$299)</f>
        <v>Avery 478</v>
      </c>
      <c r="J502" s="36"/>
      <c r="K502" s="36"/>
      <c r="L502" s="36"/>
      <c r="M502" s="36"/>
      <c r="N502" s="36"/>
    </row>
    <row r="503" spans="1:14">
      <c r="A503" s="8" t="s">
        <v>627</v>
      </c>
      <c r="B503" s="19">
        <v>41762</v>
      </c>
      <c r="C503" s="8" t="s">
        <v>44</v>
      </c>
      <c r="D503" s="8">
        <v>10014</v>
      </c>
      <c r="E503" s="8" t="s">
        <v>420</v>
      </c>
      <c r="F503" s="8" t="s">
        <v>29</v>
      </c>
      <c r="G503" s="36">
        <f>VLOOKUP(E503,Flipkart!$A$1:$B$296,2,0)</f>
        <v>0.05</v>
      </c>
      <c r="H503" s="36">
        <f t="shared" ca="1" si="7"/>
        <v>0.04</v>
      </c>
      <c r="I503" s="36" t="str">
        <f>_xlfn.XLOOKUP(E503,'Product List'!$B$2:$B$299,'Product List'!$A$2:$A$299)</f>
        <v>Xerox 1972</v>
      </c>
      <c r="J503" s="36"/>
      <c r="K503" s="36"/>
      <c r="L503" s="36"/>
      <c r="M503" s="36"/>
      <c r="N503" s="36"/>
    </row>
    <row r="504" spans="1:14">
      <c r="A504" s="8" t="s">
        <v>628</v>
      </c>
      <c r="B504" s="19">
        <v>41763</v>
      </c>
      <c r="C504" s="8" t="s">
        <v>36</v>
      </c>
      <c r="D504" s="8">
        <v>10010</v>
      </c>
      <c r="E504" s="8" t="s">
        <v>195</v>
      </c>
      <c r="F504" s="8" t="s">
        <v>35</v>
      </c>
      <c r="G504" s="36">
        <f>VLOOKUP(E504,Flipkart!$A$1:$B$296,2,0)</f>
        <v>0.02</v>
      </c>
      <c r="H504" s="36">
        <f t="shared" ca="1" si="7"/>
        <v>0.02</v>
      </c>
      <c r="I504" s="36" t="str">
        <f>_xlfn.XLOOKUP(E504,'Product List'!$B$2:$B$299,'Product List'!$A$2:$A$299)</f>
        <v>Newell 335</v>
      </c>
      <c r="J504" s="36"/>
      <c r="K504" s="36"/>
      <c r="L504" s="36"/>
      <c r="M504" s="36"/>
      <c r="N504" s="36"/>
    </row>
    <row r="505" spans="1:14">
      <c r="A505" s="8" t="s">
        <v>628</v>
      </c>
      <c r="B505" s="19">
        <v>41763</v>
      </c>
      <c r="C505" s="8" t="s">
        <v>27</v>
      </c>
      <c r="D505" s="8">
        <v>10003</v>
      </c>
      <c r="E505" s="8" t="s">
        <v>337</v>
      </c>
      <c r="F505" s="8" t="s">
        <v>35</v>
      </c>
      <c r="G505" s="36">
        <f>VLOOKUP(E505,Flipkart!$A$1:$B$296,2,0)</f>
        <v>0.04</v>
      </c>
      <c r="H505" s="36">
        <f t="shared" ca="1" si="7"/>
        <v>0.04</v>
      </c>
      <c r="I505" s="36" t="str">
        <f>_xlfn.XLOOKUP(E505,'Product List'!$B$2:$B$299,'Product List'!$A$2:$A$299)</f>
        <v>Avery 487</v>
      </c>
      <c r="J505" s="36"/>
      <c r="K505" s="36"/>
      <c r="L505" s="36"/>
      <c r="M505" s="36"/>
      <c r="N505" s="36"/>
    </row>
    <row r="506" spans="1:14">
      <c r="A506" s="8" t="s">
        <v>628</v>
      </c>
      <c r="B506" s="19">
        <v>41763</v>
      </c>
      <c r="C506" s="8" t="s">
        <v>54</v>
      </c>
      <c r="D506" s="8">
        <v>10015</v>
      </c>
      <c r="E506" s="8" t="s">
        <v>312</v>
      </c>
      <c r="F506" s="8" t="s">
        <v>32</v>
      </c>
      <c r="G506" s="36">
        <f>VLOOKUP(E506,Flipkart!$A$1:$B$296,2,0)</f>
        <v>0.01</v>
      </c>
      <c r="H506" s="36">
        <f t="shared" ca="1" si="7"/>
        <v>0.05</v>
      </c>
      <c r="I506" s="36" t="str">
        <f>_xlfn.XLOOKUP(E506,'Product List'!$B$2:$B$299,'Product List'!$A$2:$A$299)</f>
        <v>Avery 492</v>
      </c>
      <c r="J506" s="36"/>
      <c r="K506" s="36"/>
      <c r="L506" s="36"/>
      <c r="M506" s="36"/>
      <c r="N506" s="36"/>
    </row>
    <row r="507" spans="1:14">
      <c r="A507" s="8" t="s">
        <v>629</v>
      </c>
      <c r="B507" s="19">
        <v>41764</v>
      </c>
      <c r="C507" s="8" t="s">
        <v>46</v>
      </c>
      <c r="D507" s="8">
        <v>10015</v>
      </c>
      <c r="E507" s="8" t="s">
        <v>145</v>
      </c>
      <c r="F507" s="8" t="s">
        <v>35</v>
      </c>
      <c r="G507" s="36">
        <f>VLOOKUP(E507,Flipkart!$A$1:$B$296,2,0)</f>
        <v>0</v>
      </c>
      <c r="H507" s="36">
        <f t="shared" ca="1" si="7"/>
        <v>0</v>
      </c>
      <c r="I507" s="36" t="str">
        <f>_xlfn.XLOOKUP(E507,'Product List'!$B$2:$B$299,'Product List'!$A$2:$A$299)</f>
        <v>Xerox 1913</v>
      </c>
      <c r="J507" s="36"/>
      <c r="K507" s="36"/>
      <c r="L507" s="36"/>
      <c r="M507" s="36"/>
      <c r="N507" s="36"/>
    </row>
    <row r="508" spans="1:14">
      <c r="A508" s="8" t="s">
        <v>630</v>
      </c>
      <c r="B508" s="19">
        <v>41765</v>
      </c>
      <c r="C508" s="8" t="s">
        <v>33</v>
      </c>
      <c r="D508" s="8">
        <v>10014</v>
      </c>
      <c r="E508" s="8" t="s">
        <v>57</v>
      </c>
      <c r="F508" s="8" t="s">
        <v>35</v>
      </c>
      <c r="G508" s="36">
        <f>VLOOKUP(E508,Flipkart!$A$1:$B$296,2,0)</f>
        <v>0.01</v>
      </c>
      <c r="H508" s="36">
        <f t="shared" ca="1" si="7"/>
        <v>0.01</v>
      </c>
      <c r="I508" s="36" t="str">
        <f>_xlfn.XLOOKUP(E508,'Product List'!$B$2:$B$299,'Product List'!$A$2:$A$299)</f>
        <v>Xerox 1886</v>
      </c>
      <c r="J508" s="36"/>
      <c r="K508" s="36"/>
      <c r="L508" s="36"/>
      <c r="M508" s="36"/>
      <c r="N508" s="36"/>
    </row>
    <row r="509" spans="1:14">
      <c r="A509" s="8" t="s">
        <v>631</v>
      </c>
      <c r="B509" s="19">
        <v>41766</v>
      </c>
      <c r="C509" s="8" t="s">
        <v>36</v>
      </c>
      <c r="D509" s="8">
        <v>10005</v>
      </c>
      <c r="E509" s="8" t="s">
        <v>122</v>
      </c>
      <c r="F509" s="8" t="s">
        <v>29</v>
      </c>
      <c r="G509" s="36">
        <f>VLOOKUP(E509,Flipkart!$A$1:$B$296,2,0)</f>
        <v>0.01</v>
      </c>
      <c r="H509" s="36">
        <f t="shared" ca="1" si="7"/>
        <v>0.03</v>
      </c>
      <c r="I509" s="36" t="str">
        <f>_xlfn.XLOOKUP(E509,'Product List'!$B$2:$B$299,'Product List'!$A$2:$A$299)</f>
        <v>Avery 510</v>
      </c>
      <c r="J509" s="36"/>
      <c r="K509" s="36"/>
      <c r="L509" s="36"/>
      <c r="M509" s="36"/>
      <c r="N509" s="36"/>
    </row>
    <row r="510" spans="1:14">
      <c r="A510" s="8" t="s">
        <v>632</v>
      </c>
      <c r="B510" s="19">
        <v>41770</v>
      </c>
      <c r="C510" s="8" t="s">
        <v>36</v>
      </c>
      <c r="D510" s="8">
        <v>10012</v>
      </c>
      <c r="E510" s="8" t="s">
        <v>131</v>
      </c>
      <c r="F510" s="8" t="s">
        <v>43</v>
      </c>
      <c r="G510" s="36">
        <f>VLOOKUP(E510,Flipkart!$A$1:$B$296,2,0)</f>
        <v>0.01</v>
      </c>
      <c r="H510" s="36">
        <f t="shared" ca="1" si="7"/>
        <v>0.01</v>
      </c>
      <c r="I510" s="36" t="str">
        <f>_xlfn.XLOOKUP(E510,'Product List'!$B$2:$B$299,'Product List'!$A$2:$A$299)</f>
        <v>Avery 490</v>
      </c>
      <c r="J510" s="36"/>
      <c r="K510" s="36"/>
      <c r="L510" s="36"/>
      <c r="M510" s="36"/>
      <c r="N510" s="36"/>
    </row>
    <row r="511" spans="1:14">
      <c r="A511" s="8" t="s">
        <v>633</v>
      </c>
      <c r="B511" s="19">
        <v>41774</v>
      </c>
      <c r="C511" s="8" t="s">
        <v>51</v>
      </c>
      <c r="D511" s="8">
        <v>10009</v>
      </c>
      <c r="E511" s="8" t="s">
        <v>291</v>
      </c>
      <c r="F511" s="8" t="s">
        <v>40</v>
      </c>
      <c r="G511" s="36">
        <f>VLOOKUP(E511,Flipkart!$A$1:$B$296,2,0)</f>
        <v>0.03</v>
      </c>
      <c r="H511" s="36">
        <f t="shared" ca="1" si="7"/>
        <v>0.03</v>
      </c>
      <c r="I511" s="36" t="str">
        <f>_xlfn.XLOOKUP(E511,'Product List'!$B$2:$B$299,'Product List'!$A$2:$A$299)</f>
        <v>Xerox 1990</v>
      </c>
      <c r="J511" s="36"/>
      <c r="K511" s="36"/>
      <c r="L511" s="36"/>
      <c r="M511" s="36"/>
      <c r="N511" s="36"/>
    </row>
    <row r="512" spans="1:14">
      <c r="A512" s="8" t="s">
        <v>634</v>
      </c>
      <c r="B512" s="19">
        <v>41777</v>
      </c>
      <c r="C512" s="8" t="s">
        <v>51</v>
      </c>
      <c r="D512" s="8">
        <v>10014</v>
      </c>
      <c r="E512" s="8" t="s">
        <v>145</v>
      </c>
      <c r="F512" s="8" t="s">
        <v>29</v>
      </c>
      <c r="G512" s="36">
        <f>VLOOKUP(E512,Flipkart!$A$1:$B$296,2,0)</f>
        <v>0</v>
      </c>
      <c r="H512" s="36">
        <f t="shared" ca="1" si="7"/>
        <v>0.05</v>
      </c>
      <c r="I512" s="36" t="str">
        <f>_xlfn.XLOOKUP(E512,'Product List'!$B$2:$B$299,'Product List'!$A$2:$A$299)</f>
        <v>Xerox 1913</v>
      </c>
      <c r="J512" s="36"/>
      <c r="K512" s="36"/>
      <c r="L512" s="36"/>
      <c r="M512" s="36"/>
      <c r="N512" s="36"/>
    </row>
    <row r="513" spans="1:14">
      <c r="A513" s="8" t="s">
        <v>634</v>
      </c>
      <c r="B513" s="19">
        <v>41777</v>
      </c>
      <c r="C513" s="8" t="s">
        <v>51</v>
      </c>
      <c r="D513" s="8">
        <v>10005</v>
      </c>
      <c r="E513" s="8" t="s">
        <v>511</v>
      </c>
      <c r="F513" s="8" t="s">
        <v>29</v>
      </c>
      <c r="G513" s="36">
        <f>VLOOKUP(E513,Flipkart!$A$1:$B$296,2,0)</f>
        <v>0.03</v>
      </c>
      <c r="H513" s="36">
        <f t="shared" ca="1" si="7"/>
        <v>0.03</v>
      </c>
      <c r="I513" s="36" t="str">
        <f>_xlfn.XLOOKUP(E513,'Product List'!$B$2:$B$299,'Product List'!$A$2:$A$299)</f>
        <v>Xerox 1999</v>
      </c>
      <c r="J513" s="36"/>
      <c r="K513" s="36"/>
      <c r="L513" s="36"/>
      <c r="M513" s="36"/>
      <c r="N513" s="36"/>
    </row>
    <row r="514" spans="1:14">
      <c r="A514" s="8" t="s">
        <v>635</v>
      </c>
      <c r="B514" s="19">
        <v>41777</v>
      </c>
      <c r="C514" s="8" t="s">
        <v>66</v>
      </c>
      <c r="D514" s="8">
        <v>10008</v>
      </c>
      <c r="E514" s="8" t="s">
        <v>151</v>
      </c>
      <c r="F514" s="8" t="s">
        <v>32</v>
      </c>
      <c r="G514" s="36">
        <f>VLOOKUP(E514,Flipkart!$A$1:$B$296,2,0)</f>
        <v>0.01</v>
      </c>
      <c r="H514" s="36">
        <f t="shared" ca="1" si="7"/>
        <v>0.03</v>
      </c>
      <c r="I514" s="36" t="str">
        <f>_xlfn.XLOOKUP(E514,'Product List'!$B$2:$B$299,'Product List'!$A$2:$A$299)</f>
        <v>Newell 346</v>
      </c>
      <c r="J514" s="36"/>
      <c r="K514" s="36"/>
      <c r="L514" s="36"/>
      <c r="M514" s="36"/>
      <c r="N514" s="36"/>
    </row>
    <row r="515" spans="1:14">
      <c r="A515" s="8" t="s">
        <v>634</v>
      </c>
      <c r="B515" s="19">
        <v>41777</v>
      </c>
      <c r="C515" s="8" t="s">
        <v>54</v>
      </c>
      <c r="D515" s="8">
        <v>10015</v>
      </c>
      <c r="E515" s="8" t="s">
        <v>476</v>
      </c>
      <c r="F515" s="8" t="s">
        <v>29</v>
      </c>
      <c r="G515" s="36">
        <f>VLOOKUP(E515,Flipkart!$A$1:$B$296,2,0)</f>
        <v>0.04</v>
      </c>
      <c r="H515" s="36">
        <f t="shared" ca="1" si="7"/>
        <v>0</v>
      </c>
      <c r="I515" s="36" t="str">
        <f>_xlfn.XLOOKUP(E515,'Product List'!$B$2:$B$299,'Product List'!$A$2:$A$299)</f>
        <v>Xerox 200</v>
      </c>
      <c r="J515" s="36"/>
      <c r="K515" s="36"/>
      <c r="L515" s="36"/>
      <c r="M515" s="36"/>
      <c r="N515" s="36"/>
    </row>
    <row r="516" spans="1:14">
      <c r="A516" s="8" t="s">
        <v>636</v>
      </c>
      <c r="B516" s="19">
        <v>41779</v>
      </c>
      <c r="C516" s="8" t="s">
        <v>36</v>
      </c>
      <c r="D516" s="8">
        <v>10007</v>
      </c>
      <c r="E516" s="8" t="s">
        <v>558</v>
      </c>
      <c r="F516" s="8" t="s">
        <v>43</v>
      </c>
      <c r="G516" s="36">
        <f>VLOOKUP(E516,Flipkart!$A$1:$B$296,2,0)</f>
        <v>0.03</v>
      </c>
      <c r="H516" s="36">
        <f t="shared" ref="H516:H579" ca="1" si="8">VLOOKUP(E516,INDIRECT(F516&amp;"!$A$1:$B$296"),2,0)</f>
        <v>0.02</v>
      </c>
      <c r="I516" s="36" t="str">
        <f>_xlfn.XLOOKUP(E516,'Product List'!$B$2:$B$299,'Product List'!$A$2:$A$299)</f>
        <v>Xerox 206</v>
      </c>
      <c r="J516" s="36"/>
      <c r="K516" s="36"/>
      <c r="L516" s="36"/>
      <c r="M516" s="36"/>
      <c r="N516" s="36"/>
    </row>
    <row r="517" spans="1:14">
      <c r="A517" s="8" t="s">
        <v>637</v>
      </c>
      <c r="B517" s="19">
        <v>41779</v>
      </c>
      <c r="C517" s="8" t="s">
        <v>51</v>
      </c>
      <c r="D517" s="8">
        <v>10002</v>
      </c>
      <c r="E517" s="8" t="s">
        <v>459</v>
      </c>
      <c r="F517" s="8" t="s">
        <v>32</v>
      </c>
      <c r="G517" s="36">
        <f>VLOOKUP(E517,Flipkart!$A$1:$B$296,2,0)</f>
        <v>0.01</v>
      </c>
      <c r="H517" s="36">
        <f t="shared" ca="1" si="8"/>
        <v>0.01</v>
      </c>
      <c r="I517" s="36" t="str">
        <f>_xlfn.XLOOKUP(E517,'Product List'!$B$2:$B$299,'Product List'!$A$2:$A$299)</f>
        <v>Xerox 1917</v>
      </c>
      <c r="J517" s="36"/>
      <c r="K517" s="36"/>
      <c r="L517" s="36"/>
      <c r="M517" s="36"/>
      <c r="N517" s="36"/>
    </row>
    <row r="518" spans="1:14">
      <c r="A518" s="8" t="s">
        <v>636</v>
      </c>
      <c r="B518" s="19">
        <v>41779</v>
      </c>
      <c r="C518" s="8" t="s">
        <v>27</v>
      </c>
      <c r="D518" s="8">
        <v>10014</v>
      </c>
      <c r="E518" s="8" t="s">
        <v>487</v>
      </c>
      <c r="F518" s="8" t="s">
        <v>35</v>
      </c>
      <c r="G518" s="36">
        <f>VLOOKUP(E518,Flipkart!$A$1:$B$296,2,0)</f>
        <v>0.05</v>
      </c>
      <c r="H518" s="36">
        <f t="shared" ca="1" si="8"/>
        <v>0.05</v>
      </c>
      <c r="I518" s="36" t="str">
        <f>_xlfn.XLOOKUP(E518,'Product List'!$B$2:$B$299,'Product List'!$A$2:$A$299)</f>
        <v>Xerox 1949</v>
      </c>
      <c r="J518" s="36"/>
      <c r="K518" s="36"/>
      <c r="L518" s="36"/>
      <c r="M518" s="36"/>
      <c r="N518" s="36"/>
    </row>
    <row r="519" spans="1:14">
      <c r="A519" s="8" t="s">
        <v>636</v>
      </c>
      <c r="B519" s="19">
        <v>41779</v>
      </c>
      <c r="C519" s="8" t="s">
        <v>33</v>
      </c>
      <c r="D519" s="8">
        <v>10014</v>
      </c>
      <c r="E519" s="8" t="s">
        <v>84</v>
      </c>
      <c r="F519" s="8" t="s">
        <v>50</v>
      </c>
      <c r="G519" s="36">
        <f>VLOOKUP(E519,Flipkart!$A$1:$B$296,2,0)</f>
        <v>0.01</v>
      </c>
      <c r="H519" s="36">
        <f t="shared" ca="1" si="8"/>
        <v>0.01</v>
      </c>
      <c r="I519" s="36" t="str">
        <f>_xlfn.XLOOKUP(E519,'Product List'!$B$2:$B$299,'Product List'!$A$2:$A$299)</f>
        <v>Xerox 1979</v>
      </c>
      <c r="J519" s="36"/>
      <c r="K519" s="36"/>
      <c r="L519" s="36"/>
      <c r="M519" s="36"/>
      <c r="N519" s="36"/>
    </row>
    <row r="520" spans="1:14">
      <c r="A520" s="8" t="s">
        <v>638</v>
      </c>
      <c r="B520" s="19">
        <v>41780</v>
      </c>
      <c r="C520" s="8" t="s">
        <v>66</v>
      </c>
      <c r="D520" s="8">
        <v>10011</v>
      </c>
      <c r="E520" s="8" t="s">
        <v>172</v>
      </c>
      <c r="F520" s="8" t="s">
        <v>40</v>
      </c>
      <c r="G520" s="36">
        <f>VLOOKUP(E520,Flipkart!$A$1:$B$296,2,0)</f>
        <v>0.04</v>
      </c>
      <c r="H520" s="36">
        <f t="shared" ca="1" si="8"/>
        <v>0.04</v>
      </c>
      <c r="I520" s="36" t="str">
        <f>_xlfn.XLOOKUP(E520,'Product List'!$B$2:$B$299,'Product List'!$A$2:$A$299)</f>
        <v>Xerox 223</v>
      </c>
      <c r="J520" s="36"/>
      <c r="K520" s="36"/>
      <c r="L520" s="36"/>
      <c r="M520" s="36"/>
      <c r="N520" s="36"/>
    </row>
    <row r="521" spans="1:14">
      <c r="A521" s="8" t="s">
        <v>638</v>
      </c>
      <c r="B521" s="19">
        <v>41780</v>
      </c>
      <c r="C521" s="8" t="s">
        <v>46</v>
      </c>
      <c r="D521" s="8">
        <v>10014</v>
      </c>
      <c r="E521" s="8" t="s">
        <v>116</v>
      </c>
      <c r="F521" s="8" t="s">
        <v>29</v>
      </c>
      <c r="G521" s="36">
        <f>VLOOKUP(E521,Flipkart!$A$1:$B$296,2,0)</f>
        <v>0.02</v>
      </c>
      <c r="H521" s="36">
        <f t="shared" ca="1" si="8"/>
        <v>0.05</v>
      </c>
      <c r="I521" s="36" t="str">
        <f>_xlfn.XLOOKUP(E521,'Product List'!$B$2:$B$299,'Product List'!$A$2:$A$299)</f>
        <v>Newell 326</v>
      </c>
      <c r="J521" s="36"/>
      <c r="K521" s="36"/>
      <c r="L521" s="36"/>
      <c r="M521" s="36"/>
      <c r="N521" s="36"/>
    </row>
    <row r="522" spans="1:14">
      <c r="A522" s="8" t="s">
        <v>639</v>
      </c>
      <c r="B522" s="19">
        <v>41782</v>
      </c>
      <c r="C522" s="8" t="s">
        <v>44</v>
      </c>
      <c r="D522" s="8">
        <v>10013</v>
      </c>
      <c r="E522" s="8" t="s">
        <v>640</v>
      </c>
      <c r="F522" s="8" t="s">
        <v>29</v>
      </c>
      <c r="G522" s="36">
        <f>VLOOKUP(E522,Flipkart!$A$1:$B$296,2,0)</f>
        <v>0.05</v>
      </c>
      <c r="H522" s="36">
        <f t="shared" ca="1" si="8"/>
        <v>0.04</v>
      </c>
      <c r="I522" s="36" t="str">
        <f>_xlfn.XLOOKUP(E522,'Product List'!$B$2:$B$299,'Product List'!$A$2:$A$299)</f>
        <v>Crate-A-Files</v>
      </c>
      <c r="J522" s="36"/>
      <c r="K522" s="36"/>
      <c r="L522" s="36"/>
      <c r="M522" s="36"/>
      <c r="N522" s="36"/>
    </row>
    <row r="523" spans="1:14">
      <c r="A523" s="8" t="s">
        <v>641</v>
      </c>
      <c r="B523" s="19">
        <v>41783</v>
      </c>
      <c r="C523" s="8" t="s">
        <v>44</v>
      </c>
      <c r="D523" s="8">
        <v>10008</v>
      </c>
      <c r="E523" s="8" t="s">
        <v>642</v>
      </c>
      <c r="F523" s="8" t="s">
        <v>50</v>
      </c>
      <c r="G523" s="36">
        <f>VLOOKUP(E523,Flipkart!$A$1:$B$296,2,0)</f>
        <v>0.04</v>
      </c>
      <c r="H523" s="36">
        <f t="shared" ca="1" si="8"/>
        <v>0.05</v>
      </c>
      <c r="I523" s="36" t="str">
        <f>_xlfn.XLOOKUP(E523,'Product List'!$B$2:$B$299,'Product List'!$A$2:$A$299)</f>
        <v>Xerox 1984</v>
      </c>
      <c r="J523" s="36"/>
      <c r="K523" s="36"/>
      <c r="L523" s="36"/>
      <c r="M523" s="36"/>
      <c r="N523" s="36"/>
    </row>
    <row r="524" spans="1:14">
      <c r="A524" s="8" t="s">
        <v>641</v>
      </c>
      <c r="B524" s="19">
        <v>41783</v>
      </c>
      <c r="C524" s="8" t="s">
        <v>54</v>
      </c>
      <c r="D524" s="8">
        <v>10006</v>
      </c>
      <c r="E524" s="8" t="s">
        <v>408</v>
      </c>
      <c r="F524" s="8" t="s">
        <v>50</v>
      </c>
      <c r="G524" s="36">
        <f>VLOOKUP(E524,Flipkart!$A$1:$B$296,2,0)</f>
        <v>0.02</v>
      </c>
      <c r="H524" s="36">
        <f t="shared" ca="1" si="8"/>
        <v>0</v>
      </c>
      <c r="I524" s="36" t="str">
        <f>_xlfn.XLOOKUP(E524,'Product List'!$B$2:$B$299,'Product List'!$A$2:$A$299)</f>
        <v>Xerox 1955</v>
      </c>
      <c r="J524" s="36"/>
      <c r="K524" s="36"/>
      <c r="L524" s="36"/>
      <c r="M524" s="36"/>
      <c r="N524" s="36"/>
    </row>
    <row r="525" spans="1:14">
      <c r="A525" s="8" t="s">
        <v>643</v>
      </c>
      <c r="B525" s="19">
        <v>41784</v>
      </c>
      <c r="C525" s="8" t="s">
        <v>51</v>
      </c>
      <c r="D525" s="8">
        <v>10004</v>
      </c>
      <c r="E525" s="8" t="s">
        <v>298</v>
      </c>
      <c r="F525" s="8" t="s">
        <v>40</v>
      </c>
      <c r="G525" s="36">
        <f>VLOOKUP(E525,Flipkart!$A$1:$B$296,2,0)</f>
        <v>0.04</v>
      </c>
      <c r="H525" s="36">
        <f t="shared" ca="1" si="8"/>
        <v>0</v>
      </c>
      <c r="I525" s="36" t="str">
        <f>_xlfn.XLOOKUP(E525,'Product List'!$B$2:$B$299,'Product List'!$A$2:$A$299)</f>
        <v>Xerox 216</v>
      </c>
      <c r="J525" s="36"/>
      <c r="K525" s="36"/>
      <c r="L525" s="36"/>
      <c r="M525" s="36"/>
      <c r="N525" s="36"/>
    </row>
    <row r="526" spans="1:14">
      <c r="A526" s="8" t="s">
        <v>644</v>
      </c>
      <c r="B526" s="19">
        <v>41787</v>
      </c>
      <c r="C526" s="8" t="s">
        <v>36</v>
      </c>
      <c r="D526" s="8">
        <v>10014</v>
      </c>
      <c r="E526" s="8" t="s">
        <v>116</v>
      </c>
      <c r="F526" s="8" t="s">
        <v>32</v>
      </c>
      <c r="G526" s="36">
        <f>VLOOKUP(E526,Flipkart!$A$1:$B$296,2,0)</f>
        <v>0.02</v>
      </c>
      <c r="H526" s="36">
        <f t="shared" ca="1" si="8"/>
        <v>0.05</v>
      </c>
      <c r="I526" s="36" t="str">
        <f>_xlfn.XLOOKUP(E526,'Product List'!$B$2:$B$299,'Product List'!$A$2:$A$299)</f>
        <v>Newell 326</v>
      </c>
      <c r="J526" s="36"/>
      <c r="K526" s="36"/>
      <c r="L526" s="36"/>
      <c r="M526" s="36"/>
      <c r="N526" s="36"/>
    </row>
    <row r="527" spans="1:14">
      <c r="A527" s="8" t="s">
        <v>645</v>
      </c>
      <c r="B527" s="19">
        <v>41787</v>
      </c>
      <c r="C527" s="8" t="s">
        <v>54</v>
      </c>
      <c r="D527" s="8">
        <v>10011</v>
      </c>
      <c r="E527" s="8" t="s">
        <v>425</v>
      </c>
      <c r="F527" s="8" t="s">
        <v>32</v>
      </c>
      <c r="G527" s="36">
        <f>VLOOKUP(E527,Flipkart!$A$1:$B$296,2,0)</f>
        <v>0</v>
      </c>
      <c r="H527" s="36">
        <f t="shared" ca="1" si="8"/>
        <v>0.03</v>
      </c>
      <c r="I527" s="36" t="str">
        <f>_xlfn.XLOOKUP(E527,'Product List'!$B$2:$B$299,'Product List'!$A$2:$A$299)</f>
        <v>Newell 327</v>
      </c>
      <c r="J527" s="36"/>
      <c r="K527" s="36"/>
      <c r="L527" s="36"/>
      <c r="M527" s="36"/>
      <c r="N527" s="36"/>
    </row>
    <row r="528" spans="1:14">
      <c r="A528" s="8" t="s">
        <v>645</v>
      </c>
      <c r="B528" s="19">
        <v>41787</v>
      </c>
      <c r="C528" s="8" t="s">
        <v>46</v>
      </c>
      <c r="D528" s="8">
        <v>10002</v>
      </c>
      <c r="E528" s="8" t="s">
        <v>597</v>
      </c>
      <c r="F528" s="8" t="s">
        <v>50</v>
      </c>
      <c r="G528" s="36">
        <f>VLOOKUP(E528,Flipkart!$A$1:$B$296,2,0)</f>
        <v>0.04</v>
      </c>
      <c r="H528" s="36">
        <f t="shared" ca="1" si="8"/>
        <v>0.03</v>
      </c>
      <c r="I528" s="36" t="str">
        <f>_xlfn.XLOOKUP(E528,'Product List'!$B$2:$B$299,'Product List'!$A$2:$A$299)</f>
        <v>Xerox 1959</v>
      </c>
      <c r="J528" s="36"/>
      <c r="K528" s="36"/>
      <c r="L528" s="36"/>
      <c r="M528" s="36"/>
      <c r="N528" s="36"/>
    </row>
    <row r="529" spans="1:14">
      <c r="A529" s="8" t="s">
        <v>646</v>
      </c>
      <c r="B529" s="19">
        <v>41787</v>
      </c>
      <c r="C529" s="8" t="s">
        <v>33</v>
      </c>
      <c r="D529" s="8">
        <v>10008</v>
      </c>
      <c r="E529" s="8" t="s">
        <v>518</v>
      </c>
      <c r="F529" s="8" t="s">
        <v>29</v>
      </c>
      <c r="G529" s="36">
        <f>VLOOKUP(E529,Flipkart!$A$1:$B$296,2,0)</f>
        <v>0.02</v>
      </c>
      <c r="H529" s="36">
        <f t="shared" ca="1" si="8"/>
        <v>0.02</v>
      </c>
      <c r="I529" s="36" t="str">
        <f>_xlfn.XLOOKUP(E529,'Product List'!$B$2:$B$299,'Product List'!$A$2:$A$299)</f>
        <v>Xerox 1931</v>
      </c>
      <c r="J529" s="36"/>
      <c r="K529" s="36"/>
      <c r="L529" s="36"/>
      <c r="M529" s="36"/>
      <c r="N529" s="36"/>
    </row>
    <row r="530" spans="1:14">
      <c r="A530" s="8" t="s">
        <v>645</v>
      </c>
      <c r="B530" s="19">
        <v>41787</v>
      </c>
      <c r="C530" s="8" t="s">
        <v>36</v>
      </c>
      <c r="D530" s="8">
        <v>10004</v>
      </c>
      <c r="E530" s="8" t="s">
        <v>240</v>
      </c>
      <c r="F530" s="8" t="s">
        <v>43</v>
      </c>
      <c r="G530" s="36">
        <f>VLOOKUP(E530,Flipkart!$A$1:$B$296,2,0)</f>
        <v>0.05</v>
      </c>
      <c r="H530" s="36">
        <f t="shared" ca="1" si="8"/>
        <v>0.03</v>
      </c>
      <c r="I530" s="36" t="str">
        <f>_xlfn.XLOOKUP(E530,'Product List'!$B$2:$B$299,'Product List'!$A$2:$A$299)</f>
        <v>Xerox 2</v>
      </c>
      <c r="J530" s="36"/>
      <c r="K530" s="36"/>
      <c r="L530" s="36"/>
      <c r="M530" s="36"/>
      <c r="N530" s="36"/>
    </row>
    <row r="531" spans="1:14">
      <c r="A531" s="8" t="s">
        <v>647</v>
      </c>
      <c r="B531" s="19">
        <v>41790</v>
      </c>
      <c r="C531" s="8" t="s">
        <v>33</v>
      </c>
      <c r="D531" s="8">
        <v>10015</v>
      </c>
      <c r="E531" s="8" t="s">
        <v>105</v>
      </c>
      <c r="F531" s="8" t="s">
        <v>40</v>
      </c>
      <c r="G531" s="36">
        <f>VLOOKUP(E531,Flipkart!$A$1:$B$296,2,0)</f>
        <v>0.05</v>
      </c>
      <c r="H531" s="36">
        <f t="shared" ca="1" si="8"/>
        <v>0.04</v>
      </c>
      <c r="I531" s="36" t="str">
        <f>_xlfn.XLOOKUP(E531,'Product List'!$B$2:$B$299,'Product List'!$A$2:$A$299)</f>
        <v>Xerox 201</v>
      </c>
      <c r="J531" s="36"/>
      <c r="K531" s="36"/>
      <c r="L531" s="36"/>
      <c r="M531" s="36"/>
      <c r="N531" s="36"/>
    </row>
    <row r="532" spans="1:14">
      <c r="A532" s="8" t="s">
        <v>647</v>
      </c>
      <c r="B532" s="19">
        <v>41790</v>
      </c>
      <c r="C532" s="8" t="s">
        <v>54</v>
      </c>
      <c r="D532" s="8">
        <v>10015</v>
      </c>
      <c r="E532" s="8" t="s">
        <v>256</v>
      </c>
      <c r="F532" s="8" t="s">
        <v>43</v>
      </c>
      <c r="G532" s="36">
        <f>VLOOKUP(E532,Flipkart!$A$1:$B$296,2,0)</f>
        <v>0.04</v>
      </c>
      <c r="H532" s="36">
        <f t="shared" ca="1" si="8"/>
        <v>0.04</v>
      </c>
      <c r="I532" s="36" t="str">
        <f>_xlfn.XLOOKUP(E532,'Product List'!$B$2:$B$299,'Product List'!$A$2:$A$299)</f>
        <v>Newell 313</v>
      </c>
      <c r="J532" s="36"/>
      <c r="K532" s="36"/>
      <c r="L532" s="36"/>
      <c r="M532" s="36"/>
      <c r="N532" s="36"/>
    </row>
    <row r="533" spans="1:14">
      <c r="A533" s="8" t="s">
        <v>648</v>
      </c>
      <c r="B533" s="19">
        <v>41793</v>
      </c>
      <c r="C533" s="8" t="s">
        <v>51</v>
      </c>
      <c r="D533" s="8">
        <v>10007</v>
      </c>
      <c r="E533" s="8" t="s">
        <v>649</v>
      </c>
      <c r="F533" s="8" t="s">
        <v>50</v>
      </c>
      <c r="G533" s="36">
        <f>VLOOKUP(E533,Flipkart!$A$1:$B$296,2,0)</f>
        <v>0</v>
      </c>
      <c r="H533" s="36">
        <f t="shared" ca="1" si="8"/>
        <v>0.04</v>
      </c>
      <c r="I533" s="36" t="str">
        <f>_xlfn.XLOOKUP(E533,'Product List'!$B$2:$B$299,'Product List'!$A$2:$A$299)</f>
        <v>Xerox 1969</v>
      </c>
      <c r="J533" s="36"/>
      <c r="K533" s="36"/>
      <c r="L533" s="36"/>
      <c r="M533" s="36"/>
      <c r="N533" s="36"/>
    </row>
    <row r="534" spans="1:14">
      <c r="A534" s="8" t="s">
        <v>650</v>
      </c>
      <c r="B534" s="19">
        <v>41793</v>
      </c>
      <c r="C534" s="8" t="s">
        <v>46</v>
      </c>
      <c r="D534" s="8">
        <v>10001</v>
      </c>
      <c r="E534" s="8" t="s">
        <v>439</v>
      </c>
      <c r="F534" s="8" t="s">
        <v>32</v>
      </c>
      <c r="G534" s="36">
        <f>VLOOKUP(E534,Flipkart!$A$1:$B$296,2,0)</f>
        <v>0.05</v>
      </c>
      <c r="H534" s="36">
        <f t="shared" ca="1" si="8"/>
        <v>0</v>
      </c>
      <c r="I534" s="36" t="str">
        <f>_xlfn.XLOOKUP(E534,'Product List'!$B$2:$B$299,'Product List'!$A$2:$A$299)</f>
        <v>Xerox 1919</v>
      </c>
      <c r="J534" s="36"/>
      <c r="K534" s="36"/>
      <c r="L534" s="36"/>
      <c r="M534" s="36"/>
      <c r="N534" s="36"/>
    </row>
    <row r="535" spans="1:14">
      <c r="A535" s="8" t="s">
        <v>648</v>
      </c>
      <c r="B535" s="19">
        <v>41793</v>
      </c>
      <c r="C535" s="8" t="s">
        <v>33</v>
      </c>
      <c r="D535" s="8">
        <v>10012</v>
      </c>
      <c r="E535" s="8" t="s">
        <v>324</v>
      </c>
      <c r="F535" s="8" t="s">
        <v>50</v>
      </c>
      <c r="G535" s="36">
        <f>VLOOKUP(E535,Flipkart!$A$1:$B$296,2,0)</f>
        <v>0.04</v>
      </c>
      <c r="H535" s="36">
        <f t="shared" ca="1" si="8"/>
        <v>0.05</v>
      </c>
      <c r="I535" s="36" t="str">
        <f>_xlfn.XLOOKUP(E535,'Product List'!$B$2:$B$299,'Product List'!$A$2:$A$299)</f>
        <v>Newell 31</v>
      </c>
      <c r="J535" s="36"/>
      <c r="K535" s="36"/>
      <c r="L535" s="36"/>
      <c r="M535" s="36"/>
      <c r="N535" s="36"/>
    </row>
    <row r="536" spans="1:14">
      <c r="A536" s="8" t="s">
        <v>650</v>
      </c>
      <c r="B536" s="19">
        <v>41793</v>
      </c>
      <c r="C536" s="8" t="s">
        <v>51</v>
      </c>
      <c r="D536" s="8">
        <v>10015</v>
      </c>
      <c r="E536" s="8" t="s">
        <v>361</v>
      </c>
      <c r="F536" s="8" t="s">
        <v>32</v>
      </c>
      <c r="G536" s="36">
        <f>VLOOKUP(E536,Flipkart!$A$1:$B$296,2,0)</f>
        <v>0.01</v>
      </c>
      <c r="H536" s="36">
        <f t="shared" ca="1" si="8"/>
        <v>0.05</v>
      </c>
      <c r="I536" s="36" t="str">
        <f>_xlfn.XLOOKUP(E536,'Product List'!$B$2:$B$299,'Product List'!$A$2:$A$299)</f>
        <v>Avery 518</v>
      </c>
      <c r="J536" s="36"/>
      <c r="K536" s="36"/>
      <c r="L536" s="36"/>
      <c r="M536" s="36"/>
      <c r="N536" s="36"/>
    </row>
    <row r="537" spans="1:14">
      <c r="A537" s="8" t="s">
        <v>648</v>
      </c>
      <c r="B537" s="19">
        <v>41793</v>
      </c>
      <c r="C537" s="8" t="s">
        <v>33</v>
      </c>
      <c r="D537" s="8">
        <v>10008</v>
      </c>
      <c r="E537" s="8" t="s">
        <v>110</v>
      </c>
      <c r="F537" s="8" t="s">
        <v>29</v>
      </c>
      <c r="G537" s="36">
        <f>VLOOKUP(E537,Flipkart!$A$1:$B$296,2,0)</f>
        <v>0.04</v>
      </c>
      <c r="H537" s="36">
        <f t="shared" ca="1" si="8"/>
        <v>0.04</v>
      </c>
      <c r="I537" s="36" t="str">
        <f>_xlfn.XLOOKUP(E537,'Product List'!$B$2:$B$299,'Product List'!$A$2:$A$299)</f>
        <v>Newell 332</v>
      </c>
      <c r="J537" s="36"/>
      <c r="K537" s="36"/>
      <c r="L537" s="36"/>
      <c r="M537" s="36"/>
      <c r="N537" s="36"/>
    </row>
    <row r="538" spans="1:14">
      <c r="A538" s="8" t="s">
        <v>651</v>
      </c>
      <c r="B538" s="19">
        <v>41794</v>
      </c>
      <c r="C538" s="8" t="s">
        <v>27</v>
      </c>
      <c r="D538" s="8">
        <v>10014</v>
      </c>
      <c r="E538" s="8" t="s">
        <v>309</v>
      </c>
      <c r="F538" s="8" t="s">
        <v>35</v>
      </c>
      <c r="G538" s="36">
        <f>VLOOKUP(E538,Flipkart!$A$1:$B$296,2,0)</f>
        <v>0.01</v>
      </c>
      <c r="H538" s="36">
        <f t="shared" ca="1" si="8"/>
        <v>0.01</v>
      </c>
      <c r="I538" s="36" t="str">
        <f>_xlfn.XLOOKUP(E538,'Product List'!$B$2:$B$299,'Product List'!$A$2:$A$299)</f>
        <v>Xerox 1996</v>
      </c>
      <c r="J538" s="36"/>
      <c r="K538" s="36"/>
      <c r="L538" s="36"/>
      <c r="M538" s="36"/>
      <c r="N538" s="36"/>
    </row>
    <row r="539" spans="1:14">
      <c r="A539" s="8" t="s">
        <v>652</v>
      </c>
      <c r="B539" s="19">
        <v>41794</v>
      </c>
      <c r="C539" s="8" t="s">
        <v>51</v>
      </c>
      <c r="D539" s="8">
        <v>10006</v>
      </c>
      <c r="E539" s="8" t="s">
        <v>403</v>
      </c>
      <c r="F539" s="8" t="s">
        <v>32</v>
      </c>
      <c r="G539" s="36">
        <f>VLOOKUP(E539,Flipkart!$A$1:$B$296,2,0)</f>
        <v>0.04</v>
      </c>
      <c r="H539" s="36">
        <f t="shared" ca="1" si="8"/>
        <v>0.05</v>
      </c>
      <c r="I539" s="36" t="str">
        <f>_xlfn.XLOOKUP(E539,'Product List'!$B$2:$B$299,'Product List'!$A$2:$A$299)</f>
        <v>Xerox 188</v>
      </c>
      <c r="J539" s="36"/>
      <c r="K539" s="36"/>
      <c r="L539" s="36"/>
      <c r="M539" s="36"/>
      <c r="N539" s="36"/>
    </row>
    <row r="540" spans="1:14">
      <c r="A540" s="8" t="s">
        <v>653</v>
      </c>
      <c r="B540" s="19">
        <v>41798</v>
      </c>
      <c r="C540" s="8" t="s">
        <v>33</v>
      </c>
      <c r="D540" s="8">
        <v>10012</v>
      </c>
      <c r="E540" s="8" t="s">
        <v>654</v>
      </c>
      <c r="F540" s="8" t="s">
        <v>35</v>
      </c>
      <c r="G540" s="36">
        <f>VLOOKUP(E540,Flipkart!$A$1:$B$296,2,0)</f>
        <v>0.01</v>
      </c>
      <c r="H540" s="36">
        <f t="shared" ca="1" si="8"/>
        <v>0.01</v>
      </c>
      <c r="I540" s="36" t="str">
        <f>_xlfn.XLOOKUP(E540,'Product List'!$B$2:$B$299,'Product List'!$A$2:$A$299)</f>
        <v>Xerox 1895</v>
      </c>
      <c r="J540" s="36"/>
      <c r="K540" s="36"/>
      <c r="L540" s="36"/>
      <c r="M540" s="36"/>
      <c r="N540" s="36"/>
    </row>
    <row r="541" spans="1:14">
      <c r="A541" s="8" t="s">
        <v>655</v>
      </c>
      <c r="B541" s="19">
        <v>41798</v>
      </c>
      <c r="C541" s="8" t="s">
        <v>66</v>
      </c>
      <c r="D541" s="8">
        <v>10014</v>
      </c>
      <c r="E541" s="8" t="s">
        <v>182</v>
      </c>
      <c r="F541" s="8" t="s">
        <v>43</v>
      </c>
      <c r="G541" s="36">
        <f>VLOOKUP(E541,Flipkart!$A$1:$B$296,2,0)</f>
        <v>0.04</v>
      </c>
      <c r="H541" s="36">
        <f t="shared" ca="1" si="8"/>
        <v>0.02</v>
      </c>
      <c r="I541" s="36" t="str">
        <f>_xlfn.XLOOKUP(E541,'Product List'!$B$2:$B$299,'Product List'!$A$2:$A$299)</f>
        <v>Newell 351</v>
      </c>
      <c r="J541" s="36"/>
      <c r="K541" s="36"/>
      <c r="L541" s="36"/>
      <c r="M541" s="36"/>
      <c r="N541" s="36"/>
    </row>
    <row r="542" spans="1:14">
      <c r="A542" s="8" t="s">
        <v>656</v>
      </c>
      <c r="B542" s="19">
        <v>41800</v>
      </c>
      <c r="C542" s="8" t="s">
        <v>44</v>
      </c>
      <c r="D542" s="8">
        <v>10011</v>
      </c>
      <c r="E542" s="8" t="s">
        <v>37</v>
      </c>
      <c r="F542" s="8" t="s">
        <v>40</v>
      </c>
      <c r="G542" s="36">
        <f>VLOOKUP(E542,Flipkart!$A$1:$B$296,2,0)</f>
        <v>0.03</v>
      </c>
      <c r="H542" s="36">
        <f t="shared" ca="1" si="8"/>
        <v>0.05</v>
      </c>
      <c r="I542" s="36" t="str">
        <f>_xlfn.XLOOKUP(E542,'Product List'!$B$2:$B$299,'Product List'!$A$2:$A$299)</f>
        <v>Avery 508</v>
      </c>
      <c r="J542" s="36"/>
      <c r="K542" s="36"/>
      <c r="L542" s="36"/>
      <c r="M542" s="36"/>
      <c r="N542" s="36"/>
    </row>
    <row r="543" spans="1:14">
      <c r="A543" s="8" t="s">
        <v>657</v>
      </c>
      <c r="B543" s="19">
        <v>41800</v>
      </c>
      <c r="C543" s="8" t="s">
        <v>44</v>
      </c>
      <c r="D543" s="8">
        <v>10006</v>
      </c>
      <c r="E543" s="8" t="s">
        <v>370</v>
      </c>
      <c r="F543" s="8" t="s">
        <v>43</v>
      </c>
      <c r="G543" s="36">
        <f>VLOOKUP(E543,Flipkart!$A$1:$B$296,2,0)</f>
        <v>0.05</v>
      </c>
      <c r="H543" s="36">
        <f t="shared" ca="1" si="8"/>
        <v>0</v>
      </c>
      <c r="I543" s="36" t="str">
        <f>_xlfn.XLOOKUP(E543,'Product List'!$B$2:$B$299,'Product List'!$A$2:$A$299)</f>
        <v>Avery 496</v>
      </c>
      <c r="J543" s="36"/>
      <c r="K543" s="36"/>
      <c r="L543" s="36"/>
      <c r="M543" s="36"/>
      <c r="N543" s="36"/>
    </row>
    <row r="544" spans="1:14">
      <c r="A544" s="8" t="s">
        <v>658</v>
      </c>
      <c r="B544" s="19">
        <v>41800</v>
      </c>
      <c r="C544" s="8" t="s">
        <v>33</v>
      </c>
      <c r="D544" s="8">
        <v>10007</v>
      </c>
      <c r="E544" s="8" t="s">
        <v>133</v>
      </c>
      <c r="F544" s="8" t="s">
        <v>32</v>
      </c>
      <c r="G544" s="36">
        <f>VLOOKUP(E544,Flipkart!$A$1:$B$296,2,0)</f>
        <v>0.02</v>
      </c>
      <c r="H544" s="36">
        <f t="shared" ca="1" si="8"/>
        <v>0</v>
      </c>
      <c r="I544" s="36" t="str">
        <f>_xlfn.XLOOKUP(E544,'Product List'!$B$2:$B$299,'Product List'!$A$2:$A$299)</f>
        <v>Xerox 213</v>
      </c>
      <c r="J544" s="36"/>
      <c r="K544" s="36"/>
      <c r="L544" s="36"/>
      <c r="M544" s="36"/>
      <c r="N544" s="36"/>
    </row>
    <row r="545" spans="1:14">
      <c r="A545" s="8" t="s">
        <v>657</v>
      </c>
      <c r="B545" s="19">
        <v>41800</v>
      </c>
      <c r="C545" s="8" t="s">
        <v>44</v>
      </c>
      <c r="D545" s="8">
        <v>10003</v>
      </c>
      <c r="E545" s="8" t="s">
        <v>65</v>
      </c>
      <c r="F545" s="8" t="s">
        <v>40</v>
      </c>
      <c r="G545" s="36">
        <f>VLOOKUP(E545,Flipkart!$A$1:$B$296,2,0)</f>
        <v>0</v>
      </c>
      <c r="H545" s="36">
        <f t="shared" ca="1" si="8"/>
        <v>0</v>
      </c>
      <c r="I545" s="36" t="str">
        <f>_xlfn.XLOOKUP(E545,'Product List'!$B$2:$B$299,'Product List'!$A$2:$A$299)</f>
        <v>Xerox 1963</v>
      </c>
      <c r="J545" s="36"/>
      <c r="K545" s="36"/>
      <c r="L545" s="36"/>
      <c r="M545" s="36"/>
      <c r="N545" s="36"/>
    </row>
    <row r="546" spans="1:14">
      <c r="A546" s="8" t="s">
        <v>657</v>
      </c>
      <c r="B546" s="19">
        <v>41800</v>
      </c>
      <c r="C546" s="8" t="s">
        <v>36</v>
      </c>
      <c r="D546" s="8">
        <v>10002</v>
      </c>
      <c r="E546" s="8" t="s">
        <v>659</v>
      </c>
      <c r="F546" s="8" t="s">
        <v>32</v>
      </c>
      <c r="G546" s="36">
        <f>VLOOKUP(E546,Flipkart!$A$1:$B$296,2,0)</f>
        <v>0.02</v>
      </c>
      <c r="H546" s="36">
        <f t="shared" ca="1" si="8"/>
        <v>0</v>
      </c>
      <c r="I546" s="36" t="str">
        <f>_xlfn.XLOOKUP(E546,'Product List'!$B$2:$B$299,'Product List'!$A$2:$A$299)</f>
        <v>Newell 312</v>
      </c>
      <c r="J546" s="36"/>
      <c r="K546" s="36"/>
      <c r="L546" s="36"/>
      <c r="M546" s="36"/>
      <c r="N546" s="36"/>
    </row>
    <row r="547" spans="1:14">
      <c r="A547" s="8" t="s">
        <v>660</v>
      </c>
      <c r="B547" s="19">
        <v>41802</v>
      </c>
      <c r="C547" s="8" t="s">
        <v>51</v>
      </c>
      <c r="D547" s="8">
        <v>10011</v>
      </c>
      <c r="E547" s="8" t="s">
        <v>420</v>
      </c>
      <c r="F547" s="8" t="s">
        <v>43</v>
      </c>
      <c r="G547" s="36">
        <f>VLOOKUP(E547,Flipkart!$A$1:$B$296,2,0)</f>
        <v>0.05</v>
      </c>
      <c r="H547" s="36">
        <f t="shared" ca="1" si="8"/>
        <v>0.01</v>
      </c>
      <c r="I547" s="36" t="str">
        <f>_xlfn.XLOOKUP(E547,'Product List'!$B$2:$B$299,'Product List'!$A$2:$A$299)</f>
        <v>Xerox 1972</v>
      </c>
      <c r="J547" s="36"/>
      <c r="K547" s="36"/>
      <c r="L547" s="36"/>
      <c r="M547" s="36"/>
      <c r="N547" s="36"/>
    </row>
    <row r="548" spans="1:14">
      <c r="A548" s="8" t="s">
        <v>660</v>
      </c>
      <c r="B548" s="19">
        <v>41802</v>
      </c>
      <c r="C548" s="8" t="s">
        <v>36</v>
      </c>
      <c r="D548" s="8">
        <v>10013</v>
      </c>
      <c r="E548" s="8" t="s">
        <v>65</v>
      </c>
      <c r="F548" s="8" t="s">
        <v>43</v>
      </c>
      <c r="G548" s="36">
        <f>VLOOKUP(E548,Flipkart!$A$1:$B$296,2,0)</f>
        <v>0</v>
      </c>
      <c r="H548" s="36">
        <f t="shared" ca="1" si="8"/>
        <v>0.05</v>
      </c>
      <c r="I548" s="36" t="str">
        <f>_xlfn.XLOOKUP(E548,'Product List'!$B$2:$B$299,'Product List'!$A$2:$A$299)</f>
        <v>Xerox 1963</v>
      </c>
      <c r="J548" s="36"/>
      <c r="K548" s="36"/>
      <c r="L548" s="36"/>
      <c r="M548" s="36"/>
      <c r="N548" s="36"/>
    </row>
    <row r="549" spans="1:14">
      <c r="A549" s="8" t="s">
        <v>661</v>
      </c>
      <c r="B549" s="19">
        <v>41803</v>
      </c>
      <c r="C549" s="8" t="s">
        <v>54</v>
      </c>
      <c r="D549" s="8">
        <v>10006</v>
      </c>
      <c r="E549" s="8" t="s">
        <v>605</v>
      </c>
      <c r="F549" s="8" t="s">
        <v>40</v>
      </c>
      <c r="G549" s="36">
        <f>VLOOKUP(E549,Flipkart!$A$1:$B$296,2,0)</f>
        <v>0.01</v>
      </c>
      <c r="H549" s="36">
        <f t="shared" ca="1" si="8"/>
        <v>0.04</v>
      </c>
      <c r="I549" s="36" t="str">
        <f>_xlfn.XLOOKUP(E549,'Product List'!$B$2:$B$299,'Product List'!$A$2:$A$299)</f>
        <v>Pyle PMP37LED</v>
      </c>
      <c r="J549" s="36"/>
      <c r="K549" s="36"/>
      <c r="L549" s="36"/>
      <c r="M549" s="36"/>
      <c r="N549" s="36"/>
    </row>
    <row r="550" spans="1:14">
      <c r="A550" s="8" t="s">
        <v>662</v>
      </c>
      <c r="B550" s="19">
        <v>41805</v>
      </c>
      <c r="C550" s="8" t="s">
        <v>33</v>
      </c>
      <c r="D550" s="8">
        <v>10003</v>
      </c>
      <c r="E550" s="8" t="s">
        <v>268</v>
      </c>
      <c r="F550" s="8" t="s">
        <v>35</v>
      </c>
      <c r="G550" s="36">
        <f>VLOOKUP(E550,Flipkart!$A$1:$B$296,2,0)</f>
        <v>0.01</v>
      </c>
      <c r="H550" s="36">
        <f t="shared" ca="1" si="8"/>
        <v>0.01</v>
      </c>
      <c r="I550" s="36" t="str">
        <f>_xlfn.XLOOKUP(E550,'Product List'!$B$2:$B$299,'Product List'!$A$2:$A$299)</f>
        <v>Avery 48</v>
      </c>
      <c r="J550" s="36"/>
      <c r="K550" s="36"/>
      <c r="L550" s="36"/>
      <c r="M550" s="36"/>
      <c r="N550" s="36"/>
    </row>
    <row r="551" spans="1:14">
      <c r="A551" s="8" t="s">
        <v>663</v>
      </c>
      <c r="B551" s="19">
        <v>41805</v>
      </c>
      <c r="C551" s="8" t="s">
        <v>54</v>
      </c>
      <c r="D551" s="8">
        <v>10012</v>
      </c>
      <c r="E551" s="8" t="s">
        <v>285</v>
      </c>
      <c r="F551" s="8" t="s">
        <v>35</v>
      </c>
      <c r="G551" s="36">
        <f>VLOOKUP(E551,Flipkart!$A$1:$B$296,2,0)</f>
        <v>0.05</v>
      </c>
      <c r="H551" s="36">
        <f t="shared" ca="1" si="8"/>
        <v>0.05</v>
      </c>
      <c r="I551" s="36" t="str">
        <f>_xlfn.XLOOKUP(E551,'Product List'!$B$2:$B$299,'Product List'!$A$2:$A$299)</f>
        <v>Newell 344</v>
      </c>
      <c r="J551" s="36"/>
      <c r="K551" s="36"/>
      <c r="L551" s="36"/>
      <c r="M551" s="36"/>
      <c r="N551" s="36"/>
    </row>
    <row r="552" spans="1:14">
      <c r="A552" s="8" t="s">
        <v>662</v>
      </c>
      <c r="B552" s="19">
        <v>41805</v>
      </c>
      <c r="C552" s="8" t="s">
        <v>66</v>
      </c>
      <c r="D552" s="8">
        <v>10009</v>
      </c>
      <c r="E552" s="8" t="s">
        <v>65</v>
      </c>
      <c r="F552" s="8" t="s">
        <v>40</v>
      </c>
      <c r="G552" s="36">
        <f>VLOOKUP(E552,Flipkart!$A$1:$B$296,2,0)</f>
        <v>0</v>
      </c>
      <c r="H552" s="36">
        <f t="shared" ca="1" si="8"/>
        <v>0</v>
      </c>
      <c r="I552" s="36" t="str">
        <f>_xlfn.XLOOKUP(E552,'Product List'!$B$2:$B$299,'Product List'!$A$2:$A$299)</f>
        <v>Xerox 1963</v>
      </c>
      <c r="J552" s="36"/>
      <c r="K552" s="36"/>
      <c r="L552" s="36"/>
      <c r="M552" s="36"/>
      <c r="N552" s="36"/>
    </row>
    <row r="553" spans="1:14">
      <c r="A553" s="8" t="s">
        <v>664</v>
      </c>
      <c r="B553" s="19">
        <v>41807</v>
      </c>
      <c r="C553" s="8" t="s">
        <v>66</v>
      </c>
      <c r="D553" s="8">
        <v>10011</v>
      </c>
      <c r="E553" s="8" t="s">
        <v>455</v>
      </c>
      <c r="F553" s="8" t="s">
        <v>43</v>
      </c>
      <c r="G553" s="36">
        <f>VLOOKUP(E553,Flipkart!$A$1:$B$296,2,0)</f>
        <v>0</v>
      </c>
      <c r="H553" s="36">
        <f t="shared" ca="1" si="8"/>
        <v>0.05</v>
      </c>
      <c r="I553" s="36" t="str">
        <f>_xlfn.XLOOKUP(E553,'Product List'!$B$2:$B$299,'Product List'!$A$2:$A$299)</f>
        <v>Newell 307</v>
      </c>
      <c r="J553" s="36"/>
      <c r="K553" s="36"/>
      <c r="L553" s="36"/>
      <c r="M553" s="36"/>
      <c r="N553" s="36"/>
    </row>
    <row r="554" spans="1:14">
      <c r="A554" s="8" t="s">
        <v>665</v>
      </c>
      <c r="B554" s="19">
        <v>41809</v>
      </c>
      <c r="C554" s="8" t="s">
        <v>46</v>
      </c>
      <c r="D554" s="8">
        <v>10006</v>
      </c>
      <c r="E554" s="8" t="s">
        <v>208</v>
      </c>
      <c r="F554" s="8" t="s">
        <v>29</v>
      </c>
      <c r="G554" s="36">
        <f>VLOOKUP(E554,Flipkart!$A$1:$B$296,2,0)</f>
        <v>0</v>
      </c>
      <c r="H554" s="36">
        <f t="shared" ca="1" si="8"/>
        <v>0.03</v>
      </c>
      <c r="I554" s="36" t="str">
        <f>_xlfn.XLOOKUP(E554,'Product List'!$B$2:$B$299,'Product List'!$A$2:$A$299)</f>
        <v>Xerox 1928</v>
      </c>
      <c r="J554" s="36"/>
      <c r="K554" s="36"/>
      <c r="L554" s="36"/>
      <c r="M554" s="36"/>
      <c r="N554" s="36"/>
    </row>
    <row r="555" spans="1:14">
      <c r="A555" s="8" t="s">
        <v>665</v>
      </c>
      <c r="B555" s="19">
        <v>41809</v>
      </c>
      <c r="C555" s="8" t="s">
        <v>51</v>
      </c>
      <c r="D555" s="8">
        <v>10001</v>
      </c>
      <c r="E555" s="8" t="s">
        <v>265</v>
      </c>
      <c r="F555" s="8" t="s">
        <v>40</v>
      </c>
      <c r="G555" s="36">
        <f>VLOOKUP(E555,Flipkart!$A$1:$B$296,2,0)</f>
        <v>0.03</v>
      </c>
      <c r="H555" s="36">
        <f t="shared" ca="1" si="8"/>
        <v>0.05</v>
      </c>
      <c r="I555" s="36" t="str">
        <f>_xlfn.XLOOKUP(E555,'Product List'!$B$2:$B$299,'Product List'!$A$2:$A$299)</f>
        <v>Xerox 205</v>
      </c>
      <c r="J555" s="36"/>
      <c r="K555" s="36"/>
      <c r="L555" s="36"/>
      <c r="M555" s="36"/>
      <c r="N555" s="36"/>
    </row>
    <row r="556" spans="1:14">
      <c r="A556" s="8" t="s">
        <v>666</v>
      </c>
      <c r="B556" s="19">
        <v>41810</v>
      </c>
      <c r="C556" s="8" t="s">
        <v>54</v>
      </c>
      <c r="D556" s="8">
        <v>10015</v>
      </c>
      <c r="E556" s="8" t="s">
        <v>394</v>
      </c>
      <c r="F556" s="8" t="s">
        <v>29</v>
      </c>
      <c r="G556" s="36">
        <f>VLOOKUP(E556,Flipkart!$A$1:$B$296,2,0)</f>
        <v>0.04</v>
      </c>
      <c r="H556" s="36">
        <f t="shared" ca="1" si="8"/>
        <v>0.04</v>
      </c>
      <c r="I556" s="36" t="str">
        <f>_xlfn.XLOOKUP(E556,'Product List'!$B$2:$B$299,'Product List'!$A$2:$A$299)</f>
        <v>GE 30524EE4</v>
      </c>
      <c r="J556" s="36"/>
      <c r="K556" s="36"/>
      <c r="L556" s="36"/>
      <c r="M556" s="36"/>
      <c r="N556" s="36"/>
    </row>
    <row r="557" spans="1:14">
      <c r="A557" s="8" t="s">
        <v>667</v>
      </c>
      <c r="B557" s="19">
        <v>41810</v>
      </c>
      <c r="C557" s="8" t="s">
        <v>51</v>
      </c>
      <c r="D557" s="8">
        <v>10005</v>
      </c>
      <c r="E557" s="8" t="s">
        <v>240</v>
      </c>
      <c r="F557" s="8" t="s">
        <v>50</v>
      </c>
      <c r="G557" s="36">
        <f>VLOOKUP(E557,Flipkart!$A$1:$B$296,2,0)</f>
        <v>0.05</v>
      </c>
      <c r="H557" s="36">
        <f t="shared" ca="1" si="8"/>
        <v>0.04</v>
      </c>
      <c r="I557" s="36" t="str">
        <f>_xlfn.XLOOKUP(E557,'Product List'!$B$2:$B$299,'Product List'!$A$2:$A$299)</f>
        <v>Xerox 2</v>
      </c>
      <c r="J557" s="36"/>
      <c r="K557" s="36"/>
      <c r="L557" s="36"/>
      <c r="M557" s="36"/>
      <c r="N557" s="36"/>
    </row>
    <row r="558" spans="1:14">
      <c r="A558" s="8" t="s">
        <v>666</v>
      </c>
      <c r="B558" s="19">
        <v>41810</v>
      </c>
      <c r="C558" s="8" t="s">
        <v>36</v>
      </c>
      <c r="D558" s="8">
        <v>10005</v>
      </c>
      <c r="E558" s="8" t="s">
        <v>277</v>
      </c>
      <c r="F558" s="8" t="s">
        <v>43</v>
      </c>
      <c r="G558" s="36">
        <f>VLOOKUP(E558,Flipkart!$A$1:$B$296,2,0)</f>
        <v>0.01</v>
      </c>
      <c r="H558" s="36">
        <f t="shared" ca="1" si="8"/>
        <v>0.02</v>
      </c>
      <c r="I558" s="36" t="str">
        <f>_xlfn.XLOOKUP(E558,'Product List'!$B$2:$B$299,'Product List'!$A$2:$A$299)</f>
        <v>Xerox 1946</v>
      </c>
      <c r="J558" s="36"/>
      <c r="K558" s="36"/>
      <c r="L558" s="36"/>
      <c r="M558" s="36"/>
      <c r="N558" s="36"/>
    </row>
    <row r="559" spans="1:14">
      <c r="A559" s="8" t="s">
        <v>668</v>
      </c>
      <c r="B559" s="19">
        <v>41810</v>
      </c>
      <c r="C559" s="8" t="s">
        <v>36</v>
      </c>
      <c r="D559" s="8">
        <v>10010</v>
      </c>
      <c r="E559" s="8" t="s">
        <v>432</v>
      </c>
      <c r="F559" s="8" t="s">
        <v>43</v>
      </c>
      <c r="G559" s="36">
        <f>VLOOKUP(E559,Flipkart!$A$1:$B$296,2,0)</f>
        <v>0.04</v>
      </c>
      <c r="H559" s="36">
        <f t="shared" ca="1" si="8"/>
        <v>0.02</v>
      </c>
      <c r="I559" s="36" t="str">
        <f>_xlfn.XLOOKUP(E559,'Product List'!$B$2:$B$299,'Product List'!$A$2:$A$299)</f>
        <v>Avery 476</v>
      </c>
      <c r="J559" s="36"/>
      <c r="K559" s="36"/>
      <c r="L559" s="36"/>
      <c r="M559" s="36"/>
      <c r="N559" s="36"/>
    </row>
    <row r="560" spans="1:14">
      <c r="A560" s="8" t="s">
        <v>668</v>
      </c>
      <c r="B560" s="19">
        <v>41810</v>
      </c>
      <c r="C560" s="8" t="s">
        <v>36</v>
      </c>
      <c r="D560" s="8">
        <v>10003</v>
      </c>
      <c r="E560" s="8" t="s">
        <v>375</v>
      </c>
      <c r="F560" s="8" t="s">
        <v>50</v>
      </c>
      <c r="G560" s="36">
        <f>VLOOKUP(E560,Flipkart!$A$1:$B$296,2,0)</f>
        <v>0.02</v>
      </c>
      <c r="H560" s="36">
        <f t="shared" ca="1" si="8"/>
        <v>0.05</v>
      </c>
      <c r="I560" s="36" t="str">
        <f>_xlfn.XLOOKUP(E560,'Product List'!$B$2:$B$299,'Product List'!$A$2:$A$299)</f>
        <v>AT&amp;T CL2909</v>
      </c>
      <c r="J560" s="36"/>
      <c r="K560" s="36"/>
      <c r="L560" s="36"/>
      <c r="M560" s="36"/>
      <c r="N560" s="36"/>
    </row>
    <row r="561" spans="1:14">
      <c r="A561" s="8" t="s">
        <v>669</v>
      </c>
      <c r="B561" s="19">
        <v>41810</v>
      </c>
      <c r="C561" s="8" t="s">
        <v>27</v>
      </c>
      <c r="D561" s="8">
        <v>10005</v>
      </c>
      <c r="E561" s="8" t="s">
        <v>284</v>
      </c>
      <c r="F561" s="8" t="s">
        <v>32</v>
      </c>
      <c r="G561" s="36">
        <f>VLOOKUP(E561,Flipkart!$A$1:$B$296,2,0)</f>
        <v>0.04</v>
      </c>
      <c r="H561" s="36">
        <f t="shared" ca="1" si="8"/>
        <v>0.02</v>
      </c>
      <c r="I561" s="36" t="str">
        <f>_xlfn.XLOOKUP(E561,'Product List'!$B$2:$B$299,'Product List'!$A$2:$A$299)</f>
        <v>Xerox 1986</v>
      </c>
      <c r="J561" s="36"/>
      <c r="K561" s="36"/>
      <c r="L561" s="36"/>
      <c r="M561" s="36"/>
      <c r="N561" s="36"/>
    </row>
    <row r="562" spans="1:14">
      <c r="A562" s="8" t="s">
        <v>667</v>
      </c>
      <c r="B562" s="19">
        <v>41810</v>
      </c>
      <c r="C562" s="8" t="s">
        <v>54</v>
      </c>
      <c r="D562" s="8">
        <v>10014</v>
      </c>
      <c r="E562" s="8" t="s">
        <v>226</v>
      </c>
      <c r="F562" s="8" t="s">
        <v>40</v>
      </c>
      <c r="G562" s="36">
        <f>VLOOKUP(E562,Flipkart!$A$1:$B$296,2,0)</f>
        <v>0.05</v>
      </c>
      <c r="H562" s="36">
        <f t="shared" ca="1" si="8"/>
        <v>0.01</v>
      </c>
      <c r="I562" s="36" t="str">
        <f>_xlfn.XLOOKUP(E562,'Product List'!$B$2:$B$299,'Product List'!$A$2:$A$299)</f>
        <v>Avery 517</v>
      </c>
      <c r="J562" s="36"/>
      <c r="K562" s="36"/>
      <c r="L562" s="36"/>
      <c r="M562" s="36"/>
      <c r="N562" s="36"/>
    </row>
    <row r="563" spans="1:14">
      <c r="A563" s="8" t="s">
        <v>669</v>
      </c>
      <c r="B563" s="19">
        <v>41810</v>
      </c>
      <c r="C563" s="8" t="s">
        <v>44</v>
      </c>
      <c r="D563" s="8">
        <v>10009</v>
      </c>
      <c r="E563" s="8" t="s">
        <v>381</v>
      </c>
      <c r="F563" s="8" t="s">
        <v>29</v>
      </c>
      <c r="G563" s="36">
        <f>VLOOKUP(E563,Flipkart!$A$1:$B$296,2,0)</f>
        <v>0.04</v>
      </c>
      <c r="H563" s="36">
        <f t="shared" ca="1" si="8"/>
        <v>0.01</v>
      </c>
      <c r="I563" s="36" t="str">
        <f>_xlfn.XLOOKUP(E563,'Product List'!$B$2:$B$299,'Product List'!$A$2:$A$299)</f>
        <v>Xerox 1911</v>
      </c>
      <c r="J563" s="36"/>
      <c r="K563" s="36"/>
      <c r="L563" s="36"/>
      <c r="M563" s="36"/>
      <c r="N563" s="36"/>
    </row>
    <row r="564" spans="1:14">
      <c r="A564" s="8" t="s">
        <v>666</v>
      </c>
      <c r="B564" s="19">
        <v>41810</v>
      </c>
      <c r="C564" s="8" t="s">
        <v>66</v>
      </c>
      <c r="D564" s="8">
        <v>10012</v>
      </c>
      <c r="E564" s="8" t="s">
        <v>670</v>
      </c>
      <c r="F564" s="8" t="s">
        <v>35</v>
      </c>
      <c r="G564" s="36">
        <f>VLOOKUP(E564,Flipkart!$A$1:$B$296,2,0)</f>
        <v>0.04</v>
      </c>
      <c r="H564" s="36">
        <f t="shared" ca="1" si="8"/>
        <v>0.04</v>
      </c>
      <c r="I564" s="36" t="str">
        <f>_xlfn.XLOOKUP(E564,'Product List'!$B$2:$B$299,'Product List'!$A$2:$A$299)</f>
        <v>Avery 506</v>
      </c>
      <c r="J564" s="36"/>
      <c r="K564" s="36"/>
      <c r="L564" s="36"/>
      <c r="M564" s="36"/>
      <c r="N564" s="36"/>
    </row>
    <row r="565" spans="1:14">
      <c r="A565" s="8" t="s">
        <v>671</v>
      </c>
      <c r="B565" s="19">
        <v>41811</v>
      </c>
      <c r="C565" s="8" t="s">
        <v>46</v>
      </c>
      <c r="D565" s="8">
        <v>10012</v>
      </c>
      <c r="E565" s="8" t="s">
        <v>672</v>
      </c>
      <c r="F565" s="8" t="s">
        <v>29</v>
      </c>
      <c r="G565" s="36">
        <f>VLOOKUP(E565,Flipkart!$A$1:$B$296,2,0)</f>
        <v>0</v>
      </c>
      <c r="H565" s="36">
        <f t="shared" ca="1" si="8"/>
        <v>0.03</v>
      </c>
      <c r="I565" s="36" t="str">
        <f>_xlfn.XLOOKUP(E565,'Product List'!$B$2:$B$299,'Product List'!$A$2:$A$299)</f>
        <v>Newell 319</v>
      </c>
      <c r="J565" s="36"/>
      <c r="K565" s="36"/>
      <c r="L565" s="36"/>
      <c r="M565" s="36"/>
      <c r="N565" s="36"/>
    </row>
    <row r="566" spans="1:14">
      <c r="A566" s="8" t="s">
        <v>673</v>
      </c>
      <c r="B566" s="19">
        <v>41811</v>
      </c>
      <c r="C566" s="8" t="s">
        <v>44</v>
      </c>
      <c r="D566" s="8">
        <v>10013</v>
      </c>
      <c r="E566" s="8" t="s">
        <v>348</v>
      </c>
      <c r="F566" s="8" t="s">
        <v>40</v>
      </c>
      <c r="G566" s="36">
        <f>VLOOKUP(E566,Flipkart!$A$1:$B$296,2,0)</f>
        <v>0.02</v>
      </c>
      <c r="H566" s="36">
        <f t="shared" ca="1" si="8"/>
        <v>0.01</v>
      </c>
      <c r="I566" s="36" t="str">
        <f>_xlfn.XLOOKUP(E566,'Product List'!$B$2:$B$299,'Product List'!$A$2:$A$299)</f>
        <v>Avery 512</v>
      </c>
      <c r="J566" s="36"/>
      <c r="K566" s="36"/>
      <c r="L566" s="36"/>
      <c r="M566" s="36"/>
      <c r="N566" s="36"/>
    </row>
    <row r="567" spans="1:14">
      <c r="A567" s="8" t="s">
        <v>673</v>
      </c>
      <c r="B567" s="19">
        <v>41811</v>
      </c>
      <c r="C567" s="8" t="s">
        <v>44</v>
      </c>
      <c r="D567" s="8">
        <v>10002</v>
      </c>
      <c r="E567" s="8" t="s">
        <v>674</v>
      </c>
      <c r="F567" s="8" t="s">
        <v>29</v>
      </c>
      <c r="G567" s="36">
        <f>VLOOKUP(E567,Flipkart!$A$1:$B$296,2,0)</f>
        <v>0.02</v>
      </c>
      <c r="H567" s="36">
        <f t="shared" ca="1" si="8"/>
        <v>0</v>
      </c>
      <c r="I567" s="36" t="str">
        <f>_xlfn.XLOOKUP(E567,'Product List'!$B$2:$B$299,'Product List'!$A$2:$A$299)</f>
        <v>Avery 491</v>
      </c>
      <c r="J567" s="36"/>
      <c r="K567" s="36"/>
      <c r="L567" s="36"/>
      <c r="M567" s="36"/>
      <c r="N567" s="36"/>
    </row>
    <row r="568" spans="1:14">
      <c r="A568" s="8" t="s">
        <v>675</v>
      </c>
      <c r="B568" s="19">
        <v>41812</v>
      </c>
      <c r="C568" s="8" t="s">
        <v>46</v>
      </c>
      <c r="D568" s="8">
        <v>10002</v>
      </c>
      <c r="E568" s="8" t="s">
        <v>453</v>
      </c>
      <c r="F568" s="8" t="s">
        <v>43</v>
      </c>
      <c r="G568" s="36">
        <f>VLOOKUP(E568,Flipkart!$A$1:$B$296,2,0)</f>
        <v>0</v>
      </c>
      <c r="H568" s="36">
        <f t="shared" ca="1" si="8"/>
        <v>0.04</v>
      </c>
      <c r="I568" s="36" t="str">
        <f>_xlfn.XLOOKUP(E568,'Product List'!$B$2:$B$299,'Product List'!$A$2:$A$299)</f>
        <v>Xerox 231</v>
      </c>
      <c r="J568" s="36"/>
      <c r="K568" s="36"/>
      <c r="L568" s="36"/>
      <c r="M568" s="36"/>
      <c r="N568" s="36"/>
    </row>
    <row r="569" spans="1:14">
      <c r="A569" s="8" t="s">
        <v>675</v>
      </c>
      <c r="B569" s="19">
        <v>41812</v>
      </c>
      <c r="C569" s="8" t="s">
        <v>36</v>
      </c>
      <c r="D569" s="8">
        <v>10015</v>
      </c>
      <c r="E569" s="8" t="s">
        <v>45</v>
      </c>
      <c r="F569" s="8" t="s">
        <v>40</v>
      </c>
      <c r="G569" s="36">
        <f>VLOOKUP(E569,Flipkart!$A$1:$B$296,2,0)</f>
        <v>0.04</v>
      </c>
      <c r="H569" s="36">
        <f t="shared" ca="1" si="8"/>
        <v>0.05</v>
      </c>
      <c r="I569" s="36" t="str">
        <f>_xlfn.XLOOKUP(E569,'Product List'!$B$2:$B$299,'Product List'!$A$2:$A$299)</f>
        <v>Avery 486</v>
      </c>
      <c r="J569" s="36"/>
      <c r="K569" s="36"/>
      <c r="L569" s="36"/>
      <c r="M569" s="36"/>
      <c r="N569" s="36"/>
    </row>
    <row r="570" spans="1:14">
      <c r="A570" s="8" t="s">
        <v>676</v>
      </c>
      <c r="B570" s="19">
        <v>41816</v>
      </c>
      <c r="C570" s="8" t="s">
        <v>66</v>
      </c>
      <c r="D570" s="8">
        <v>10010</v>
      </c>
      <c r="E570" s="8" t="s">
        <v>269</v>
      </c>
      <c r="F570" s="8" t="s">
        <v>29</v>
      </c>
      <c r="G570" s="36">
        <f>VLOOKUP(E570,Flipkart!$A$1:$B$296,2,0)</f>
        <v>0.03</v>
      </c>
      <c r="H570" s="36">
        <f t="shared" ca="1" si="8"/>
        <v>0.04</v>
      </c>
      <c r="I570" s="36" t="str">
        <f>_xlfn.XLOOKUP(E570,'Product List'!$B$2:$B$299,'Product List'!$A$2:$A$299)</f>
        <v>Xerox 1975</v>
      </c>
      <c r="J570" s="36"/>
      <c r="K570" s="36"/>
      <c r="L570" s="36"/>
      <c r="M570" s="36"/>
      <c r="N570" s="36"/>
    </row>
    <row r="571" spans="1:14">
      <c r="A571" s="8" t="s">
        <v>677</v>
      </c>
      <c r="B571" s="19">
        <v>41817</v>
      </c>
      <c r="C571" s="8" t="s">
        <v>46</v>
      </c>
      <c r="D571" s="8">
        <v>10008</v>
      </c>
      <c r="E571" s="8" t="s">
        <v>377</v>
      </c>
      <c r="F571" s="8" t="s">
        <v>35</v>
      </c>
      <c r="G571" s="36">
        <f>VLOOKUP(E571,Flipkart!$A$1:$B$296,2,0)</f>
        <v>0</v>
      </c>
      <c r="H571" s="36">
        <f t="shared" ca="1" si="8"/>
        <v>0</v>
      </c>
      <c r="I571" s="36" t="str">
        <f>_xlfn.XLOOKUP(E571,'Product List'!$B$2:$B$299,'Product List'!$A$2:$A$299)</f>
        <v>Xerox 230</v>
      </c>
      <c r="J571" s="36"/>
      <c r="K571" s="36"/>
      <c r="L571" s="36"/>
      <c r="M571" s="36"/>
      <c r="N571" s="36"/>
    </row>
    <row r="572" spans="1:14">
      <c r="A572" s="8" t="s">
        <v>678</v>
      </c>
      <c r="B572" s="19">
        <v>41818</v>
      </c>
      <c r="C572" s="8" t="s">
        <v>51</v>
      </c>
      <c r="D572" s="8">
        <v>10002</v>
      </c>
      <c r="E572" s="8" t="s">
        <v>537</v>
      </c>
      <c r="F572" s="8" t="s">
        <v>50</v>
      </c>
      <c r="G572" s="36">
        <f>VLOOKUP(E572,Flipkart!$A$1:$B$296,2,0)</f>
        <v>0</v>
      </c>
      <c r="H572" s="36">
        <f t="shared" ca="1" si="8"/>
        <v>0.04</v>
      </c>
      <c r="I572" s="36" t="str">
        <f>_xlfn.XLOOKUP(E572,'Product List'!$B$2:$B$299,'Product List'!$A$2:$A$299)</f>
        <v>Xerox 210</v>
      </c>
      <c r="J572" s="36"/>
      <c r="K572" s="36"/>
      <c r="L572" s="36"/>
      <c r="M572" s="36"/>
      <c r="N572" s="36"/>
    </row>
    <row r="573" spans="1:14">
      <c r="A573" s="8" t="s">
        <v>679</v>
      </c>
      <c r="B573" s="19">
        <v>41820</v>
      </c>
      <c r="C573" s="8" t="s">
        <v>36</v>
      </c>
      <c r="D573" s="8">
        <v>10006</v>
      </c>
      <c r="E573" s="8" t="s">
        <v>298</v>
      </c>
      <c r="F573" s="8" t="s">
        <v>43</v>
      </c>
      <c r="G573" s="36">
        <f>VLOOKUP(E573,Flipkart!$A$1:$B$296,2,0)</f>
        <v>0.04</v>
      </c>
      <c r="H573" s="36">
        <f t="shared" ca="1" si="8"/>
        <v>0.03</v>
      </c>
      <c r="I573" s="36" t="str">
        <f>_xlfn.XLOOKUP(E573,'Product List'!$B$2:$B$299,'Product List'!$A$2:$A$299)</f>
        <v>Xerox 216</v>
      </c>
      <c r="J573" s="36"/>
      <c r="K573" s="36"/>
      <c r="L573" s="36"/>
      <c r="M573" s="36"/>
      <c r="N573" s="36"/>
    </row>
    <row r="574" spans="1:14">
      <c r="A574" s="8" t="s">
        <v>680</v>
      </c>
      <c r="B574" s="19">
        <v>41820</v>
      </c>
      <c r="C574" s="8" t="s">
        <v>44</v>
      </c>
      <c r="D574" s="8">
        <v>10010</v>
      </c>
      <c r="E574" s="8" t="s">
        <v>594</v>
      </c>
      <c r="F574" s="8" t="s">
        <v>35</v>
      </c>
      <c r="G574" s="36">
        <f>VLOOKUP(E574,Flipkart!$A$1:$B$296,2,0)</f>
        <v>0.04</v>
      </c>
      <c r="H574" s="36">
        <f t="shared" ca="1" si="8"/>
        <v>0.04</v>
      </c>
      <c r="I574" s="36" t="str">
        <f>_xlfn.XLOOKUP(E574,'Product List'!$B$2:$B$299,'Product List'!$A$2:$A$299)</f>
        <v>Xerox 217</v>
      </c>
      <c r="J574" s="36"/>
      <c r="K574" s="36"/>
      <c r="L574" s="36"/>
      <c r="M574" s="36"/>
      <c r="N574" s="36"/>
    </row>
    <row r="575" spans="1:14">
      <c r="A575" s="8" t="s">
        <v>680</v>
      </c>
      <c r="B575" s="19">
        <v>41820</v>
      </c>
      <c r="C575" s="8" t="s">
        <v>54</v>
      </c>
      <c r="D575" s="8">
        <v>10002</v>
      </c>
      <c r="E575" s="8" t="s">
        <v>394</v>
      </c>
      <c r="F575" s="8" t="s">
        <v>32</v>
      </c>
      <c r="G575" s="36">
        <f>VLOOKUP(E575,Flipkart!$A$1:$B$296,2,0)</f>
        <v>0.04</v>
      </c>
      <c r="H575" s="36">
        <f t="shared" ca="1" si="8"/>
        <v>0</v>
      </c>
      <c r="I575" s="36" t="str">
        <f>_xlfn.XLOOKUP(E575,'Product List'!$B$2:$B$299,'Product List'!$A$2:$A$299)</f>
        <v>GE 30524EE4</v>
      </c>
      <c r="J575" s="36"/>
      <c r="K575" s="36"/>
      <c r="L575" s="36"/>
      <c r="M575" s="36"/>
      <c r="N575" s="36"/>
    </row>
    <row r="576" spans="1:14">
      <c r="A576" s="8" t="s">
        <v>681</v>
      </c>
      <c r="B576" s="19">
        <v>41822</v>
      </c>
      <c r="C576" s="8" t="s">
        <v>46</v>
      </c>
      <c r="D576" s="8">
        <v>10011</v>
      </c>
      <c r="E576" s="8" t="s">
        <v>311</v>
      </c>
      <c r="F576" s="8" t="s">
        <v>35</v>
      </c>
      <c r="G576" s="36">
        <f>VLOOKUP(E576,Flipkart!$A$1:$B$296,2,0)</f>
        <v>0</v>
      </c>
      <c r="H576" s="36">
        <f t="shared" ca="1" si="8"/>
        <v>0</v>
      </c>
      <c r="I576" s="36" t="str">
        <f>_xlfn.XLOOKUP(E576,'Product List'!$B$2:$B$299,'Product List'!$A$2:$A$299)</f>
        <v>Xerox 1923</v>
      </c>
      <c r="J576" s="36"/>
      <c r="K576" s="36"/>
      <c r="L576" s="36"/>
      <c r="M576" s="36"/>
      <c r="N576" s="36"/>
    </row>
    <row r="577" spans="1:14">
      <c r="A577" s="8" t="s">
        <v>682</v>
      </c>
      <c r="B577" s="19">
        <v>41825</v>
      </c>
      <c r="C577" s="8" t="s">
        <v>51</v>
      </c>
      <c r="D577" s="8">
        <v>10012</v>
      </c>
      <c r="E577" s="8" t="s">
        <v>446</v>
      </c>
      <c r="F577" s="8" t="s">
        <v>29</v>
      </c>
      <c r="G577" s="36">
        <f>VLOOKUP(E577,Flipkart!$A$1:$B$296,2,0)</f>
        <v>0.02</v>
      </c>
      <c r="H577" s="36">
        <f t="shared" ca="1" si="8"/>
        <v>0.05</v>
      </c>
      <c r="I577" s="36" t="str">
        <f>_xlfn.XLOOKUP(E577,'Product List'!$B$2:$B$299,'Product List'!$A$2:$A$299)</f>
        <v>Xerox 1956</v>
      </c>
      <c r="J577" s="36"/>
      <c r="K577" s="36"/>
      <c r="L577" s="36"/>
      <c r="M577" s="36"/>
      <c r="N577" s="36"/>
    </row>
    <row r="578" spans="1:14">
      <c r="A578" s="8" t="s">
        <v>682</v>
      </c>
      <c r="B578" s="19">
        <v>41825</v>
      </c>
      <c r="C578" s="8" t="s">
        <v>51</v>
      </c>
      <c r="D578" s="8">
        <v>10010</v>
      </c>
      <c r="E578" s="8" t="s">
        <v>408</v>
      </c>
      <c r="F578" s="8" t="s">
        <v>40</v>
      </c>
      <c r="G578" s="36">
        <f>VLOOKUP(E578,Flipkart!$A$1:$B$296,2,0)</f>
        <v>0.02</v>
      </c>
      <c r="H578" s="36">
        <f t="shared" ca="1" si="8"/>
        <v>0.01</v>
      </c>
      <c r="I578" s="36" t="str">
        <f>_xlfn.XLOOKUP(E578,'Product List'!$B$2:$B$299,'Product List'!$A$2:$A$299)</f>
        <v>Xerox 1955</v>
      </c>
      <c r="J578" s="36"/>
      <c r="K578" s="36"/>
      <c r="L578" s="36"/>
      <c r="M578" s="36"/>
      <c r="N578" s="36"/>
    </row>
    <row r="579" spans="1:14">
      <c r="A579" s="8" t="s">
        <v>683</v>
      </c>
      <c r="B579" s="19">
        <v>41827</v>
      </c>
      <c r="C579" s="8" t="s">
        <v>33</v>
      </c>
      <c r="D579" s="8">
        <v>10014</v>
      </c>
      <c r="E579" s="8" t="s">
        <v>277</v>
      </c>
      <c r="F579" s="8" t="s">
        <v>32</v>
      </c>
      <c r="G579" s="36">
        <f>VLOOKUP(E579,Flipkart!$A$1:$B$296,2,0)</f>
        <v>0.01</v>
      </c>
      <c r="H579" s="36">
        <f t="shared" ca="1" si="8"/>
        <v>0.02</v>
      </c>
      <c r="I579" s="36" t="str">
        <f>_xlfn.XLOOKUP(E579,'Product List'!$B$2:$B$299,'Product List'!$A$2:$A$299)</f>
        <v>Xerox 1946</v>
      </c>
      <c r="J579" s="36"/>
      <c r="K579" s="36"/>
      <c r="L579" s="36"/>
      <c r="M579" s="36"/>
      <c r="N579" s="36"/>
    </row>
    <row r="580" spans="1:14">
      <c r="A580" s="8" t="s">
        <v>683</v>
      </c>
      <c r="B580" s="19">
        <v>41827</v>
      </c>
      <c r="C580" s="8" t="s">
        <v>51</v>
      </c>
      <c r="D580" s="8">
        <v>10008</v>
      </c>
      <c r="E580" s="8" t="s">
        <v>238</v>
      </c>
      <c r="F580" s="8" t="s">
        <v>29</v>
      </c>
      <c r="G580" s="36">
        <f>VLOOKUP(E580,Flipkart!$A$1:$B$296,2,0)</f>
        <v>0.01</v>
      </c>
      <c r="H580" s="36">
        <f t="shared" ref="H580:H643" ca="1" si="9">VLOOKUP(E580,INDIRECT(F580&amp;"!$A$1:$B$296"),2,0)</f>
        <v>0.02</v>
      </c>
      <c r="I580" s="36" t="str">
        <f>_xlfn.XLOOKUP(E580,'Product List'!$B$2:$B$299,'Product List'!$A$2:$A$299)</f>
        <v>Xerox 202</v>
      </c>
      <c r="J580" s="36"/>
      <c r="K580" s="36"/>
      <c r="L580" s="36"/>
      <c r="M580" s="36"/>
      <c r="N580" s="36"/>
    </row>
    <row r="581" spans="1:14">
      <c r="A581" s="8" t="s">
        <v>683</v>
      </c>
      <c r="B581" s="19">
        <v>41827</v>
      </c>
      <c r="C581" s="8" t="s">
        <v>54</v>
      </c>
      <c r="D581" s="8">
        <v>10005</v>
      </c>
      <c r="E581" s="8" t="s">
        <v>684</v>
      </c>
      <c r="F581" s="8" t="s">
        <v>40</v>
      </c>
      <c r="G581" s="36">
        <f>VLOOKUP(E581,Flipkart!$A$1:$B$296,2,0)</f>
        <v>0.03</v>
      </c>
      <c r="H581" s="36">
        <f t="shared" ca="1" si="9"/>
        <v>0.03</v>
      </c>
      <c r="I581" s="36" t="str">
        <f>_xlfn.XLOOKUP(E581,'Product List'!$B$2:$B$299,'Product List'!$A$2:$A$299)</f>
        <v>Xerox 1988</v>
      </c>
      <c r="J581" s="36"/>
      <c r="K581" s="36"/>
      <c r="L581" s="36"/>
      <c r="M581" s="36"/>
      <c r="N581" s="36"/>
    </row>
    <row r="582" spans="1:14">
      <c r="A582" s="8" t="s">
        <v>685</v>
      </c>
      <c r="B582" s="19">
        <v>41828</v>
      </c>
      <c r="C582" s="8" t="s">
        <v>33</v>
      </c>
      <c r="D582" s="8">
        <v>10010</v>
      </c>
      <c r="E582" s="8" t="s">
        <v>485</v>
      </c>
      <c r="F582" s="8" t="s">
        <v>50</v>
      </c>
      <c r="G582" s="36">
        <f>VLOOKUP(E582,Flipkart!$A$1:$B$296,2,0)</f>
        <v>0.01</v>
      </c>
      <c r="H582" s="36">
        <f t="shared" ca="1" si="9"/>
        <v>0.04</v>
      </c>
      <c r="I582" s="36" t="str">
        <f>_xlfn.XLOOKUP(E582,'Product List'!$B$2:$B$299,'Product List'!$A$2:$A$299)</f>
        <v>Xerox 1967</v>
      </c>
      <c r="J582" s="36"/>
      <c r="K582" s="36"/>
      <c r="L582" s="36"/>
      <c r="M582" s="36"/>
      <c r="N582" s="36"/>
    </row>
    <row r="583" spans="1:14">
      <c r="A583" s="8" t="s">
        <v>686</v>
      </c>
      <c r="B583" s="19">
        <v>41834</v>
      </c>
      <c r="C583" s="8" t="s">
        <v>66</v>
      </c>
      <c r="D583" s="8">
        <v>10001</v>
      </c>
      <c r="E583" s="8" t="s">
        <v>687</v>
      </c>
      <c r="F583" s="8" t="s">
        <v>35</v>
      </c>
      <c r="G583" s="36">
        <f>VLOOKUP(E583,Flipkart!$A$1:$B$296,2,0)</f>
        <v>0.04</v>
      </c>
      <c r="H583" s="36">
        <f t="shared" ca="1" si="9"/>
        <v>0.04</v>
      </c>
      <c r="I583" s="36" t="str">
        <f>_xlfn.XLOOKUP(E583,'Product List'!$B$2:$B$299,'Product List'!$A$2:$A$299)</f>
        <v>Xerox 1924</v>
      </c>
      <c r="J583" s="36"/>
      <c r="K583" s="36"/>
      <c r="L583" s="36"/>
      <c r="M583" s="36"/>
      <c r="N583" s="36"/>
    </row>
    <row r="584" spans="1:14">
      <c r="A584" s="8" t="s">
        <v>688</v>
      </c>
      <c r="B584" s="19">
        <v>41834</v>
      </c>
      <c r="C584" s="8" t="s">
        <v>66</v>
      </c>
      <c r="D584" s="8">
        <v>10014</v>
      </c>
      <c r="E584" s="8" t="s">
        <v>307</v>
      </c>
      <c r="F584" s="8" t="s">
        <v>35</v>
      </c>
      <c r="G584" s="36">
        <f>VLOOKUP(E584,Flipkart!$A$1:$B$296,2,0)</f>
        <v>0.04</v>
      </c>
      <c r="H584" s="36">
        <f t="shared" ca="1" si="9"/>
        <v>0.04</v>
      </c>
      <c r="I584" s="36" t="str">
        <f>_xlfn.XLOOKUP(E584,'Product List'!$B$2:$B$299,'Product List'!$A$2:$A$299)</f>
        <v>Avery 519</v>
      </c>
      <c r="J584" s="36"/>
      <c r="K584" s="36"/>
      <c r="L584" s="36"/>
      <c r="M584" s="36"/>
      <c r="N584" s="36"/>
    </row>
    <row r="585" spans="1:14">
      <c r="A585" s="8" t="s">
        <v>689</v>
      </c>
      <c r="B585" s="19">
        <v>41835</v>
      </c>
      <c r="C585" s="8" t="s">
        <v>27</v>
      </c>
      <c r="D585" s="8">
        <v>10004</v>
      </c>
      <c r="E585" s="8" t="s">
        <v>364</v>
      </c>
      <c r="F585" s="8" t="s">
        <v>40</v>
      </c>
      <c r="G585" s="36">
        <f>VLOOKUP(E585,Flipkart!$A$1:$B$296,2,0)</f>
        <v>0.02</v>
      </c>
      <c r="H585" s="36">
        <f t="shared" ca="1" si="9"/>
        <v>0.04</v>
      </c>
      <c r="I585" s="36" t="str">
        <f>_xlfn.XLOOKUP(E585,'Product List'!$B$2:$B$299,'Product List'!$A$2:$A$299)</f>
        <v>Avery 474</v>
      </c>
      <c r="J585" s="36"/>
      <c r="K585" s="36"/>
      <c r="L585" s="36"/>
      <c r="M585" s="36"/>
      <c r="N585" s="36"/>
    </row>
    <row r="586" spans="1:14">
      <c r="A586" s="8" t="s">
        <v>690</v>
      </c>
      <c r="B586" s="19">
        <v>41836</v>
      </c>
      <c r="C586" s="8" t="s">
        <v>33</v>
      </c>
      <c r="D586" s="8">
        <v>10011</v>
      </c>
      <c r="E586" s="8" t="s">
        <v>295</v>
      </c>
      <c r="F586" s="8" t="s">
        <v>35</v>
      </c>
      <c r="G586" s="36">
        <f>VLOOKUP(E586,Flipkart!$A$1:$B$296,2,0)</f>
        <v>0.05</v>
      </c>
      <c r="H586" s="36">
        <f t="shared" ca="1" si="9"/>
        <v>0.05</v>
      </c>
      <c r="I586" s="36" t="str">
        <f>_xlfn.XLOOKUP(E586,'Product List'!$B$2:$B$299,'Product List'!$A$2:$A$299)</f>
        <v>Xerox 1950</v>
      </c>
      <c r="J586" s="36"/>
      <c r="K586" s="36"/>
      <c r="L586" s="36"/>
      <c r="M586" s="36"/>
      <c r="N586" s="36"/>
    </row>
    <row r="587" spans="1:14">
      <c r="A587" s="8" t="s">
        <v>691</v>
      </c>
      <c r="B587" s="19">
        <v>41836</v>
      </c>
      <c r="C587" s="8" t="s">
        <v>27</v>
      </c>
      <c r="D587" s="8">
        <v>10009</v>
      </c>
      <c r="E587" s="8" t="s">
        <v>432</v>
      </c>
      <c r="F587" s="8" t="s">
        <v>43</v>
      </c>
      <c r="G587" s="36">
        <f>VLOOKUP(E587,Flipkart!$A$1:$B$296,2,0)</f>
        <v>0.04</v>
      </c>
      <c r="H587" s="36">
        <f t="shared" ca="1" si="9"/>
        <v>0.02</v>
      </c>
      <c r="I587" s="36" t="str">
        <f>_xlfn.XLOOKUP(E587,'Product List'!$B$2:$B$299,'Product List'!$A$2:$A$299)</f>
        <v>Avery 476</v>
      </c>
      <c r="J587" s="36"/>
      <c r="K587" s="36"/>
      <c r="L587" s="36"/>
      <c r="M587" s="36"/>
      <c r="N587" s="36"/>
    </row>
    <row r="588" spans="1:14">
      <c r="A588" s="8" t="s">
        <v>692</v>
      </c>
      <c r="B588" s="19">
        <v>41836</v>
      </c>
      <c r="C588" s="8" t="s">
        <v>51</v>
      </c>
      <c r="D588" s="8">
        <v>10008</v>
      </c>
      <c r="E588" s="8" t="s">
        <v>112</v>
      </c>
      <c r="F588" s="8" t="s">
        <v>35</v>
      </c>
      <c r="G588" s="36">
        <f>VLOOKUP(E588,Flipkart!$A$1:$B$296,2,0)</f>
        <v>0.04</v>
      </c>
      <c r="H588" s="36">
        <f t="shared" ca="1" si="9"/>
        <v>0.04</v>
      </c>
      <c r="I588" s="36" t="str">
        <f>_xlfn.XLOOKUP(E588,'Product List'!$B$2:$B$299,'Product List'!$A$2:$A$299)</f>
        <v>Newell 317</v>
      </c>
      <c r="J588" s="36"/>
      <c r="K588" s="36"/>
      <c r="L588" s="36"/>
      <c r="M588" s="36"/>
      <c r="N588" s="36"/>
    </row>
    <row r="589" spans="1:14">
      <c r="A589" s="8" t="s">
        <v>693</v>
      </c>
      <c r="B589" s="19">
        <v>41837</v>
      </c>
      <c r="C589" s="8" t="s">
        <v>66</v>
      </c>
      <c r="D589" s="8">
        <v>10003</v>
      </c>
      <c r="E589" s="8" t="s">
        <v>329</v>
      </c>
      <c r="F589" s="8" t="s">
        <v>29</v>
      </c>
      <c r="G589" s="36">
        <f>VLOOKUP(E589,Flipkart!$A$1:$B$296,2,0)</f>
        <v>0</v>
      </c>
      <c r="H589" s="36">
        <f t="shared" ca="1" si="9"/>
        <v>0.04</v>
      </c>
      <c r="I589" s="36" t="str">
        <f>_xlfn.XLOOKUP(E589,'Product List'!$B$2:$B$299,'Product List'!$A$2:$A$299)</f>
        <v>Xerox 1991</v>
      </c>
      <c r="J589" s="36"/>
      <c r="K589" s="36"/>
      <c r="L589" s="36"/>
      <c r="M589" s="36"/>
      <c r="N589" s="36"/>
    </row>
    <row r="590" spans="1:14">
      <c r="A590" s="8" t="s">
        <v>693</v>
      </c>
      <c r="B590" s="19">
        <v>41837</v>
      </c>
      <c r="C590" s="8" t="s">
        <v>44</v>
      </c>
      <c r="D590" s="8">
        <v>10004</v>
      </c>
      <c r="E590" s="8" t="s">
        <v>455</v>
      </c>
      <c r="F590" s="8" t="s">
        <v>32</v>
      </c>
      <c r="G590" s="36">
        <f>VLOOKUP(E590,Flipkart!$A$1:$B$296,2,0)</f>
        <v>0</v>
      </c>
      <c r="H590" s="36">
        <f t="shared" ca="1" si="9"/>
        <v>0.05</v>
      </c>
      <c r="I590" s="36" t="str">
        <f>_xlfn.XLOOKUP(E590,'Product List'!$B$2:$B$299,'Product List'!$A$2:$A$299)</f>
        <v>Newell 307</v>
      </c>
      <c r="J590" s="36"/>
      <c r="K590" s="36"/>
      <c r="L590" s="36"/>
      <c r="M590" s="36"/>
      <c r="N590" s="36"/>
    </row>
    <row r="591" spans="1:14">
      <c r="A591" s="8" t="s">
        <v>694</v>
      </c>
      <c r="B591" s="19">
        <v>41839</v>
      </c>
      <c r="C591" s="8" t="s">
        <v>33</v>
      </c>
      <c r="D591" s="8">
        <v>10011</v>
      </c>
      <c r="E591" s="8" t="s">
        <v>695</v>
      </c>
      <c r="F591" s="8" t="s">
        <v>43</v>
      </c>
      <c r="G591" s="36">
        <f>VLOOKUP(E591,Flipkart!$A$1:$B$296,2,0)</f>
        <v>0</v>
      </c>
      <c r="H591" s="36">
        <f t="shared" ca="1" si="9"/>
        <v>0.03</v>
      </c>
      <c r="I591" s="36" t="str">
        <f>_xlfn.XLOOKUP(E591,'Product List'!$B$2:$B$299,'Product List'!$A$2:$A$299)</f>
        <v>Newell 318</v>
      </c>
      <c r="J591" s="36"/>
      <c r="K591" s="36"/>
      <c r="L591" s="36"/>
      <c r="M591" s="36"/>
      <c r="N591" s="36"/>
    </row>
    <row r="592" spans="1:14">
      <c r="A592" s="8" t="s">
        <v>696</v>
      </c>
      <c r="B592" s="19">
        <v>41840</v>
      </c>
      <c r="C592" s="8" t="s">
        <v>33</v>
      </c>
      <c r="D592" s="8">
        <v>10006</v>
      </c>
      <c r="E592" s="8" t="s">
        <v>361</v>
      </c>
      <c r="F592" s="8" t="s">
        <v>35</v>
      </c>
      <c r="G592" s="36">
        <f>VLOOKUP(E592,Flipkart!$A$1:$B$296,2,0)</f>
        <v>0.01</v>
      </c>
      <c r="H592" s="36">
        <f t="shared" ca="1" si="9"/>
        <v>0.01</v>
      </c>
      <c r="I592" s="36" t="str">
        <f>_xlfn.XLOOKUP(E592,'Product List'!$B$2:$B$299,'Product List'!$A$2:$A$299)</f>
        <v>Avery 518</v>
      </c>
      <c r="J592" s="36"/>
      <c r="K592" s="36"/>
      <c r="L592" s="36"/>
      <c r="M592" s="36"/>
      <c r="N592" s="36"/>
    </row>
    <row r="593" spans="1:14">
      <c r="A593" s="8" t="s">
        <v>696</v>
      </c>
      <c r="B593" s="19">
        <v>41840</v>
      </c>
      <c r="C593" s="8" t="s">
        <v>46</v>
      </c>
      <c r="D593" s="8">
        <v>10007</v>
      </c>
      <c r="E593" s="8" t="s">
        <v>162</v>
      </c>
      <c r="F593" s="8" t="s">
        <v>50</v>
      </c>
      <c r="G593" s="36">
        <f>VLOOKUP(E593,Flipkart!$A$1:$B$296,2,0)</f>
        <v>0.02</v>
      </c>
      <c r="H593" s="36">
        <f t="shared" ca="1" si="9"/>
        <v>0.04</v>
      </c>
      <c r="I593" s="36" t="str">
        <f>_xlfn.XLOOKUP(E593,'Product List'!$B$2:$B$299,'Product List'!$A$2:$A$299)</f>
        <v>Avery 483</v>
      </c>
      <c r="J593" s="36"/>
      <c r="K593" s="36"/>
      <c r="L593" s="36"/>
      <c r="M593" s="36"/>
      <c r="N593" s="36"/>
    </row>
    <row r="594" spans="1:14">
      <c r="A594" s="8" t="s">
        <v>696</v>
      </c>
      <c r="B594" s="19">
        <v>41840</v>
      </c>
      <c r="C594" s="8" t="s">
        <v>66</v>
      </c>
      <c r="D594" s="8">
        <v>10009</v>
      </c>
      <c r="E594" s="8" t="s">
        <v>265</v>
      </c>
      <c r="F594" s="8" t="s">
        <v>29</v>
      </c>
      <c r="G594" s="36">
        <f>VLOOKUP(E594,Flipkart!$A$1:$B$296,2,0)</f>
        <v>0.03</v>
      </c>
      <c r="H594" s="36">
        <f t="shared" ca="1" si="9"/>
        <v>0.04</v>
      </c>
      <c r="I594" s="36" t="str">
        <f>_xlfn.XLOOKUP(E594,'Product List'!$B$2:$B$299,'Product List'!$A$2:$A$299)</f>
        <v>Xerox 205</v>
      </c>
      <c r="J594" s="36"/>
      <c r="K594" s="36"/>
      <c r="L594" s="36"/>
      <c r="M594" s="36"/>
      <c r="N594" s="36"/>
    </row>
    <row r="595" spans="1:14">
      <c r="A595" s="8" t="s">
        <v>697</v>
      </c>
      <c r="B595" s="19">
        <v>41842</v>
      </c>
      <c r="C595" s="8" t="s">
        <v>36</v>
      </c>
      <c r="D595" s="8">
        <v>10003</v>
      </c>
      <c r="E595" s="8" t="s">
        <v>510</v>
      </c>
      <c r="F595" s="8" t="s">
        <v>35</v>
      </c>
      <c r="G595" s="36">
        <f>VLOOKUP(E595,Flipkart!$A$1:$B$296,2,0)</f>
        <v>0.04</v>
      </c>
      <c r="H595" s="36">
        <f t="shared" ca="1" si="9"/>
        <v>0.04</v>
      </c>
      <c r="I595" s="36" t="str">
        <f>_xlfn.XLOOKUP(E595,'Product List'!$B$2:$B$299,'Product List'!$A$2:$A$299)</f>
        <v>Avery 507</v>
      </c>
      <c r="J595" s="36"/>
      <c r="K595" s="36"/>
      <c r="L595" s="36"/>
      <c r="M595" s="36"/>
      <c r="N595" s="36"/>
    </row>
    <row r="596" spans="1:14">
      <c r="A596" s="8" t="s">
        <v>698</v>
      </c>
      <c r="B596" s="19">
        <v>41843</v>
      </c>
      <c r="C596" s="8" t="s">
        <v>54</v>
      </c>
      <c r="D596" s="8">
        <v>10006</v>
      </c>
      <c r="E596" s="8" t="s">
        <v>102</v>
      </c>
      <c r="F596" s="8" t="s">
        <v>35</v>
      </c>
      <c r="G596" s="36">
        <f>VLOOKUP(E596,Flipkart!$A$1:$B$296,2,0)</f>
        <v>0.02</v>
      </c>
      <c r="H596" s="36">
        <f t="shared" ca="1" si="9"/>
        <v>0.02</v>
      </c>
      <c r="I596" s="36" t="str">
        <f>_xlfn.XLOOKUP(E596,'Product List'!$B$2:$B$299,'Product List'!$A$2:$A$299)</f>
        <v>Xerox 1997</v>
      </c>
      <c r="J596" s="36"/>
      <c r="K596" s="36"/>
      <c r="L596" s="36"/>
      <c r="M596" s="36"/>
      <c r="N596" s="36"/>
    </row>
    <row r="597" spans="1:14">
      <c r="A597" s="8" t="s">
        <v>699</v>
      </c>
      <c r="B597" s="19">
        <v>41844</v>
      </c>
      <c r="C597" s="8" t="s">
        <v>44</v>
      </c>
      <c r="D597" s="8">
        <v>10008</v>
      </c>
      <c r="E597" s="8" t="s">
        <v>315</v>
      </c>
      <c r="F597" s="8" t="s">
        <v>50</v>
      </c>
      <c r="G597" s="36">
        <f>VLOOKUP(E597,Flipkart!$A$1:$B$296,2,0)</f>
        <v>0.04</v>
      </c>
      <c r="H597" s="36">
        <f t="shared" ca="1" si="9"/>
        <v>0.05</v>
      </c>
      <c r="I597" s="36" t="str">
        <f>_xlfn.XLOOKUP(E597,'Product List'!$B$2:$B$299,'Product List'!$A$2:$A$299)</f>
        <v>Xerox 1918</v>
      </c>
      <c r="J597" s="36"/>
      <c r="K597" s="36"/>
      <c r="L597" s="36"/>
      <c r="M597" s="36"/>
      <c r="N597" s="36"/>
    </row>
    <row r="598" spans="1:14">
      <c r="A598" s="8" t="s">
        <v>699</v>
      </c>
      <c r="B598" s="19">
        <v>41844</v>
      </c>
      <c r="C598" s="8" t="s">
        <v>46</v>
      </c>
      <c r="D598" s="8">
        <v>10014</v>
      </c>
      <c r="E598" s="8" t="s">
        <v>227</v>
      </c>
      <c r="F598" s="8" t="s">
        <v>40</v>
      </c>
      <c r="G598" s="36">
        <f>VLOOKUP(E598,Flipkart!$A$1:$B$296,2,0)</f>
        <v>0.02</v>
      </c>
      <c r="H598" s="36">
        <f t="shared" ca="1" si="9"/>
        <v>0.05</v>
      </c>
      <c r="I598" s="36" t="str">
        <f>_xlfn.XLOOKUP(E598,'Product List'!$B$2:$B$299,'Product List'!$A$2:$A$299)</f>
        <v>Xerox 21</v>
      </c>
      <c r="J598" s="36"/>
      <c r="K598" s="36"/>
      <c r="L598" s="36"/>
      <c r="M598" s="36"/>
      <c r="N598" s="36"/>
    </row>
    <row r="599" spans="1:14">
      <c r="A599" s="8" t="s">
        <v>700</v>
      </c>
      <c r="B599" s="19">
        <v>41847</v>
      </c>
      <c r="C599" s="8" t="s">
        <v>27</v>
      </c>
      <c r="D599" s="8">
        <v>10009</v>
      </c>
      <c r="E599" s="8" t="s">
        <v>439</v>
      </c>
      <c r="F599" s="8" t="s">
        <v>50</v>
      </c>
      <c r="G599" s="36">
        <f>VLOOKUP(E599,Flipkart!$A$1:$B$296,2,0)</f>
        <v>0.05</v>
      </c>
      <c r="H599" s="36">
        <f t="shared" ca="1" si="9"/>
        <v>0.02</v>
      </c>
      <c r="I599" s="36" t="str">
        <f>_xlfn.XLOOKUP(E599,'Product List'!$B$2:$B$299,'Product List'!$A$2:$A$299)</f>
        <v>Xerox 1919</v>
      </c>
      <c r="J599" s="36"/>
      <c r="K599" s="36"/>
      <c r="L599" s="36"/>
      <c r="M599" s="36"/>
      <c r="N599" s="36"/>
    </row>
    <row r="600" spans="1:14">
      <c r="A600" s="8" t="s">
        <v>701</v>
      </c>
      <c r="B600" s="19">
        <v>41849</v>
      </c>
      <c r="C600" s="8" t="s">
        <v>44</v>
      </c>
      <c r="D600" s="8">
        <v>10005</v>
      </c>
      <c r="E600" s="8" t="s">
        <v>31</v>
      </c>
      <c r="F600" s="8" t="s">
        <v>29</v>
      </c>
      <c r="G600" s="36">
        <f>VLOOKUP(E600,Flipkart!$A$1:$B$296,2,0)</f>
        <v>0.01</v>
      </c>
      <c r="H600" s="36">
        <f t="shared" ca="1" si="9"/>
        <v>0.01</v>
      </c>
      <c r="I600" s="36" t="str">
        <f>_xlfn.XLOOKUP(E600,'Product List'!$B$2:$B$299,'Product List'!$A$2:$A$299)</f>
        <v>Avery 494</v>
      </c>
      <c r="J600" s="36"/>
      <c r="K600" s="36"/>
      <c r="L600" s="36"/>
      <c r="M600" s="36"/>
      <c r="N600" s="36"/>
    </row>
    <row r="601" spans="1:14">
      <c r="A601" s="8" t="s">
        <v>702</v>
      </c>
      <c r="B601" s="19">
        <v>41850</v>
      </c>
      <c r="C601" s="8" t="s">
        <v>33</v>
      </c>
      <c r="D601" s="8">
        <v>10002</v>
      </c>
      <c r="E601" s="8" t="s">
        <v>49</v>
      </c>
      <c r="F601" s="8" t="s">
        <v>35</v>
      </c>
      <c r="G601" s="36">
        <f>VLOOKUP(E601,Flipkart!$A$1:$B$296,2,0)</f>
        <v>0.04</v>
      </c>
      <c r="H601" s="36">
        <f t="shared" ca="1" si="9"/>
        <v>0.04</v>
      </c>
      <c r="I601" s="36" t="str">
        <f>_xlfn.XLOOKUP(E601,'Product List'!$B$2:$B$299,'Product List'!$A$2:$A$299)</f>
        <v>Avery 477</v>
      </c>
      <c r="J601" s="36"/>
      <c r="K601" s="36"/>
      <c r="L601" s="36"/>
      <c r="M601" s="36"/>
      <c r="N601" s="36"/>
    </row>
    <row r="602" spans="1:14">
      <c r="A602" s="8" t="s">
        <v>703</v>
      </c>
      <c r="B602" s="19">
        <v>41851</v>
      </c>
      <c r="C602" s="8" t="s">
        <v>33</v>
      </c>
      <c r="D602" s="8">
        <v>10001</v>
      </c>
      <c r="E602" s="8" t="s">
        <v>240</v>
      </c>
      <c r="F602" s="8" t="s">
        <v>43</v>
      </c>
      <c r="G602" s="36">
        <f>VLOOKUP(E602,Flipkart!$A$1:$B$296,2,0)</f>
        <v>0.05</v>
      </c>
      <c r="H602" s="36">
        <f t="shared" ca="1" si="9"/>
        <v>0.03</v>
      </c>
      <c r="I602" s="36" t="str">
        <f>_xlfn.XLOOKUP(E602,'Product List'!$B$2:$B$299,'Product List'!$A$2:$A$299)</f>
        <v>Xerox 2</v>
      </c>
      <c r="J602" s="36"/>
      <c r="K602" s="36"/>
      <c r="L602" s="36"/>
      <c r="M602" s="36"/>
      <c r="N602" s="36"/>
    </row>
    <row r="603" spans="1:14">
      <c r="A603" s="8" t="s">
        <v>704</v>
      </c>
      <c r="B603" s="19">
        <v>41852</v>
      </c>
      <c r="C603" s="8" t="s">
        <v>33</v>
      </c>
      <c r="D603" s="8">
        <v>10007</v>
      </c>
      <c r="E603" s="8" t="s">
        <v>640</v>
      </c>
      <c r="F603" s="8" t="s">
        <v>35</v>
      </c>
      <c r="G603" s="36">
        <f>VLOOKUP(E603,Flipkart!$A$1:$B$296,2,0)</f>
        <v>0.05</v>
      </c>
      <c r="H603" s="36">
        <f t="shared" ca="1" si="9"/>
        <v>0.05</v>
      </c>
      <c r="I603" s="36" t="str">
        <f>_xlfn.XLOOKUP(E603,'Product List'!$B$2:$B$299,'Product List'!$A$2:$A$299)</f>
        <v>Crate-A-Files</v>
      </c>
      <c r="J603" s="36"/>
      <c r="K603" s="36"/>
      <c r="L603" s="36"/>
      <c r="M603" s="36"/>
      <c r="N603" s="36"/>
    </row>
    <row r="604" spans="1:14">
      <c r="A604" s="8" t="s">
        <v>704</v>
      </c>
      <c r="B604" s="19">
        <v>41852</v>
      </c>
      <c r="C604" s="8" t="s">
        <v>54</v>
      </c>
      <c r="D604" s="8">
        <v>10001</v>
      </c>
      <c r="E604" s="8" t="s">
        <v>94</v>
      </c>
      <c r="F604" s="8" t="s">
        <v>35</v>
      </c>
      <c r="G604" s="36">
        <f>VLOOKUP(E604,Flipkart!$A$1:$B$296,2,0)</f>
        <v>0.03</v>
      </c>
      <c r="H604" s="36">
        <f t="shared" ca="1" si="9"/>
        <v>0.03</v>
      </c>
      <c r="I604" s="36" t="str">
        <f>_xlfn.XLOOKUP(E604,'Product List'!$B$2:$B$299,'Product List'!$A$2:$A$299)</f>
        <v>Xerox 191</v>
      </c>
      <c r="J604" s="36"/>
      <c r="K604" s="36"/>
      <c r="L604" s="36"/>
      <c r="M604" s="36"/>
      <c r="N604" s="36"/>
    </row>
    <row r="605" spans="1:14">
      <c r="A605" s="8" t="s">
        <v>704</v>
      </c>
      <c r="B605" s="19">
        <v>41852</v>
      </c>
      <c r="C605" s="8" t="s">
        <v>51</v>
      </c>
      <c r="D605" s="8">
        <v>10003</v>
      </c>
      <c r="E605" s="8" t="s">
        <v>436</v>
      </c>
      <c r="F605" s="8" t="s">
        <v>43</v>
      </c>
      <c r="G605" s="36">
        <f>VLOOKUP(E605,Flipkart!$A$1:$B$296,2,0)</f>
        <v>0.03</v>
      </c>
      <c r="H605" s="36">
        <f t="shared" ca="1" si="9"/>
        <v>0.04</v>
      </c>
      <c r="I605" s="36" t="str">
        <f>_xlfn.XLOOKUP(E605,'Product List'!$B$2:$B$299,'Product List'!$A$2:$A$299)</f>
        <v>Newell 338</v>
      </c>
      <c r="J605" s="36"/>
      <c r="K605" s="36"/>
      <c r="L605" s="36"/>
      <c r="M605" s="36"/>
      <c r="N605" s="36"/>
    </row>
    <row r="606" spans="1:14">
      <c r="A606" s="8" t="s">
        <v>705</v>
      </c>
      <c r="B606" s="19">
        <v>41852</v>
      </c>
      <c r="C606" s="8" t="s">
        <v>46</v>
      </c>
      <c r="D606" s="8">
        <v>10003</v>
      </c>
      <c r="E606" s="8" t="s">
        <v>505</v>
      </c>
      <c r="F606" s="8" t="s">
        <v>29</v>
      </c>
      <c r="G606" s="36">
        <f>VLOOKUP(E606,Flipkart!$A$1:$B$296,2,0)</f>
        <v>0.05</v>
      </c>
      <c r="H606" s="36">
        <f t="shared" ca="1" si="9"/>
        <v>0.03</v>
      </c>
      <c r="I606" s="36" t="str">
        <f>_xlfn.XLOOKUP(E606,'Product List'!$B$2:$B$299,'Product List'!$A$2:$A$299)</f>
        <v>Xerox 1934</v>
      </c>
      <c r="J606" s="36"/>
      <c r="K606" s="36"/>
      <c r="L606" s="36"/>
      <c r="M606" s="36"/>
      <c r="N606" s="36"/>
    </row>
    <row r="607" spans="1:14">
      <c r="A607" s="8" t="s">
        <v>706</v>
      </c>
      <c r="B607" s="19">
        <v>41854</v>
      </c>
      <c r="C607" s="8" t="s">
        <v>36</v>
      </c>
      <c r="D607" s="8">
        <v>10003</v>
      </c>
      <c r="E607" s="8" t="s">
        <v>88</v>
      </c>
      <c r="F607" s="8" t="s">
        <v>50</v>
      </c>
      <c r="G607" s="36">
        <f>VLOOKUP(E607,Flipkart!$A$1:$B$296,2,0)</f>
        <v>0</v>
      </c>
      <c r="H607" s="36">
        <f t="shared" ca="1" si="9"/>
        <v>0</v>
      </c>
      <c r="I607" s="36" t="str">
        <f>_xlfn.XLOOKUP(E607,'Product List'!$B$2:$B$299,'Product List'!$A$2:$A$299)</f>
        <v>Xerox 1922</v>
      </c>
      <c r="J607" s="36"/>
      <c r="K607" s="36"/>
      <c r="L607" s="36"/>
      <c r="M607" s="36"/>
      <c r="N607" s="36"/>
    </row>
    <row r="608" spans="1:14">
      <c r="A608" s="8" t="s">
        <v>706</v>
      </c>
      <c r="B608" s="19">
        <v>41854</v>
      </c>
      <c r="C608" s="8" t="s">
        <v>66</v>
      </c>
      <c r="D608" s="8">
        <v>10010</v>
      </c>
      <c r="E608" s="8" t="s">
        <v>57</v>
      </c>
      <c r="F608" s="8" t="s">
        <v>40</v>
      </c>
      <c r="G608" s="36">
        <f>VLOOKUP(E608,Flipkart!$A$1:$B$296,2,0)</f>
        <v>0.01</v>
      </c>
      <c r="H608" s="36">
        <f t="shared" ca="1" si="9"/>
        <v>0.02</v>
      </c>
      <c r="I608" s="36" t="str">
        <f>_xlfn.XLOOKUP(E608,'Product List'!$B$2:$B$299,'Product List'!$A$2:$A$299)</f>
        <v>Xerox 1886</v>
      </c>
      <c r="J608" s="36"/>
      <c r="K608" s="36"/>
      <c r="L608" s="36"/>
      <c r="M608" s="36"/>
      <c r="N608" s="36"/>
    </row>
    <row r="609" spans="1:14">
      <c r="A609" s="8" t="s">
        <v>707</v>
      </c>
      <c r="B609" s="19">
        <v>41855</v>
      </c>
      <c r="C609" s="8" t="s">
        <v>51</v>
      </c>
      <c r="D609" s="8">
        <v>10002</v>
      </c>
      <c r="E609" s="8" t="s">
        <v>62</v>
      </c>
      <c r="F609" s="8" t="s">
        <v>29</v>
      </c>
      <c r="G609" s="36">
        <f>VLOOKUP(E609,Flipkart!$A$1:$B$296,2,0)</f>
        <v>0.05</v>
      </c>
      <c r="H609" s="36">
        <f t="shared" ca="1" si="9"/>
        <v>0.04</v>
      </c>
      <c r="I609" s="36" t="str">
        <f>_xlfn.XLOOKUP(E609,'Product List'!$B$2:$B$299,'Product List'!$A$2:$A$299)</f>
        <v>Newell 308</v>
      </c>
      <c r="J609" s="36"/>
      <c r="K609" s="36"/>
      <c r="L609" s="36"/>
      <c r="M609" s="36"/>
      <c r="N609" s="36"/>
    </row>
    <row r="610" spans="1:14">
      <c r="A610" s="8" t="s">
        <v>708</v>
      </c>
      <c r="B610" s="19">
        <v>41858</v>
      </c>
      <c r="C610" s="8" t="s">
        <v>51</v>
      </c>
      <c r="D610" s="8">
        <v>10004</v>
      </c>
      <c r="E610" s="8" t="s">
        <v>434</v>
      </c>
      <c r="F610" s="8" t="s">
        <v>35</v>
      </c>
      <c r="G610" s="36">
        <f>VLOOKUP(E610,Flipkart!$A$1:$B$296,2,0)</f>
        <v>0.04</v>
      </c>
      <c r="H610" s="36">
        <f t="shared" ca="1" si="9"/>
        <v>0.04</v>
      </c>
      <c r="I610" s="36" t="str">
        <f>_xlfn.XLOOKUP(E610,'Product List'!$B$2:$B$299,'Product List'!$A$2:$A$299)</f>
        <v>Xerox 1952</v>
      </c>
      <c r="J610" s="36"/>
      <c r="K610" s="36"/>
      <c r="L610" s="36"/>
      <c r="M610" s="36"/>
      <c r="N610" s="36"/>
    </row>
    <row r="611" spans="1:14">
      <c r="A611" s="8" t="s">
        <v>709</v>
      </c>
      <c r="B611" s="19">
        <v>41858</v>
      </c>
      <c r="C611" s="8" t="s">
        <v>36</v>
      </c>
      <c r="D611" s="8">
        <v>10014</v>
      </c>
      <c r="E611" s="8" t="s">
        <v>558</v>
      </c>
      <c r="F611" s="8" t="s">
        <v>32</v>
      </c>
      <c r="G611" s="36">
        <f>VLOOKUP(E611,Flipkart!$A$1:$B$296,2,0)</f>
        <v>0.03</v>
      </c>
      <c r="H611" s="36">
        <f t="shared" ca="1" si="9"/>
        <v>0</v>
      </c>
      <c r="I611" s="36" t="str">
        <f>_xlfn.XLOOKUP(E611,'Product List'!$B$2:$B$299,'Product List'!$A$2:$A$299)</f>
        <v>Xerox 206</v>
      </c>
      <c r="J611" s="36"/>
      <c r="K611" s="36"/>
      <c r="L611" s="36"/>
      <c r="M611" s="36"/>
      <c r="N611" s="36"/>
    </row>
    <row r="612" spans="1:14">
      <c r="A612" s="8" t="s">
        <v>708</v>
      </c>
      <c r="B612" s="19">
        <v>41858</v>
      </c>
      <c r="C612" s="8" t="s">
        <v>51</v>
      </c>
      <c r="D612" s="8">
        <v>10009</v>
      </c>
      <c r="E612" s="8" t="s">
        <v>143</v>
      </c>
      <c r="F612" s="8" t="s">
        <v>35</v>
      </c>
      <c r="G612" s="36">
        <f>VLOOKUP(E612,Flipkart!$A$1:$B$296,2,0)</f>
        <v>0.04</v>
      </c>
      <c r="H612" s="36">
        <f t="shared" ca="1" si="9"/>
        <v>0.04</v>
      </c>
      <c r="I612" s="36" t="str">
        <f>_xlfn.XLOOKUP(E612,'Product List'!$B$2:$B$299,'Product List'!$A$2:$A$299)</f>
        <v>Xerox 1932</v>
      </c>
      <c r="J612" s="36"/>
      <c r="K612" s="36"/>
      <c r="L612" s="36"/>
      <c r="M612" s="36"/>
      <c r="N612" s="36"/>
    </row>
    <row r="613" spans="1:14">
      <c r="A613" s="8" t="s">
        <v>709</v>
      </c>
      <c r="B613" s="19">
        <v>41858</v>
      </c>
      <c r="C613" s="8" t="s">
        <v>66</v>
      </c>
      <c r="D613" s="8">
        <v>10001</v>
      </c>
      <c r="E613" s="8" t="s">
        <v>245</v>
      </c>
      <c r="F613" s="8" t="s">
        <v>43</v>
      </c>
      <c r="G613" s="36">
        <f>VLOOKUP(E613,Flipkart!$A$1:$B$296,2,0)</f>
        <v>0.04</v>
      </c>
      <c r="H613" s="36">
        <f t="shared" ca="1" si="9"/>
        <v>0.01</v>
      </c>
      <c r="I613" s="36" t="str">
        <f>_xlfn.XLOOKUP(E613,'Product List'!$B$2:$B$299,'Product List'!$A$2:$A$299)</f>
        <v>Avery 498</v>
      </c>
      <c r="J613" s="36"/>
      <c r="K613" s="36"/>
      <c r="L613" s="36"/>
      <c r="M613" s="36"/>
      <c r="N613" s="36"/>
    </row>
    <row r="614" spans="1:14">
      <c r="A614" s="8" t="s">
        <v>708</v>
      </c>
      <c r="B614" s="19">
        <v>41858</v>
      </c>
      <c r="C614" s="8" t="s">
        <v>54</v>
      </c>
      <c r="D614" s="8">
        <v>10006</v>
      </c>
      <c r="E614" s="8" t="s">
        <v>275</v>
      </c>
      <c r="F614" s="8" t="s">
        <v>29</v>
      </c>
      <c r="G614" s="36">
        <f>VLOOKUP(E614,Flipkart!$A$1:$B$296,2,0)</f>
        <v>0</v>
      </c>
      <c r="H614" s="36">
        <f t="shared" ca="1" si="9"/>
        <v>0.05</v>
      </c>
      <c r="I614" s="36" t="str">
        <f>_xlfn.XLOOKUP(E614,'Product List'!$B$2:$B$299,'Product List'!$A$2:$A$299)</f>
        <v>Xerox 218</v>
      </c>
      <c r="J614" s="36"/>
      <c r="K614" s="36"/>
      <c r="L614" s="36"/>
      <c r="M614" s="36"/>
      <c r="N614" s="36"/>
    </row>
    <row r="615" spans="1:14">
      <c r="A615" s="8" t="s">
        <v>709</v>
      </c>
      <c r="B615" s="19">
        <v>41858</v>
      </c>
      <c r="C615" s="8" t="s">
        <v>66</v>
      </c>
      <c r="D615" s="8">
        <v>10002</v>
      </c>
      <c r="E615" s="8" t="s">
        <v>710</v>
      </c>
      <c r="F615" s="8" t="s">
        <v>50</v>
      </c>
      <c r="G615" s="36">
        <f>VLOOKUP(E615,Flipkart!$A$1:$B$296,2,0)</f>
        <v>0.03</v>
      </c>
      <c r="H615" s="36">
        <f t="shared" ca="1" si="9"/>
        <v>0.03</v>
      </c>
      <c r="I615" s="36" t="str">
        <f>_xlfn.XLOOKUP(E615,'Product List'!$B$2:$B$299,'Product List'!$A$2:$A$299)</f>
        <v>Xerox 195</v>
      </c>
      <c r="J615" s="36"/>
      <c r="K615" s="36"/>
      <c r="L615" s="36"/>
      <c r="M615" s="36"/>
      <c r="N615" s="36"/>
    </row>
    <row r="616" spans="1:14">
      <c r="A616" s="8" t="s">
        <v>711</v>
      </c>
      <c r="B616" s="19">
        <v>41859</v>
      </c>
      <c r="C616" s="8" t="s">
        <v>51</v>
      </c>
      <c r="D616" s="8">
        <v>10012</v>
      </c>
      <c r="E616" s="8" t="s">
        <v>712</v>
      </c>
      <c r="F616" s="8" t="s">
        <v>29</v>
      </c>
      <c r="G616" s="36">
        <f>VLOOKUP(E616,Flipkart!$A$1:$B$296,2,0)</f>
        <v>0.05</v>
      </c>
      <c r="H616" s="36">
        <f t="shared" ca="1" si="9"/>
        <v>0.03</v>
      </c>
      <c r="I616" s="36" t="str">
        <f>_xlfn.XLOOKUP(E616,'Product List'!$B$2:$B$299,'Product List'!$A$2:$A$299)</f>
        <v>Xerox 1929</v>
      </c>
      <c r="J616" s="36"/>
      <c r="K616" s="36"/>
      <c r="L616" s="36"/>
      <c r="M616" s="36"/>
      <c r="N616" s="36"/>
    </row>
    <row r="617" spans="1:14">
      <c r="A617" s="8" t="s">
        <v>711</v>
      </c>
      <c r="B617" s="19">
        <v>41859</v>
      </c>
      <c r="C617" s="8" t="s">
        <v>36</v>
      </c>
      <c r="D617" s="8">
        <v>10007</v>
      </c>
      <c r="E617" s="8" t="s">
        <v>518</v>
      </c>
      <c r="F617" s="8" t="s">
        <v>40</v>
      </c>
      <c r="G617" s="36">
        <f>VLOOKUP(E617,Flipkart!$A$1:$B$296,2,0)</f>
        <v>0.02</v>
      </c>
      <c r="H617" s="36">
        <f t="shared" ca="1" si="9"/>
        <v>0.01</v>
      </c>
      <c r="I617" s="36" t="str">
        <f>_xlfn.XLOOKUP(E617,'Product List'!$B$2:$B$299,'Product List'!$A$2:$A$299)</f>
        <v>Xerox 1931</v>
      </c>
      <c r="J617" s="36"/>
      <c r="K617" s="36"/>
      <c r="L617" s="36"/>
      <c r="M617" s="36"/>
      <c r="N617" s="36"/>
    </row>
    <row r="618" spans="1:14">
      <c r="A618" s="8" t="s">
        <v>711</v>
      </c>
      <c r="B618" s="19">
        <v>41859</v>
      </c>
      <c r="C618" s="8" t="s">
        <v>33</v>
      </c>
      <c r="D618" s="8">
        <v>10007</v>
      </c>
      <c r="E618" s="8" t="s">
        <v>345</v>
      </c>
      <c r="F618" s="8" t="s">
        <v>43</v>
      </c>
      <c r="G618" s="36">
        <f>VLOOKUP(E618,Flipkart!$A$1:$B$296,2,0)</f>
        <v>0.04</v>
      </c>
      <c r="H618" s="36">
        <f t="shared" ca="1" si="9"/>
        <v>0</v>
      </c>
      <c r="I618" s="36" t="str">
        <f>_xlfn.XLOOKUP(E618,'Product List'!$B$2:$B$299,'Product List'!$A$2:$A$299)</f>
        <v>Newell 340</v>
      </c>
      <c r="J618" s="36"/>
      <c r="K618" s="36"/>
      <c r="L618" s="36"/>
      <c r="M618" s="36"/>
      <c r="N618" s="36"/>
    </row>
    <row r="619" spans="1:14">
      <c r="A619" s="8" t="s">
        <v>713</v>
      </c>
      <c r="B619" s="19">
        <v>41860</v>
      </c>
      <c r="C619" s="8" t="s">
        <v>27</v>
      </c>
      <c r="D619" s="8">
        <v>10002</v>
      </c>
      <c r="E619" s="8" t="s">
        <v>316</v>
      </c>
      <c r="F619" s="8" t="s">
        <v>32</v>
      </c>
      <c r="G619" s="36">
        <f>VLOOKUP(E619,Flipkart!$A$1:$B$296,2,0)</f>
        <v>0.03</v>
      </c>
      <c r="H619" s="36">
        <f t="shared" ca="1" si="9"/>
        <v>0</v>
      </c>
      <c r="I619" s="36" t="str">
        <f>_xlfn.XLOOKUP(E619,'Product List'!$B$2:$B$299,'Product List'!$A$2:$A$299)</f>
        <v>Xerox 1900</v>
      </c>
      <c r="J619" s="36"/>
      <c r="K619" s="36"/>
      <c r="L619" s="36"/>
      <c r="M619" s="36"/>
      <c r="N619" s="36"/>
    </row>
    <row r="620" spans="1:14">
      <c r="A620" s="8" t="s">
        <v>714</v>
      </c>
      <c r="B620" s="19">
        <v>41860</v>
      </c>
      <c r="C620" s="8" t="s">
        <v>33</v>
      </c>
      <c r="D620" s="8">
        <v>10001</v>
      </c>
      <c r="E620" s="8" t="s">
        <v>356</v>
      </c>
      <c r="F620" s="8" t="s">
        <v>29</v>
      </c>
      <c r="G620" s="36">
        <f>VLOOKUP(E620,Flipkart!$A$1:$B$296,2,0)</f>
        <v>0.04</v>
      </c>
      <c r="H620" s="36">
        <f t="shared" ca="1" si="9"/>
        <v>0.05</v>
      </c>
      <c r="I620" s="36" t="str">
        <f>_xlfn.XLOOKUP(E620,'Product List'!$B$2:$B$299,'Product List'!$A$2:$A$299)</f>
        <v>Newell 32</v>
      </c>
      <c r="J620" s="36"/>
      <c r="K620" s="36"/>
      <c r="L620" s="36"/>
      <c r="M620" s="36"/>
      <c r="N620" s="36"/>
    </row>
    <row r="621" spans="1:14">
      <c r="A621" s="8" t="s">
        <v>715</v>
      </c>
      <c r="B621" s="19">
        <v>41861</v>
      </c>
      <c r="C621" s="8" t="s">
        <v>36</v>
      </c>
      <c r="D621" s="8">
        <v>10007</v>
      </c>
      <c r="E621" s="8" t="s">
        <v>659</v>
      </c>
      <c r="F621" s="8" t="s">
        <v>43</v>
      </c>
      <c r="G621" s="36">
        <f>VLOOKUP(E621,Flipkart!$A$1:$B$296,2,0)</f>
        <v>0.02</v>
      </c>
      <c r="H621" s="36">
        <f t="shared" ca="1" si="9"/>
        <v>0.04</v>
      </c>
      <c r="I621" s="36" t="str">
        <f>_xlfn.XLOOKUP(E621,'Product List'!$B$2:$B$299,'Product List'!$A$2:$A$299)</f>
        <v>Newell 312</v>
      </c>
      <c r="J621" s="36"/>
      <c r="K621" s="36"/>
      <c r="L621" s="36"/>
      <c r="M621" s="36"/>
      <c r="N621" s="36"/>
    </row>
    <row r="622" spans="1:14">
      <c r="A622" s="8" t="s">
        <v>715</v>
      </c>
      <c r="B622" s="19">
        <v>41861</v>
      </c>
      <c r="C622" s="8" t="s">
        <v>51</v>
      </c>
      <c r="D622" s="8">
        <v>10011</v>
      </c>
      <c r="E622" s="8" t="s">
        <v>716</v>
      </c>
      <c r="F622" s="8" t="s">
        <v>32</v>
      </c>
      <c r="G622" s="36">
        <f>VLOOKUP(E622,Flipkart!$A$1:$B$296,2,0)</f>
        <v>0.01</v>
      </c>
      <c r="H622" s="36">
        <f t="shared" ca="1" si="9"/>
        <v>0.05</v>
      </c>
      <c r="I622" s="36" t="str">
        <f>_xlfn.XLOOKUP(E622,'Product List'!$B$2:$B$299,'Product List'!$A$2:$A$299)</f>
        <v>Xerox 1954</v>
      </c>
      <c r="J622" s="36"/>
      <c r="K622" s="36"/>
      <c r="L622" s="36"/>
      <c r="M622" s="36"/>
      <c r="N622" s="36"/>
    </row>
    <row r="623" spans="1:14">
      <c r="A623" s="8" t="s">
        <v>717</v>
      </c>
      <c r="B623" s="19">
        <v>41862</v>
      </c>
      <c r="C623" s="8" t="s">
        <v>66</v>
      </c>
      <c r="D623" s="8">
        <v>10012</v>
      </c>
      <c r="E623" s="8" t="s">
        <v>318</v>
      </c>
      <c r="F623" s="8" t="s">
        <v>35</v>
      </c>
      <c r="G623" s="36">
        <f>VLOOKUP(E623,Flipkart!$A$1:$B$296,2,0)</f>
        <v>0.02</v>
      </c>
      <c r="H623" s="36">
        <f t="shared" ca="1" si="9"/>
        <v>0.02</v>
      </c>
      <c r="I623" s="36" t="str">
        <f>_xlfn.XLOOKUP(E623,'Product List'!$B$2:$B$299,'Product List'!$A$2:$A$299)</f>
        <v>Newell 331</v>
      </c>
      <c r="J623" s="36"/>
      <c r="K623" s="36"/>
      <c r="L623" s="36"/>
      <c r="M623" s="36"/>
      <c r="N623" s="36"/>
    </row>
    <row r="624" spans="1:14">
      <c r="A624" s="8" t="s">
        <v>718</v>
      </c>
      <c r="B624" s="19">
        <v>41867</v>
      </c>
      <c r="C624" s="8" t="s">
        <v>36</v>
      </c>
      <c r="D624" s="8">
        <v>10012</v>
      </c>
      <c r="E624" s="8" t="s">
        <v>178</v>
      </c>
      <c r="F624" s="8" t="s">
        <v>29</v>
      </c>
      <c r="G624" s="36">
        <f>VLOOKUP(E624,Flipkart!$A$1:$B$296,2,0)</f>
        <v>0.03</v>
      </c>
      <c r="H624" s="36">
        <f t="shared" ca="1" si="9"/>
        <v>0.01</v>
      </c>
      <c r="I624" s="36" t="str">
        <f>_xlfn.XLOOKUP(E624,'Product List'!$B$2:$B$299,'Product List'!$A$2:$A$299)</f>
        <v>Xerox 1912</v>
      </c>
      <c r="J624" s="36"/>
      <c r="K624" s="36"/>
      <c r="L624" s="36"/>
      <c r="M624" s="36"/>
      <c r="N624" s="36"/>
    </row>
    <row r="625" spans="1:14">
      <c r="A625" s="8" t="s">
        <v>719</v>
      </c>
      <c r="B625" s="19">
        <v>41867</v>
      </c>
      <c r="C625" s="8" t="s">
        <v>54</v>
      </c>
      <c r="D625" s="8">
        <v>10001</v>
      </c>
      <c r="E625" s="8" t="s">
        <v>291</v>
      </c>
      <c r="F625" s="8" t="s">
        <v>35</v>
      </c>
      <c r="G625" s="36">
        <f>VLOOKUP(E625,Flipkart!$A$1:$B$296,2,0)</f>
        <v>0.03</v>
      </c>
      <c r="H625" s="36">
        <f t="shared" ca="1" si="9"/>
        <v>0.03</v>
      </c>
      <c r="I625" s="36" t="str">
        <f>_xlfn.XLOOKUP(E625,'Product List'!$B$2:$B$299,'Product List'!$A$2:$A$299)</f>
        <v>Xerox 1990</v>
      </c>
      <c r="J625" s="36"/>
      <c r="K625" s="36"/>
      <c r="L625" s="36"/>
      <c r="M625" s="36"/>
      <c r="N625" s="36"/>
    </row>
    <row r="626" spans="1:14">
      <c r="A626" s="8" t="s">
        <v>718</v>
      </c>
      <c r="B626" s="19">
        <v>41867</v>
      </c>
      <c r="C626" s="8" t="s">
        <v>33</v>
      </c>
      <c r="D626" s="8">
        <v>10002</v>
      </c>
      <c r="E626" s="8" t="s">
        <v>184</v>
      </c>
      <c r="F626" s="8" t="s">
        <v>40</v>
      </c>
      <c r="G626" s="36">
        <f>VLOOKUP(E626,Flipkart!$A$1:$B$296,2,0)</f>
        <v>0.03</v>
      </c>
      <c r="H626" s="36">
        <f t="shared" ca="1" si="9"/>
        <v>0.02</v>
      </c>
      <c r="I626" s="36" t="str">
        <f>_xlfn.XLOOKUP(E626,'Product List'!$B$2:$B$299,'Product List'!$A$2:$A$299)</f>
        <v>Xerox 1983</v>
      </c>
      <c r="J626" s="36"/>
      <c r="K626" s="36"/>
      <c r="L626" s="36"/>
      <c r="M626" s="36"/>
      <c r="N626" s="36"/>
    </row>
    <row r="627" spans="1:14">
      <c r="A627" s="8" t="s">
        <v>720</v>
      </c>
      <c r="B627" s="19">
        <v>41869</v>
      </c>
      <c r="C627" s="8" t="s">
        <v>54</v>
      </c>
      <c r="D627" s="8">
        <v>10009</v>
      </c>
      <c r="E627" s="8" t="s">
        <v>285</v>
      </c>
      <c r="F627" s="8" t="s">
        <v>35</v>
      </c>
      <c r="G627" s="36">
        <f>VLOOKUP(E627,Flipkart!$A$1:$B$296,2,0)</f>
        <v>0.05</v>
      </c>
      <c r="H627" s="36">
        <f t="shared" ca="1" si="9"/>
        <v>0.05</v>
      </c>
      <c r="I627" s="36" t="str">
        <f>_xlfn.XLOOKUP(E627,'Product List'!$B$2:$B$299,'Product List'!$A$2:$A$299)</f>
        <v>Newell 344</v>
      </c>
      <c r="J627" s="36"/>
      <c r="K627" s="36"/>
      <c r="L627" s="36"/>
      <c r="M627" s="36"/>
      <c r="N627" s="36"/>
    </row>
    <row r="628" spans="1:14">
      <c r="A628" s="8" t="s">
        <v>720</v>
      </c>
      <c r="B628" s="19">
        <v>41869</v>
      </c>
      <c r="C628" s="8" t="s">
        <v>54</v>
      </c>
      <c r="D628" s="8">
        <v>10005</v>
      </c>
      <c r="E628" s="8" t="s">
        <v>158</v>
      </c>
      <c r="F628" s="8" t="s">
        <v>43</v>
      </c>
      <c r="G628" s="36">
        <f>VLOOKUP(E628,Flipkart!$A$1:$B$296,2,0)</f>
        <v>0.05</v>
      </c>
      <c r="H628" s="36">
        <f t="shared" ca="1" si="9"/>
        <v>0.03</v>
      </c>
      <c r="I628" s="36" t="str">
        <f>_xlfn.XLOOKUP(E628,'Product List'!$B$2:$B$299,'Product List'!$A$2:$A$299)</f>
        <v>Vtech CS6719</v>
      </c>
      <c r="J628" s="36"/>
      <c r="K628" s="36"/>
      <c r="L628" s="36"/>
      <c r="M628" s="36"/>
      <c r="N628" s="36"/>
    </row>
    <row r="629" spans="1:14">
      <c r="A629" s="8" t="s">
        <v>721</v>
      </c>
      <c r="B629" s="19">
        <v>41869</v>
      </c>
      <c r="C629" s="8" t="s">
        <v>27</v>
      </c>
      <c r="D629" s="8">
        <v>10009</v>
      </c>
      <c r="E629" s="8" t="s">
        <v>524</v>
      </c>
      <c r="F629" s="8" t="s">
        <v>35</v>
      </c>
      <c r="G629" s="36">
        <f>VLOOKUP(E629,Flipkart!$A$1:$B$296,2,0)</f>
        <v>0.02</v>
      </c>
      <c r="H629" s="36">
        <f t="shared" ca="1" si="9"/>
        <v>0.02</v>
      </c>
      <c r="I629" s="36" t="str">
        <f>_xlfn.XLOOKUP(E629,'Product List'!$B$2:$B$299,'Product List'!$A$2:$A$299)</f>
        <v>Avery 495</v>
      </c>
      <c r="J629" s="36"/>
      <c r="K629" s="36"/>
      <c r="L629" s="36"/>
      <c r="M629" s="36"/>
      <c r="N629" s="36"/>
    </row>
    <row r="630" spans="1:14">
      <c r="A630" s="8" t="s">
        <v>722</v>
      </c>
      <c r="B630" s="19">
        <v>41872</v>
      </c>
      <c r="C630" s="8" t="s">
        <v>54</v>
      </c>
      <c r="D630" s="8">
        <v>10007</v>
      </c>
      <c r="E630" s="8" t="s">
        <v>37</v>
      </c>
      <c r="F630" s="8" t="s">
        <v>43</v>
      </c>
      <c r="G630" s="36">
        <f>VLOOKUP(E630,Flipkart!$A$1:$B$296,2,0)</f>
        <v>0.03</v>
      </c>
      <c r="H630" s="36">
        <f t="shared" ca="1" si="9"/>
        <v>0.01</v>
      </c>
      <c r="I630" s="36" t="str">
        <f>_xlfn.XLOOKUP(E630,'Product List'!$B$2:$B$299,'Product List'!$A$2:$A$299)</f>
        <v>Avery 508</v>
      </c>
      <c r="J630" s="36"/>
      <c r="K630" s="36"/>
      <c r="L630" s="36"/>
      <c r="M630" s="36"/>
      <c r="N630" s="36"/>
    </row>
    <row r="631" spans="1:14">
      <c r="A631" s="8" t="s">
        <v>723</v>
      </c>
      <c r="B631" s="19">
        <v>41874</v>
      </c>
      <c r="C631" s="8" t="s">
        <v>33</v>
      </c>
      <c r="D631" s="8">
        <v>10012</v>
      </c>
      <c r="E631" s="8" t="s">
        <v>368</v>
      </c>
      <c r="F631" s="8" t="s">
        <v>43</v>
      </c>
      <c r="G631" s="36">
        <f>VLOOKUP(E631,Flipkart!$A$1:$B$296,2,0)</f>
        <v>0</v>
      </c>
      <c r="H631" s="36">
        <f t="shared" ca="1" si="9"/>
        <v>0</v>
      </c>
      <c r="I631" s="36" t="str">
        <f>_xlfn.XLOOKUP(E631,'Product List'!$B$2:$B$299,'Product List'!$A$2:$A$299)</f>
        <v>Xerox 1978</v>
      </c>
      <c r="J631" s="36"/>
      <c r="K631" s="36"/>
      <c r="L631" s="36"/>
      <c r="M631" s="36"/>
      <c r="N631" s="36"/>
    </row>
    <row r="632" spans="1:14">
      <c r="A632" s="8" t="s">
        <v>724</v>
      </c>
      <c r="B632" s="19">
        <v>41875</v>
      </c>
      <c r="C632" s="8" t="s">
        <v>54</v>
      </c>
      <c r="D632" s="8">
        <v>10008</v>
      </c>
      <c r="E632" s="8" t="s">
        <v>249</v>
      </c>
      <c r="F632" s="8" t="s">
        <v>35</v>
      </c>
      <c r="G632" s="36">
        <f>VLOOKUP(E632,Flipkart!$A$1:$B$296,2,0)</f>
        <v>0</v>
      </c>
      <c r="H632" s="36">
        <f t="shared" ca="1" si="9"/>
        <v>0</v>
      </c>
      <c r="I632" s="36" t="str">
        <f>_xlfn.XLOOKUP(E632,'Product List'!$B$2:$B$299,'Product List'!$A$2:$A$299)</f>
        <v>Newell 315</v>
      </c>
      <c r="J632" s="36"/>
      <c r="K632" s="36"/>
      <c r="L632" s="36"/>
      <c r="M632" s="36"/>
      <c r="N632" s="36"/>
    </row>
    <row r="633" spans="1:14">
      <c r="A633" s="8" t="s">
        <v>725</v>
      </c>
      <c r="B633" s="19">
        <v>41877</v>
      </c>
      <c r="C633" s="8" t="s">
        <v>51</v>
      </c>
      <c r="D633" s="8">
        <v>10011</v>
      </c>
      <c r="E633" s="8" t="s">
        <v>190</v>
      </c>
      <c r="F633" s="8" t="s">
        <v>43</v>
      </c>
      <c r="G633" s="36">
        <f>VLOOKUP(E633,Flipkart!$A$1:$B$296,2,0)</f>
        <v>0.02</v>
      </c>
      <c r="H633" s="36">
        <f t="shared" ca="1" si="9"/>
        <v>0.04</v>
      </c>
      <c r="I633" s="36" t="str">
        <f>_xlfn.XLOOKUP(E633,'Product List'!$B$2:$B$299,'Product List'!$A$2:$A$299)</f>
        <v>Xerox 1887</v>
      </c>
      <c r="J633" s="36"/>
      <c r="K633" s="36"/>
      <c r="L633" s="36"/>
      <c r="M633" s="36"/>
      <c r="N633" s="36"/>
    </row>
    <row r="634" spans="1:14">
      <c r="A634" s="8" t="s">
        <v>726</v>
      </c>
      <c r="B634" s="19">
        <v>41879</v>
      </c>
      <c r="C634" s="8" t="s">
        <v>33</v>
      </c>
      <c r="D634" s="8">
        <v>10003</v>
      </c>
      <c r="E634" s="8" t="s">
        <v>605</v>
      </c>
      <c r="F634" s="8" t="s">
        <v>32</v>
      </c>
      <c r="G634" s="36">
        <f>VLOOKUP(E634,Flipkart!$A$1:$B$296,2,0)</f>
        <v>0.01</v>
      </c>
      <c r="H634" s="36">
        <f t="shared" ca="1" si="9"/>
        <v>0.05</v>
      </c>
      <c r="I634" s="36" t="str">
        <f>_xlfn.XLOOKUP(E634,'Product List'!$B$2:$B$299,'Product List'!$A$2:$A$299)</f>
        <v>Pyle PMP37LED</v>
      </c>
      <c r="J634" s="36"/>
      <c r="K634" s="36"/>
      <c r="L634" s="36"/>
      <c r="M634" s="36"/>
      <c r="N634" s="36"/>
    </row>
    <row r="635" spans="1:14">
      <c r="A635" s="8" t="s">
        <v>726</v>
      </c>
      <c r="B635" s="19">
        <v>41879</v>
      </c>
      <c r="C635" s="8" t="s">
        <v>46</v>
      </c>
      <c r="D635" s="8">
        <v>10013</v>
      </c>
      <c r="E635" s="8" t="s">
        <v>126</v>
      </c>
      <c r="F635" s="8" t="s">
        <v>43</v>
      </c>
      <c r="G635" s="36">
        <f>VLOOKUP(E635,Flipkart!$A$1:$B$296,2,0)</f>
        <v>0.05</v>
      </c>
      <c r="H635" s="36">
        <f t="shared" ca="1" si="9"/>
        <v>0</v>
      </c>
      <c r="I635" s="36" t="str">
        <f>_xlfn.XLOOKUP(E635,'Product List'!$B$2:$B$299,'Product List'!$A$2:$A$299)</f>
        <v>Xerox 1964</v>
      </c>
      <c r="J635" s="36"/>
      <c r="K635" s="36"/>
      <c r="L635" s="36"/>
      <c r="M635" s="36"/>
      <c r="N635" s="36"/>
    </row>
    <row r="636" spans="1:14">
      <c r="A636" s="8" t="s">
        <v>727</v>
      </c>
      <c r="B636" s="19">
        <v>41879</v>
      </c>
      <c r="C636" s="8" t="s">
        <v>51</v>
      </c>
      <c r="D636" s="8">
        <v>10006</v>
      </c>
      <c r="E636" s="8" t="s">
        <v>57</v>
      </c>
      <c r="F636" s="8" t="s">
        <v>40</v>
      </c>
      <c r="G636" s="36">
        <f>VLOOKUP(E636,Flipkart!$A$1:$B$296,2,0)</f>
        <v>0.01</v>
      </c>
      <c r="H636" s="36">
        <f t="shared" ca="1" si="9"/>
        <v>0.02</v>
      </c>
      <c r="I636" s="36" t="str">
        <f>_xlfn.XLOOKUP(E636,'Product List'!$B$2:$B$299,'Product List'!$A$2:$A$299)</f>
        <v>Xerox 1886</v>
      </c>
      <c r="J636" s="36"/>
      <c r="K636" s="36"/>
      <c r="L636" s="36"/>
      <c r="M636" s="36"/>
      <c r="N636" s="36"/>
    </row>
    <row r="637" spans="1:14">
      <c r="A637" s="8" t="s">
        <v>727</v>
      </c>
      <c r="B637" s="19">
        <v>41879</v>
      </c>
      <c r="C637" s="8" t="s">
        <v>44</v>
      </c>
      <c r="D637" s="8">
        <v>10003</v>
      </c>
      <c r="E637" s="8" t="s">
        <v>156</v>
      </c>
      <c r="F637" s="8" t="s">
        <v>29</v>
      </c>
      <c r="G637" s="36">
        <f>VLOOKUP(E637,Flipkart!$A$1:$B$296,2,0)</f>
        <v>0.04</v>
      </c>
      <c r="H637" s="36">
        <f t="shared" ca="1" si="9"/>
        <v>0</v>
      </c>
      <c r="I637" s="36" t="str">
        <f>_xlfn.XLOOKUP(E637,'Product List'!$B$2:$B$299,'Product List'!$A$2:$A$299)</f>
        <v>Avery 505</v>
      </c>
      <c r="J637" s="36"/>
      <c r="K637" s="36"/>
      <c r="L637" s="36"/>
      <c r="M637" s="36"/>
      <c r="N637" s="36"/>
    </row>
    <row r="638" spans="1:14">
      <c r="A638" s="8" t="s">
        <v>726</v>
      </c>
      <c r="B638" s="19">
        <v>41879</v>
      </c>
      <c r="C638" s="8" t="s">
        <v>44</v>
      </c>
      <c r="D638" s="8">
        <v>10009</v>
      </c>
      <c r="E638" s="8" t="s">
        <v>298</v>
      </c>
      <c r="F638" s="8" t="s">
        <v>35</v>
      </c>
      <c r="G638" s="36">
        <f>VLOOKUP(E638,Flipkart!$A$1:$B$296,2,0)</f>
        <v>0.04</v>
      </c>
      <c r="H638" s="36">
        <f t="shared" ca="1" si="9"/>
        <v>0.04</v>
      </c>
      <c r="I638" s="36" t="str">
        <f>_xlfn.XLOOKUP(E638,'Product List'!$B$2:$B$299,'Product List'!$A$2:$A$299)</f>
        <v>Xerox 216</v>
      </c>
      <c r="J638" s="36"/>
      <c r="K638" s="36"/>
      <c r="L638" s="36"/>
      <c r="M638" s="36"/>
      <c r="N638" s="36"/>
    </row>
    <row r="639" spans="1:14">
      <c r="A639" s="8" t="s">
        <v>728</v>
      </c>
      <c r="B639" s="19">
        <v>41880</v>
      </c>
      <c r="C639" s="8" t="s">
        <v>33</v>
      </c>
      <c r="D639" s="8">
        <v>10014</v>
      </c>
      <c r="E639" s="8" t="s">
        <v>729</v>
      </c>
      <c r="F639" s="8" t="s">
        <v>29</v>
      </c>
      <c r="G639" s="36">
        <f>VLOOKUP(E639,Flipkart!$A$1:$B$296,2,0)</f>
        <v>0</v>
      </c>
      <c r="H639" s="36">
        <f t="shared" ca="1" si="9"/>
        <v>0.01</v>
      </c>
      <c r="I639" s="36" t="str">
        <f>_xlfn.XLOOKUP(E639,'Product List'!$B$2:$B$299,'Product List'!$A$2:$A$299)</f>
        <v>Newell 324</v>
      </c>
      <c r="J639" s="36"/>
      <c r="K639" s="36"/>
      <c r="L639" s="36"/>
      <c r="M639" s="36"/>
      <c r="N639" s="36"/>
    </row>
    <row r="640" spans="1:14">
      <c r="A640" s="8" t="s">
        <v>730</v>
      </c>
      <c r="B640" s="19">
        <v>41880</v>
      </c>
      <c r="C640" s="8" t="s">
        <v>27</v>
      </c>
      <c r="D640" s="8">
        <v>10012</v>
      </c>
      <c r="E640" s="8" t="s">
        <v>467</v>
      </c>
      <c r="F640" s="8" t="s">
        <v>43</v>
      </c>
      <c r="G640" s="36">
        <f>VLOOKUP(E640,Flipkart!$A$1:$B$296,2,0)</f>
        <v>0.05</v>
      </c>
      <c r="H640" s="36">
        <f t="shared" ca="1" si="9"/>
        <v>0.04</v>
      </c>
      <c r="I640" s="36" t="str">
        <f>_xlfn.XLOOKUP(E640,'Product List'!$B$2:$B$299,'Product List'!$A$2:$A$299)</f>
        <v>Xerox 215</v>
      </c>
      <c r="J640" s="36"/>
      <c r="K640" s="36"/>
      <c r="L640" s="36"/>
      <c r="M640" s="36"/>
      <c r="N640" s="36"/>
    </row>
    <row r="641" spans="1:14">
      <c r="A641" s="8" t="s">
        <v>730</v>
      </c>
      <c r="B641" s="19">
        <v>41880</v>
      </c>
      <c r="C641" s="8" t="s">
        <v>66</v>
      </c>
      <c r="D641" s="8">
        <v>10005</v>
      </c>
      <c r="E641" s="8" t="s">
        <v>467</v>
      </c>
      <c r="F641" s="8" t="s">
        <v>50</v>
      </c>
      <c r="G641" s="36">
        <f>VLOOKUP(E641,Flipkart!$A$1:$B$296,2,0)</f>
        <v>0.05</v>
      </c>
      <c r="H641" s="36">
        <f t="shared" ca="1" si="9"/>
        <v>0.03</v>
      </c>
      <c r="I641" s="36" t="str">
        <f>_xlfn.XLOOKUP(E641,'Product List'!$B$2:$B$299,'Product List'!$A$2:$A$299)</f>
        <v>Xerox 215</v>
      </c>
      <c r="J641" s="36"/>
      <c r="K641" s="36"/>
      <c r="L641" s="36"/>
      <c r="M641" s="36"/>
      <c r="N641" s="36"/>
    </row>
    <row r="642" spans="1:14">
      <c r="A642" s="8" t="s">
        <v>730</v>
      </c>
      <c r="B642" s="19">
        <v>41880</v>
      </c>
      <c r="C642" s="8" t="s">
        <v>66</v>
      </c>
      <c r="D642" s="8">
        <v>10007</v>
      </c>
      <c r="E642" s="8" t="s">
        <v>479</v>
      </c>
      <c r="F642" s="8" t="s">
        <v>40</v>
      </c>
      <c r="G642" s="36">
        <f>VLOOKUP(E642,Flipkart!$A$1:$B$296,2,0)</f>
        <v>0.01</v>
      </c>
      <c r="H642" s="36">
        <f t="shared" ca="1" si="9"/>
        <v>0.04</v>
      </c>
      <c r="I642" s="36" t="str">
        <f>_xlfn.XLOOKUP(E642,'Product List'!$B$2:$B$299,'Product List'!$A$2:$A$299)</f>
        <v>Xerox 23</v>
      </c>
      <c r="J642" s="36"/>
      <c r="K642" s="36"/>
      <c r="L642" s="36"/>
      <c r="M642" s="36"/>
      <c r="N642" s="36"/>
    </row>
    <row r="643" spans="1:14">
      <c r="A643" s="8" t="s">
        <v>731</v>
      </c>
      <c r="B643" s="19">
        <v>41882</v>
      </c>
      <c r="C643" s="8" t="s">
        <v>33</v>
      </c>
      <c r="D643" s="8">
        <v>10011</v>
      </c>
      <c r="E643" s="8" t="s">
        <v>510</v>
      </c>
      <c r="F643" s="8" t="s">
        <v>43</v>
      </c>
      <c r="G643" s="36">
        <f>VLOOKUP(E643,Flipkart!$A$1:$B$296,2,0)</f>
        <v>0.04</v>
      </c>
      <c r="H643" s="36">
        <f t="shared" ca="1" si="9"/>
        <v>0.02</v>
      </c>
      <c r="I643" s="36" t="str">
        <f>_xlfn.XLOOKUP(E643,'Product List'!$B$2:$B$299,'Product List'!$A$2:$A$299)</f>
        <v>Avery 507</v>
      </c>
      <c r="J643" s="36"/>
      <c r="K643" s="36"/>
      <c r="L643" s="36"/>
      <c r="M643" s="36"/>
      <c r="N643" s="36"/>
    </row>
    <row r="644" spans="1:14">
      <c r="A644" s="8" t="s">
        <v>732</v>
      </c>
      <c r="B644" s="19">
        <v>41882</v>
      </c>
      <c r="C644" s="8" t="s">
        <v>51</v>
      </c>
      <c r="D644" s="8">
        <v>10015</v>
      </c>
      <c r="E644" s="8" t="s">
        <v>269</v>
      </c>
      <c r="F644" s="8" t="s">
        <v>29</v>
      </c>
      <c r="G644" s="36">
        <f>VLOOKUP(E644,Flipkart!$A$1:$B$296,2,0)</f>
        <v>0.03</v>
      </c>
      <c r="H644" s="36">
        <f t="shared" ref="H644:H707" ca="1" si="10">VLOOKUP(E644,INDIRECT(F644&amp;"!$A$1:$B$296"),2,0)</f>
        <v>0.04</v>
      </c>
      <c r="I644" s="36" t="str">
        <f>_xlfn.XLOOKUP(E644,'Product List'!$B$2:$B$299,'Product List'!$A$2:$A$299)</f>
        <v>Xerox 1975</v>
      </c>
      <c r="J644" s="36"/>
      <c r="K644" s="36"/>
      <c r="L644" s="36"/>
      <c r="M644" s="36"/>
      <c r="N644" s="36"/>
    </row>
    <row r="645" spans="1:14">
      <c r="A645" s="8" t="s">
        <v>731</v>
      </c>
      <c r="B645" s="19">
        <v>41882</v>
      </c>
      <c r="C645" s="8" t="s">
        <v>27</v>
      </c>
      <c r="D645" s="8">
        <v>10002</v>
      </c>
      <c r="E645" s="8" t="s">
        <v>674</v>
      </c>
      <c r="F645" s="8" t="s">
        <v>29</v>
      </c>
      <c r="G645" s="36">
        <f>VLOOKUP(E645,Flipkart!$A$1:$B$296,2,0)</f>
        <v>0.02</v>
      </c>
      <c r="H645" s="36">
        <f t="shared" ca="1" si="10"/>
        <v>0</v>
      </c>
      <c r="I645" s="36" t="str">
        <f>_xlfn.XLOOKUP(E645,'Product List'!$B$2:$B$299,'Product List'!$A$2:$A$299)</f>
        <v>Avery 491</v>
      </c>
      <c r="J645" s="36"/>
      <c r="K645" s="36"/>
      <c r="L645" s="36"/>
      <c r="M645" s="36"/>
      <c r="N645" s="36"/>
    </row>
    <row r="646" spans="1:14">
      <c r="A646" s="8" t="s">
        <v>733</v>
      </c>
      <c r="B646" s="19">
        <v>41883</v>
      </c>
      <c r="C646" s="8" t="s">
        <v>33</v>
      </c>
      <c r="D646" s="8">
        <v>10007</v>
      </c>
      <c r="E646" s="8" t="s">
        <v>497</v>
      </c>
      <c r="F646" s="8" t="s">
        <v>50</v>
      </c>
      <c r="G646" s="36">
        <f>VLOOKUP(E646,Flipkart!$A$1:$B$296,2,0)</f>
        <v>0.04</v>
      </c>
      <c r="H646" s="36">
        <f t="shared" ca="1" si="10"/>
        <v>0.04</v>
      </c>
      <c r="I646" s="36" t="str">
        <f>_xlfn.XLOOKUP(E646,'Product List'!$B$2:$B$299,'Product List'!$A$2:$A$299)</f>
        <v>Xerox 232</v>
      </c>
      <c r="J646" s="36"/>
      <c r="K646" s="36"/>
      <c r="L646" s="36"/>
      <c r="M646" s="36"/>
      <c r="N646" s="36"/>
    </row>
    <row r="647" spans="1:14">
      <c r="A647" s="8" t="s">
        <v>734</v>
      </c>
      <c r="B647" s="19">
        <v>41885</v>
      </c>
      <c r="C647" s="8" t="s">
        <v>33</v>
      </c>
      <c r="D647" s="8">
        <v>10006</v>
      </c>
      <c r="E647" s="8" t="s">
        <v>321</v>
      </c>
      <c r="F647" s="8" t="s">
        <v>50</v>
      </c>
      <c r="G647" s="36">
        <f>VLOOKUP(E647,Flipkart!$A$1:$B$296,2,0)</f>
        <v>0</v>
      </c>
      <c r="H647" s="36">
        <f t="shared" ca="1" si="10"/>
        <v>0</v>
      </c>
      <c r="I647" s="36" t="str">
        <f>_xlfn.XLOOKUP(E647,'Product List'!$B$2:$B$299,'Product List'!$A$2:$A$299)</f>
        <v>Xerox 1938</v>
      </c>
      <c r="J647" s="36"/>
      <c r="K647" s="36"/>
      <c r="L647" s="36"/>
      <c r="M647" s="36"/>
      <c r="N647" s="36"/>
    </row>
    <row r="648" spans="1:14">
      <c r="A648" s="8" t="s">
        <v>735</v>
      </c>
      <c r="B648" s="19">
        <v>41886</v>
      </c>
      <c r="C648" s="8" t="s">
        <v>54</v>
      </c>
      <c r="D648" s="8">
        <v>10008</v>
      </c>
      <c r="E648" s="8" t="s">
        <v>736</v>
      </c>
      <c r="F648" s="8" t="s">
        <v>32</v>
      </c>
      <c r="G648" s="36">
        <f>VLOOKUP(E648,Flipkart!$A$1:$B$296,2,0)</f>
        <v>0.03</v>
      </c>
      <c r="H648" s="36">
        <f t="shared" ca="1" si="10"/>
        <v>0.05</v>
      </c>
      <c r="I648" s="36" t="str">
        <f>_xlfn.XLOOKUP(E648,'Product List'!$B$2:$B$299,'Product List'!$A$2:$A$299)</f>
        <v>Xerox 1908</v>
      </c>
      <c r="J648" s="36"/>
      <c r="K648" s="36"/>
      <c r="L648" s="36"/>
      <c r="M648" s="36"/>
      <c r="N648" s="36"/>
    </row>
    <row r="649" spans="1:14">
      <c r="A649" s="8" t="s">
        <v>737</v>
      </c>
      <c r="B649" s="19">
        <v>41887</v>
      </c>
      <c r="C649" s="8" t="s">
        <v>46</v>
      </c>
      <c r="D649" s="8">
        <v>10013</v>
      </c>
      <c r="E649" s="8" t="s">
        <v>231</v>
      </c>
      <c r="F649" s="8" t="s">
        <v>50</v>
      </c>
      <c r="G649" s="36">
        <f>VLOOKUP(E649,Flipkart!$A$1:$B$296,2,0)</f>
        <v>0.01</v>
      </c>
      <c r="H649" s="36">
        <f t="shared" ca="1" si="10"/>
        <v>0.05</v>
      </c>
      <c r="I649" s="36" t="str">
        <f>_xlfn.XLOOKUP(E649,'Product List'!$B$2:$B$299,'Product List'!$A$2:$A$299)</f>
        <v>Newell 350</v>
      </c>
      <c r="J649" s="36"/>
      <c r="K649" s="36"/>
      <c r="L649" s="36"/>
      <c r="M649" s="36"/>
      <c r="N649" s="36"/>
    </row>
    <row r="650" spans="1:14">
      <c r="A650" s="8" t="s">
        <v>738</v>
      </c>
      <c r="B650" s="19">
        <v>41888</v>
      </c>
      <c r="C650" s="8" t="s">
        <v>33</v>
      </c>
      <c r="D650" s="8">
        <v>10007</v>
      </c>
      <c r="E650" s="8" t="s">
        <v>62</v>
      </c>
      <c r="F650" s="8" t="s">
        <v>50</v>
      </c>
      <c r="G650" s="36">
        <f>VLOOKUP(E650,Flipkart!$A$1:$B$296,2,0)</f>
        <v>0.05</v>
      </c>
      <c r="H650" s="36">
        <f t="shared" ca="1" si="10"/>
        <v>0.01</v>
      </c>
      <c r="I650" s="36" t="str">
        <f>_xlfn.XLOOKUP(E650,'Product List'!$B$2:$B$299,'Product List'!$A$2:$A$299)</f>
        <v>Newell 308</v>
      </c>
      <c r="J650" s="36"/>
      <c r="K650" s="36"/>
      <c r="L650" s="36"/>
      <c r="M650" s="36"/>
      <c r="N650" s="36"/>
    </row>
    <row r="651" spans="1:14">
      <c r="A651" s="8" t="s">
        <v>738</v>
      </c>
      <c r="B651" s="19">
        <v>41888</v>
      </c>
      <c r="C651" s="8" t="s">
        <v>44</v>
      </c>
      <c r="D651" s="8">
        <v>10015</v>
      </c>
      <c r="E651" s="8" t="s">
        <v>298</v>
      </c>
      <c r="F651" s="8" t="s">
        <v>32</v>
      </c>
      <c r="G651" s="36">
        <f>VLOOKUP(E651,Flipkart!$A$1:$B$296,2,0)</f>
        <v>0.04</v>
      </c>
      <c r="H651" s="36">
        <f t="shared" ca="1" si="10"/>
        <v>0</v>
      </c>
      <c r="I651" s="36" t="str">
        <f>_xlfn.XLOOKUP(E651,'Product List'!$B$2:$B$299,'Product List'!$A$2:$A$299)</f>
        <v>Xerox 216</v>
      </c>
      <c r="J651" s="36"/>
      <c r="K651" s="36"/>
      <c r="L651" s="36"/>
      <c r="M651" s="36"/>
      <c r="N651" s="36"/>
    </row>
    <row r="652" spans="1:14">
      <c r="A652" s="8" t="s">
        <v>739</v>
      </c>
      <c r="B652" s="19">
        <v>41889</v>
      </c>
      <c r="C652" s="8" t="s">
        <v>33</v>
      </c>
      <c r="D652" s="8">
        <v>10008</v>
      </c>
      <c r="E652" s="8" t="s">
        <v>184</v>
      </c>
      <c r="F652" s="8" t="s">
        <v>43</v>
      </c>
      <c r="G652" s="36">
        <f>VLOOKUP(E652,Flipkart!$A$1:$B$296,2,0)</f>
        <v>0.03</v>
      </c>
      <c r="H652" s="36">
        <f t="shared" ca="1" si="10"/>
        <v>0.04</v>
      </c>
      <c r="I652" s="36" t="str">
        <f>_xlfn.XLOOKUP(E652,'Product List'!$B$2:$B$299,'Product List'!$A$2:$A$299)</f>
        <v>Xerox 1983</v>
      </c>
      <c r="J652" s="36"/>
      <c r="K652" s="36"/>
      <c r="L652" s="36"/>
      <c r="M652" s="36"/>
      <c r="N652" s="36"/>
    </row>
    <row r="653" spans="1:14">
      <c r="A653" s="8" t="s">
        <v>740</v>
      </c>
      <c r="B653" s="19">
        <v>41891</v>
      </c>
      <c r="C653" s="8" t="s">
        <v>27</v>
      </c>
      <c r="D653" s="8">
        <v>10001</v>
      </c>
      <c r="E653" s="8" t="s">
        <v>73</v>
      </c>
      <c r="F653" s="8" t="s">
        <v>35</v>
      </c>
      <c r="G653" s="36">
        <f>VLOOKUP(E653,Flipkart!$A$1:$B$296,2,0)</f>
        <v>0.04</v>
      </c>
      <c r="H653" s="36">
        <f t="shared" ca="1" si="10"/>
        <v>0.04</v>
      </c>
      <c r="I653" s="36" t="str">
        <f>_xlfn.XLOOKUP(E653,'Product List'!$B$2:$B$299,'Product List'!$A$2:$A$299)</f>
        <v>Xerox 1916</v>
      </c>
      <c r="J653" s="36"/>
      <c r="K653" s="36"/>
      <c r="L653" s="36"/>
      <c r="M653" s="36"/>
      <c r="N653" s="36"/>
    </row>
    <row r="654" spans="1:14">
      <c r="A654" s="8" t="s">
        <v>741</v>
      </c>
      <c r="B654" s="19">
        <v>41894</v>
      </c>
      <c r="C654" s="8" t="s">
        <v>51</v>
      </c>
      <c r="D654" s="8">
        <v>10001</v>
      </c>
      <c r="E654" s="8" t="s">
        <v>434</v>
      </c>
      <c r="F654" s="8" t="s">
        <v>29</v>
      </c>
      <c r="G654" s="36">
        <f>VLOOKUP(E654,Flipkart!$A$1:$B$296,2,0)</f>
        <v>0.04</v>
      </c>
      <c r="H654" s="36">
        <f t="shared" ca="1" si="10"/>
        <v>0.04</v>
      </c>
      <c r="I654" s="36" t="str">
        <f>_xlfn.XLOOKUP(E654,'Product List'!$B$2:$B$299,'Product List'!$A$2:$A$299)</f>
        <v>Xerox 1952</v>
      </c>
      <c r="J654" s="36"/>
      <c r="K654" s="36"/>
      <c r="L654" s="36"/>
      <c r="M654" s="36"/>
      <c r="N654" s="36"/>
    </row>
    <row r="655" spans="1:14">
      <c r="A655" s="8" t="s">
        <v>741</v>
      </c>
      <c r="B655" s="19">
        <v>41894</v>
      </c>
      <c r="C655" s="8" t="s">
        <v>66</v>
      </c>
      <c r="D655" s="8">
        <v>10008</v>
      </c>
      <c r="E655" s="8" t="s">
        <v>347</v>
      </c>
      <c r="F655" s="8" t="s">
        <v>35</v>
      </c>
      <c r="G655" s="36">
        <f>VLOOKUP(E655,Flipkart!$A$1:$B$296,2,0)</f>
        <v>0.04</v>
      </c>
      <c r="H655" s="36">
        <f t="shared" ca="1" si="10"/>
        <v>0.04</v>
      </c>
      <c r="I655" s="36" t="str">
        <f>_xlfn.XLOOKUP(E655,'Product List'!$B$2:$B$299,'Product List'!$A$2:$A$299)</f>
        <v>Avery 511</v>
      </c>
      <c r="J655" s="36"/>
      <c r="K655" s="36"/>
      <c r="L655" s="36"/>
      <c r="M655" s="36"/>
      <c r="N655" s="36"/>
    </row>
    <row r="656" spans="1:14">
      <c r="A656" s="8" t="s">
        <v>742</v>
      </c>
      <c r="B656" s="19">
        <v>41897</v>
      </c>
      <c r="C656" s="8" t="s">
        <v>36</v>
      </c>
      <c r="D656" s="8">
        <v>10006</v>
      </c>
      <c r="E656" s="8" t="s">
        <v>642</v>
      </c>
      <c r="F656" s="8" t="s">
        <v>43</v>
      </c>
      <c r="G656" s="36">
        <f>VLOOKUP(E656,Flipkart!$A$1:$B$296,2,0)</f>
        <v>0.04</v>
      </c>
      <c r="H656" s="36">
        <f t="shared" ca="1" si="10"/>
        <v>0.04</v>
      </c>
      <c r="I656" s="36" t="str">
        <f>_xlfn.XLOOKUP(E656,'Product List'!$B$2:$B$299,'Product List'!$A$2:$A$299)</f>
        <v>Xerox 1984</v>
      </c>
      <c r="J656" s="36"/>
      <c r="K656" s="36"/>
      <c r="L656" s="36"/>
      <c r="M656" s="36"/>
      <c r="N656" s="36"/>
    </row>
    <row r="657" spans="1:14">
      <c r="A657" s="8" t="s">
        <v>742</v>
      </c>
      <c r="B657" s="19">
        <v>41897</v>
      </c>
      <c r="C657" s="8" t="s">
        <v>54</v>
      </c>
      <c r="D657" s="8">
        <v>10008</v>
      </c>
      <c r="E657" s="8" t="s">
        <v>743</v>
      </c>
      <c r="F657" s="8" t="s">
        <v>32</v>
      </c>
      <c r="G657" s="36">
        <f>VLOOKUP(E657,Flipkart!$A$1:$B$296,2,0)</f>
        <v>0.04</v>
      </c>
      <c r="H657" s="36">
        <f t="shared" ca="1" si="10"/>
        <v>0.05</v>
      </c>
      <c r="I657" s="36" t="str">
        <f>_xlfn.XLOOKUP(E657,'Product List'!$B$2:$B$299,'Product List'!$A$2:$A$299)</f>
        <v>Xerox 207</v>
      </c>
      <c r="J657" s="36"/>
      <c r="K657" s="36"/>
      <c r="L657" s="36"/>
      <c r="M657" s="36"/>
      <c r="N657" s="36"/>
    </row>
    <row r="658" spans="1:14">
      <c r="A658" s="8" t="s">
        <v>744</v>
      </c>
      <c r="B658" s="19">
        <v>41899</v>
      </c>
      <c r="C658" s="8" t="s">
        <v>46</v>
      </c>
      <c r="D658" s="8">
        <v>10014</v>
      </c>
      <c r="E658" s="8" t="s">
        <v>745</v>
      </c>
      <c r="F658" s="8" t="s">
        <v>40</v>
      </c>
      <c r="G658" s="36">
        <f>VLOOKUP(E658,Flipkart!$A$1:$B$296,2,0)</f>
        <v>0.05</v>
      </c>
      <c r="H658" s="36">
        <f t="shared" ca="1" si="10"/>
        <v>0.01</v>
      </c>
      <c r="I658" s="36" t="str">
        <f>_xlfn.XLOOKUP(E658,'Product List'!$B$2:$B$299,'Product List'!$A$2:$A$299)</f>
        <v>Xerox 209</v>
      </c>
      <c r="J658" s="36"/>
      <c r="K658" s="36"/>
      <c r="L658" s="36"/>
      <c r="M658" s="36"/>
      <c r="N658" s="36"/>
    </row>
    <row r="659" spans="1:14">
      <c r="A659" s="8" t="s">
        <v>746</v>
      </c>
      <c r="B659" s="19">
        <v>41899</v>
      </c>
      <c r="C659" s="8" t="s">
        <v>33</v>
      </c>
      <c r="D659" s="8">
        <v>10005</v>
      </c>
      <c r="E659" s="8" t="s">
        <v>462</v>
      </c>
      <c r="F659" s="8" t="s">
        <v>40</v>
      </c>
      <c r="G659" s="36">
        <f>VLOOKUP(E659,Flipkart!$A$1:$B$296,2,0)</f>
        <v>0.04</v>
      </c>
      <c r="H659" s="36">
        <f t="shared" ca="1" si="10"/>
        <v>0.02</v>
      </c>
      <c r="I659" s="36" t="str">
        <f>_xlfn.XLOOKUP(E659,'Product List'!$B$2:$B$299,'Product List'!$A$2:$A$299)</f>
        <v>Newell 322</v>
      </c>
      <c r="J659" s="36"/>
      <c r="K659" s="36"/>
      <c r="L659" s="36"/>
      <c r="M659" s="36"/>
      <c r="N659" s="36"/>
    </row>
    <row r="660" spans="1:14">
      <c r="A660" s="8" t="s">
        <v>747</v>
      </c>
      <c r="B660" s="19">
        <v>41899</v>
      </c>
      <c r="C660" s="8" t="s">
        <v>54</v>
      </c>
      <c r="D660" s="8">
        <v>10013</v>
      </c>
      <c r="E660" s="8" t="s">
        <v>470</v>
      </c>
      <c r="F660" s="8" t="s">
        <v>32</v>
      </c>
      <c r="G660" s="36">
        <f>VLOOKUP(E660,Flipkart!$A$1:$B$296,2,0)</f>
        <v>0.04</v>
      </c>
      <c r="H660" s="36">
        <f t="shared" ca="1" si="10"/>
        <v>0.05</v>
      </c>
      <c r="I660" s="36" t="str">
        <f>_xlfn.XLOOKUP(E660,'Product List'!$B$2:$B$299,'Product List'!$A$2:$A$299)</f>
        <v>Xerox 1884</v>
      </c>
      <c r="J660" s="36"/>
      <c r="K660" s="36"/>
      <c r="L660" s="36"/>
      <c r="M660" s="36"/>
      <c r="N660" s="36"/>
    </row>
    <row r="661" spans="1:14">
      <c r="A661" s="8" t="s">
        <v>747</v>
      </c>
      <c r="B661" s="19">
        <v>41899</v>
      </c>
      <c r="C661" s="8" t="s">
        <v>33</v>
      </c>
      <c r="D661" s="8">
        <v>10006</v>
      </c>
      <c r="E661" s="8" t="s">
        <v>535</v>
      </c>
      <c r="F661" s="8" t="s">
        <v>35</v>
      </c>
      <c r="G661" s="36">
        <f>VLOOKUP(E661,Flipkart!$A$1:$B$296,2,0)</f>
        <v>0.01</v>
      </c>
      <c r="H661" s="36">
        <f t="shared" ca="1" si="10"/>
        <v>0.01</v>
      </c>
      <c r="I661" s="36" t="str">
        <f>_xlfn.XLOOKUP(E661,'Product List'!$B$2:$B$299,'Product List'!$A$2:$A$299)</f>
        <v>Newell 325</v>
      </c>
      <c r="J661" s="36"/>
      <c r="K661" s="36"/>
      <c r="L661" s="36"/>
      <c r="M661" s="36"/>
      <c r="N661" s="36"/>
    </row>
    <row r="662" spans="1:14">
      <c r="A662" s="8" t="s">
        <v>747</v>
      </c>
      <c r="B662" s="19">
        <v>41899</v>
      </c>
      <c r="C662" s="8" t="s">
        <v>66</v>
      </c>
      <c r="D662" s="8">
        <v>10006</v>
      </c>
      <c r="E662" s="8" t="s">
        <v>507</v>
      </c>
      <c r="F662" s="8" t="s">
        <v>40</v>
      </c>
      <c r="G662" s="36">
        <f>VLOOKUP(E662,Flipkart!$A$1:$B$296,2,0)</f>
        <v>0.04</v>
      </c>
      <c r="H662" s="36">
        <f t="shared" ca="1" si="10"/>
        <v>0.02</v>
      </c>
      <c r="I662" s="36" t="str">
        <f>_xlfn.XLOOKUP(E662,'Product List'!$B$2:$B$299,'Product List'!$A$2:$A$299)</f>
        <v>Xerox 1905</v>
      </c>
      <c r="J662" s="36"/>
      <c r="K662" s="36"/>
      <c r="L662" s="36"/>
      <c r="M662" s="36"/>
      <c r="N662" s="36"/>
    </row>
    <row r="663" spans="1:14">
      <c r="A663" s="8" t="s">
        <v>748</v>
      </c>
      <c r="B663" s="19">
        <v>41901</v>
      </c>
      <c r="C663" s="8" t="s">
        <v>27</v>
      </c>
      <c r="D663" s="8">
        <v>10008</v>
      </c>
      <c r="E663" s="8" t="s">
        <v>156</v>
      </c>
      <c r="F663" s="8" t="s">
        <v>32</v>
      </c>
      <c r="G663" s="36">
        <f>VLOOKUP(E663,Flipkart!$A$1:$B$296,2,0)</f>
        <v>0.04</v>
      </c>
      <c r="H663" s="36">
        <f t="shared" ca="1" si="10"/>
        <v>0.01</v>
      </c>
      <c r="I663" s="36" t="str">
        <f>_xlfn.XLOOKUP(E663,'Product List'!$B$2:$B$299,'Product List'!$A$2:$A$299)</f>
        <v>Avery 505</v>
      </c>
      <c r="J663" s="36"/>
      <c r="K663" s="36"/>
      <c r="L663" s="36"/>
      <c r="M663" s="36"/>
      <c r="N663" s="36"/>
    </row>
    <row r="664" spans="1:14">
      <c r="A664" s="8" t="s">
        <v>749</v>
      </c>
      <c r="B664" s="19">
        <v>41902</v>
      </c>
      <c r="C664" s="8" t="s">
        <v>36</v>
      </c>
      <c r="D664" s="8">
        <v>10005</v>
      </c>
      <c r="E664" s="8" t="s">
        <v>750</v>
      </c>
      <c r="F664" s="8" t="s">
        <v>43</v>
      </c>
      <c r="G664" s="36">
        <f>VLOOKUP(E664,Flipkart!$A$1:$B$296,2,0)</f>
        <v>0.05</v>
      </c>
      <c r="H664" s="36">
        <f t="shared" ca="1" si="10"/>
        <v>0</v>
      </c>
      <c r="I664" s="36" t="str">
        <f>_xlfn.XLOOKUP(E664,'Product List'!$B$2:$B$299,'Product List'!$A$2:$A$299)</f>
        <v>Xerox 1897</v>
      </c>
      <c r="J664" s="36"/>
      <c r="K664" s="36"/>
      <c r="L664" s="36"/>
      <c r="M664" s="36"/>
      <c r="N664" s="36"/>
    </row>
    <row r="665" spans="1:14">
      <c r="A665" s="8" t="s">
        <v>751</v>
      </c>
      <c r="B665" s="19">
        <v>41903</v>
      </c>
      <c r="C665" s="8" t="s">
        <v>66</v>
      </c>
      <c r="D665" s="8">
        <v>10008</v>
      </c>
      <c r="E665" s="8" t="s">
        <v>610</v>
      </c>
      <c r="F665" s="8" t="s">
        <v>50</v>
      </c>
      <c r="G665" s="36">
        <f>VLOOKUP(E665,Flipkart!$A$1:$B$296,2,0)</f>
        <v>0</v>
      </c>
      <c r="H665" s="36">
        <f t="shared" ca="1" si="10"/>
        <v>0.01</v>
      </c>
      <c r="I665" s="36" t="str">
        <f>_xlfn.XLOOKUP(E665,'Product List'!$B$2:$B$299,'Product List'!$A$2:$A$299)</f>
        <v>Newell 311</v>
      </c>
      <c r="J665" s="36"/>
      <c r="K665" s="36"/>
      <c r="L665" s="36"/>
      <c r="M665" s="36"/>
      <c r="N665" s="36"/>
    </row>
    <row r="666" spans="1:14">
      <c r="A666" s="8" t="s">
        <v>752</v>
      </c>
      <c r="B666" s="19">
        <v>41905</v>
      </c>
      <c r="C666" s="8" t="s">
        <v>44</v>
      </c>
      <c r="D666" s="8">
        <v>10015</v>
      </c>
      <c r="E666" s="8" t="s">
        <v>97</v>
      </c>
      <c r="F666" s="8" t="s">
        <v>40</v>
      </c>
      <c r="G666" s="36">
        <f>VLOOKUP(E666,Flipkart!$A$1:$B$296,2,0)</f>
        <v>0.04</v>
      </c>
      <c r="H666" s="36">
        <f t="shared" ca="1" si="10"/>
        <v>0.05</v>
      </c>
      <c r="I666" s="36" t="str">
        <f>_xlfn.XLOOKUP(E666,'Product List'!$B$2:$B$299,'Product List'!$A$2:$A$299)</f>
        <v>Xerox 204</v>
      </c>
      <c r="J666" s="36"/>
      <c r="K666" s="36"/>
      <c r="L666" s="36"/>
      <c r="M666" s="36"/>
      <c r="N666" s="36"/>
    </row>
    <row r="667" spans="1:14">
      <c r="A667" s="8" t="s">
        <v>753</v>
      </c>
      <c r="B667" s="19">
        <v>41906</v>
      </c>
      <c r="C667" s="8" t="s">
        <v>54</v>
      </c>
      <c r="D667" s="8">
        <v>10015</v>
      </c>
      <c r="E667" s="8" t="s">
        <v>151</v>
      </c>
      <c r="F667" s="8" t="s">
        <v>43</v>
      </c>
      <c r="G667" s="36">
        <f>VLOOKUP(E667,Flipkart!$A$1:$B$296,2,0)</f>
        <v>0.01</v>
      </c>
      <c r="H667" s="36">
        <f t="shared" ca="1" si="10"/>
        <v>0.02</v>
      </c>
      <c r="I667" s="36" t="str">
        <f>_xlfn.XLOOKUP(E667,'Product List'!$B$2:$B$299,'Product List'!$A$2:$A$299)</f>
        <v>Newell 346</v>
      </c>
      <c r="J667" s="36"/>
      <c r="K667" s="36"/>
      <c r="L667" s="36"/>
      <c r="M667" s="36"/>
      <c r="N667" s="36"/>
    </row>
    <row r="668" spans="1:14">
      <c r="A668" s="8" t="s">
        <v>754</v>
      </c>
      <c r="B668" s="19">
        <v>41906</v>
      </c>
      <c r="C668" s="8" t="s">
        <v>54</v>
      </c>
      <c r="D668" s="8">
        <v>10011</v>
      </c>
      <c r="E668" s="8" t="s">
        <v>299</v>
      </c>
      <c r="F668" s="8" t="s">
        <v>50</v>
      </c>
      <c r="G668" s="36">
        <f>VLOOKUP(E668,Flipkart!$A$1:$B$296,2,0)</f>
        <v>0.04</v>
      </c>
      <c r="H668" s="36">
        <f t="shared" ca="1" si="10"/>
        <v>0.03</v>
      </c>
      <c r="I668" s="36" t="str">
        <f>_xlfn.XLOOKUP(E668,'Product List'!$B$2:$B$299,'Product List'!$A$2:$A$299)</f>
        <v>Xerox 1987</v>
      </c>
      <c r="J668" s="36"/>
      <c r="K668" s="36"/>
      <c r="L668" s="36"/>
      <c r="M668" s="36"/>
      <c r="N668" s="36"/>
    </row>
    <row r="669" spans="1:14">
      <c r="A669" s="8" t="s">
        <v>755</v>
      </c>
      <c r="B669" s="19">
        <v>41906</v>
      </c>
      <c r="C669" s="8" t="s">
        <v>66</v>
      </c>
      <c r="D669" s="8">
        <v>10001</v>
      </c>
      <c r="E669" s="8" t="s">
        <v>123</v>
      </c>
      <c r="F669" s="8" t="s">
        <v>29</v>
      </c>
      <c r="G669" s="36">
        <f>VLOOKUP(E669,Flipkart!$A$1:$B$296,2,0)</f>
        <v>0.01</v>
      </c>
      <c r="H669" s="36">
        <f t="shared" ca="1" si="10"/>
        <v>0</v>
      </c>
      <c r="I669" s="36" t="str">
        <f>_xlfn.XLOOKUP(E669,'Product List'!$B$2:$B$299,'Product List'!$A$2:$A$299)</f>
        <v>Avery 503</v>
      </c>
      <c r="J669" s="36"/>
      <c r="K669" s="36"/>
      <c r="L669" s="36"/>
      <c r="M669" s="36"/>
      <c r="N669" s="36"/>
    </row>
    <row r="670" spans="1:14">
      <c r="A670" s="8" t="s">
        <v>755</v>
      </c>
      <c r="B670" s="19">
        <v>41906</v>
      </c>
      <c r="C670" s="8" t="s">
        <v>51</v>
      </c>
      <c r="D670" s="8">
        <v>10006</v>
      </c>
      <c r="E670" s="8" t="s">
        <v>497</v>
      </c>
      <c r="F670" s="8" t="s">
        <v>50</v>
      </c>
      <c r="G670" s="36">
        <f>VLOOKUP(E670,Flipkart!$A$1:$B$296,2,0)</f>
        <v>0.04</v>
      </c>
      <c r="H670" s="36">
        <f t="shared" ca="1" si="10"/>
        <v>0.04</v>
      </c>
      <c r="I670" s="36" t="str">
        <f>_xlfn.XLOOKUP(E670,'Product List'!$B$2:$B$299,'Product List'!$A$2:$A$299)</f>
        <v>Xerox 232</v>
      </c>
      <c r="J670" s="36"/>
      <c r="K670" s="36"/>
      <c r="L670" s="36"/>
      <c r="M670" s="36"/>
      <c r="N670" s="36"/>
    </row>
    <row r="671" spans="1:14">
      <c r="A671" s="8" t="s">
        <v>756</v>
      </c>
      <c r="B671" s="19">
        <v>41908</v>
      </c>
      <c r="C671" s="8" t="s">
        <v>51</v>
      </c>
      <c r="D671" s="8">
        <v>10006</v>
      </c>
      <c r="E671" s="8" t="s">
        <v>107</v>
      </c>
      <c r="F671" s="8" t="s">
        <v>35</v>
      </c>
      <c r="G671" s="36">
        <f>VLOOKUP(E671,Flipkart!$A$1:$B$296,2,0)</f>
        <v>0</v>
      </c>
      <c r="H671" s="36">
        <f t="shared" ca="1" si="10"/>
        <v>0</v>
      </c>
      <c r="I671" s="36" t="str">
        <f>_xlfn.XLOOKUP(E671,'Product List'!$B$2:$B$299,'Product List'!$A$2:$A$299)</f>
        <v>Avery 493</v>
      </c>
      <c r="J671" s="36"/>
      <c r="K671" s="36"/>
      <c r="L671" s="36"/>
      <c r="M671" s="36"/>
      <c r="N671" s="36"/>
    </row>
    <row r="672" spans="1:14">
      <c r="A672" s="8" t="s">
        <v>757</v>
      </c>
      <c r="B672" s="19">
        <v>41910</v>
      </c>
      <c r="C672" s="8" t="s">
        <v>46</v>
      </c>
      <c r="D672" s="8">
        <v>10002</v>
      </c>
      <c r="E672" s="8" t="s">
        <v>69</v>
      </c>
      <c r="F672" s="8" t="s">
        <v>40</v>
      </c>
      <c r="G672" s="36">
        <f>VLOOKUP(E672,Flipkart!$A$1:$B$296,2,0)</f>
        <v>0.05</v>
      </c>
      <c r="H672" s="36">
        <f t="shared" ca="1" si="10"/>
        <v>0.03</v>
      </c>
      <c r="I672" s="36" t="str">
        <f>_xlfn.XLOOKUP(E672,'Product List'!$B$2:$B$299,'Product List'!$A$2:$A$299)</f>
        <v>Newell 330</v>
      </c>
      <c r="J672" s="36"/>
      <c r="K672" s="36"/>
      <c r="L672" s="36"/>
      <c r="M672" s="36"/>
      <c r="N672" s="36"/>
    </row>
    <row r="673" spans="1:14">
      <c r="A673" s="8" t="s">
        <v>757</v>
      </c>
      <c r="B673" s="19">
        <v>41910</v>
      </c>
      <c r="C673" s="8" t="s">
        <v>33</v>
      </c>
      <c r="D673" s="8">
        <v>10015</v>
      </c>
      <c r="E673" s="8" t="s">
        <v>472</v>
      </c>
      <c r="F673" s="8" t="s">
        <v>40</v>
      </c>
      <c r="G673" s="36">
        <f>VLOOKUP(E673,Flipkart!$A$1:$B$296,2,0)</f>
        <v>0.04</v>
      </c>
      <c r="H673" s="36">
        <f t="shared" ca="1" si="10"/>
        <v>0.04</v>
      </c>
      <c r="I673" s="36" t="str">
        <f>_xlfn.XLOOKUP(E673,'Product List'!$B$2:$B$299,'Product List'!$A$2:$A$299)</f>
        <v>Avery 488</v>
      </c>
      <c r="J673" s="36"/>
      <c r="K673" s="36"/>
      <c r="L673" s="36"/>
      <c r="M673" s="36"/>
      <c r="N673" s="36"/>
    </row>
    <row r="674" spans="1:14">
      <c r="A674" s="8" t="s">
        <v>758</v>
      </c>
      <c r="B674" s="19">
        <v>41910</v>
      </c>
      <c r="C674" s="8" t="s">
        <v>54</v>
      </c>
      <c r="D674" s="8">
        <v>10015</v>
      </c>
      <c r="E674" s="8" t="s">
        <v>541</v>
      </c>
      <c r="F674" s="8" t="s">
        <v>50</v>
      </c>
      <c r="G674" s="36">
        <f>VLOOKUP(E674,Flipkart!$A$1:$B$296,2,0)</f>
        <v>0</v>
      </c>
      <c r="H674" s="36">
        <f t="shared" ca="1" si="10"/>
        <v>0.05</v>
      </c>
      <c r="I674" s="36" t="str">
        <f>_xlfn.XLOOKUP(E674,'Product List'!$B$2:$B$299,'Product List'!$A$2:$A$299)</f>
        <v>Xerox 221</v>
      </c>
      <c r="J674" s="36"/>
      <c r="K674" s="36"/>
      <c r="L674" s="36"/>
      <c r="M674" s="36"/>
      <c r="N674" s="36"/>
    </row>
    <row r="675" spans="1:14">
      <c r="A675" s="8" t="s">
        <v>758</v>
      </c>
      <c r="B675" s="19">
        <v>41910</v>
      </c>
      <c r="C675" s="8" t="s">
        <v>51</v>
      </c>
      <c r="D675" s="8">
        <v>10003</v>
      </c>
      <c r="E675" s="8" t="s">
        <v>67</v>
      </c>
      <c r="F675" s="8" t="s">
        <v>40</v>
      </c>
      <c r="G675" s="36">
        <f>VLOOKUP(E675,Flipkart!$A$1:$B$296,2,0)</f>
        <v>0</v>
      </c>
      <c r="H675" s="36">
        <f t="shared" ca="1" si="10"/>
        <v>0.02</v>
      </c>
      <c r="I675" s="36" t="str">
        <f>_xlfn.XLOOKUP(E675,'Product List'!$B$2:$B$299,'Product List'!$A$2:$A$299)</f>
        <v>Xerox 1927</v>
      </c>
      <c r="J675" s="36"/>
      <c r="K675" s="36"/>
      <c r="L675" s="36"/>
      <c r="M675" s="36"/>
      <c r="N675" s="36"/>
    </row>
    <row r="676" spans="1:14">
      <c r="A676" s="8" t="s">
        <v>758</v>
      </c>
      <c r="B676" s="19">
        <v>41910</v>
      </c>
      <c r="C676" s="8" t="s">
        <v>54</v>
      </c>
      <c r="D676" s="8">
        <v>10013</v>
      </c>
      <c r="E676" s="8" t="s">
        <v>205</v>
      </c>
      <c r="F676" s="8" t="s">
        <v>29</v>
      </c>
      <c r="G676" s="36">
        <f>VLOOKUP(E676,Flipkart!$A$1:$B$296,2,0)</f>
        <v>0.02</v>
      </c>
      <c r="H676" s="36">
        <f t="shared" ca="1" si="10"/>
        <v>0</v>
      </c>
      <c r="I676" s="36" t="str">
        <f>_xlfn.XLOOKUP(E676,'Product List'!$B$2:$B$299,'Product List'!$A$2:$A$299)</f>
        <v>AT&amp;T TR1909W</v>
      </c>
      <c r="J676" s="36"/>
      <c r="K676" s="36"/>
      <c r="L676" s="36"/>
      <c r="M676" s="36"/>
      <c r="N676" s="36"/>
    </row>
    <row r="677" spans="1:14">
      <c r="A677" s="8" t="s">
        <v>759</v>
      </c>
      <c r="B677" s="19">
        <v>41912</v>
      </c>
      <c r="C677" s="8" t="s">
        <v>27</v>
      </c>
      <c r="D677" s="8">
        <v>10009</v>
      </c>
      <c r="E677" s="8" t="s">
        <v>160</v>
      </c>
      <c r="F677" s="8" t="s">
        <v>35</v>
      </c>
      <c r="G677" s="36">
        <f>VLOOKUP(E677,Flipkart!$A$1:$B$296,2,0)</f>
        <v>0.05</v>
      </c>
      <c r="H677" s="36">
        <f t="shared" ca="1" si="10"/>
        <v>0.05</v>
      </c>
      <c r="I677" s="36" t="str">
        <f>_xlfn.XLOOKUP(E677,'Product List'!$B$2:$B$299,'Product List'!$A$2:$A$299)</f>
        <v>Newell 34</v>
      </c>
      <c r="J677" s="36"/>
      <c r="K677" s="36"/>
      <c r="L677" s="36"/>
      <c r="M677" s="36"/>
      <c r="N677" s="36"/>
    </row>
    <row r="678" spans="1:14">
      <c r="A678" s="8" t="s">
        <v>759</v>
      </c>
      <c r="B678" s="19">
        <v>41912</v>
      </c>
      <c r="C678" s="8" t="s">
        <v>36</v>
      </c>
      <c r="D678" s="8">
        <v>10014</v>
      </c>
      <c r="E678" s="8" t="s">
        <v>760</v>
      </c>
      <c r="F678" s="8" t="s">
        <v>32</v>
      </c>
      <c r="G678" s="36">
        <f>VLOOKUP(E678,Flipkart!$A$1:$B$296,2,0)</f>
        <v>0.02</v>
      </c>
      <c r="H678" s="36">
        <f t="shared" ca="1" si="10"/>
        <v>0</v>
      </c>
      <c r="I678" s="36" t="str">
        <f>_xlfn.XLOOKUP(E678,'Product List'!$B$2:$B$299,'Product List'!$A$2:$A$299)</f>
        <v>Xerox 1898</v>
      </c>
      <c r="J678" s="36"/>
      <c r="K678" s="36"/>
      <c r="L678" s="36"/>
      <c r="M678" s="36"/>
      <c r="N678" s="36"/>
    </row>
    <row r="679" spans="1:14">
      <c r="A679" s="8" t="s">
        <v>761</v>
      </c>
      <c r="B679" s="19">
        <v>41912</v>
      </c>
      <c r="C679" s="8" t="s">
        <v>33</v>
      </c>
      <c r="D679" s="8">
        <v>10010</v>
      </c>
      <c r="E679" s="8" t="s">
        <v>449</v>
      </c>
      <c r="F679" s="8" t="s">
        <v>40</v>
      </c>
      <c r="G679" s="36">
        <f>VLOOKUP(E679,Flipkart!$A$1:$B$296,2,0)</f>
        <v>0.05</v>
      </c>
      <c r="H679" s="36">
        <f t="shared" ca="1" si="10"/>
        <v>0.01</v>
      </c>
      <c r="I679" s="36" t="str">
        <f>_xlfn.XLOOKUP(E679,'Product List'!$B$2:$B$299,'Product List'!$A$2:$A$299)</f>
        <v>AT&amp;T CL82213</v>
      </c>
      <c r="J679" s="36"/>
      <c r="K679" s="36"/>
      <c r="L679" s="36"/>
      <c r="M679" s="36"/>
      <c r="N679" s="36"/>
    </row>
    <row r="680" spans="1:14">
      <c r="A680" s="8" t="s">
        <v>761</v>
      </c>
      <c r="B680" s="19">
        <v>41912</v>
      </c>
      <c r="C680" s="8" t="s">
        <v>36</v>
      </c>
      <c r="D680" s="8">
        <v>10004</v>
      </c>
      <c r="E680" s="8" t="s">
        <v>143</v>
      </c>
      <c r="F680" s="8" t="s">
        <v>43</v>
      </c>
      <c r="G680" s="36">
        <f>VLOOKUP(E680,Flipkart!$A$1:$B$296,2,0)</f>
        <v>0.04</v>
      </c>
      <c r="H680" s="36">
        <f t="shared" ca="1" si="10"/>
        <v>0.02</v>
      </c>
      <c r="I680" s="36" t="str">
        <f>_xlfn.XLOOKUP(E680,'Product List'!$B$2:$B$299,'Product List'!$A$2:$A$299)</f>
        <v>Xerox 1932</v>
      </c>
      <c r="J680" s="36"/>
      <c r="K680" s="36"/>
      <c r="L680" s="36"/>
      <c r="M680" s="36"/>
      <c r="N680" s="36"/>
    </row>
    <row r="681" spans="1:14">
      <c r="A681" s="8" t="s">
        <v>762</v>
      </c>
      <c r="B681" s="19">
        <v>41912</v>
      </c>
      <c r="C681" s="8" t="s">
        <v>51</v>
      </c>
      <c r="D681" s="8">
        <v>10001</v>
      </c>
      <c r="E681" s="8" t="s">
        <v>125</v>
      </c>
      <c r="F681" s="8" t="s">
        <v>43</v>
      </c>
      <c r="G681" s="36">
        <f>VLOOKUP(E681,Flipkart!$A$1:$B$296,2,0)</f>
        <v>0.01</v>
      </c>
      <c r="H681" s="36">
        <f t="shared" ca="1" si="10"/>
        <v>0.02</v>
      </c>
      <c r="I681" s="36" t="str">
        <f>_xlfn.XLOOKUP(E681,'Product List'!$B$2:$B$299,'Product List'!$A$2:$A$299)</f>
        <v>Xerox 1921</v>
      </c>
      <c r="J681" s="36"/>
      <c r="K681" s="36"/>
      <c r="L681" s="36"/>
      <c r="M681" s="36"/>
      <c r="N681" s="36"/>
    </row>
    <row r="682" spans="1:14">
      <c r="A682" s="8" t="s">
        <v>761</v>
      </c>
      <c r="B682" s="19">
        <v>41912</v>
      </c>
      <c r="C682" s="8" t="s">
        <v>51</v>
      </c>
      <c r="D682" s="8">
        <v>10010</v>
      </c>
      <c r="E682" s="8" t="s">
        <v>299</v>
      </c>
      <c r="F682" s="8" t="s">
        <v>35</v>
      </c>
      <c r="G682" s="36">
        <f>VLOOKUP(E682,Flipkart!$A$1:$B$296,2,0)</f>
        <v>0.04</v>
      </c>
      <c r="H682" s="36">
        <f t="shared" ca="1" si="10"/>
        <v>0.04</v>
      </c>
      <c r="I682" s="36" t="str">
        <f>_xlfn.XLOOKUP(E682,'Product List'!$B$2:$B$299,'Product List'!$A$2:$A$299)</f>
        <v>Xerox 1987</v>
      </c>
      <c r="J682" s="36"/>
      <c r="K682" s="36"/>
      <c r="L682" s="36"/>
      <c r="M682" s="36"/>
      <c r="N682" s="36"/>
    </row>
    <row r="683" spans="1:14">
      <c r="A683" s="8" t="s">
        <v>763</v>
      </c>
      <c r="B683" s="19">
        <v>41915</v>
      </c>
      <c r="C683" s="8" t="s">
        <v>44</v>
      </c>
      <c r="D683" s="8">
        <v>10013</v>
      </c>
      <c r="E683" s="8" t="s">
        <v>147</v>
      </c>
      <c r="F683" s="8" t="s">
        <v>43</v>
      </c>
      <c r="G683" s="36">
        <f>VLOOKUP(E683,Flipkart!$A$1:$B$296,2,0)</f>
        <v>0.03</v>
      </c>
      <c r="H683" s="36">
        <f t="shared" ca="1" si="10"/>
        <v>0.02</v>
      </c>
      <c r="I683" s="36" t="str">
        <f>_xlfn.XLOOKUP(E683,'Product List'!$B$2:$B$299,'Product List'!$A$2:$A$299)</f>
        <v>Xerox 1936</v>
      </c>
      <c r="J683" s="36"/>
      <c r="K683" s="36"/>
      <c r="L683" s="36"/>
      <c r="M683" s="36"/>
      <c r="N683" s="36"/>
    </row>
    <row r="684" spans="1:14">
      <c r="A684" s="8" t="s">
        <v>764</v>
      </c>
      <c r="B684" s="19">
        <v>41918</v>
      </c>
      <c r="C684" s="8" t="s">
        <v>44</v>
      </c>
      <c r="D684" s="8">
        <v>10011</v>
      </c>
      <c r="E684" s="8" t="s">
        <v>322</v>
      </c>
      <c r="F684" s="8" t="s">
        <v>32</v>
      </c>
      <c r="G684" s="36">
        <f>VLOOKUP(E684,Flipkart!$A$1:$B$296,2,0)</f>
        <v>0.05</v>
      </c>
      <c r="H684" s="36">
        <f t="shared" ca="1" si="10"/>
        <v>0</v>
      </c>
      <c r="I684" s="36" t="str">
        <f>_xlfn.XLOOKUP(E684,'Product List'!$B$2:$B$299,'Product List'!$A$2:$A$299)</f>
        <v>Xerox 1966</v>
      </c>
      <c r="J684" s="36"/>
      <c r="K684" s="36"/>
      <c r="L684" s="36"/>
      <c r="M684" s="36"/>
      <c r="N684" s="36"/>
    </row>
    <row r="685" spans="1:14">
      <c r="A685" s="8" t="s">
        <v>765</v>
      </c>
      <c r="B685" s="19">
        <v>41919</v>
      </c>
      <c r="C685" s="8" t="s">
        <v>36</v>
      </c>
      <c r="D685" s="8">
        <v>10015</v>
      </c>
      <c r="E685" s="8" t="s">
        <v>330</v>
      </c>
      <c r="F685" s="8" t="s">
        <v>50</v>
      </c>
      <c r="G685" s="36">
        <f>VLOOKUP(E685,Flipkart!$A$1:$B$296,2,0)</f>
        <v>0.05</v>
      </c>
      <c r="H685" s="36">
        <f t="shared" ca="1" si="10"/>
        <v>0.02</v>
      </c>
      <c r="I685" s="36" t="str">
        <f>_xlfn.XLOOKUP(E685,'Product List'!$B$2:$B$299,'Product List'!$A$2:$A$299)</f>
        <v>Xerox 1909</v>
      </c>
      <c r="J685" s="36"/>
      <c r="K685" s="36"/>
      <c r="L685" s="36"/>
      <c r="M685" s="36"/>
      <c r="N685" s="36"/>
    </row>
    <row r="686" spans="1:14">
      <c r="A686" s="8" t="s">
        <v>765</v>
      </c>
      <c r="B686" s="19">
        <v>41919</v>
      </c>
      <c r="C686" s="8" t="s">
        <v>54</v>
      </c>
      <c r="D686" s="8">
        <v>10004</v>
      </c>
      <c r="E686" s="8" t="s">
        <v>390</v>
      </c>
      <c r="F686" s="8" t="s">
        <v>43</v>
      </c>
      <c r="G686" s="36">
        <f>VLOOKUP(E686,Flipkart!$A$1:$B$296,2,0)</f>
        <v>0.05</v>
      </c>
      <c r="H686" s="36">
        <f t="shared" ca="1" si="10"/>
        <v>0.05</v>
      </c>
      <c r="I686" s="36" t="str">
        <f>_xlfn.XLOOKUP(E686,'Product List'!$B$2:$B$299,'Product List'!$A$2:$A$299)</f>
        <v>Avery 502</v>
      </c>
      <c r="J686" s="36"/>
      <c r="K686" s="36"/>
      <c r="L686" s="36"/>
      <c r="M686" s="36"/>
      <c r="N686" s="36"/>
    </row>
    <row r="687" spans="1:14">
      <c r="A687" s="8" t="s">
        <v>766</v>
      </c>
      <c r="B687" s="19">
        <v>41919</v>
      </c>
      <c r="C687" s="8" t="s">
        <v>66</v>
      </c>
      <c r="D687" s="8">
        <v>10010</v>
      </c>
      <c r="E687" s="8" t="s">
        <v>69</v>
      </c>
      <c r="F687" s="8" t="s">
        <v>35</v>
      </c>
      <c r="G687" s="36">
        <f>VLOOKUP(E687,Flipkart!$A$1:$B$296,2,0)</f>
        <v>0.05</v>
      </c>
      <c r="H687" s="36">
        <f t="shared" ca="1" si="10"/>
        <v>0.05</v>
      </c>
      <c r="I687" s="36" t="str">
        <f>_xlfn.XLOOKUP(E687,'Product List'!$B$2:$B$299,'Product List'!$A$2:$A$299)</f>
        <v>Newell 330</v>
      </c>
      <c r="J687" s="36"/>
      <c r="K687" s="36"/>
      <c r="L687" s="36"/>
      <c r="M687" s="36"/>
      <c r="N687" s="36"/>
    </row>
    <row r="688" spans="1:14">
      <c r="A688" s="8" t="s">
        <v>765</v>
      </c>
      <c r="B688" s="19">
        <v>41919</v>
      </c>
      <c r="C688" s="8" t="s">
        <v>66</v>
      </c>
      <c r="D688" s="8">
        <v>10005</v>
      </c>
      <c r="E688" s="8" t="s">
        <v>257</v>
      </c>
      <c r="F688" s="8" t="s">
        <v>32</v>
      </c>
      <c r="G688" s="36">
        <f>VLOOKUP(E688,Flipkart!$A$1:$B$296,2,0)</f>
        <v>0</v>
      </c>
      <c r="H688" s="36">
        <f t="shared" ca="1" si="10"/>
        <v>0.02</v>
      </c>
      <c r="I688" s="36" t="str">
        <f>_xlfn.XLOOKUP(E688,'Product List'!$B$2:$B$299,'Product List'!$A$2:$A$299)</f>
        <v>Xerox 1977</v>
      </c>
      <c r="J688" s="36"/>
      <c r="K688" s="36"/>
      <c r="L688" s="36"/>
      <c r="M688" s="36"/>
      <c r="N688" s="36"/>
    </row>
    <row r="689" spans="1:14">
      <c r="A689" s="8" t="s">
        <v>767</v>
      </c>
      <c r="B689" s="19">
        <v>41922</v>
      </c>
      <c r="C689" s="8" t="s">
        <v>36</v>
      </c>
      <c r="D689" s="8">
        <v>10002</v>
      </c>
      <c r="E689" s="8" t="s">
        <v>137</v>
      </c>
      <c r="F689" s="8" t="s">
        <v>43</v>
      </c>
      <c r="G689" s="36">
        <f>VLOOKUP(E689,Flipkart!$A$1:$B$296,2,0)</f>
        <v>0</v>
      </c>
      <c r="H689" s="36">
        <f t="shared" ca="1" si="10"/>
        <v>0.05</v>
      </c>
      <c r="I689" s="36" t="str">
        <f>_xlfn.XLOOKUP(E689,'Product List'!$B$2:$B$299,'Product List'!$A$2:$A$299)</f>
        <v>Newell 35</v>
      </c>
      <c r="J689" s="36"/>
      <c r="K689" s="36"/>
      <c r="L689" s="36"/>
      <c r="M689" s="36"/>
      <c r="N689" s="36"/>
    </row>
    <row r="690" spans="1:14">
      <c r="A690" s="8" t="s">
        <v>768</v>
      </c>
      <c r="B690" s="19">
        <v>41923</v>
      </c>
      <c r="C690" s="8" t="s">
        <v>27</v>
      </c>
      <c r="D690" s="8">
        <v>10012</v>
      </c>
      <c r="E690" s="8" t="s">
        <v>367</v>
      </c>
      <c r="F690" s="8" t="s">
        <v>40</v>
      </c>
      <c r="G690" s="36">
        <f>VLOOKUP(E690,Flipkart!$A$1:$B$296,2,0)</f>
        <v>0.04</v>
      </c>
      <c r="H690" s="36">
        <f t="shared" ca="1" si="10"/>
        <v>0.02</v>
      </c>
      <c r="I690" s="36" t="str">
        <f>_xlfn.XLOOKUP(E690,'Product List'!$B$2:$B$299,'Product List'!$A$2:$A$299)</f>
        <v>Xerox 196</v>
      </c>
      <c r="J690" s="36"/>
      <c r="K690" s="36"/>
      <c r="L690" s="36"/>
      <c r="M690" s="36"/>
      <c r="N690" s="36"/>
    </row>
    <row r="691" spans="1:14">
      <c r="A691" s="8" t="s">
        <v>769</v>
      </c>
      <c r="B691" s="19">
        <v>41924</v>
      </c>
      <c r="C691" s="8" t="s">
        <v>46</v>
      </c>
      <c r="D691" s="8">
        <v>10004</v>
      </c>
      <c r="E691" s="8" t="s">
        <v>94</v>
      </c>
      <c r="F691" s="8" t="s">
        <v>40</v>
      </c>
      <c r="G691" s="36">
        <f>VLOOKUP(E691,Flipkart!$A$1:$B$296,2,0)</f>
        <v>0.03</v>
      </c>
      <c r="H691" s="36">
        <f t="shared" ca="1" si="10"/>
        <v>0.05</v>
      </c>
      <c r="I691" s="36" t="str">
        <f>_xlfn.XLOOKUP(E691,'Product List'!$B$2:$B$299,'Product List'!$A$2:$A$299)</f>
        <v>Xerox 191</v>
      </c>
      <c r="J691" s="36"/>
      <c r="K691" s="36"/>
      <c r="L691" s="36"/>
      <c r="M691" s="36"/>
      <c r="N691" s="36"/>
    </row>
    <row r="692" spans="1:14">
      <c r="A692" s="8" t="s">
        <v>770</v>
      </c>
      <c r="B692" s="19">
        <v>41924</v>
      </c>
      <c r="C692" s="8" t="s">
        <v>27</v>
      </c>
      <c r="D692" s="8">
        <v>10013</v>
      </c>
      <c r="E692" s="8" t="s">
        <v>535</v>
      </c>
      <c r="F692" s="8" t="s">
        <v>43</v>
      </c>
      <c r="G692" s="36">
        <f>VLOOKUP(E692,Flipkart!$A$1:$B$296,2,0)</f>
        <v>0.01</v>
      </c>
      <c r="H692" s="36">
        <f t="shared" ca="1" si="10"/>
        <v>0.05</v>
      </c>
      <c r="I692" s="36" t="str">
        <f>_xlfn.XLOOKUP(E692,'Product List'!$B$2:$B$299,'Product List'!$A$2:$A$299)</f>
        <v>Newell 325</v>
      </c>
      <c r="J692" s="36"/>
      <c r="K692" s="36"/>
      <c r="L692" s="36"/>
      <c r="M692" s="36"/>
      <c r="N692" s="36"/>
    </row>
    <row r="693" spans="1:14">
      <c r="A693" s="8" t="s">
        <v>771</v>
      </c>
      <c r="B693" s="19">
        <v>41925</v>
      </c>
      <c r="C693" s="8" t="s">
        <v>44</v>
      </c>
      <c r="D693" s="8">
        <v>10003</v>
      </c>
      <c r="E693" s="8" t="s">
        <v>505</v>
      </c>
      <c r="F693" s="8" t="s">
        <v>50</v>
      </c>
      <c r="G693" s="36">
        <f>VLOOKUP(E693,Flipkart!$A$1:$B$296,2,0)</f>
        <v>0.05</v>
      </c>
      <c r="H693" s="36">
        <f t="shared" ca="1" si="10"/>
        <v>0.04</v>
      </c>
      <c r="I693" s="36" t="str">
        <f>_xlfn.XLOOKUP(E693,'Product List'!$B$2:$B$299,'Product List'!$A$2:$A$299)</f>
        <v>Xerox 1934</v>
      </c>
      <c r="J693" s="36"/>
      <c r="K693" s="36"/>
      <c r="L693" s="36"/>
      <c r="M693" s="36"/>
      <c r="N693" s="36"/>
    </row>
    <row r="694" spans="1:14">
      <c r="A694" s="8" t="s">
        <v>771</v>
      </c>
      <c r="B694" s="19">
        <v>41925</v>
      </c>
      <c r="C694" s="8" t="s">
        <v>44</v>
      </c>
      <c r="D694" s="8">
        <v>10014</v>
      </c>
      <c r="E694" s="8" t="s">
        <v>474</v>
      </c>
      <c r="F694" s="8" t="s">
        <v>43</v>
      </c>
      <c r="G694" s="36">
        <f>VLOOKUP(E694,Flipkart!$A$1:$B$296,2,0)</f>
        <v>0.03</v>
      </c>
      <c r="H694" s="36">
        <f t="shared" ca="1" si="10"/>
        <v>0.05</v>
      </c>
      <c r="I694" s="36" t="str">
        <f>_xlfn.XLOOKUP(E694,'Product List'!$B$2:$B$299,'Product List'!$A$2:$A$299)</f>
        <v>Ideal Clamps</v>
      </c>
      <c r="J694" s="36"/>
      <c r="K694" s="36"/>
      <c r="L694" s="36"/>
      <c r="M694" s="36"/>
      <c r="N694" s="36"/>
    </row>
    <row r="695" spans="1:14">
      <c r="A695" s="8" t="s">
        <v>772</v>
      </c>
      <c r="B695" s="19">
        <v>41925</v>
      </c>
      <c r="C695" s="8" t="s">
        <v>66</v>
      </c>
      <c r="D695" s="8">
        <v>10003</v>
      </c>
      <c r="E695" s="8" t="s">
        <v>123</v>
      </c>
      <c r="F695" s="8" t="s">
        <v>40</v>
      </c>
      <c r="G695" s="36">
        <f>VLOOKUP(E695,Flipkart!$A$1:$B$296,2,0)</f>
        <v>0.01</v>
      </c>
      <c r="H695" s="36">
        <f t="shared" ca="1" si="10"/>
        <v>0.02</v>
      </c>
      <c r="I695" s="36" t="str">
        <f>_xlfn.XLOOKUP(E695,'Product List'!$B$2:$B$299,'Product List'!$A$2:$A$299)</f>
        <v>Avery 503</v>
      </c>
      <c r="J695" s="36"/>
      <c r="K695" s="36"/>
      <c r="L695" s="36"/>
      <c r="M695" s="36"/>
      <c r="N695" s="36"/>
    </row>
    <row r="696" spans="1:14">
      <c r="A696" s="8" t="s">
        <v>771</v>
      </c>
      <c r="B696" s="19">
        <v>41925</v>
      </c>
      <c r="C696" s="8" t="s">
        <v>27</v>
      </c>
      <c r="D696" s="8">
        <v>10009</v>
      </c>
      <c r="E696" s="8" t="s">
        <v>470</v>
      </c>
      <c r="F696" s="8" t="s">
        <v>29</v>
      </c>
      <c r="G696" s="36">
        <f>VLOOKUP(E696,Flipkart!$A$1:$B$296,2,0)</f>
        <v>0.04</v>
      </c>
      <c r="H696" s="36">
        <f t="shared" ca="1" si="10"/>
        <v>0.04</v>
      </c>
      <c r="I696" s="36" t="str">
        <f>_xlfn.XLOOKUP(E696,'Product List'!$B$2:$B$299,'Product List'!$A$2:$A$299)</f>
        <v>Xerox 1884</v>
      </c>
      <c r="J696" s="36"/>
      <c r="K696" s="36"/>
      <c r="L696" s="36"/>
      <c r="M696" s="36"/>
      <c r="N696" s="36"/>
    </row>
    <row r="697" spans="1:14">
      <c r="A697" s="8" t="s">
        <v>773</v>
      </c>
      <c r="B697" s="19">
        <v>41926</v>
      </c>
      <c r="C697" s="8" t="s">
        <v>54</v>
      </c>
      <c r="D697" s="8">
        <v>10005</v>
      </c>
      <c r="E697" s="8" t="s">
        <v>467</v>
      </c>
      <c r="F697" s="8" t="s">
        <v>35</v>
      </c>
      <c r="G697" s="36">
        <f>VLOOKUP(E697,Flipkart!$A$1:$B$296,2,0)</f>
        <v>0.05</v>
      </c>
      <c r="H697" s="36">
        <f t="shared" ca="1" si="10"/>
        <v>0.05</v>
      </c>
      <c r="I697" s="36" t="str">
        <f>_xlfn.XLOOKUP(E697,'Product List'!$B$2:$B$299,'Product List'!$A$2:$A$299)</f>
        <v>Xerox 215</v>
      </c>
      <c r="J697" s="36"/>
      <c r="K697" s="36"/>
      <c r="L697" s="36"/>
      <c r="M697" s="36"/>
      <c r="N697" s="36"/>
    </row>
    <row r="698" spans="1:14">
      <c r="A698" s="8" t="s">
        <v>774</v>
      </c>
      <c r="B698" s="19">
        <v>41927</v>
      </c>
      <c r="C698" s="8" t="s">
        <v>36</v>
      </c>
      <c r="D698" s="8">
        <v>10003</v>
      </c>
      <c r="E698" s="8" t="s">
        <v>307</v>
      </c>
      <c r="F698" s="8" t="s">
        <v>50</v>
      </c>
      <c r="G698" s="36">
        <f>VLOOKUP(E698,Flipkart!$A$1:$B$296,2,0)</f>
        <v>0.04</v>
      </c>
      <c r="H698" s="36">
        <f t="shared" ca="1" si="10"/>
        <v>0.03</v>
      </c>
      <c r="I698" s="36" t="str">
        <f>_xlfn.XLOOKUP(E698,'Product List'!$B$2:$B$299,'Product List'!$A$2:$A$299)</f>
        <v>Avery 519</v>
      </c>
      <c r="J698" s="36"/>
      <c r="K698" s="36"/>
      <c r="L698" s="36"/>
      <c r="M698" s="36"/>
      <c r="N698" s="36"/>
    </row>
    <row r="699" spans="1:14">
      <c r="A699" s="8" t="s">
        <v>774</v>
      </c>
      <c r="B699" s="19">
        <v>41927</v>
      </c>
      <c r="C699" s="8" t="s">
        <v>27</v>
      </c>
      <c r="D699" s="8">
        <v>10014</v>
      </c>
      <c r="E699" s="8" t="s">
        <v>71</v>
      </c>
      <c r="F699" s="8" t="s">
        <v>43</v>
      </c>
      <c r="G699" s="36">
        <f>VLOOKUP(E699,Flipkart!$A$1:$B$296,2,0)</f>
        <v>0.04</v>
      </c>
      <c r="H699" s="36">
        <f t="shared" ca="1" si="10"/>
        <v>0.02</v>
      </c>
      <c r="I699" s="36" t="str">
        <f>_xlfn.XLOOKUP(E699,'Product List'!$B$2:$B$299,'Product List'!$A$2:$A$299)</f>
        <v>GE 30522EE2</v>
      </c>
      <c r="J699" s="36"/>
      <c r="K699" s="36"/>
      <c r="L699" s="36"/>
      <c r="M699" s="36"/>
      <c r="N699" s="36"/>
    </row>
    <row r="700" spans="1:14">
      <c r="A700" s="8" t="s">
        <v>774</v>
      </c>
      <c r="B700" s="19">
        <v>41927</v>
      </c>
      <c r="C700" s="8" t="s">
        <v>27</v>
      </c>
      <c r="D700" s="8">
        <v>10010</v>
      </c>
      <c r="E700" s="8" t="s">
        <v>524</v>
      </c>
      <c r="F700" s="8" t="s">
        <v>43</v>
      </c>
      <c r="G700" s="36">
        <f>VLOOKUP(E700,Flipkart!$A$1:$B$296,2,0)</f>
        <v>0.02</v>
      </c>
      <c r="H700" s="36">
        <f t="shared" ca="1" si="10"/>
        <v>0.03</v>
      </c>
      <c r="I700" s="36" t="str">
        <f>_xlfn.XLOOKUP(E700,'Product List'!$B$2:$B$299,'Product List'!$A$2:$A$299)</f>
        <v>Avery 495</v>
      </c>
      <c r="J700" s="36"/>
      <c r="K700" s="36"/>
      <c r="L700" s="36"/>
      <c r="M700" s="36"/>
      <c r="N700" s="36"/>
    </row>
    <row r="701" spans="1:14">
      <c r="A701" s="8" t="s">
        <v>775</v>
      </c>
      <c r="B701" s="19">
        <v>41931</v>
      </c>
      <c r="C701" s="8" t="s">
        <v>44</v>
      </c>
      <c r="D701" s="8">
        <v>10006</v>
      </c>
      <c r="E701" s="8" t="s">
        <v>776</v>
      </c>
      <c r="F701" s="8" t="s">
        <v>35</v>
      </c>
      <c r="G701" s="36">
        <f>VLOOKUP(E701,Flipkart!$A$1:$B$296,2,0)</f>
        <v>0.03</v>
      </c>
      <c r="H701" s="36">
        <f t="shared" ca="1" si="10"/>
        <v>0.03</v>
      </c>
      <c r="I701" s="36" t="str">
        <f>_xlfn.XLOOKUP(E701,'Product List'!$B$2:$B$299,'Product List'!$A$2:$A$299)</f>
        <v>Newell 347</v>
      </c>
      <c r="J701" s="36"/>
      <c r="K701" s="36"/>
      <c r="L701" s="36"/>
      <c r="M701" s="36"/>
      <c r="N701" s="36"/>
    </row>
    <row r="702" spans="1:14">
      <c r="A702" s="8" t="s">
        <v>775</v>
      </c>
      <c r="B702" s="19">
        <v>41931</v>
      </c>
      <c r="C702" s="8" t="s">
        <v>36</v>
      </c>
      <c r="D702" s="8">
        <v>10008</v>
      </c>
      <c r="E702" s="8" t="s">
        <v>617</v>
      </c>
      <c r="F702" s="8" t="s">
        <v>43</v>
      </c>
      <c r="G702" s="36">
        <f>VLOOKUP(E702,Flipkart!$A$1:$B$296,2,0)</f>
        <v>0.01</v>
      </c>
      <c r="H702" s="36">
        <f t="shared" ca="1" si="10"/>
        <v>0.02</v>
      </c>
      <c r="I702" s="36" t="str">
        <f>_xlfn.XLOOKUP(E702,'Product List'!$B$2:$B$299,'Product List'!$A$2:$A$299)</f>
        <v>Xerox 1915</v>
      </c>
      <c r="J702" s="36"/>
      <c r="K702" s="36"/>
      <c r="L702" s="36"/>
      <c r="M702" s="36"/>
      <c r="N702" s="36"/>
    </row>
    <row r="703" spans="1:14">
      <c r="A703" s="8" t="s">
        <v>777</v>
      </c>
      <c r="B703" s="19">
        <v>41931</v>
      </c>
      <c r="C703" s="8" t="s">
        <v>66</v>
      </c>
      <c r="D703" s="8">
        <v>10006</v>
      </c>
      <c r="E703" s="8" t="s">
        <v>778</v>
      </c>
      <c r="F703" s="8" t="s">
        <v>32</v>
      </c>
      <c r="G703" s="36">
        <f>VLOOKUP(E703,Flipkart!$A$1:$B$296,2,0)</f>
        <v>0.05</v>
      </c>
      <c r="H703" s="36">
        <f t="shared" ca="1" si="10"/>
        <v>0.02</v>
      </c>
      <c r="I703" s="36" t="str">
        <f>_xlfn.XLOOKUP(E703,'Product List'!$B$2:$B$299,'Product List'!$A$2:$A$299)</f>
        <v>Xerox 197</v>
      </c>
      <c r="J703" s="36"/>
      <c r="K703" s="36"/>
      <c r="L703" s="36"/>
      <c r="M703" s="36"/>
      <c r="N703" s="36"/>
    </row>
    <row r="704" spans="1:14">
      <c r="A704" s="8" t="s">
        <v>779</v>
      </c>
      <c r="B704" s="19">
        <v>41933</v>
      </c>
      <c r="C704" s="8" t="s">
        <v>36</v>
      </c>
      <c r="D704" s="8">
        <v>10014</v>
      </c>
      <c r="E704" s="8" t="s">
        <v>291</v>
      </c>
      <c r="F704" s="8" t="s">
        <v>32</v>
      </c>
      <c r="G704" s="36">
        <f>VLOOKUP(E704,Flipkart!$A$1:$B$296,2,0)</f>
        <v>0.03</v>
      </c>
      <c r="H704" s="36">
        <f t="shared" ca="1" si="10"/>
        <v>0.03</v>
      </c>
      <c r="I704" s="36" t="str">
        <f>_xlfn.XLOOKUP(E704,'Product List'!$B$2:$B$299,'Product List'!$A$2:$A$299)</f>
        <v>Xerox 1990</v>
      </c>
      <c r="J704" s="36"/>
      <c r="K704" s="36"/>
      <c r="L704" s="36"/>
      <c r="M704" s="36"/>
      <c r="N704" s="36"/>
    </row>
    <row r="705" spans="1:14">
      <c r="A705" s="8" t="s">
        <v>780</v>
      </c>
      <c r="B705" s="19">
        <v>41934</v>
      </c>
      <c r="C705" s="8" t="s">
        <v>66</v>
      </c>
      <c r="D705" s="8">
        <v>10003</v>
      </c>
      <c r="E705" s="8" t="s">
        <v>622</v>
      </c>
      <c r="F705" s="8" t="s">
        <v>40</v>
      </c>
      <c r="G705" s="36">
        <f>VLOOKUP(E705,Flipkart!$A$1:$B$296,2,0)</f>
        <v>0.01</v>
      </c>
      <c r="H705" s="36">
        <f t="shared" ca="1" si="10"/>
        <v>0.01</v>
      </c>
      <c r="I705" s="36" t="str">
        <f>_xlfn.XLOOKUP(E705,'Product List'!$B$2:$B$299,'Product List'!$A$2:$A$299)</f>
        <v>Xerox 1995</v>
      </c>
      <c r="J705" s="36"/>
      <c r="K705" s="36"/>
      <c r="L705" s="36"/>
      <c r="M705" s="36"/>
      <c r="N705" s="36"/>
    </row>
    <row r="706" spans="1:14">
      <c r="A706" s="8" t="s">
        <v>781</v>
      </c>
      <c r="B706" s="19">
        <v>41935</v>
      </c>
      <c r="C706" s="8" t="s">
        <v>66</v>
      </c>
      <c r="D706" s="8">
        <v>10002</v>
      </c>
      <c r="E706" s="8" t="s">
        <v>443</v>
      </c>
      <c r="F706" s="8" t="s">
        <v>29</v>
      </c>
      <c r="G706" s="36">
        <f>VLOOKUP(E706,Flipkart!$A$1:$B$296,2,0)</f>
        <v>0.02</v>
      </c>
      <c r="H706" s="36">
        <f t="shared" ca="1" si="10"/>
        <v>0.04</v>
      </c>
      <c r="I706" s="36" t="str">
        <f>_xlfn.XLOOKUP(E706,'Product List'!$B$2:$B$299,'Product List'!$A$2:$A$299)</f>
        <v>Avery 485</v>
      </c>
      <c r="J706" s="36"/>
      <c r="K706" s="36"/>
      <c r="L706" s="36"/>
      <c r="M706" s="36"/>
      <c r="N706" s="36"/>
    </row>
    <row r="707" spans="1:14">
      <c r="A707" s="8" t="s">
        <v>782</v>
      </c>
      <c r="B707" s="19">
        <v>41937</v>
      </c>
      <c r="C707" s="8" t="s">
        <v>66</v>
      </c>
      <c r="D707" s="8">
        <v>10005</v>
      </c>
      <c r="E707" s="8" t="s">
        <v>285</v>
      </c>
      <c r="F707" s="8" t="s">
        <v>50</v>
      </c>
      <c r="G707" s="36">
        <f>VLOOKUP(E707,Flipkart!$A$1:$B$296,2,0)</f>
        <v>0.05</v>
      </c>
      <c r="H707" s="36">
        <f t="shared" ca="1" si="10"/>
        <v>0.05</v>
      </c>
      <c r="I707" s="36" t="str">
        <f>_xlfn.XLOOKUP(E707,'Product List'!$B$2:$B$299,'Product List'!$A$2:$A$299)</f>
        <v>Newell 344</v>
      </c>
      <c r="J707" s="36"/>
      <c r="K707" s="36"/>
      <c r="L707" s="36"/>
      <c r="M707" s="36"/>
      <c r="N707" s="36"/>
    </row>
    <row r="708" spans="1:14">
      <c r="A708" s="8" t="s">
        <v>782</v>
      </c>
      <c r="B708" s="19">
        <v>41937</v>
      </c>
      <c r="C708" s="8" t="s">
        <v>33</v>
      </c>
      <c r="D708" s="8">
        <v>10011</v>
      </c>
      <c r="E708" s="8" t="s">
        <v>352</v>
      </c>
      <c r="F708" s="8" t="s">
        <v>50</v>
      </c>
      <c r="G708" s="36">
        <f>VLOOKUP(E708,Flipkart!$A$1:$B$296,2,0)</f>
        <v>0</v>
      </c>
      <c r="H708" s="36">
        <f t="shared" ref="H708:H771" ca="1" si="11">VLOOKUP(E708,INDIRECT(F708&amp;"!$A$1:$B$296"),2,0)</f>
        <v>0.02</v>
      </c>
      <c r="I708" s="36" t="str">
        <f>_xlfn.XLOOKUP(E708,'Product List'!$B$2:$B$299,'Product List'!$A$2:$A$299)</f>
        <v>Avery 501</v>
      </c>
      <c r="J708" s="36"/>
      <c r="K708" s="36"/>
      <c r="L708" s="36"/>
      <c r="M708" s="36"/>
      <c r="N708" s="36"/>
    </row>
    <row r="709" spans="1:14">
      <c r="A709" s="8" t="s">
        <v>783</v>
      </c>
      <c r="B709" s="19">
        <v>41938</v>
      </c>
      <c r="C709" s="8" t="s">
        <v>54</v>
      </c>
      <c r="D709" s="8">
        <v>10012</v>
      </c>
      <c r="E709" s="8" t="s">
        <v>188</v>
      </c>
      <c r="F709" s="8" t="s">
        <v>32</v>
      </c>
      <c r="G709" s="36">
        <f>VLOOKUP(E709,Flipkart!$A$1:$B$296,2,0)</f>
        <v>0.03</v>
      </c>
      <c r="H709" s="36">
        <f t="shared" ca="1" si="11"/>
        <v>0.02</v>
      </c>
      <c r="I709" s="36" t="str">
        <f>_xlfn.XLOOKUP(E709,'Product List'!$B$2:$B$299,'Product List'!$A$2:$A$299)</f>
        <v>Xerox 1953</v>
      </c>
      <c r="J709" s="36"/>
      <c r="K709" s="36"/>
      <c r="L709" s="36"/>
      <c r="M709" s="36"/>
      <c r="N709" s="36"/>
    </row>
    <row r="710" spans="1:14">
      <c r="A710" s="8" t="s">
        <v>784</v>
      </c>
      <c r="B710" s="19">
        <v>41941</v>
      </c>
      <c r="C710" s="8" t="s">
        <v>46</v>
      </c>
      <c r="D710" s="8">
        <v>10005</v>
      </c>
      <c r="E710" s="8" t="s">
        <v>785</v>
      </c>
      <c r="F710" s="8" t="s">
        <v>43</v>
      </c>
      <c r="G710" s="36">
        <f>VLOOKUP(E710,Flipkart!$A$1:$B$296,2,0)</f>
        <v>0.03</v>
      </c>
      <c r="H710" s="36">
        <f t="shared" ca="1" si="11"/>
        <v>0.02</v>
      </c>
      <c r="I710" s="36" t="str">
        <f>_xlfn.XLOOKUP(E710,'Product List'!$B$2:$B$299,'Product List'!$A$2:$A$299)</f>
        <v>Xerox 1901</v>
      </c>
      <c r="J710" s="36"/>
      <c r="K710" s="36"/>
      <c r="L710" s="36"/>
      <c r="M710" s="36"/>
      <c r="N710" s="36"/>
    </row>
    <row r="711" spans="1:14">
      <c r="A711" s="8" t="s">
        <v>784</v>
      </c>
      <c r="B711" s="19">
        <v>41941</v>
      </c>
      <c r="C711" s="8" t="s">
        <v>36</v>
      </c>
      <c r="D711" s="8">
        <v>10013</v>
      </c>
      <c r="E711" s="8" t="s">
        <v>42</v>
      </c>
      <c r="F711" s="8" t="s">
        <v>35</v>
      </c>
      <c r="G711" s="36">
        <f>VLOOKUP(E711,Flipkart!$A$1:$B$296,2,0)</f>
        <v>0.04</v>
      </c>
      <c r="H711" s="36">
        <f t="shared" ca="1" si="11"/>
        <v>0.04</v>
      </c>
      <c r="I711" s="36" t="str">
        <f>_xlfn.XLOOKUP(E711,'Product List'!$B$2:$B$299,'Product List'!$A$2:$A$299)</f>
        <v>Staple magnet</v>
      </c>
      <c r="J711" s="36"/>
      <c r="K711" s="36"/>
      <c r="L711" s="36"/>
      <c r="M711" s="36"/>
      <c r="N711" s="36"/>
    </row>
    <row r="712" spans="1:14">
      <c r="A712" s="8" t="s">
        <v>786</v>
      </c>
      <c r="B712" s="19">
        <v>41941</v>
      </c>
      <c r="C712" s="8" t="s">
        <v>51</v>
      </c>
      <c r="D712" s="8">
        <v>10002</v>
      </c>
      <c r="E712" s="8" t="s">
        <v>102</v>
      </c>
      <c r="F712" s="8" t="s">
        <v>43</v>
      </c>
      <c r="G712" s="36">
        <f>VLOOKUP(E712,Flipkart!$A$1:$B$296,2,0)</f>
        <v>0.02</v>
      </c>
      <c r="H712" s="36">
        <f t="shared" ca="1" si="11"/>
        <v>0.02</v>
      </c>
      <c r="I712" s="36" t="str">
        <f>_xlfn.XLOOKUP(E712,'Product List'!$B$2:$B$299,'Product List'!$A$2:$A$299)</f>
        <v>Xerox 1997</v>
      </c>
      <c r="J712" s="36"/>
      <c r="K712" s="36"/>
      <c r="L712" s="36"/>
      <c r="M712" s="36"/>
      <c r="N712" s="36"/>
    </row>
    <row r="713" spans="1:14">
      <c r="A713" s="8" t="s">
        <v>787</v>
      </c>
      <c r="B713" s="19">
        <v>41942</v>
      </c>
      <c r="C713" s="8" t="s">
        <v>44</v>
      </c>
      <c r="D713" s="8">
        <v>10002</v>
      </c>
      <c r="E713" s="8" t="s">
        <v>603</v>
      </c>
      <c r="F713" s="8" t="s">
        <v>32</v>
      </c>
      <c r="G713" s="36">
        <f>VLOOKUP(E713,Flipkart!$A$1:$B$296,2,0)</f>
        <v>0.02</v>
      </c>
      <c r="H713" s="36">
        <f t="shared" ca="1" si="11"/>
        <v>0.04</v>
      </c>
      <c r="I713" s="36" t="str">
        <f>_xlfn.XLOOKUP(E713,'Product List'!$B$2:$B$299,'Product List'!$A$2:$A$299)</f>
        <v>Xerox 1945</v>
      </c>
      <c r="J713" s="36"/>
      <c r="K713" s="36"/>
      <c r="L713" s="36"/>
      <c r="M713" s="36"/>
      <c r="N713" s="36"/>
    </row>
    <row r="714" spans="1:14">
      <c r="A714" s="8" t="s">
        <v>788</v>
      </c>
      <c r="B714" s="19">
        <v>41948</v>
      </c>
      <c r="C714" s="8" t="s">
        <v>66</v>
      </c>
      <c r="D714" s="8">
        <v>10002</v>
      </c>
      <c r="E714" s="8" t="s">
        <v>73</v>
      </c>
      <c r="F714" s="8" t="s">
        <v>35</v>
      </c>
      <c r="G714" s="36">
        <f>VLOOKUP(E714,Flipkart!$A$1:$B$296,2,0)</f>
        <v>0.04</v>
      </c>
      <c r="H714" s="36">
        <f t="shared" ca="1" si="11"/>
        <v>0.04</v>
      </c>
      <c r="I714" s="36" t="str">
        <f>_xlfn.XLOOKUP(E714,'Product List'!$B$2:$B$299,'Product List'!$A$2:$A$299)</f>
        <v>Xerox 1916</v>
      </c>
      <c r="J714" s="36"/>
      <c r="K714" s="36"/>
      <c r="L714" s="36"/>
      <c r="M714" s="36"/>
      <c r="N714" s="36"/>
    </row>
    <row r="715" spans="1:14">
      <c r="A715" s="8" t="s">
        <v>789</v>
      </c>
      <c r="B715" s="19">
        <v>41949</v>
      </c>
      <c r="C715" s="8" t="s">
        <v>66</v>
      </c>
      <c r="D715" s="8">
        <v>10013</v>
      </c>
      <c r="E715" s="8" t="s">
        <v>406</v>
      </c>
      <c r="F715" s="8" t="s">
        <v>29</v>
      </c>
      <c r="G715" s="36">
        <f>VLOOKUP(E715,Flipkart!$A$1:$B$296,2,0)</f>
        <v>0.01</v>
      </c>
      <c r="H715" s="36">
        <f t="shared" ca="1" si="11"/>
        <v>0.05</v>
      </c>
      <c r="I715" s="36" t="str">
        <f>_xlfn.XLOOKUP(E715,'Product List'!$B$2:$B$299,'Product List'!$A$2:$A$299)</f>
        <v>Xerox 198</v>
      </c>
      <c r="J715" s="36"/>
      <c r="K715" s="36"/>
      <c r="L715" s="36"/>
      <c r="M715" s="36"/>
      <c r="N715" s="36"/>
    </row>
    <row r="716" spans="1:14">
      <c r="A716" s="8" t="s">
        <v>789</v>
      </c>
      <c r="B716" s="19">
        <v>41949</v>
      </c>
      <c r="C716" s="8" t="s">
        <v>66</v>
      </c>
      <c r="D716" s="8">
        <v>10007</v>
      </c>
      <c r="E716" s="8" t="s">
        <v>455</v>
      </c>
      <c r="F716" s="8" t="s">
        <v>43</v>
      </c>
      <c r="G716" s="36">
        <f>VLOOKUP(E716,Flipkart!$A$1:$B$296,2,0)</f>
        <v>0</v>
      </c>
      <c r="H716" s="36">
        <f t="shared" ca="1" si="11"/>
        <v>0.05</v>
      </c>
      <c r="I716" s="36" t="str">
        <f>_xlfn.XLOOKUP(E716,'Product List'!$B$2:$B$299,'Product List'!$A$2:$A$299)</f>
        <v>Newell 307</v>
      </c>
      <c r="J716" s="36"/>
      <c r="K716" s="36"/>
      <c r="L716" s="36"/>
      <c r="M716" s="36"/>
      <c r="N716" s="36"/>
    </row>
    <row r="717" spans="1:14">
      <c r="A717" s="8" t="s">
        <v>790</v>
      </c>
      <c r="B717" s="19">
        <v>41951</v>
      </c>
      <c r="C717" s="8" t="s">
        <v>33</v>
      </c>
      <c r="D717" s="8">
        <v>10014</v>
      </c>
      <c r="E717" s="8" t="s">
        <v>395</v>
      </c>
      <c r="F717" s="8" t="s">
        <v>35</v>
      </c>
      <c r="G717" s="36">
        <f>VLOOKUP(E717,Flipkart!$A$1:$B$296,2,0)</f>
        <v>0.03</v>
      </c>
      <c r="H717" s="36">
        <f t="shared" ca="1" si="11"/>
        <v>0.03</v>
      </c>
      <c r="I717" s="36" t="str">
        <f>_xlfn.XLOOKUP(E717,'Product List'!$B$2:$B$299,'Product List'!$A$2:$A$299)</f>
        <v>Xerox 1883</v>
      </c>
      <c r="J717" s="36"/>
      <c r="K717" s="36"/>
      <c r="L717" s="36"/>
      <c r="M717" s="36"/>
      <c r="N717" s="36"/>
    </row>
    <row r="718" spans="1:14">
      <c r="A718" s="8" t="s">
        <v>791</v>
      </c>
      <c r="B718" s="19">
        <v>41951</v>
      </c>
      <c r="C718" s="8" t="s">
        <v>36</v>
      </c>
      <c r="D718" s="8">
        <v>10001</v>
      </c>
      <c r="E718" s="8" t="s">
        <v>565</v>
      </c>
      <c r="F718" s="8" t="s">
        <v>43</v>
      </c>
      <c r="G718" s="36">
        <f>VLOOKUP(E718,Flipkart!$A$1:$B$296,2,0)</f>
        <v>0.04</v>
      </c>
      <c r="H718" s="36">
        <f t="shared" ca="1" si="11"/>
        <v>0.02</v>
      </c>
      <c r="I718" s="36" t="str">
        <f>_xlfn.XLOOKUP(E718,'Product List'!$B$2:$B$299,'Product List'!$A$2:$A$299)</f>
        <v>Xerox 1944</v>
      </c>
      <c r="J718" s="36"/>
      <c r="K718" s="36"/>
      <c r="L718" s="36"/>
      <c r="M718" s="36"/>
      <c r="N718" s="36"/>
    </row>
    <row r="719" spans="1:14">
      <c r="A719" s="8" t="s">
        <v>792</v>
      </c>
      <c r="B719" s="19">
        <v>41952</v>
      </c>
      <c r="C719" s="8" t="s">
        <v>33</v>
      </c>
      <c r="D719" s="8">
        <v>10011</v>
      </c>
      <c r="E719" s="8" t="s">
        <v>394</v>
      </c>
      <c r="F719" s="8" t="s">
        <v>50</v>
      </c>
      <c r="G719" s="36">
        <f>VLOOKUP(E719,Flipkart!$A$1:$B$296,2,0)</f>
        <v>0.04</v>
      </c>
      <c r="H719" s="36">
        <f t="shared" ca="1" si="11"/>
        <v>0.01</v>
      </c>
      <c r="I719" s="36" t="str">
        <f>_xlfn.XLOOKUP(E719,'Product List'!$B$2:$B$299,'Product List'!$A$2:$A$299)</f>
        <v>GE 30524EE4</v>
      </c>
      <c r="J719" s="36"/>
      <c r="K719" s="36"/>
      <c r="L719" s="36"/>
      <c r="M719" s="36"/>
      <c r="N719" s="36"/>
    </row>
    <row r="720" spans="1:14">
      <c r="A720" s="8" t="s">
        <v>793</v>
      </c>
      <c r="B720" s="19">
        <v>41953</v>
      </c>
      <c r="C720" s="8" t="s">
        <v>44</v>
      </c>
      <c r="D720" s="8">
        <v>10011</v>
      </c>
      <c r="E720" s="8" t="s">
        <v>182</v>
      </c>
      <c r="F720" s="8" t="s">
        <v>40</v>
      </c>
      <c r="G720" s="36">
        <f>VLOOKUP(E720,Flipkart!$A$1:$B$296,2,0)</f>
        <v>0.04</v>
      </c>
      <c r="H720" s="36">
        <f t="shared" ca="1" si="11"/>
        <v>0.05</v>
      </c>
      <c r="I720" s="36" t="str">
        <f>_xlfn.XLOOKUP(E720,'Product List'!$B$2:$B$299,'Product List'!$A$2:$A$299)</f>
        <v>Newell 351</v>
      </c>
      <c r="J720" s="36"/>
      <c r="K720" s="36"/>
      <c r="L720" s="36"/>
      <c r="M720" s="36"/>
      <c r="N720" s="36"/>
    </row>
    <row r="721" spans="1:14">
      <c r="A721" s="8" t="s">
        <v>794</v>
      </c>
      <c r="B721" s="19">
        <v>41953</v>
      </c>
      <c r="C721" s="8" t="s">
        <v>36</v>
      </c>
      <c r="D721" s="8">
        <v>10003</v>
      </c>
      <c r="E721" s="8" t="s">
        <v>345</v>
      </c>
      <c r="F721" s="8" t="s">
        <v>29</v>
      </c>
      <c r="G721" s="36">
        <f>VLOOKUP(E721,Flipkart!$A$1:$B$296,2,0)</f>
        <v>0.04</v>
      </c>
      <c r="H721" s="36">
        <f t="shared" ca="1" si="11"/>
        <v>0.03</v>
      </c>
      <c r="I721" s="36" t="str">
        <f>_xlfn.XLOOKUP(E721,'Product List'!$B$2:$B$299,'Product List'!$A$2:$A$299)</f>
        <v>Newell 340</v>
      </c>
      <c r="J721" s="36"/>
      <c r="K721" s="36"/>
      <c r="L721" s="36"/>
      <c r="M721" s="36"/>
      <c r="N721" s="36"/>
    </row>
    <row r="722" spans="1:14">
      <c r="A722" s="8" t="s">
        <v>793</v>
      </c>
      <c r="B722" s="19">
        <v>41953</v>
      </c>
      <c r="C722" s="8" t="s">
        <v>36</v>
      </c>
      <c r="D722" s="8">
        <v>10009</v>
      </c>
      <c r="E722" s="8" t="s">
        <v>45</v>
      </c>
      <c r="F722" s="8" t="s">
        <v>40</v>
      </c>
      <c r="G722" s="36">
        <f>VLOOKUP(E722,Flipkart!$A$1:$B$296,2,0)</f>
        <v>0.04</v>
      </c>
      <c r="H722" s="36">
        <f t="shared" ca="1" si="11"/>
        <v>0.05</v>
      </c>
      <c r="I722" s="36" t="str">
        <f>_xlfn.XLOOKUP(E722,'Product List'!$B$2:$B$299,'Product List'!$A$2:$A$299)</f>
        <v>Avery 486</v>
      </c>
      <c r="J722" s="36"/>
      <c r="K722" s="36"/>
      <c r="L722" s="36"/>
      <c r="M722" s="36"/>
      <c r="N722" s="36"/>
    </row>
    <row r="723" spans="1:14">
      <c r="A723" s="8" t="s">
        <v>793</v>
      </c>
      <c r="B723" s="19">
        <v>41953</v>
      </c>
      <c r="C723" s="8" t="s">
        <v>46</v>
      </c>
      <c r="D723" s="8">
        <v>10010</v>
      </c>
      <c r="E723" s="8" t="s">
        <v>795</v>
      </c>
      <c r="F723" s="8" t="s">
        <v>50</v>
      </c>
      <c r="G723" s="36">
        <f>VLOOKUP(E723,Flipkart!$A$1:$B$296,2,0)</f>
        <v>0.05</v>
      </c>
      <c r="H723" s="36">
        <f t="shared" ca="1" si="11"/>
        <v>0.04</v>
      </c>
      <c r="I723" s="36" t="str">
        <f>_xlfn.XLOOKUP(E723,'Product List'!$B$2:$B$299,'Product List'!$A$2:$A$299)</f>
        <v>Newell 336</v>
      </c>
      <c r="J723" s="36"/>
      <c r="K723" s="36"/>
      <c r="L723" s="36"/>
      <c r="M723" s="36"/>
      <c r="N723" s="36"/>
    </row>
    <row r="724" spans="1:14">
      <c r="A724" s="8" t="s">
        <v>796</v>
      </c>
      <c r="B724" s="19">
        <v>41956</v>
      </c>
      <c r="C724" s="8" t="s">
        <v>51</v>
      </c>
      <c r="D724" s="8">
        <v>10007</v>
      </c>
      <c r="E724" s="8" t="s">
        <v>394</v>
      </c>
      <c r="F724" s="8" t="s">
        <v>32</v>
      </c>
      <c r="G724" s="36">
        <f>VLOOKUP(E724,Flipkart!$A$1:$B$296,2,0)</f>
        <v>0.04</v>
      </c>
      <c r="H724" s="36">
        <f t="shared" ca="1" si="11"/>
        <v>0</v>
      </c>
      <c r="I724" s="36" t="str">
        <f>_xlfn.XLOOKUP(E724,'Product List'!$B$2:$B$299,'Product List'!$A$2:$A$299)</f>
        <v>GE 30524EE4</v>
      </c>
      <c r="J724" s="36"/>
      <c r="K724" s="36"/>
      <c r="L724" s="36"/>
      <c r="M724" s="36"/>
      <c r="N724" s="36"/>
    </row>
    <row r="725" spans="1:14">
      <c r="A725" s="8" t="s">
        <v>797</v>
      </c>
      <c r="B725" s="19">
        <v>41956</v>
      </c>
      <c r="C725" s="8" t="s">
        <v>44</v>
      </c>
      <c r="D725" s="8">
        <v>10010</v>
      </c>
      <c r="E725" s="8" t="s">
        <v>455</v>
      </c>
      <c r="F725" s="8" t="s">
        <v>50</v>
      </c>
      <c r="G725" s="36">
        <f>VLOOKUP(E725,Flipkart!$A$1:$B$296,2,0)</f>
        <v>0</v>
      </c>
      <c r="H725" s="36">
        <f t="shared" ca="1" si="11"/>
        <v>0</v>
      </c>
      <c r="I725" s="36" t="str">
        <f>_xlfn.XLOOKUP(E725,'Product List'!$B$2:$B$299,'Product List'!$A$2:$A$299)</f>
        <v>Newell 307</v>
      </c>
      <c r="J725" s="36"/>
      <c r="K725" s="36"/>
      <c r="L725" s="36"/>
      <c r="M725" s="36"/>
      <c r="N725" s="36"/>
    </row>
    <row r="726" spans="1:14">
      <c r="A726" s="8" t="s">
        <v>796</v>
      </c>
      <c r="B726" s="19">
        <v>41956</v>
      </c>
      <c r="C726" s="8" t="s">
        <v>27</v>
      </c>
      <c r="D726" s="8">
        <v>10009</v>
      </c>
      <c r="E726" s="8" t="s">
        <v>510</v>
      </c>
      <c r="F726" s="8" t="s">
        <v>43</v>
      </c>
      <c r="G726" s="36">
        <f>VLOOKUP(E726,Flipkart!$A$1:$B$296,2,0)</f>
        <v>0.04</v>
      </c>
      <c r="H726" s="36">
        <f t="shared" ca="1" si="11"/>
        <v>0.02</v>
      </c>
      <c r="I726" s="36" t="str">
        <f>_xlfn.XLOOKUP(E726,'Product List'!$B$2:$B$299,'Product List'!$A$2:$A$299)</f>
        <v>Avery 507</v>
      </c>
      <c r="J726" s="36"/>
      <c r="K726" s="36"/>
      <c r="L726" s="36"/>
      <c r="M726" s="36"/>
      <c r="N726" s="36"/>
    </row>
    <row r="727" spans="1:14">
      <c r="A727" s="8" t="s">
        <v>798</v>
      </c>
      <c r="B727" s="19">
        <v>41957</v>
      </c>
      <c r="C727" s="8" t="s">
        <v>46</v>
      </c>
      <c r="D727" s="8">
        <v>10008</v>
      </c>
      <c r="E727" s="8" t="s">
        <v>539</v>
      </c>
      <c r="F727" s="8" t="s">
        <v>29</v>
      </c>
      <c r="G727" s="36">
        <f>VLOOKUP(E727,Flipkart!$A$1:$B$296,2,0)</f>
        <v>0</v>
      </c>
      <c r="H727" s="36">
        <f t="shared" ca="1" si="11"/>
        <v>0.05</v>
      </c>
      <c r="I727" s="36" t="str">
        <f>_xlfn.XLOOKUP(E727,'Product List'!$B$2:$B$299,'Product List'!$A$2:$A$299)</f>
        <v>Xerox 220</v>
      </c>
      <c r="J727" s="36"/>
      <c r="K727" s="36"/>
      <c r="L727" s="36"/>
      <c r="M727" s="36"/>
      <c r="N727" s="36"/>
    </row>
    <row r="728" spans="1:14">
      <c r="A728" s="8" t="s">
        <v>798</v>
      </c>
      <c r="B728" s="19">
        <v>41957</v>
      </c>
      <c r="C728" s="8" t="s">
        <v>54</v>
      </c>
      <c r="D728" s="8">
        <v>10005</v>
      </c>
      <c r="E728" s="8" t="s">
        <v>118</v>
      </c>
      <c r="F728" s="8" t="s">
        <v>35</v>
      </c>
      <c r="G728" s="36">
        <f>VLOOKUP(E728,Flipkart!$A$1:$B$296,2,0)</f>
        <v>0.01</v>
      </c>
      <c r="H728" s="36">
        <f t="shared" ca="1" si="11"/>
        <v>0.01</v>
      </c>
      <c r="I728" s="36" t="str">
        <f>_xlfn.XLOOKUP(E728,'Product List'!$B$2:$B$299,'Product List'!$A$2:$A$299)</f>
        <v>Xerox 1998</v>
      </c>
      <c r="J728" s="36"/>
      <c r="K728" s="36"/>
      <c r="L728" s="36"/>
      <c r="M728" s="36"/>
      <c r="N728" s="36"/>
    </row>
    <row r="729" spans="1:14">
      <c r="A729" s="8" t="s">
        <v>799</v>
      </c>
      <c r="B729" s="19">
        <v>41957</v>
      </c>
      <c r="C729" s="8" t="s">
        <v>27</v>
      </c>
      <c r="D729" s="8">
        <v>10002</v>
      </c>
      <c r="E729" s="8" t="s">
        <v>153</v>
      </c>
      <c r="F729" s="8" t="s">
        <v>35</v>
      </c>
      <c r="G729" s="36">
        <f>VLOOKUP(E729,Flipkart!$A$1:$B$296,2,0)</f>
        <v>0</v>
      </c>
      <c r="H729" s="36">
        <f t="shared" ca="1" si="11"/>
        <v>0</v>
      </c>
      <c r="I729" s="36" t="str">
        <f>_xlfn.XLOOKUP(E729,'Product List'!$B$2:$B$299,'Product List'!$A$2:$A$299)</f>
        <v>LG G2</v>
      </c>
      <c r="J729" s="36"/>
      <c r="K729" s="36"/>
      <c r="L729" s="36"/>
      <c r="M729" s="36"/>
      <c r="N729" s="36"/>
    </row>
    <row r="730" spans="1:14">
      <c r="A730" s="8" t="s">
        <v>798</v>
      </c>
      <c r="B730" s="19">
        <v>41957</v>
      </c>
      <c r="C730" s="8" t="s">
        <v>66</v>
      </c>
      <c r="D730" s="8">
        <v>10007</v>
      </c>
      <c r="E730" s="8" t="s">
        <v>208</v>
      </c>
      <c r="F730" s="8" t="s">
        <v>50</v>
      </c>
      <c r="G730" s="36">
        <f>VLOOKUP(E730,Flipkart!$A$1:$B$296,2,0)</f>
        <v>0</v>
      </c>
      <c r="H730" s="36">
        <f t="shared" ca="1" si="11"/>
        <v>0.01</v>
      </c>
      <c r="I730" s="36" t="str">
        <f>_xlfn.XLOOKUP(E730,'Product List'!$B$2:$B$299,'Product List'!$A$2:$A$299)</f>
        <v>Xerox 1928</v>
      </c>
      <c r="J730" s="36"/>
      <c r="K730" s="36"/>
      <c r="L730" s="36"/>
      <c r="M730" s="36"/>
      <c r="N730" s="36"/>
    </row>
    <row r="731" spans="1:14">
      <c r="A731" s="8" t="s">
        <v>799</v>
      </c>
      <c r="B731" s="19">
        <v>41957</v>
      </c>
      <c r="C731" s="8" t="s">
        <v>54</v>
      </c>
      <c r="D731" s="8">
        <v>10006</v>
      </c>
      <c r="E731" s="8" t="s">
        <v>206</v>
      </c>
      <c r="F731" s="8" t="s">
        <v>50</v>
      </c>
      <c r="G731" s="36">
        <f>VLOOKUP(E731,Flipkart!$A$1:$B$296,2,0)</f>
        <v>0</v>
      </c>
      <c r="H731" s="36">
        <f t="shared" ca="1" si="11"/>
        <v>0</v>
      </c>
      <c r="I731" s="36" t="str">
        <f>_xlfn.XLOOKUP(E731,'Product List'!$B$2:$B$299,'Product List'!$A$2:$A$299)</f>
        <v>Xerox 1973</v>
      </c>
      <c r="J731" s="36"/>
      <c r="K731" s="36"/>
      <c r="L731" s="36"/>
      <c r="M731" s="36"/>
      <c r="N731" s="36"/>
    </row>
    <row r="732" spans="1:14">
      <c r="A732" s="8" t="s">
        <v>800</v>
      </c>
      <c r="B732" s="19">
        <v>41958</v>
      </c>
      <c r="C732" s="8" t="s">
        <v>36</v>
      </c>
      <c r="D732" s="8">
        <v>10012</v>
      </c>
      <c r="E732" s="8" t="s">
        <v>729</v>
      </c>
      <c r="F732" s="8" t="s">
        <v>35</v>
      </c>
      <c r="G732" s="36">
        <f>VLOOKUP(E732,Flipkart!$A$1:$B$296,2,0)</f>
        <v>0</v>
      </c>
      <c r="H732" s="36">
        <f t="shared" ca="1" si="11"/>
        <v>0</v>
      </c>
      <c r="I732" s="36" t="str">
        <f>_xlfn.XLOOKUP(E732,'Product List'!$B$2:$B$299,'Product List'!$A$2:$A$299)</f>
        <v>Newell 324</v>
      </c>
      <c r="J732" s="36"/>
      <c r="K732" s="36"/>
      <c r="L732" s="36"/>
      <c r="M732" s="36"/>
      <c r="N732" s="36"/>
    </row>
    <row r="733" spans="1:14">
      <c r="A733" s="8" t="s">
        <v>801</v>
      </c>
      <c r="B733" s="19">
        <v>41959</v>
      </c>
      <c r="C733" s="8" t="s">
        <v>33</v>
      </c>
      <c r="D733" s="8">
        <v>10009</v>
      </c>
      <c r="E733" s="8" t="s">
        <v>423</v>
      </c>
      <c r="F733" s="8" t="s">
        <v>29</v>
      </c>
      <c r="G733" s="36">
        <f>VLOOKUP(E733,Flipkart!$A$1:$B$296,2,0)</f>
        <v>0.04</v>
      </c>
      <c r="H733" s="36">
        <f t="shared" ca="1" si="11"/>
        <v>0.05</v>
      </c>
      <c r="I733" s="36" t="str">
        <f>_xlfn.XLOOKUP(E733,'Product List'!$B$2:$B$299,'Product List'!$A$2:$A$299)</f>
        <v>Newell 339</v>
      </c>
      <c r="J733" s="36"/>
      <c r="K733" s="36"/>
      <c r="L733" s="36"/>
      <c r="M733" s="36"/>
      <c r="N733" s="36"/>
    </row>
    <row r="734" spans="1:14">
      <c r="A734" s="8" t="s">
        <v>801</v>
      </c>
      <c r="B734" s="19">
        <v>41959</v>
      </c>
      <c r="C734" s="8" t="s">
        <v>54</v>
      </c>
      <c r="D734" s="8">
        <v>10011</v>
      </c>
      <c r="E734" s="8" t="s">
        <v>592</v>
      </c>
      <c r="F734" s="8" t="s">
        <v>35</v>
      </c>
      <c r="G734" s="36">
        <f>VLOOKUP(E734,Flipkart!$A$1:$B$296,2,0)</f>
        <v>0</v>
      </c>
      <c r="H734" s="36">
        <f t="shared" ca="1" si="11"/>
        <v>0</v>
      </c>
      <c r="I734" s="36" t="str">
        <f>_xlfn.XLOOKUP(E734,'Product List'!$B$2:$B$299,'Product List'!$A$2:$A$299)</f>
        <v>Avery 5</v>
      </c>
      <c r="J734" s="36"/>
      <c r="K734" s="36"/>
      <c r="L734" s="36"/>
      <c r="M734" s="36"/>
      <c r="N734" s="36"/>
    </row>
    <row r="735" spans="1:14">
      <c r="A735" s="8" t="s">
        <v>802</v>
      </c>
      <c r="B735" s="19">
        <v>41959</v>
      </c>
      <c r="C735" s="8" t="s">
        <v>27</v>
      </c>
      <c r="D735" s="8">
        <v>10014</v>
      </c>
      <c r="E735" s="8" t="s">
        <v>578</v>
      </c>
      <c r="F735" s="8" t="s">
        <v>32</v>
      </c>
      <c r="G735" s="36">
        <f>VLOOKUP(E735,Flipkart!$A$1:$B$296,2,0)</f>
        <v>0.04</v>
      </c>
      <c r="H735" s="36">
        <f t="shared" ca="1" si="11"/>
        <v>0.05</v>
      </c>
      <c r="I735" s="36" t="str">
        <f>_xlfn.XLOOKUP(E735,'Product List'!$B$2:$B$299,'Product List'!$A$2:$A$299)</f>
        <v>Xerox 1948</v>
      </c>
      <c r="J735" s="36"/>
      <c r="K735" s="36"/>
      <c r="L735" s="36"/>
      <c r="M735" s="36"/>
      <c r="N735" s="36"/>
    </row>
    <row r="736" spans="1:14">
      <c r="A736" s="8" t="s">
        <v>803</v>
      </c>
      <c r="B736" s="19">
        <v>41963</v>
      </c>
      <c r="C736" s="8" t="s">
        <v>27</v>
      </c>
      <c r="D736" s="8">
        <v>10011</v>
      </c>
      <c r="E736" s="8" t="s">
        <v>502</v>
      </c>
      <c r="F736" s="8" t="s">
        <v>32</v>
      </c>
      <c r="G736" s="36">
        <f>VLOOKUP(E736,Flipkart!$A$1:$B$296,2,0)</f>
        <v>0</v>
      </c>
      <c r="H736" s="36">
        <f t="shared" ca="1" si="11"/>
        <v>0.05</v>
      </c>
      <c r="I736" s="36" t="str">
        <f>_xlfn.XLOOKUP(E736,'Product List'!$B$2:$B$299,'Product List'!$A$2:$A$299)</f>
        <v>Xerox 1896</v>
      </c>
      <c r="J736" s="36"/>
      <c r="K736" s="36"/>
      <c r="L736" s="36"/>
      <c r="M736" s="36"/>
      <c r="N736" s="36"/>
    </row>
    <row r="737" spans="1:14">
      <c r="A737" s="8" t="s">
        <v>804</v>
      </c>
      <c r="B737" s="19">
        <v>41964</v>
      </c>
      <c r="C737" s="8" t="s">
        <v>36</v>
      </c>
      <c r="D737" s="8">
        <v>10008</v>
      </c>
      <c r="E737" s="8" t="s">
        <v>122</v>
      </c>
      <c r="F737" s="8" t="s">
        <v>40</v>
      </c>
      <c r="G737" s="36">
        <f>VLOOKUP(E737,Flipkart!$A$1:$B$296,2,0)</f>
        <v>0.01</v>
      </c>
      <c r="H737" s="36">
        <f t="shared" ca="1" si="11"/>
        <v>0.01</v>
      </c>
      <c r="I737" s="36" t="str">
        <f>_xlfn.XLOOKUP(E737,'Product List'!$B$2:$B$299,'Product List'!$A$2:$A$299)</f>
        <v>Avery 510</v>
      </c>
      <c r="J737" s="36"/>
      <c r="K737" s="36"/>
      <c r="L737" s="36"/>
      <c r="M737" s="36"/>
      <c r="N737" s="36"/>
    </row>
    <row r="738" spans="1:14">
      <c r="A738" s="8" t="s">
        <v>805</v>
      </c>
      <c r="B738" s="19">
        <v>41965</v>
      </c>
      <c r="C738" s="8" t="s">
        <v>46</v>
      </c>
      <c r="D738" s="8">
        <v>10008</v>
      </c>
      <c r="E738" s="8" t="s">
        <v>367</v>
      </c>
      <c r="F738" s="8" t="s">
        <v>43</v>
      </c>
      <c r="G738" s="36">
        <f>VLOOKUP(E738,Flipkart!$A$1:$B$296,2,0)</f>
        <v>0.04</v>
      </c>
      <c r="H738" s="36">
        <f t="shared" ca="1" si="11"/>
        <v>0.03</v>
      </c>
      <c r="I738" s="36" t="str">
        <f>_xlfn.XLOOKUP(E738,'Product List'!$B$2:$B$299,'Product List'!$A$2:$A$299)</f>
        <v>Xerox 196</v>
      </c>
      <c r="J738" s="36"/>
      <c r="K738" s="36"/>
      <c r="L738" s="36"/>
      <c r="M738" s="36"/>
      <c r="N738" s="36"/>
    </row>
    <row r="739" spans="1:14">
      <c r="A739" s="8" t="s">
        <v>806</v>
      </c>
      <c r="B739" s="19">
        <v>41966</v>
      </c>
      <c r="C739" s="8" t="s">
        <v>66</v>
      </c>
      <c r="D739" s="8">
        <v>10014</v>
      </c>
      <c r="E739" s="8" t="s">
        <v>114</v>
      </c>
      <c r="F739" s="8" t="s">
        <v>32</v>
      </c>
      <c r="G739" s="36">
        <f>VLOOKUP(E739,Flipkart!$A$1:$B$296,2,0)</f>
        <v>0.03</v>
      </c>
      <c r="H739" s="36">
        <f t="shared" ca="1" si="11"/>
        <v>0</v>
      </c>
      <c r="I739" s="36" t="str">
        <f>_xlfn.XLOOKUP(E739,'Product List'!$B$2:$B$299,'Product List'!$A$2:$A$299)</f>
        <v>Xerox 1910</v>
      </c>
      <c r="J739" s="36"/>
      <c r="K739" s="36"/>
      <c r="L739" s="36"/>
      <c r="M739" s="36"/>
      <c r="N739" s="36"/>
    </row>
    <row r="740" spans="1:14">
      <c r="A740" s="8" t="s">
        <v>807</v>
      </c>
      <c r="B740" s="19">
        <v>41967</v>
      </c>
      <c r="C740" s="8" t="s">
        <v>54</v>
      </c>
      <c r="D740" s="8">
        <v>10009</v>
      </c>
      <c r="E740" s="8" t="s">
        <v>232</v>
      </c>
      <c r="F740" s="8" t="s">
        <v>32</v>
      </c>
      <c r="G740" s="36">
        <f>VLOOKUP(E740,Flipkart!$A$1:$B$296,2,0)</f>
        <v>0.05</v>
      </c>
      <c r="H740" s="36">
        <f t="shared" ca="1" si="11"/>
        <v>0</v>
      </c>
      <c r="I740" s="36" t="str">
        <f>_xlfn.XLOOKUP(E740,'Product List'!$B$2:$B$299,'Product List'!$A$2:$A$299)</f>
        <v>Xerox 1914</v>
      </c>
      <c r="J740" s="36"/>
      <c r="K740" s="36"/>
      <c r="L740" s="36"/>
      <c r="M740" s="36"/>
      <c r="N740" s="36"/>
    </row>
    <row r="741" spans="1:14">
      <c r="A741" s="8" t="s">
        <v>808</v>
      </c>
      <c r="B741" s="19">
        <v>41971</v>
      </c>
      <c r="C741" s="8" t="s">
        <v>33</v>
      </c>
      <c r="D741" s="8">
        <v>10004</v>
      </c>
      <c r="E741" s="8" t="s">
        <v>502</v>
      </c>
      <c r="F741" s="8" t="s">
        <v>43</v>
      </c>
      <c r="G741" s="36">
        <f>VLOOKUP(E741,Flipkart!$A$1:$B$296,2,0)</f>
        <v>0</v>
      </c>
      <c r="H741" s="36">
        <f t="shared" ca="1" si="11"/>
        <v>0.05</v>
      </c>
      <c r="I741" s="36" t="str">
        <f>_xlfn.XLOOKUP(E741,'Product List'!$B$2:$B$299,'Product List'!$A$2:$A$299)</f>
        <v>Xerox 1896</v>
      </c>
      <c r="J741" s="36"/>
      <c r="K741" s="36"/>
      <c r="L741" s="36"/>
      <c r="M741" s="36"/>
      <c r="N741" s="36"/>
    </row>
    <row r="742" spans="1:14">
      <c r="A742" s="8" t="s">
        <v>809</v>
      </c>
      <c r="B742" s="19">
        <v>41972</v>
      </c>
      <c r="C742" s="8" t="s">
        <v>27</v>
      </c>
      <c r="D742" s="8">
        <v>10003</v>
      </c>
      <c r="E742" s="8" t="s">
        <v>269</v>
      </c>
      <c r="F742" s="8" t="s">
        <v>29</v>
      </c>
      <c r="G742" s="36">
        <f>VLOOKUP(E742,Flipkart!$A$1:$B$296,2,0)</f>
        <v>0.03</v>
      </c>
      <c r="H742" s="36">
        <f t="shared" ca="1" si="11"/>
        <v>0.04</v>
      </c>
      <c r="I742" s="36" t="str">
        <f>_xlfn.XLOOKUP(E742,'Product List'!$B$2:$B$299,'Product List'!$A$2:$A$299)</f>
        <v>Xerox 1975</v>
      </c>
      <c r="J742" s="36"/>
      <c r="K742" s="36"/>
      <c r="L742" s="36"/>
      <c r="M742" s="36"/>
      <c r="N742" s="36"/>
    </row>
    <row r="743" spans="1:14">
      <c r="A743" s="8" t="s">
        <v>809</v>
      </c>
      <c r="B743" s="19">
        <v>41972</v>
      </c>
      <c r="C743" s="8" t="s">
        <v>27</v>
      </c>
      <c r="D743" s="8">
        <v>10013</v>
      </c>
      <c r="E743" s="8" t="s">
        <v>810</v>
      </c>
      <c r="F743" s="8" t="s">
        <v>35</v>
      </c>
      <c r="G743" s="36">
        <f>VLOOKUP(E743,Flipkart!$A$1:$B$296,2,0)</f>
        <v>0.04</v>
      </c>
      <c r="H743" s="36">
        <f t="shared" ca="1" si="11"/>
        <v>0.04</v>
      </c>
      <c r="I743" s="36" t="str">
        <f>_xlfn.XLOOKUP(E743,'Product List'!$B$2:$B$299,'Product List'!$A$2:$A$299)</f>
        <v>Newell 345</v>
      </c>
      <c r="J743" s="36"/>
      <c r="K743" s="36"/>
      <c r="L743" s="36"/>
      <c r="M743" s="36"/>
      <c r="N743" s="36"/>
    </row>
    <row r="744" spans="1:14">
      <c r="A744" s="8" t="s">
        <v>811</v>
      </c>
      <c r="B744" s="19">
        <v>41974</v>
      </c>
      <c r="C744" s="8" t="s">
        <v>27</v>
      </c>
      <c r="D744" s="8">
        <v>10010</v>
      </c>
      <c r="E744" s="8" t="s">
        <v>743</v>
      </c>
      <c r="F744" s="8" t="s">
        <v>29</v>
      </c>
      <c r="G744" s="36">
        <f>VLOOKUP(E744,Flipkart!$A$1:$B$296,2,0)</f>
        <v>0.04</v>
      </c>
      <c r="H744" s="36">
        <f t="shared" ca="1" si="11"/>
        <v>0.02</v>
      </c>
      <c r="I744" s="36" t="str">
        <f>_xlfn.XLOOKUP(E744,'Product List'!$B$2:$B$299,'Product List'!$A$2:$A$299)</f>
        <v>Xerox 207</v>
      </c>
      <c r="J744" s="36"/>
      <c r="K744" s="36"/>
      <c r="L744" s="36"/>
      <c r="M744" s="36"/>
      <c r="N744" s="36"/>
    </row>
    <row r="745" spans="1:14">
      <c r="A745" s="8" t="s">
        <v>812</v>
      </c>
      <c r="B745" s="19">
        <v>41974</v>
      </c>
      <c r="C745" s="8" t="s">
        <v>27</v>
      </c>
      <c r="D745" s="8">
        <v>10001</v>
      </c>
      <c r="E745" s="8" t="s">
        <v>545</v>
      </c>
      <c r="F745" s="8" t="s">
        <v>43</v>
      </c>
      <c r="G745" s="36">
        <f>VLOOKUP(E745,Flipkart!$A$1:$B$296,2,0)</f>
        <v>0.05</v>
      </c>
      <c r="H745" s="36">
        <f t="shared" ca="1" si="11"/>
        <v>0.04</v>
      </c>
      <c r="I745" s="36" t="str">
        <f>_xlfn.XLOOKUP(E745,'Product List'!$B$2:$B$299,'Product List'!$A$2:$A$299)</f>
        <v>Xerox 227</v>
      </c>
      <c r="J745" s="36"/>
      <c r="K745" s="36"/>
      <c r="L745" s="36"/>
      <c r="M745" s="36"/>
      <c r="N745" s="36"/>
    </row>
    <row r="746" spans="1:14">
      <c r="A746" s="8" t="s">
        <v>813</v>
      </c>
      <c r="B746" s="19">
        <v>41975</v>
      </c>
      <c r="C746" s="8" t="s">
        <v>33</v>
      </c>
      <c r="D746" s="8">
        <v>10002</v>
      </c>
      <c r="E746" s="8" t="s">
        <v>597</v>
      </c>
      <c r="F746" s="8" t="s">
        <v>43</v>
      </c>
      <c r="G746" s="36">
        <f>VLOOKUP(E746,Flipkart!$A$1:$B$296,2,0)</f>
        <v>0.04</v>
      </c>
      <c r="H746" s="36">
        <f t="shared" ca="1" si="11"/>
        <v>0.01</v>
      </c>
      <c r="I746" s="36" t="str">
        <f>_xlfn.XLOOKUP(E746,'Product List'!$B$2:$B$299,'Product List'!$A$2:$A$299)</f>
        <v>Xerox 1959</v>
      </c>
      <c r="J746" s="36"/>
      <c r="K746" s="36"/>
      <c r="L746" s="36"/>
      <c r="M746" s="36"/>
      <c r="N746" s="36"/>
    </row>
    <row r="747" spans="1:14">
      <c r="A747" s="8" t="s">
        <v>814</v>
      </c>
      <c r="B747" s="19">
        <v>41977</v>
      </c>
      <c r="C747" s="8" t="s">
        <v>44</v>
      </c>
      <c r="D747" s="8">
        <v>10006</v>
      </c>
      <c r="E747" s="8" t="s">
        <v>622</v>
      </c>
      <c r="F747" s="8" t="s">
        <v>40</v>
      </c>
      <c r="G747" s="36">
        <f>VLOOKUP(E747,Flipkart!$A$1:$B$296,2,0)</f>
        <v>0.01</v>
      </c>
      <c r="H747" s="36">
        <f t="shared" ca="1" si="11"/>
        <v>0.01</v>
      </c>
      <c r="I747" s="36" t="str">
        <f>_xlfn.XLOOKUP(E747,'Product List'!$B$2:$B$299,'Product List'!$A$2:$A$299)</f>
        <v>Xerox 1995</v>
      </c>
      <c r="J747" s="36"/>
      <c r="K747" s="36"/>
      <c r="L747" s="36"/>
      <c r="M747" s="36"/>
      <c r="N747" s="36"/>
    </row>
    <row r="748" spans="1:14">
      <c r="A748" s="8" t="s">
        <v>814</v>
      </c>
      <c r="B748" s="19">
        <v>41977</v>
      </c>
      <c r="C748" s="8" t="s">
        <v>33</v>
      </c>
      <c r="D748" s="8">
        <v>10012</v>
      </c>
      <c r="E748" s="8" t="s">
        <v>73</v>
      </c>
      <c r="F748" s="8" t="s">
        <v>32</v>
      </c>
      <c r="G748" s="36">
        <f>VLOOKUP(E748,Flipkart!$A$1:$B$296,2,0)</f>
        <v>0.04</v>
      </c>
      <c r="H748" s="36">
        <f t="shared" ca="1" si="11"/>
        <v>0.01</v>
      </c>
      <c r="I748" s="36" t="str">
        <f>_xlfn.XLOOKUP(E748,'Product List'!$B$2:$B$299,'Product List'!$A$2:$A$299)</f>
        <v>Xerox 1916</v>
      </c>
      <c r="J748" s="36"/>
      <c r="K748" s="36"/>
      <c r="L748" s="36"/>
      <c r="M748" s="36"/>
      <c r="N748" s="36"/>
    </row>
    <row r="749" spans="1:14">
      <c r="A749" s="8" t="s">
        <v>814</v>
      </c>
      <c r="B749" s="19">
        <v>41977</v>
      </c>
      <c r="C749" s="8" t="s">
        <v>66</v>
      </c>
      <c r="D749" s="8">
        <v>10012</v>
      </c>
      <c r="E749" s="8" t="s">
        <v>501</v>
      </c>
      <c r="F749" s="8" t="s">
        <v>35</v>
      </c>
      <c r="G749" s="36">
        <f>VLOOKUP(E749,Flipkart!$A$1:$B$296,2,0)</f>
        <v>0</v>
      </c>
      <c r="H749" s="36">
        <f t="shared" ca="1" si="11"/>
        <v>0</v>
      </c>
      <c r="I749" s="36" t="str">
        <f>_xlfn.XLOOKUP(E749,'Product List'!$B$2:$B$299,'Product List'!$A$2:$A$299)</f>
        <v>Avery 500</v>
      </c>
      <c r="J749" s="36"/>
      <c r="K749" s="36"/>
      <c r="L749" s="36"/>
      <c r="M749" s="36"/>
      <c r="N749" s="36"/>
    </row>
    <row r="750" spans="1:14">
      <c r="A750" s="8" t="s">
        <v>815</v>
      </c>
      <c r="B750" s="19">
        <v>41978</v>
      </c>
      <c r="C750" s="8" t="s">
        <v>33</v>
      </c>
      <c r="D750" s="8">
        <v>10004</v>
      </c>
      <c r="E750" s="8" t="s">
        <v>472</v>
      </c>
      <c r="F750" s="8" t="s">
        <v>43</v>
      </c>
      <c r="G750" s="36">
        <f>VLOOKUP(E750,Flipkart!$A$1:$B$296,2,0)</f>
        <v>0.04</v>
      </c>
      <c r="H750" s="36">
        <f t="shared" ca="1" si="11"/>
        <v>0.04</v>
      </c>
      <c r="I750" s="36" t="str">
        <f>_xlfn.XLOOKUP(E750,'Product List'!$B$2:$B$299,'Product List'!$A$2:$A$299)</f>
        <v>Avery 488</v>
      </c>
      <c r="J750" s="36"/>
      <c r="K750" s="36"/>
      <c r="L750" s="36"/>
      <c r="M750" s="36"/>
      <c r="N750" s="36"/>
    </row>
    <row r="751" spans="1:14">
      <c r="A751" s="8" t="s">
        <v>816</v>
      </c>
      <c r="B751" s="19">
        <v>41979</v>
      </c>
      <c r="C751" s="8" t="s">
        <v>33</v>
      </c>
      <c r="D751" s="8">
        <v>10007</v>
      </c>
      <c r="E751" s="8" t="s">
        <v>107</v>
      </c>
      <c r="F751" s="8" t="s">
        <v>29</v>
      </c>
      <c r="G751" s="36">
        <f>VLOOKUP(E751,Flipkart!$A$1:$B$296,2,0)</f>
        <v>0</v>
      </c>
      <c r="H751" s="36">
        <f t="shared" ca="1" si="11"/>
        <v>0.04</v>
      </c>
      <c r="I751" s="36" t="str">
        <f>_xlfn.XLOOKUP(E751,'Product List'!$B$2:$B$299,'Product List'!$A$2:$A$299)</f>
        <v>Avery 493</v>
      </c>
      <c r="J751" s="36"/>
      <c r="K751" s="36"/>
      <c r="L751" s="36"/>
      <c r="M751" s="36"/>
      <c r="N751" s="36"/>
    </row>
    <row r="752" spans="1:14">
      <c r="A752" s="8" t="s">
        <v>817</v>
      </c>
      <c r="B752" s="19">
        <v>41979</v>
      </c>
      <c r="C752" s="8" t="s">
        <v>51</v>
      </c>
      <c r="D752" s="8">
        <v>10010</v>
      </c>
      <c r="E752" s="8" t="s">
        <v>195</v>
      </c>
      <c r="F752" s="8" t="s">
        <v>29</v>
      </c>
      <c r="G752" s="36">
        <f>VLOOKUP(E752,Flipkart!$A$1:$B$296,2,0)</f>
        <v>0.02</v>
      </c>
      <c r="H752" s="36">
        <f t="shared" ca="1" si="11"/>
        <v>0.04</v>
      </c>
      <c r="I752" s="36" t="str">
        <f>_xlfn.XLOOKUP(E752,'Product List'!$B$2:$B$299,'Product List'!$A$2:$A$299)</f>
        <v>Newell 335</v>
      </c>
      <c r="J752" s="36"/>
      <c r="K752" s="36"/>
      <c r="L752" s="36"/>
      <c r="M752" s="36"/>
      <c r="N752" s="36"/>
    </row>
    <row r="753" spans="1:14">
      <c r="A753" s="8" t="s">
        <v>817</v>
      </c>
      <c r="B753" s="19">
        <v>41981</v>
      </c>
      <c r="C753" s="8" t="s">
        <v>46</v>
      </c>
      <c r="D753" s="8">
        <v>10003</v>
      </c>
      <c r="E753" s="8" t="s">
        <v>67</v>
      </c>
      <c r="F753" s="8" t="s">
        <v>29</v>
      </c>
      <c r="G753" s="36">
        <f>VLOOKUP(E753,Flipkart!$A$1:$B$296,2,0)</f>
        <v>0</v>
      </c>
      <c r="H753" s="36">
        <f t="shared" ca="1" si="11"/>
        <v>0.05</v>
      </c>
      <c r="I753" s="36" t="str">
        <f>_xlfn.XLOOKUP(E753,'Product List'!$B$2:$B$299,'Product List'!$A$2:$A$299)</f>
        <v>Xerox 1927</v>
      </c>
      <c r="J753" s="36"/>
      <c r="K753" s="36"/>
      <c r="L753" s="36"/>
      <c r="M753" s="36"/>
      <c r="N753" s="36"/>
    </row>
    <row r="754" spans="1:14">
      <c r="A754" s="8" t="s">
        <v>818</v>
      </c>
      <c r="B754" s="19">
        <v>41982</v>
      </c>
      <c r="C754" s="8" t="s">
        <v>46</v>
      </c>
      <c r="D754" s="8">
        <v>10008</v>
      </c>
      <c r="E754" s="8" t="s">
        <v>97</v>
      </c>
      <c r="F754" s="8" t="s">
        <v>43</v>
      </c>
      <c r="G754" s="36">
        <f>VLOOKUP(E754,Flipkart!$A$1:$B$296,2,0)</f>
        <v>0.04</v>
      </c>
      <c r="H754" s="36">
        <f t="shared" ca="1" si="11"/>
        <v>0.01</v>
      </c>
      <c r="I754" s="36" t="str">
        <f>_xlfn.XLOOKUP(E754,'Product List'!$B$2:$B$299,'Product List'!$A$2:$A$299)</f>
        <v>Xerox 204</v>
      </c>
      <c r="J754" s="36"/>
      <c r="K754" s="36"/>
      <c r="L754" s="36"/>
      <c r="M754" s="36"/>
      <c r="N754" s="36"/>
    </row>
    <row r="755" spans="1:14">
      <c r="A755" s="8" t="s">
        <v>818</v>
      </c>
      <c r="B755" s="19">
        <v>41982</v>
      </c>
      <c r="C755" s="8" t="s">
        <v>46</v>
      </c>
      <c r="D755" s="8">
        <v>10005</v>
      </c>
      <c r="E755" s="8" t="s">
        <v>403</v>
      </c>
      <c r="F755" s="8" t="s">
        <v>32</v>
      </c>
      <c r="G755" s="36">
        <f>VLOOKUP(E755,Flipkart!$A$1:$B$296,2,0)</f>
        <v>0.04</v>
      </c>
      <c r="H755" s="36">
        <f t="shared" ca="1" si="11"/>
        <v>0.05</v>
      </c>
      <c r="I755" s="36" t="str">
        <f>_xlfn.XLOOKUP(E755,'Product List'!$B$2:$B$299,'Product List'!$A$2:$A$299)</f>
        <v>Xerox 188</v>
      </c>
      <c r="J755" s="36"/>
      <c r="K755" s="36"/>
      <c r="L755" s="36"/>
      <c r="M755" s="36"/>
      <c r="N755" s="36"/>
    </row>
    <row r="756" spans="1:14">
      <c r="A756" s="8" t="s">
        <v>818</v>
      </c>
      <c r="B756" s="19">
        <v>41982</v>
      </c>
      <c r="C756" s="8" t="s">
        <v>51</v>
      </c>
      <c r="D756" s="8">
        <v>10013</v>
      </c>
      <c r="E756" s="8" t="s">
        <v>445</v>
      </c>
      <c r="F756" s="8" t="s">
        <v>50</v>
      </c>
      <c r="G756" s="36">
        <f>VLOOKUP(E756,Flipkart!$A$1:$B$296,2,0)</f>
        <v>0.01</v>
      </c>
      <c r="H756" s="36">
        <f t="shared" ca="1" si="11"/>
        <v>0.01</v>
      </c>
      <c r="I756" s="36" t="str">
        <f>_xlfn.XLOOKUP(E756,'Product List'!$B$2:$B$299,'Product List'!$A$2:$A$299)</f>
        <v>Xerox 1882</v>
      </c>
      <c r="J756" s="36"/>
      <c r="K756" s="36"/>
      <c r="L756" s="36"/>
      <c r="M756" s="36"/>
      <c r="N756" s="36"/>
    </row>
    <row r="757" spans="1:14">
      <c r="A757" s="8" t="s">
        <v>819</v>
      </c>
      <c r="B757" s="19">
        <v>41983</v>
      </c>
      <c r="C757" s="8" t="s">
        <v>66</v>
      </c>
      <c r="D757" s="8">
        <v>10007</v>
      </c>
      <c r="E757" s="8" t="s">
        <v>337</v>
      </c>
      <c r="F757" s="8" t="s">
        <v>40</v>
      </c>
      <c r="G757" s="36">
        <f>VLOOKUP(E757,Flipkart!$A$1:$B$296,2,0)</f>
        <v>0.04</v>
      </c>
      <c r="H757" s="36">
        <f t="shared" ca="1" si="11"/>
        <v>0.01</v>
      </c>
      <c r="I757" s="36" t="str">
        <f>_xlfn.XLOOKUP(E757,'Product List'!$B$2:$B$299,'Product List'!$A$2:$A$299)</f>
        <v>Avery 487</v>
      </c>
      <c r="J757" s="36"/>
      <c r="K757" s="36"/>
      <c r="L757" s="36"/>
      <c r="M757" s="36"/>
      <c r="N757" s="36"/>
    </row>
    <row r="758" spans="1:14">
      <c r="A758" s="8" t="s">
        <v>820</v>
      </c>
      <c r="B758" s="19">
        <v>41984</v>
      </c>
      <c r="C758" s="8" t="s">
        <v>36</v>
      </c>
      <c r="D758" s="8">
        <v>10006</v>
      </c>
      <c r="E758" s="8" t="s">
        <v>180</v>
      </c>
      <c r="F758" s="8" t="s">
        <v>40</v>
      </c>
      <c r="G758" s="36">
        <f>VLOOKUP(E758,Flipkart!$A$1:$B$296,2,0)</f>
        <v>0.04</v>
      </c>
      <c r="H758" s="36">
        <f t="shared" ca="1" si="11"/>
        <v>0.01</v>
      </c>
      <c r="I758" s="36" t="str">
        <f>_xlfn.XLOOKUP(E758,'Product List'!$B$2:$B$299,'Product List'!$A$2:$A$299)</f>
        <v>Avery 497</v>
      </c>
      <c r="J758" s="36"/>
      <c r="K758" s="36"/>
      <c r="L758" s="36"/>
      <c r="M758" s="36"/>
      <c r="N758" s="36"/>
    </row>
    <row r="759" spans="1:14">
      <c r="A759" s="8" t="s">
        <v>821</v>
      </c>
      <c r="B759" s="19">
        <v>41987</v>
      </c>
      <c r="C759" s="8" t="s">
        <v>27</v>
      </c>
      <c r="D759" s="8">
        <v>10013</v>
      </c>
      <c r="E759" s="8" t="s">
        <v>153</v>
      </c>
      <c r="F759" s="8" t="s">
        <v>29</v>
      </c>
      <c r="G759" s="36">
        <f>VLOOKUP(E759,Flipkart!$A$1:$B$296,2,0)</f>
        <v>0</v>
      </c>
      <c r="H759" s="36">
        <f t="shared" ca="1" si="11"/>
        <v>0.02</v>
      </c>
      <c r="I759" s="36" t="str">
        <f>_xlfn.XLOOKUP(E759,'Product List'!$B$2:$B$299,'Product List'!$A$2:$A$299)</f>
        <v>LG G2</v>
      </c>
      <c r="J759" s="36"/>
      <c r="K759" s="36"/>
      <c r="L759" s="36"/>
      <c r="M759" s="36"/>
      <c r="N759" s="36"/>
    </row>
    <row r="760" spans="1:14">
      <c r="A760" s="8" t="s">
        <v>822</v>
      </c>
      <c r="B760" s="19">
        <v>41987</v>
      </c>
      <c r="C760" s="8" t="s">
        <v>46</v>
      </c>
      <c r="D760" s="8">
        <v>10004</v>
      </c>
      <c r="E760" s="8" t="s">
        <v>31</v>
      </c>
      <c r="F760" s="8" t="s">
        <v>50</v>
      </c>
      <c r="G760" s="36">
        <f>VLOOKUP(E760,Flipkart!$A$1:$B$296,2,0)</f>
        <v>0.01</v>
      </c>
      <c r="H760" s="36">
        <f t="shared" ca="1" si="11"/>
        <v>0.05</v>
      </c>
      <c r="I760" s="36" t="str">
        <f>_xlfn.XLOOKUP(E760,'Product List'!$B$2:$B$299,'Product List'!$A$2:$A$299)</f>
        <v>Avery 494</v>
      </c>
      <c r="J760" s="36"/>
      <c r="K760" s="36"/>
      <c r="L760" s="36"/>
      <c r="M760" s="36"/>
      <c r="N760" s="36"/>
    </row>
    <row r="761" spans="1:14">
      <c r="A761" s="8" t="s">
        <v>823</v>
      </c>
      <c r="B761" s="19">
        <v>41990</v>
      </c>
      <c r="C761" s="8" t="s">
        <v>54</v>
      </c>
      <c r="D761" s="8">
        <v>10002</v>
      </c>
      <c r="E761" s="8" t="s">
        <v>154</v>
      </c>
      <c r="F761" s="8" t="s">
        <v>29</v>
      </c>
      <c r="G761" s="36">
        <f>VLOOKUP(E761,Flipkart!$A$1:$B$296,2,0)</f>
        <v>0.03</v>
      </c>
      <c r="H761" s="36">
        <f t="shared" ca="1" si="11"/>
        <v>0.02</v>
      </c>
      <c r="I761" s="36" t="str">
        <f>_xlfn.XLOOKUP(E761,'Product List'!$B$2:$B$299,'Product List'!$A$2:$A$299)</f>
        <v>Xerox 228</v>
      </c>
      <c r="J761" s="36"/>
      <c r="K761" s="36"/>
      <c r="L761" s="36"/>
      <c r="M761" s="36"/>
      <c r="N761" s="36"/>
    </row>
    <row r="762" spans="1:14">
      <c r="A762" s="8" t="s">
        <v>824</v>
      </c>
      <c r="B762" s="19">
        <v>41991</v>
      </c>
      <c r="C762" s="8" t="s">
        <v>33</v>
      </c>
      <c r="D762" s="8">
        <v>10013</v>
      </c>
      <c r="E762" s="8" t="s">
        <v>160</v>
      </c>
      <c r="F762" s="8" t="s">
        <v>40</v>
      </c>
      <c r="G762" s="36">
        <f>VLOOKUP(E762,Flipkart!$A$1:$B$296,2,0)</f>
        <v>0.05</v>
      </c>
      <c r="H762" s="36">
        <f t="shared" ca="1" si="11"/>
        <v>0.01</v>
      </c>
      <c r="I762" s="36" t="str">
        <f>_xlfn.XLOOKUP(E762,'Product List'!$B$2:$B$299,'Product List'!$A$2:$A$299)</f>
        <v>Newell 34</v>
      </c>
      <c r="J762" s="36"/>
      <c r="K762" s="36"/>
      <c r="L762" s="36"/>
      <c r="M762" s="36"/>
      <c r="N762" s="36"/>
    </row>
    <row r="763" spans="1:14">
      <c r="A763" s="8" t="s">
        <v>825</v>
      </c>
      <c r="B763" s="19">
        <v>41991</v>
      </c>
      <c r="C763" s="8" t="s">
        <v>54</v>
      </c>
      <c r="D763" s="8">
        <v>10011</v>
      </c>
      <c r="E763" s="8" t="s">
        <v>52</v>
      </c>
      <c r="F763" s="8" t="s">
        <v>43</v>
      </c>
      <c r="G763" s="36">
        <f>VLOOKUP(E763,Flipkart!$A$1:$B$296,2,0)</f>
        <v>0.01</v>
      </c>
      <c r="H763" s="36">
        <f t="shared" ca="1" si="11"/>
        <v>0.04</v>
      </c>
      <c r="I763" s="36" t="str">
        <f>_xlfn.XLOOKUP(E763,'Product List'!$B$2:$B$299,'Product List'!$A$2:$A$299)</f>
        <v>Avery 520</v>
      </c>
      <c r="J763" s="36"/>
      <c r="K763" s="36"/>
      <c r="L763" s="36"/>
      <c r="M763" s="36"/>
      <c r="N763" s="36"/>
    </row>
    <row r="764" spans="1:14">
      <c r="A764" s="8" t="s">
        <v>824</v>
      </c>
      <c r="B764" s="19">
        <v>41991</v>
      </c>
      <c r="C764" s="8" t="s">
        <v>44</v>
      </c>
      <c r="D764" s="8">
        <v>10004</v>
      </c>
      <c r="E764" s="8" t="s">
        <v>348</v>
      </c>
      <c r="F764" s="8" t="s">
        <v>50</v>
      </c>
      <c r="G764" s="36">
        <f>VLOOKUP(E764,Flipkart!$A$1:$B$296,2,0)</f>
        <v>0.02</v>
      </c>
      <c r="H764" s="36">
        <f t="shared" ca="1" si="11"/>
        <v>0.01</v>
      </c>
      <c r="I764" s="36" t="str">
        <f>_xlfn.XLOOKUP(E764,'Product List'!$B$2:$B$299,'Product List'!$A$2:$A$299)</f>
        <v>Avery 512</v>
      </c>
      <c r="J764" s="36"/>
      <c r="K764" s="36"/>
      <c r="L764" s="36"/>
      <c r="M764" s="36"/>
      <c r="N764" s="36"/>
    </row>
    <row r="765" spans="1:14">
      <c r="A765" s="8" t="s">
        <v>826</v>
      </c>
      <c r="B765" s="19">
        <v>41991</v>
      </c>
      <c r="C765" s="8" t="s">
        <v>33</v>
      </c>
      <c r="D765" s="8">
        <v>10008</v>
      </c>
      <c r="E765" s="8" t="s">
        <v>158</v>
      </c>
      <c r="F765" s="8" t="s">
        <v>43</v>
      </c>
      <c r="G765" s="36">
        <f>VLOOKUP(E765,Flipkart!$A$1:$B$296,2,0)</f>
        <v>0.05</v>
      </c>
      <c r="H765" s="36">
        <f t="shared" ca="1" si="11"/>
        <v>0.03</v>
      </c>
      <c r="I765" s="36" t="str">
        <f>_xlfn.XLOOKUP(E765,'Product List'!$B$2:$B$299,'Product List'!$A$2:$A$299)</f>
        <v>Vtech CS6719</v>
      </c>
      <c r="J765" s="36"/>
      <c r="K765" s="36"/>
      <c r="L765" s="36"/>
      <c r="M765" s="36"/>
      <c r="N765" s="36"/>
    </row>
    <row r="766" spans="1:14">
      <c r="A766" s="8" t="s">
        <v>827</v>
      </c>
      <c r="B766" s="19">
        <v>41992</v>
      </c>
      <c r="C766" s="8" t="s">
        <v>27</v>
      </c>
      <c r="D766" s="8">
        <v>10008</v>
      </c>
      <c r="E766" s="8" t="s">
        <v>464</v>
      </c>
      <c r="F766" s="8" t="s">
        <v>35</v>
      </c>
      <c r="G766" s="36">
        <f>VLOOKUP(E766,Flipkart!$A$1:$B$296,2,0)</f>
        <v>0.03</v>
      </c>
      <c r="H766" s="36">
        <f t="shared" ca="1" si="11"/>
        <v>0.03</v>
      </c>
      <c r="I766" s="36" t="str">
        <f>_xlfn.XLOOKUP(E766,'Product List'!$B$2:$B$299,'Product List'!$A$2:$A$299)</f>
        <v>Xerox 22</v>
      </c>
      <c r="J766" s="36"/>
      <c r="K766" s="36"/>
      <c r="L766" s="36"/>
      <c r="M766" s="36"/>
      <c r="N766" s="36"/>
    </row>
    <row r="767" spans="1:14">
      <c r="A767" s="8" t="s">
        <v>828</v>
      </c>
      <c r="B767" s="19">
        <v>41993</v>
      </c>
      <c r="C767" s="8" t="s">
        <v>51</v>
      </c>
      <c r="D767" s="8">
        <v>10003</v>
      </c>
      <c r="E767" s="8" t="s">
        <v>114</v>
      </c>
      <c r="F767" s="8" t="s">
        <v>50</v>
      </c>
      <c r="G767" s="36">
        <f>VLOOKUP(E767,Flipkart!$A$1:$B$296,2,0)</f>
        <v>0.03</v>
      </c>
      <c r="H767" s="36">
        <f t="shared" ca="1" si="11"/>
        <v>0.04</v>
      </c>
      <c r="I767" s="36" t="str">
        <f>_xlfn.XLOOKUP(E767,'Product List'!$B$2:$B$299,'Product List'!$A$2:$A$299)</f>
        <v>Xerox 1910</v>
      </c>
      <c r="J767" s="36"/>
      <c r="K767" s="36"/>
      <c r="L767" s="36"/>
      <c r="M767" s="36"/>
      <c r="N767" s="36"/>
    </row>
    <row r="768" spans="1:14">
      <c r="A768" s="8" t="s">
        <v>829</v>
      </c>
      <c r="B768" s="19">
        <v>41994</v>
      </c>
      <c r="C768" s="8" t="s">
        <v>33</v>
      </c>
      <c r="D768" s="8">
        <v>10013</v>
      </c>
      <c r="E768" s="8" t="s">
        <v>830</v>
      </c>
      <c r="F768" s="8" t="s">
        <v>32</v>
      </c>
      <c r="G768" s="36">
        <f>VLOOKUP(E768,Flipkart!$A$1:$B$296,2,0)</f>
        <v>0</v>
      </c>
      <c r="H768" s="36">
        <f t="shared" ca="1" si="11"/>
        <v>0</v>
      </c>
      <c r="I768" s="36" t="str">
        <f>_xlfn.XLOOKUP(E768,'Product List'!$B$2:$B$299,'Product List'!$A$2:$A$299)</f>
        <v>Xerox 1925</v>
      </c>
      <c r="J768" s="36"/>
      <c r="K768" s="36"/>
      <c r="L768" s="36"/>
      <c r="M768" s="36"/>
      <c r="N768" s="36"/>
    </row>
    <row r="769" spans="1:14">
      <c r="A769" s="8" t="s">
        <v>829</v>
      </c>
      <c r="B769" s="19">
        <v>41994</v>
      </c>
      <c r="C769" s="8" t="s">
        <v>51</v>
      </c>
      <c r="D769" s="8">
        <v>10009</v>
      </c>
      <c r="E769" s="8" t="s">
        <v>449</v>
      </c>
      <c r="F769" s="8" t="s">
        <v>43</v>
      </c>
      <c r="G769" s="36">
        <f>VLOOKUP(E769,Flipkart!$A$1:$B$296,2,0)</f>
        <v>0.05</v>
      </c>
      <c r="H769" s="36">
        <f t="shared" ca="1" si="11"/>
        <v>0.02</v>
      </c>
      <c r="I769" s="36" t="str">
        <f>_xlfn.XLOOKUP(E769,'Product List'!$B$2:$B$299,'Product List'!$A$2:$A$299)</f>
        <v>AT&amp;T CL82213</v>
      </c>
      <c r="J769" s="36"/>
      <c r="K769" s="36"/>
      <c r="L769" s="36"/>
      <c r="M769" s="36"/>
      <c r="N769" s="36"/>
    </row>
    <row r="770" spans="1:14">
      <c r="A770" s="8" t="s">
        <v>831</v>
      </c>
      <c r="B770" s="19">
        <v>41995</v>
      </c>
      <c r="C770" s="8" t="s">
        <v>27</v>
      </c>
      <c r="D770" s="8">
        <v>10002</v>
      </c>
      <c r="E770" s="8" t="s">
        <v>583</v>
      </c>
      <c r="F770" s="8" t="s">
        <v>32</v>
      </c>
      <c r="G770" s="36">
        <f>VLOOKUP(E770,Flipkart!$A$1:$B$296,2,0)</f>
        <v>0.02</v>
      </c>
      <c r="H770" s="36">
        <f t="shared" ca="1" si="11"/>
        <v>0.01</v>
      </c>
      <c r="I770" s="36" t="str">
        <f>_xlfn.XLOOKUP(E770,'Product List'!$B$2:$B$299,'Product List'!$A$2:$A$299)</f>
        <v>Cisco SPA508G</v>
      </c>
      <c r="J770" s="36"/>
      <c r="K770" s="36"/>
      <c r="L770" s="36"/>
      <c r="M770" s="36"/>
      <c r="N770" s="36"/>
    </row>
    <row r="771" spans="1:14">
      <c r="A771" s="8" t="s">
        <v>832</v>
      </c>
      <c r="B771" s="19">
        <v>41996</v>
      </c>
      <c r="C771" s="8" t="s">
        <v>46</v>
      </c>
      <c r="D771" s="8">
        <v>10013</v>
      </c>
      <c r="E771" s="8" t="s">
        <v>176</v>
      </c>
      <c r="F771" s="8" t="s">
        <v>32</v>
      </c>
      <c r="G771" s="36">
        <f>VLOOKUP(E771,Flipkart!$A$1:$B$296,2,0)</f>
        <v>0</v>
      </c>
      <c r="H771" s="36">
        <f t="shared" ca="1" si="11"/>
        <v>0.02</v>
      </c>
      <c r="I771" s="36" t="str">
        <f>_xlfn.XLOOKUP(E771,'Product List'!$B$2:$B$299,'Product List'!$A$2:$A$299)</f>
        <v>Xerox 1989</v>
      </c>
      <c r="J771" s="36"/>
      <c r="K771" s="36"/>
      <c r="L771" s="36"/>
      <c r="M771" s="36"/>
      <c r="N771" s="36"/>
    </row>
    <row r="772" spans="1:14">
      <c r="A772" s="8" t="s">
        <v>832</v>
      </c>
      <c r="B772" s="19">
        <v>41996</v>
      </c>
      <c r="C772" s="8" t="s">
        <v>36</v>
      </c>
      <c r="D772" s="8">
        <v>10005</v>
      </c>
      <c r="E772" s="8" t="s">
        <v>285</v>
      </c>
      <c r="F772" s="8" t="s">
        <v>32</v>
      </c>
      <c r="G772" s="36">
        <f>VLOOKUP(E772,Flipkart!$A$1:$B$296,2,0)</f>
        <v>0.05</v>
      </c>
      <c r="H772" s="36">
        <f t="shared" ref="H772:H835" ca="1" si="12">VLOOKUP(E772,INDIRECT(F772&amp;"!$A$1:$B$296"),2,0)</f>
        <v>0.03</v>
      </c>
      <c r="I772" s="36" t="str">
        <f>_xlfn.XLOOKUP(E772,'Product List'!$B$2:$B$299,'Product List'!$A$2:$A$299)</f>
        <v>Newell 344</v>
      </c>
      <c r="J772" s="36"/>
      <c r="K772" s="36"/>
      <c r="L772" s="36"/>
      <c r="M772" s="36"/>
      <c r="N772" s="36"/>
    </row>
    <row r="773" spans="1:14">
      <c r="A773" s="8" t="s">
        <v>832</v>
      </c>
      <c r="B773" s="19">
        <v>41996</v>
      </c>
      <c r="C773" s="8" t="s">
        <v>54</v>
      </c>
      <c r="D773" s="8">
        <v>10003</v>
      </c>
      <c r="E773" s="8" t="s">
        <v>455</v>
      </c>
      <c r="F773" s="8" t="s">
        <v>35</v>
      </c>
      <c r="G773" s="36">
        <f>VLOOKUP(E773,Flipkart!$A$1:$B$296,2,0)</f>
        <v>0</v>
      </c>
      <c r="H773" s="36">
        <f t="shared" ca="1" si="12"/>
        <v>0</v>
      </c>
      <c r="I773" s="36" t="str">
        <f>_xlfn.XLOOKUP(E773,'Product List'!$B$2:$B$299,'Product List'!$A$2:$A$299)</f>
        <v>Newell 307</v>
      </c>
      <c r="J773" s="36"/>
      <c r="K773" s="36"/>
      <c r="L773" s="36"/>
      <c r="M773" s="36"/>
      <c r="N773" s="36"/>
    </row>
    <row r="774" spans="1:14">
      <c r="A774" s="8" t="s">
        <v>833</v>
      </c>
      <c r="B774" s="19">
        <v>41996</v>
      </c>
      <c r="C774" s="8" t="s">
        <v>44</v>
      </c>
      <c r="D774" s="8">
        <v>10010</v>
      </c>
      <c r="E774" s="8" t="s">
        <v>532</v>
      </c>
      <c r="F774" s="8" t="s">
        <v>35</v>
      </c>
      <c r="G774" s="36">
        <f>VLOOKUP(E774,Flipkart!$A$1:$B$296,2,0)</f>
        <v>0.05</v>
      </c>
      <c r="H774" s="36">
        <f t="shared" ca="1" si="12"/>
        <v>0.05</v>
      </c>
      <c r="I774" s="36" t="str">
        <f>_xlfn.XLOOKUP(E774,'Product List'!$B$2:$B$299,'Product List'!$A$2:$A$299)</f>
        <v>Clarity 53712</v>
      </c>
      <c r="J774" s="36"/>
      <c r="K774" s="36"/>
      <c r="L774" s="36"/>
      <c r="M774" s="36"/>
      <c r="N774" s="36"/>
    </row>
    <row r="775" spans="1:14">
      <c r="A775" s="8" t="s">
        <v>834</v>
      </c>
      <c r="B775" s="19">
        <v>41996</v>
      </c>
      <c r="C775" s="8" t="s">
        <v>36</v>
      </c>
      <c r="D775" s="8">
        <v>10002</v>
      </c>
      <c r="E775" s="8" t="s">
        <v>190</v>
      </c>
      <c r="F775" s="8" t="s">
        <v>35</v>
      </c>
      <c r="G775" s="36">
        <f>VLOOKUP(E775,Flipkart!$A$1:$B$296,2,0)</f>
        <v>0.02</v>
      </c>
      <c r="H775" s="36">
        <f t="shared" ca="1" si="12"/>
        <v>0.02</v>
      </c>
      <c r="I775" s="36" t="str">
        <f>_xlfn.XLOOKUP(E775,'Product List'!$B$2:$B$299,'Product List'!$A$2:$A$299)</f>
        <v>Xerox 1887</v>
      </c>
      <c r="J775" s="36"/>
      <c r="K775" s="36"/>
      <c r="L775" s="36"/>
      <c r="M775" s="36"/>
      <c r="N775" s="36"/>
    </row>
    <row r="776" spans="1:14">
      <c r="A776" s="8" t="s">
        <v>835</v>
      </c>
      <c r="B776" s="19">
        <v>41999</v>
      </c>
      <c r="C776" s="8" t="s">
        <v>33</v>
      </c>
      <c r="D776" s="8">
        <v>10010</v>
      </c>
      <c r="E776" s="8" t="s">
        <v>493</v>
      </c>
      <c r="F776" s="8" t="s">
        <v>50</v>
      </c>
      <c r="G776" s="36">
        <f>VLOOKUP(E776,Flipkart!$A$1:$B$296,2,0)</f>
        <v>0.03</v>
      </c>
      <c r="H776" s="36">
        <f t="shared" ca="1" si="12"/>
        <v>0.03</v>
      </c>
      <c r="I776" s="36" t="str">
        <f>_xlfn.XLOOKUP(E776,'Product List'!$B$2:$B$299,'Product List'!$A$2:$A$299)</f>
        <v>Newell 320</v>
      </c>
      <c r="J776" s="36"/>
      <c r="K776" s="36"/>
      <c r="L776" s="36"/>
      <c r="M776" s="36"/>
      <c r="N776" s="36"/>
    </row>
    <row r="777" spans="1:14">
      <c r="A777" s="8" t="s">
        <v>836</v>
      </c>
      <c r="B777" s="19">
        <v>42001</v>
      </c>
      <c r="C777" s="8" t="s">
        <v>66</v>
      </c>
      <c r="D777" s="8">
        <v>10009</v>
      </c>
      <c r="E777" s="8" t="s">
        <v>472</v>
      </c>
      <c r="F777" s="8" t="s">
        <v>32</v>
      </c>
      <c r="G777" s="36">
        <f>VLOOKUP(E777,Flipkart!$A$1:$B$296,2,0)</f>
        <v>0.04</v>
      </c>
      <c r="H777" s="36">
        <f t="shared" ca="1" si="12"/>
        <v>0.04</v>
      </c>
      <c r="I777" s="36" t="str">
        <f>_xlfn.XLOOKUP(E777,'Product List'!$B$2:$B$299,'Product List'!$A$2:$A$299)</f>
        <v>Avery 488</v>
      </c>
      <c r="J777" s="36"/>
      <c r="K777" s="36"/>
      <c r="L777" s="36"/>
      <c r="M777" s="36"/>
      <c r="N777" s="36"/>
    </row>
    <row r="778" spans="1:14">
      <c r="A778" s="8" t="s">
        <v>837</v>
      </c>
      <c r="B778" s="19">
        <v>42002</v>
      </c>
      <c r="C778" s="8" t="s">
        <v>51</v>
      </c>
      <c r="D778" s="8">
        <v>10015</v>
      </c>
      <c r="E778" s="8" t="s">
        <v>277</v>
      </c>
      <c r="F778" s="8" t="s">
        <v>35</v>
      </c>
      <c r="G778" s="36">
        <f>VLOOKUP(E778,Flipkart!$A$1:$B$296,2,0)</f>
        <v>0.01</v>
      </c>
      <c r="H778" s="36">
        <f t="shared" ca="1" si="12"/>
        <v>0.01</v>
      </c>
      <c r="I778" s="36" t="str">
        <f>_xlfn.XLOOKUP(E778,'Product List'!$B$2:$B$299,'Product List'!$A$2:$A$299)</f>
        <v>Xerox 1946</v>
      </c>
      <c r="J778" s="36"/>
      <c r="K778" s="36"/>
      <c r="L778" s="36"/>
      <c r="M778" s="36"/>
      <c r="N778" s="36"/>
    </row>
    <row r="779" spans="1:14">
      <c r="A779" s="8" t="s">
        <v>837</v>
      </c>
      <c r="B779" s="19">
        <v>42002</v>
      </c>
      <c r="C779" s="8" t="s">
        <v>27</v>
      </c>
      <c r="D779" s="8">
        <v>10012</v>
      </c>
      <c r="E779" s="8" t="s">
        <v>154</v>
      </c>
      <c r="F779" s="8" t="s">
        <v>43</v>
      </c>
      <c r="G779" s="36">
        <f>VLOOKUP(E779,Flipkart!$A$1:$B$296,2,0)</f>
        <v>0.03</v>
      </c>
      <c r="H779" s="36">
        <f t="shared" ca="1" si="12"/>
        <v>0.04</v>
      </c>
      <c r="I779" s="36" t="str">
        <f>_xlfn.XLOOKUP(E779,'Product List'!$B$2:$B$299,'Product List'!$A$2:$A$299)</f>
        <v>Xerox 228</v>
      </c>
      <c r="J779" s="36"/>
      <c r="K779" s="36"/>
      <c r="L779" s="36"/>
      <c r="M779" s="36"/>
      <c r="N779" s="36"/>
    </row>
    <row r="780" spans="1:14">
      <c r="A780" s="8" t="s">
        <v>838</v>
      </c>
      <c r="B780" s="19">
        <v>42004</v>
      </c>
      <c r="C780" s="8" t="s">
        <v>51</v>
      </c>
      <c r="D780" s="8">
        <v>10015</v>
      </c>
      <c r="E780" s="8" t="s">
        <v>640</v>
      </c>
      <c r="F780" s="8" t="s">
        <v>40</v>
      </c>
      <c r="G780" s="36">
        <f>VLOOKUP(E780,Flipkart!$A$1:$B$296,2,0)</f>
        <v>0.05</v>
      </c>
      <c r="H780" s="36">
        <f t="shared" ca="1" si="12"/>
        <v>0.05</v>
      </c>
      <c r="I780" s="36" t="str">
        <f>_xlfn.XLOOKUP(E780,'Product List'!$B$2:$B$299,'Product List'!$A$2:$A$299)</f>
        <v>Crate-A-Files</v>
      </c>
      <c r="J780" s="36"/>
      <c r="K780" s="36"/>
      <c r="L780" s="36"/>
      <c r="M780" s="36"/>
      <c r="N780" s="36"/>
    </row>
    <row r="781" spans="1:14">
      <c r="A781" s="8" t="s">
        <v>839</v>
      </c>
      <c r="B781" s="19">
        <v>42006</v>
      </c>
      <c r="C781" s="8" t="s">
        <v>46</v>
      </c>
      <c r="D781" s="8">
        <v>10015</v>
      </c>
      <c r="E781" s="8" t="s">
        <v>455</v>
      </c>
      <c r="F781" s="8" t="s">
        <v>50</v>
      </c>
      <c r="G781" s="36">
        <f>VLOOKUP(E781,Flipkart!$A$1:$B$296,2,0)</f>
        <v>0</v>
      </c>
      <c r="H781" s="36">
        <f t="shared" ca="1" si="12"/>
        <v>0</v>
      </c>
      <c r="I781" s="36" t="str">
        <f>_xlfn.XLOOKUP(E781,'Product List'!$B$2:$B$299,'Product List'!$A$2:$A$299)</f>
        <v>Newell 307</v>
      </c>
      <c r="J781" s="36"/>
      <c r="K781" s="36"/>
      <c r="L781" s="36"/>
      <c r="M781" s="36"/>
      <c r="N781" s="36"/>
    </row>
    <row r="782" spans="1:14">
      <c r="A782" s="8" t="s">
        <v>839</v>
      </c>
      <c r="B782" s="19">
        <v>42006</v>
      </c>
      <c r="C782" s="8" t="s">
        <v>36</v>
      </c>
      <c r="D782" s="8">
        <v>10004</v>
      </c>
      <c r="E782" s="8" t="s">
        <v>840</v>
      </c>
      <c r="F782" s="8" t="s">
        <v>40</v>
      </c>
      <c r="G782" s="36">
        <f>VLOOKUP(E782,Flipkart!$A$1:$B$296,2,0)</f>
        <v>0</v>
      </c>
      <c r="H782" s="36">
        <f t="shared" ca="1" si="12"/>
        <v>0</v>
      </c>
      <c r="I782" s="36" t="str">
        <f>_xlfn.XLOOKUP(E782,'Product List'!$B$2:$B$299,'Product List'!$A$2:$A$299)</f>
        <v>Xerox 1888</v>
      </c>
      <c r="J782" s="36"/>
      <c r="K782" s="36"/>
      <c r="L782" s="36"/>
      <c r="M782" s="36"/>
      <c r="N782" s="36"/>
    </row>
    <row r="783" spans="1:14">
      <c r="A783" s="8" t="s">
        <v>841</v>
      </c>
      <c r="B783" s="19">
        <v>42006</v>
      </c>
      <c r="C783" s="8" t="s">
        <v>27</v>
      </c>
      <c r="D783" s="8">
        <v>10001</v>
      </c>
      <c r="E783" s="8" t="s">
        <v>842</v>
      </c>
      <c r="F783" s="8" t="s">
        <v>40</v>
      </c>
      <c r="G783" s="36">
        <f>VLOOKUP(E783,Flipkart!$A$1:$B$296,2,0)</f>
        <v>0.03</v>
      </c>
      <c r="H783" s="36">
        <f t="shared" ca="1" si="12"/>
        <v>0.05</v>
      </c>
      <c r="I783" s="36" t="str">
        <f>_xlfn.XLOOKUP(E783,'Product List'!$B$2:$B$299,'Product List'!$A$2:$A$299)</f>
        <v>Xerox 1933</v>
      </c>
      <c r="J783" s="36"/>
      <c r="K783" s="36"/>
      <c r="L783" s="36"/>
      <c r="M783" s="36"/>
      <c r="N783" s="36"/>
    </row>
    <row r="784" spans="1:14">
      <c r="A784" s="8" t="s">
        <v>843</v>
      </c>
      <c r="B784" s="19">
        <v>42007</v>
      </c>
      <c r="C784" s="8" t="s">
        <v>33</v>
      </c>
      <c r="D784" s="8">
        <v>10001</v>
      </c>
      <c r="E784" s="8" t="s">
        <v>364</v>
      </c>
      <c r="F784" s="8" t="s">
        <v>40</v>
      </c>
      <c r="G784" s="36">
        <f>VLOOKUP(E784,Flipkart!$A$1:$B$296,2,0)</f>
        <v>0.02</v>
      </c>
      <c r="H784" s="36">
        <f t="shared" ca="1" si="12"/>
        <v>0.04</v>
      </c>
      <c r="I784" s="36" t="str">
        <f>_xlfn.XLOOKUP(E784,'Product List'!$B$2:$B$299,'Product List'!$A$2:$A$299)</f>
        <v>Avery 474</v>
      </c>
      <c r="J784" s="36"/>
      <c r="K784" s="36"/>
      <c r="L784" s="36"/>
      <c r="M784" s="36"/>
      <c r="N784" s="36"/>
    </row>
    <row r="785" spans="1:14">
      <c r="A785" s="8" t="s">
        <v>843</v>
      </c>
      <c r="B785" s="19">
        <v>42007</v>
      </c>
      <c r="C785" s="8" t="s">
        <v>51</v>
      </c>
      <c r="D785" s="8">
        <v>10009</v>
      </c>
      <c r="E785" s="8" t="s">
        <v>760</v>
      </c>
      <c r="F785" s="8" t="s">
        <v>50</v>
      </c>
      <c r="G785" s="36">
        <f>VLOOKUP(E785,Flipkart!$A$1:$B$296,2,0)</f>
        <v>0.02</v>
      </c>
      <c r="H785" s="36">
        <f t="shared" ca="1" si="12"/>
        <v>0.05</v>
      </c>
      <c r="I785" s="36" t="str">
        <f>_xlfn.XLOOKUP(E785,'Product List'!$B$2:$B$299,'Product List'!$A$2:$A$299)</f>
        <v>Xerox 1898</v>
      </c>
      <c r="J785" s="36"/>
      <c r="K785" s="36"/>
      <c r="L785" s="36"/>
      <c r="M785" s="36"/>
      <c r="N785" s="36"/>
    </row>
    <row r="786" spans="1:14">
      <c r="A786" s="8" t="s">
        <v>844</v>
      </c>
      <c r="B786" s="19">
        <v>42009</v>
      </c>
      <c r="C786" s="8" t="s">
        <v>54</v>
      </c>
      <c r="D786" s="8">
        <v>10002</v>
      </c>
      <c r="E786" s="8" t="s">
        <v>617</v>
      </c>
      <c r="F786" s="8" t="s">
        <v>40</v>
      </c>
      <c r="G786" s="36">
        <f>VLOOKUP(E786,Flipkart!$A$1:$B$296,2,0)</f>
        <v>0.01</v>
      </c>
      <c r="H786" s="36">
        <f t="shared" ca="1" si="12"/>
        <v>0.05</v>
      </c>
      <c r="I786" s="36" t="str">
        <f>_xlfn.XLOOKUP(E786,'Product List'!$B$2:$B$299,'Product List'!$A$2:$A$299)</f>
        <v>Xerox 1915</v>
      </c>
      <c r="J786" s="36"/>
      <c r="K786" s="36"/>
      <c r="L786" s="36"/>
      <c r="M786" s="36"/>
      <c r="N786" s="36"/>
    </row>
    <row r="787" spans="1:14">
      <c r="A787" s="8" t="s">
        <v>845</v>
      </c>
      <c r="B787" s="19">
        <v>42011</v>
      </c>
      <c r="C787" s="8" t="s">
        <v>66</v>
      </c>
      <c r="D787" s="8">
        <v>10004</v>
      </c>
      <c r="E787" s="8" t="s">
        <v>445</v>
      </c>
      <c r="F787" s="8" t="s">
        <v>35</v>
      </c>
      <c r="G787" s="36">
        <f>VLOOKUP(E787,Flipkart!$A$1:$B$296,2,0)</f>
        <v>0.01</v>
      </c>
      <c r="H787" s="36">
        <f t="shared" ca="1" si="12"/>
        <v>0.01</v>
      </c>
      <c r="I787" s="36" t="str">
        <f>_xlfn.XLOOKUP(E787,'Product List'!$B$2:$B$299,'Product List'!$A$2:$A$299)</f>
        <v>Xerox 1882</v>
      </c>
      <c r="J787" s="36"/>
      <c r="K787" s="36"/>
      <c r="L787" s="36"/>
      <c r="M787" s="36"/>
      <c r="N787" s="36"/>
    </row>
    <row r="788" spans="1:14">
      <c r="A788" s="8" t="s">
        <v>846</v>
      </c>
      <c r="B788" s="19">
        <v>42011</v>
      </c>
      <c r="C788" s="8" t="s">
        <v>36</v>
      </c>
      <c r="D788" s="8">
        <v>10013</v>
      </c>
      <c r="E788" s="8" t="s">
        <v>847</v>
      </c>
      <c r="F788" s="8" t="s">
        <v>40</v>
      </c>
      <c r="G788" s="36">
        <f>VLOOKUP(E788,Flipkart!$A$1:$B$296,2,0)</f>
        <v>0.04</v>
      </c>
      <c r="H788" s="36">
        <f t="shared" ca="1" si="12"/>
        <v>0.02</v>
      </c>
      <c r="I788" s="36" t="str">
        <f>_xlfn.XLOOKUP(E788,'Product List'!$B$2:$B$299,'Product List'!$A$2:$A$299)</f>
        <v>Xerox 1941</v>
      </c>
      <c r="J788" s="36"/>
      <c r="K788" s="36"/>
      <c r="L788" s="36"/>
      <c r="M788" s="36"/>
      <c r="N788" s="36"/>
    </row>
    <row r="789" spans="1:14">
      <c r="A789" s="8" t="s">
        <v>848</v>
      </c>
      <c r="B789" s="19">
        <v>42013</v>
      </c>
      <c r="C789" s="8" t="s">
        <v>54</v>
      </c>
      <c r="D789" s="8">
        <v>10003</v>
      </c>
      <c r="E789" s="8" t="s">
        <v>778</v>
      </c>
      <c r="F789" s="8" t="s">
        <v>40</v>
      </c>
      <c r="G789" s="36">
        <f>VLOOKUP(E789,Flipkart!$A$1:$B$296,2,0)</f>
        <v>0.05</v>
      </c>
      <c r="H789" s="36">
        <f t="shared" ca="1" si="12"/>
        <v>0.01</v>
      </c>
      <c r="I789" s="36" t="str">
        <f>_xlfn.XLOOKUP(E789,'Product List'!$B$2:$B$299,'Product List'!$A$2:$A$299)</f>
        <v>Xerox 197</v>
      </c>
      <c r="J789" s="36"/>
      <c r="K789" s="36"/>
      <c r="L789" s="36"/>
      <c r="M789" s="36"/>
      <c r="N789" s="36"/>
    </row>
    <row r="790" spans="1:14">
      <c r="A790" s="8" t="s">
        <v>848</v>
      </c>
      <c r="B790" s="19">
        <v>42013</v>
      </c>
      <c r="C790" s="8" t="s">
        <v>51</v>
      </c>
      <c r="D790" s="8">
        <v>10003</v>
      </c>
      <c r="E790" s="8" t="s">
        <v>156</v>
      </c>
      <c r="F790" s="8" t="s">
        <v>40</v>
      </c>
      <c r="G790" s="36">
        <f>VLOOKUP(E790,Flipkart!$A$1:$B$296,2,0)</f>
        <v>0.04</v>
      </c>
      <c r="H790" s="36">
        <f t="shared" ca="1" si="12"/>
        <v>0</v>
      </c>
      <c r="I790" s="36" t="str">
        <f>_xlfn.XLOOKUP(E790,'Product List'!$B$2:$B$299,'Product List'!$A$2:$A$299)</f>
        <v>Avery 505</v>
      </c>
      <c r="J790" s="36"/>
      <c r="K790" s="36"/>
      <c r="L790" s="36"/>
      <c r="M790" s="36"/>
      <c r="N790" s="36"/>
    </row>
    <row r="791" spans="1:14">
      <c r="A791" s="8" t="s">
        <v>849</v>
      </c>
      <c r="B791" s="19">
        <v>42014</v>
      </c>
      <c r="C791" s="8" t="s">
        <v>33</v>
      </c>
      <c r="D791" s="8">
        <v>10014</v>
      </c>
      <c r="E791" s="8" t="s">
        <v>502</v>
      </c>
      <c r="F791" s="8" t="s">
        <v>32</v>
      </c>
      <c r="G791" s="36">
        <f>VLOOKUP(E791,Flipkart!$A$1:$B$296,2,0)</f>
        <v>0</v>
      </c>
      <c r="H791" s="36">
        <f t="shared" ca="1" si="12"/>
        <v>0.05</v>
      </c>
      <c r="I791" s="36" t="str">
        <f>_xlfn.XLOOKUP(E791,'Product List'!$B$2:$B$299,'Product List'!$A$2:$A$299)</f>
        <v>Xerox 1896</v>
      </c>
      <c r="J791" s="36"/>
      <c r="K791" s="36"/>
      <c r="L791" s="36"/>
      <c r="M791" s="36"/>
      <c r="N791" s="36"/>
    </row>
    <row r="792" spans="1:14">
      <c r="A792" s="8" t="s">
        <v>849</v>
      </c>
      <c r="B792" s="19">
        <v>42014</v>
      </c>
      <c r="C792" s="8" t="s">
        <v>54</v>
      </c>
      <c r="D792" s="8">
        <v>10003</v>
      </c>
      <c r="E792" s="8" t="s">
        <v>850</v>
      </c>
      <c r="F792" s="8" t="s">
        <v>43</v>
      </c>
      <c r="G792" s="36">
        <f>VLOOKUP(E792,Flipkart!$A$1:$B$296,2,0)</f>
        <v>0.04</v>
      </c>
      <c r="H792" s="36">
        <f t="shared" ca="1" si="12"/>
        <v>0</v>
      </c>
      <c r="I792" s="36" t="str">
        <f>_xlfn.XLOOKUP(E792,'Product List'!$B$2:$B$299,'Product List'!$A$2:$A$299)</f>
        <v>Xerox 225</v>
      </c>
      <c r="J792" s="36"/>
      <c r="K792" s="36"/>
      <c r="L792" s="36"/>
      <c r="M792" s="36"/>
      <c r="N792" s="36"/>
    </row>
    <row r="793" spans="1:14">
      <c r="A793" s="8" t="s">
        <v>851</v>
      </c>
      <c r="B793" s="19">
        <v>42015</v>
      </c>
      <c r="C793" s="8" t="s">
        <v>46</v>
      </c>
      <c r="D793" s="8">
        <v>10007</v>
      </c>
      <c r="E793" s="8" t="s">
        <v>532</v>
      </c>
      <c r="F793" s="8" t="s">
        <v>40</v>
      </c>
      <c r="G793" s="36">
        <f>VLOOKUP(E793,Flipkart!$A$1:$B$296,2,0)</f>
        <v>0.05</v>
      </c>
      <c r="H793" s="36">
        <f t="shared" ca="1" si="12"/>
        <v>0.01</v>
      </c>
      <c r="I793" s="36" t="str">
        <f>_xlfn.XLOOKUP(E793,'Product List'!$B$2:$B$299,'Product List'!$A$2:$A$299)</f>
        <v>Clarity 53712</v>
      </c>
      <c r="J793" s="36"/>
      <c r="K793" s="36"/>
      <c r="L793" s="36"/>
      <c r="M793" s="36"/>
      <c r="N793" s="36"/>
    </row>
    <row r="794" spans="1:14">
      <c r="A794" s="8" t="s">
        <v>851</v>
      </c>
      <c r="B794" s="19">
        <v>42015</v>
      </c>
      <c r="C794" s="8" t="s">
        <v>54</v>
      </c>
      <c r="D794" s="8">
        <v>10004</v>
      </c>
      <c r="E794" s="8" t="s">
        <v>123</v>
      </c>
      <c r="F794" s="8" t="s">
        <v>40</v>
      </c>
      <c r="G794" s="36">
        <f>VLOOKUP(E794,Flipkart!$A$1:$B$296,2,0)</f>
        <v>0.01</v>
      </c>
      <c r="H794" s="36">
        <f t="shared" ca="1" si="12"/>
        <v>0.02</v>
      </c>
      <c r="I794" s="36" t="str">
        <f>_xlfn.XLOOKUP(E794,'Product List'!$B$2:$B$299,'Product List'!$A$2:$A$299)</f>
        <v>Avery 503</v>
      </c>
      <c r="J794" s="36"/>
      <c r="K794" s="36"/>
      <c r="L794" s="36"/>
      <c r="M794" s="36"/>
      <c r="N794" s="36"/>
    </row>
    <row r="795" spans="1:14">
      <c r="A795" s="8" t="s">
        <v>851</v>
      </c>
      <c r="B795" s="19">
        <v>42015</v>
      </c>
      <c r="C795" s="8" t="s">
        <v>54</v>
      </c>
      <c r="D795" s="8">
        <v>10015</v>
      </c>
      <c r="E795" s="8" t="s">
        <v>324</v>
      </c>
      <c r="F795" s="8" t="s">
        <v>50</v>
      </c>
      <c r="G795" s="36">
        <f>VLOOKUP(E795,Flipkart!$A$1:$B$296,2,0)</f>
        <v>0.04</v>
      </c>
      <c r="H795" s="36">
        <f t="shared" ca="1" si="12"/>
        <v>0.05</v>
      </c>
      <c r="I795" s="36" t="str">
        <f>_xlfn.XLOOKUP(E795,'Product List'!$B$2:$B$299,'Product List'!$A$2:$A$299)</f>
        <v>Newell 31</v>
      </c>
      <c r="J795" s="36"/>
      <c r="K795" s="36"/>
      <c r="L795" s="36"/>
      <c r="M795" s="36"/>
      <c r="N795" s="36"/>
    </row>
    <row r="796" spans="1:14">
      <c r="A796" s="8" t="s">
        <v>852</v>
      </c>
      <c r="B796" s="19">
        <v>42017</v>
      </c>
      <c r="C796" s="8" t="s">
        <v>46</v>
      </c>
      <c r="D796" s="8">
        <v>10011</v>
      </c>
      <c r="E796" s="8" t="s">
        <v>285</v>
      </c>
      <c r="F796" s="8" t="s">
        <v>50</v>
      </c>
      <c r="G796" s="36">
        <f>VLOOKUP(E796,Flipkart!$A$1:$B$296,2,0)</f>
        <v>0.05</v>
      </c>
      <c r="H796" s="36">
        <f t="shared" ca="1" si="12"/>
        <v>0.05</v>
      </c>
      <c r="I796" s="36" t="str">
        <f>_xlfn.XLOOKUP(E796,'Product List'!$B$2:$B$299,'Product List'!$A$2:$A$299)</f>
        <v>Newell 344</v>
      </c>
      <c r="J796" s="36"/>
      <c r="K796" s="36"/>
      <c r="L796" s="36"/>
      <c r="M796" s="36"/>
      <c r="N796" s="36"/>
    </row>
    <row r="797" spans="1:14">
      <c r="A797" s="8" t="s">
        <v>853</v>
      </c>
      <c r="B797" s="19">
        <v>42019</v>
      </c>
      <c r="C797" s="8" t="s">
        <v>46</v>
      </c>
      <c r="D797" s="8">
        <v>10009</v>
      </c>
      <c r="E797" s="8" t="s">
        <v>309</v>
      </c>
      <c r="F797" s="8" t="s">
        <v>35</v>
      </c>
      <c r="G797" s="36">
        <f>VLOOKUP(E797,Flipkart!$A$1:$B$296,2,0)</f>
        <v>0.01</v>
      </c>
      <c r="H797" s="36">
        <f t="shared" ca="1" si="12"/>
        <v>0.01</v>
      </c>
      <c r="I797" s="36" t="str">
        <f>_xlfn.XLOOKUP(E797,'Product List'!$B$2:$B$299,'Product List'!$A$2:$A$299)</f>
        <v>Xerox 1996</v>
      </c>
      <c r="J797" s="36"/>
      <c r="K797" s="36"/>
      <c r="L797" s="36"/>
      <c r="M797" s="36"/>
      <c r="N797" s="36"/>
    </row>
    <row r="798" spans="1:14">
      <c r="A798" s="8" t="s">
        <v>853</v>
      </c>
      <c r="B798" s="19">
        <v>42019</v>
      </c>
      <c r="C798" s="8" t="s">
        <v>33</v>
      </c>
      <c r="D798" s="8">
        <v>10014</v>
      </c>
      <c r="E798" s="8" t="s">
        <v>854</v>
      </c>
      <c r="F798" s="8" t="s">
        <v>32</v>
      </c>
      <c r="G798" s="36">
        <f>VLOOKUP(E798,Flipkart!$A$1:$B$296,2,0)</f>
        <v>0.03</v>
      </c>
      <c r="H798" s="36">
        <f t="shared" ca="1" si="12"/>
        <v>0.02</v>
      </c>
      <c r="I798" s="36" t="str">
        <f>_xlfn.XLOOKUP(E798,'Product List'!$B$2:$B$299,'Product List'!$A$2:$A$299)</f>
        <v>Newell 341</v>
      </c>
      <c r="J798" s="36"/>
      <c r="K798" s="36"/>
      <c r="L798" s="36"/>
      <c r="M798" s="36"/>
      <c r="N798" s="36"/>
    </row>
    <row r="799" spans="1:14">
      <c r="A799" s="8" t="s">
        <v>855</v>
      </c>
      <c r="B799" s="19">
        <v>42020</v>
      </c>
      <c r="C799" s="8" t="s">
        <v>54</v>
      </c>
      <c r="D799" s="8">
        <v>10003</v>
      </c>
      <c r="E799" s="8" t="s">
        <v>311</v>
      </c>
      <c r="F799" s="8" t="s">
        <v>43</v>
      </c>
      <c r="G799" s="36">
        <f>VLOOKUP(E799,Flipkart!$A$1:$B$296,2,0)</f>
        <v>0</v>
      </c>
      <c r="H799" s="36">
        <f t="shared" ca="1" si="12"/>
        <v>0</v>
      </c>
      <c r="I799" s="36" t="str">
        <f>_xlfn.XLOOKUP(E799,'Product List'!$B$2:$B$299,'Product List'!$A$2:$A$299)</f>
        <v>Xerox 1923</v>
      </c>
      <c r="J799" s="36"/>
      <c r="K799" s="36"/>
      <c r="L799" s="36"/>
      <c r="M799" s="36"/>
      <c r="N799" s="36"/>
    </row>
    <row r="800" spans="1:14">
      <c r="A800" s="8" t="s">
        <v>855</v>
      </c>
      <c r="B800" s="19">
        <v>42020</v>
      </c>
      <c r="C800" s="8" t="s">
        <v>46</v>
      </c>
      <c r="D800" s="8">
        <v>10007</v>
      </c>
      <c r="E800" s="8" t="s">
        <v>309</v>
      </c>
      <c r="F800" s="8" t="s">
        <v>29</v>
      </c>
      <c r="G800" s="36">
        <f>VLOOKUP(E800,Flipkart!$A$1:$B$296,2,0)</f>
        <v>0.01</v>
      </c>
      <c r="H800" s="36">
        <f t="shared" ca="1" si="12"/>
        <v>0.05</v>
      </c>
      <c r="I800" s="36" t="str">
        <f>_xlfn.XLOOKUP(E800,'Product List'!$B$2:$B$299,'Product List'!$A$2:$A$299)</f>
        <v>Xerox 1996</v>
      </c>
      <c r="J800" s="36"/>
      <c r="K800" s="36"/>
      <c r="L800" s="36"/>
      <c r="M800" s="36"/>
      <c r="N800" s="36"/>
    </row>
    <row r="801" spans="1:14">
      <c r="A801" s="8" t="s">
        <v>856</v>
      </c>
      <c r="B801" s="19">
        <v>42021</v>
      </c>
      <c r="C801" s="8" t="s">
        <v>33</v>
      </c>
      <c r="D801" s="8">
        <v>10010</v>
      </c>
      <c r="E801" s="8" t="s">
        <v>102</v>
      </c>
      <c r="F801" s="8" t="s">
        <v>40</v>
      </c>
      <c r="G801" s="36">
        <f>VLOOKUP(E801,Flipkart!$A$1:$B$296,2,0)</f>
        <v>0.02</v>
      </c>
      <c r="H801" s="36">
        <f t="shared" ca="1" si="12"/>
        <v>0.01</v>
      </c>
      <c r="I801" s="36" t="str">
        <f>_xlfn.XLOOKUP(E801,'Product List'!$B$2:$B$299,'Product List'!$A$2:$A$299)</f>
        <v>Xerox 1997</v>
      </c>
      <c r="J801" s="36"/>
      <c r="K801" s="36"/>
      <c r="L801" s="36"/>
      <c r="M801" s="36"/>
      <c r="N801" s="36"/>
    </row>
    <row r="802" spans="1:14">
      <c r="A802" s="8" t="s">
        <v>857</v>
      </c>
      <c r="B802" s="19">
        <v>42022</v>
      </c>
      <c r="C802" s="8" t="s">
        <v>33</v>
      </c>
      <c r="D802" s="8">
        <v>10013</v>
      </c>
      <c r="E802" s="8" t="s">
        <v>47</v>
      </c>
      <c r="F802" s="8" t="s">
        <v>43</v>
      </c>
      <c r="G802" s="36">
        <f>VLOOKUP(E802,Flipkart!$A$1:$B$296,2,0)</f>
        <v>0.03</v>
      </c>
      <c r="H802" s="36">
        <f t="shared" ca="1" si="12"/>
        <v>0</v>
      </c>
      <c r="I802" s="36" t="str">
        <f>_xlfn.XLOOKUP(E802,'Product List'!$B$2:$B$299,'Product List'!$A$2:$A$299)</f>
        <v>Xerox 1907</v>
      </c>
      <c r="J802" s="36"/>
      <c r="K802" s="36"/>
      <c r="L802" s="36"/>
      <c r="M802" s="36"/>
      <c r="N802" s="36"/>
    </row>
    <row r="803" spans="1:14">
      <c r="A803" s="8" t="s">
        <v>858</v>
      </c>
      <c r="B803" s="19">
        <v>42022</v>
      </c>
      <c r="C803" s="8" t="s">
        <v>54</v>
      </c>
      <c r="D803" s="8">
        <v>10002</v>
      </c>
      <c r="E803" s="8" t="s">
        <v>859</v>
      </c>
      <c r="F803" s="8" t="s">
        <v>32</v>
      </c>
      <c r="G803" s="36">
        <f>VLOOKUP(E803,Flipkart!$A$1:$B$296,2,0)</f>
        <v>0</v>
      </c>
      <c r="H803" s="36">
        <f t="shared" ca="1" si="12"/>
        <v>0.05</v>
      </c>
      <c r="I803" s="36" t="str">
        <f>_xlfn.XLOOKUP(E803,'Product List'!$B$2:$B$299,'Product List'!$A$2:$A$299)</f>
        <v>Xerox 1970</v>
      </c>
      <c r="J803" s="36"/>
      <c r="K803" s="36"/>
      <c r="L803" s="36"/>
      <c r="M803" s="36"/>
      <c r="N803" s="36"/>
    </row>
    <row r="804" spans="1:14">
      <c r="A804" s="8" t="s">
        <v>858</v>
      </c>
      <c r="B804" s="19">
        <v>42022</v>
      </c>
      <c r="C804" s="8" t="s">
        <v>66</v>
      </c>
      <c r="D804" s="8">
        <v>10015</v>
      </c>
      <c r="E804" s="8" t="s">
        <v>462</v>
      </c>
      <c r="F804" s="8" t="s">
        <v>29</v>
      </c>
      <c r="G804" s="36">
        <f>VLOOKUP(E804,Flipkart!$A$1:$B$296,2,0)</f>
        <v>0.04</v>
      </c>
      <c r="H804" s="36">
        <f t="shared" ca="1" si="12"/>
        <v>0.04</v>
      </c>
      <c r="I804" s="36" t="str">
        <f>_xlfn.XLOOKUP(E804,'Product List'!$B$2:$B$299,'Product List'!$A$2:$A$299)</f>
        <v>Newell 322</v>
      </c>
      <c r="J804" s="36"/>
      <c r="K804" s="36"/>
      <c r="L804" s="36"/>
      <c r="M804" s="36"/>
      <c r="N804" s="36"/>
    </row>
    <row r="805" spans="1:14">
      <c r="A805" s="8" t="s">
        <v>860</v>
      </c>
      <c r="B805" s="19">
        <v>42023</v>
      </c>
      <c r="C805" s="8" t="s">
        <v>33</v>
      </c>
      <c r="D805" s="8">
        <v>10011</v>
      </c>
      <c r="E805" s="8" t="s">
        <v>315</v>
      </c>
      <c r="F805" s="8" t="s">
        <v>50</v>
      </c>
      <c r="G805" s="36">
        <f>VLOOKUP(E805,Flipkart!$A$1:$B$296,2,0)</f>
        <v>0.04</v>
      </c>
      <c r="H805" s="36">
        <f t="shared" ca="1" si="12"/>
        <v>0.05</v>
      </c>
      <c r="I805" s="36" t="str">
        <f>_xlfn.XLOOKUP(E805,'Product List'!$B$2:$B$299,'Product List'!$A$2:$A$299)</f>
        <v>Xerox 1918</v>
      </c>
      <c r="J805" s="36"/>
      <c r="K805" s="36"/>
      <c r="L805" s="36"/>
      <c r="M805" s="36"/>
      <c r="N805" s="36"/>
    </row>
    <row r="806" spans="1:14">
      <c r="A806" s="8" t="s">
        <v>860</v>
      </c>
      <c r="B806" s="19">
        <v>42023</v>
      </c>
      <c r="C806" s="8" t="s">
        <v>36</v>
      </c>
      <c r="D806" s="8">
        <v>10010</v>
      </c>
      <c r="E806" s="8" t="s">
        <v>861</v>
      </c>
      <c r="F806" s="8" t="s">
        <v>35</v>
      </c>
      <c r="G806" s="36">
        <f>VLOOKUP(E806,Flipkart!$A$1:$B$296,2,0)</f>
        <v>0.03</v>
      </c>
      <c r="H806" s="36">
        <f t="shared" ca="1" si="12"/>
        <v>0.03</v>
      </c>
      <c r="I806" s="36" t="str">
        <f>_xlfn.XLOOKUP(E806,'Product List'!$B$2:$B$299,'Product List'!$A$2:$A$299)</f>
        <v>Xerox 20</v>
      </c>
      <c r="J806" s="36"/>
      <c r="K806" s="36"/>
      <c r="L806" s="36"/>
      <c r="M806" s="36"/>
      <c r="N806" s="36"/>
    </row>
    <row r="807" spans="1:14">
      <c r="A807" s="8" t="s">
        <v>862</v>
      </c>
      <c r="B807" s="19">
        <v>42024</v>
      </c>
      <c r="C807" s="8" t="s">
        <v>66</v>
      </c>
      <c r="D807" s="8">
        <v>10011</v>
      </c>
      <c r="E807" s="8" t="s">
        <v>347</v>
      </c>
      <c r="F807" s="8" t="s">
        <v>32</v>
      </c>
      <c r="G807" s="36">
        <f>VLOOKUP(E807,Flipkart!$A$1:$B$296,2,0)</f>
        <v>0.04</v>
      </c>
      <c r="H807" s="36">
        <f t="shared" ca="1" si="12"/>
        <v>0.05</v>
      </c>
      <c r="I807" s="36" t="str">
        <f>_xlfn.XLOOKUP(E807,'Product List'!$B$2:$B$299,'Product List'!$A$2:$A$299)</f>
        <v>Avery 511</v>
      </c>
      <c r="J807" s="36"/>
      <c r="K807" s="36"/>
      <c r="L807" s="36"/>
      <c r="M807" s="36"/>
      <c r="N807" s="36"/>
    </row>
    <row r="808" spans="1:14">
      <c r="A808" s="8" t="s">
        <v>862</v>
      </c>
      <c r="B808" s="19">
        <v>42024</v>
      </c>
      <c r="C808" s="8" t="s">
        <v>66</v>
      </c>
      <c r="D808" s="8">
        <v>10012</v>
      </c>
      <c r="E808" s="8" t="s">
        <v>241</v>
      </c>
      <c r="F808" s="8" t="s">
        <v>29</v>
      </c>
      <c r="G808" s="36">
        <f>VLOOKUP(E808,Flipkart!$A$1:$B$296,2,0)</f>
        <v>0.02</v>
      </c>
      <c r="H808" s="36">
        <f t="shared" ca="1" si="12"/>
        <v>0.04</v>
      </c>
      <c r="I808" s="36" t="str">
        <f>_xlfn.XLOOKUP(E808,'Product List'!$B$2:$B$299,'Product List'!$A$2:$A$299)</f>
        <v>Xerox 208</v>
      </c>
      <c r="J808" s="36"/>
      <c r="K808" s="36"/>
      <c r="L808" s="36"/>
      <c r="M808" s="36"/>
      <c r="N808" s="36"/>
    </row>
    <row r="809" spans="1:14">
      <c r="A809" s="8" t="s">
        <v>863</v>
      </c>
      <c r="B809" s="19">
        <v>42024</v>
      </c>
      <c r="C809" s="8" t="s">
        <v>36</v>
      </c>
      <c r="D809" s="8">
        <v>10010</v>
      </c>
      <c r="E809" s="8" t="s">
        <v>605</v>
      </c>
      <c r="F809" s="8" t="s">
        <v>50</v>
      </c>
      <c r="G809" s="36">
        <f>VLOOKUP(E809,Flipkart!$A$1:$B$296,2,0)</f>
        <v>0.01</v>
      </c>
      <c r="H809" s="36">
        <f t="shared" ca="1" si="12"/>
        <v>0.05</v>
      </c>
      <c r="I809" s="36" t="str">
        <f>_xlfn.XLOOKUP(E809,'Product List'!$B$2:$B$299,'Product List'!$A$2:$A$299)</f>
        <v>Pyle PMP37LED</v>
      </c>
      <c r="J809" s="36"/>
      <c r="K809" s="36"/>
      <c r="L809" s="36"/>
      <c r="M809" s="36"/>
      <c r="N809" s="36"/>
    </row>
    <row r="810" spans="1:14">
      <c r="A810" s="8" t="s">
        <v>864</v>
      </c>
      <c r="B810" s="19">
        <v>42025</v>
      </c>
      <c r="C810" s="8" t="s">
        <v>44</v>
      </c>
      <c r="D810" s="8">
        <v>10004</v>
      </c>
      <c r="E810" s="8" t="s">
        <v>518</v>
      </c>
      <c r="F810" s="8" t="s">
        <v>32</v>
      </c>
      <c r="G810" s="36">
        <f>VLOOKUP(E810,Flipkart!$A$1:$B$296,2,0)</f>
        <v>0.02</v>
      </c>
      <c r="H810" s="36">
        <f t="shared" ca="1" si="12"/>
        <v>0.01</v>
      </c>
      <c r="I810" s="36" t="str">
        <f>_xlfn.XLOOKUP(E810,'Product List'!$B$2:$B$299,'Product List'!$A$2:$A$299)</f>
        <v>Xerox 1931</v>
      </c>
      <c r="J810" s="36"/>
      <c r="K810" s="36"/>
      <c r="L810" s="36"/>
      <c r="M810" s="36"/>
      <c r="N810" s="36"/>
    </row>
    <row r="811" spans="1:14">
      <c r="A811" s="8" t="s">
        <v>865</v>
      </c>
      <c r="B811" s="19">
        <v>42027</v>
      </c>
      <c r="C811" s="8" t="s">
        <v>54</v>
      </c>
      <c r="D811" s="8">
        <v>10004</v>
      </c>
      <c r="E811" s="8" t="s">
        <v>203</v>
      </c>
      <c r="F811" s="8" t="s">
        <v>29</v>
      </c>
      <c r="G811" s="36">
        <f>VLOOKUP(E811,Flipkart!$A$1:$B$296,2,0)</f>
        <v>0.02</v>
      </c>
      <c r="H811" s="36">
        <f t="shared" ca="1" si="12"/>
        <v>0</v>
      </c>
      <c r="I811" s="36" t="str">
        <f>_xlfn.XLOOKUP(E811,'Product List'!$B$2:$B$299,'Product List'!$A$2:$A$299)</f>
        <v>Xerox 1957</v>
      </c>
      <c r="J811" s="36"/>
      <c r="K811" s="36"/>
      <c r="L811" s="36"/>
      <c r="M811" s="36"/>
      <c r="N811" s="36"/>
    </row>
    <row r="812" spans="1:14">
      <c r="A812" s="8" t="s">
        <v>866</v>
      </c>
      <c r="B812" s="19">
        <v>42027</v>
      </c>
      <c r="C812" s="8" t="s">
        <v>36</v>
      </c>
      <c r="D812" s="8">
        <v>10014</v>
      </c>
      <c r="E812" s="8" t="s">
        <v>62</v>
      </c>
      <c r="F812" s="8" t="s">
        <v>35</v>
      </c>
      <c r="G812" s="36">
        <f>VLOOKUP(E812,Flipkart!$A$1:$B$296,2,0)</f>
        <v>0.05</v>
      </c>
      <c r="H812" s="36">
        <f t="shared" ca="1" si="12"/>
        <v>0.05</v>
      </c>
      <c r="I812" s="36" t="str">
        <f>_xlfn.XLOOKUP(E812,'Product List'!$B$2:$B$299,'Product List'!$A$2:$A$299)</f>
        <v>Newell 308</v>
      </c>
      <c r="J812" s="36"/>
      <c r="K812" s="36"/>
      <c r="L812" s="36"/>
      <c r="M812" s="36"/>
      <c r="N812" s="36"/>
    </row>
    <row r="813" spans="1:14">
      <c r="A813" s="8" t="s">
        <v>865</v>
      </c>
      <c r="B813" s="19">
        <v>42027</v>
      </c>
      <c r="C813" s="8" t="s">
        <v>51</v>
      </c>
      <c r="D813" s="8">
        <v>10004</v>
      </c>
      <c r="E813" s="8" t="s">
        <v>143</v>
      </c>
      <c r="F813" s="8" t="s">
        <v>32</v>
      </c>
      <c r="G813" s="36">
        <f>VLOOKUP(E813,Flipkart!$A$1:$B$296,2,0)</f>
        <v>0.04</v>
      </c>
      <c r="H813" s="36">
        <f t="shared" ca="1" si="12"/>
        <v>0</v>
      </c>
      <c r="I813" s="36" t="str">
        <f>_xlfn.XLOOKUP(E813,'Product List'!$B$2:$B$299,'Product List'!$A$2:$A$299)</f>
        <v>Xerox 1932</v>
      </c>
      <c r="J813" s="36"/>
      <c r="K813" s="36"/>
      <c r="L813" s="36"/>
      <c r="M813" s="36"/>
      <c r="N813" s="36"/>
    </row>
    <row r="814" spans="1:14">
      <c r="A814" s="8" t="s">
        <v>865</v>
      </c>
      <c r="B814" s="19">
        <v>42027</v>
      </c>
      <c r="C814" s="8" t="s">
        <v>46</v>
      </c>
      <c r="D814" s="8">
        <v>10013</v>
      </c>
      <c r="E814" s="8" t="s">
        <v>122</v>
      </c>
      <c r="F814" s="8" t="s">
        <v>35</v>
      </c>
      <c r="G814" s="36">
        <f>VLOOKUP(E814,Flipkart!$A$1:$B$296,2,0)</f>
        <v>0.01</v>
      </c>
      <c r="H814" s="36">
        <f t="shared" ca="1" si="12"/>
        <v>0.01</v>
      </c>
      <c r="I814" s="36" t="str">
        <f>_xlfn.XLOOKUP(E814,'Product List'!$B$2:$B$299,'Product List'!$A$2:$A$299)</f>
        <v>Avery 510</v>
      </c>
      <c r="J814" s="36"/>
      <c r="K814" s="36"/>
      <c r="L814" s="36"/>
      <c r="M814" s="36"/>
      <c r="N814" s="36"/>
    </row>
    <row r="815" spans="1:14">
      <c r="A815" s="8" t="s">
        <v>867</v>
      </c>
      <c r="B815" s="19">
        <v>42028</v>
      </c>
      <c r="C815" s="8" t="s">
        <v>51</v>
      </c>
      <c r="D815" s="8">
        <v>10010</v>
      </c>
      <c r="E815" s="8" t="s">
        <v>131</v>
      </c>
      <c r="F815" s="8" t="s">
        <v>29</v>
      </c>
      <c r="G815" s="36">
        <f>VLOOKUP(E815,Flipkart!$A$1:$B$296,2,0)</f>
        <v>0.01</v>
      </c>
      <c r="H815" s="36">
        <f t="shared" ca="1" si="12"/>
        <v>0.01</v>
      </c>
      <c r="I815" s="36" t="str">
        <f>_xlfn.XLOOKUP(E815,'Product List'!$B$2:$B$299,'Product List'!$A$2:$A$299)</f>
        <v>Avery 490</v>
      </c>
      <c r="J815" s="36"/>
      <c r="K815" s="36"/>
      <c r="L815" s="36"/>
      <c r="M815" s="36"/>
      <c r="N815" s="36"/>
    </row>
    <row r="816" spans="1:14">
      <c r="A816" s="8" t="s">
        <v>868</v>
      </c>
      <c r="B816" s="19">
        <v>42028</v>
      </c>
      <c r="C816" s="8" t="s">
        <v>44</v>
      </c>
      <c r="D816" s="8">
        <v>10007</v>
      </c>
      <c r="E816" s="8" t="s">
        <v>131</v>
      </c>
      <c r="F816" s="8" t="s">
        <v>40</v>
      </c>
      <c r="G816" s="36">
        <f>VLOOKUP(E816,Flipkart!$A$1:$B$296,2,0)</f>
        <v>0.01</v>
      </c>
      <c r="H816" s="36">
        <f t="shared" ca="1" si="12"/>
        <v>0.01</v>
      </c>
      <c r="I816" s="36" t="str">
        <f>_xlfn.XLOOKUP(E816,'Product List'!$B$2:$B$299,'Product List'!$A$2:$A$299)</f>
        <v>Avery 490</v>
      </c>
      <c r="J816" s="36"/>
      <c r="K816" s="36"/>
      <c r="L816" s="36"/>
      <c r="M816" s="36"/>
      <c r="N816" s="36"/>
    </row>
    <row r="817" spans="1:14">
      <c r="A817" s="8" t="s">
        <v>867</v>
      </c>
      <c r="B817" s="19">
        <v>42028</v>
      </c>
      <c r="C817" s="8" t="s">
        <v>66</v>
      </c>
      <c r="D817" s="8">
        <v>10001</v>
      </c>
      <c r="E817" s="8" t="s">
        <v>135</v>
      </c>
      <c r="F817" s="8" t="s">
        <v>29</v>
      </c>
      <c r="G817" s="36">
        <f>VLOOKUP(E817,Flipkart!$A$1:$B$296,2,0)</f>
        <v>0.04</v>
      </c>
      <c r="H817" s="36">
        <f t="shared" ca="1" si="12"/>
        <v>0.04</v>
      </c>
      <c r="I817" s="36" t="str">
        <f>_xlfn.XLOOKUP(E817,'Product List'!$B$2:$B$299,'Product List'!$A$2:$A$299)</f>
        <v>Xerox 1939</v>
      </c>
      <c r="J817" s="36"/>
      <c r="K817" s="36"/>
      <c r="L817" s="36"/>
      <c r="M817" s="36"/>
      <c r="N817" s="36"/>
    </row>
    <row r="818" spans="1:14">
      <c r="A818" s="8" t="s">
        <v>869</v>
      </c>
      <c r="B818" s="19">
        <v>42029</v>
      </c>
      <c r="C818" s="8" t="s">
        <v>36</v>
      </c>
      <c r="D818" s="8">
        <v>10004</v>
      </c>
      <c r="E818" s="8" t="s">
        <v>303</v>
      </c>
      <c r="F818" s="8" t="s">
        <v>32</v>
      </c>
      <c r="G818" s="36">
        <f>VLOOKUP(E818,Flipkart!$A$1:$B$296,2,0)</f>
        <v>0.01</v>
      </c>
      <c r="H818" s="36">
        <f t="shared" ca="1" si="12"/>
        <v>0.04</v>
      </c>
      <c r="I818" s="36" t="str">
        <f>_xlfn.XLOOKUP(E818,'Product List'!$B$2:$B$299,'Product List'!$A$2:$A$299)</f>
        <v>Xerox 1885</v>
      </c>
      <c r="J818" s="36"/>
      <c r="K818" s="36"/>
      <c r="L818" s="36"/>
      <c r="M818" s="36"/>
      <c r="N818" s="36"/>
    </row>
    <row r="819" spans="1:14">
      <c r="A819" s="8" t="s">
        <v>869</v>
      </c>
      <c r="B819" s="19">
        <v>42029</v>
      </c>
      <c r="C819" s="8" t="s">
        <v>36</v>
      </c>
      <c r="D819" s="8">
        <v>10006</v>
      </c>
      <c r="E819" s="8" t="s">
        <v>97</v>
      </c>
      <c r="F819" s="8" t="s">
        <v>43</v>
      </c>
      <c r="G819" s="36">
        <f>VLOOKUP(E819,Flipkart!$A$1:$B$296,2,0)</f>
        <v>0.04</v>
      </c>
      <c r="H819" s="36">
        <f t="shared" ca="1" si="12"/>
        <v>0.01</v>
      </c>
      <c r="I819" s="36" t="str">
        <f>_xlfn.XLOOKUP(E819,'Product List'!$B$2:$B$299,'Product List'!$A$2:$A$299)</f>
        <v>Xerox 204</v>
      </c>
      <c r="J819" s="36"/>
      <c r="K819" s="36"/>
      <c r="L819" s="36"/>
      <c r="M819" s="36"/>
      <c r="N819" s="36"/>
    </row>
    <row r="820" spans="1:14">
      <c r="A820" s="8" t="s">
        <v>870</v>
      </c>
      <c r="B820" s="19">
        <v>42029</v>
      </c>
      <c r="C820" s="8" t="s">
        <v>36</v>
      </c>
      <c r="D820" s="8">
        <v>10001</v>
      </c>
      <c r="E820" s="8" t="s">
        <v>710</v>
      </c>
      <c r="F820" s="8" t="s">
        <v>35</v>
      </c>
      <c r="G820" s="36">
        <f>VLOOKUP(E820,Flipkart!$A$1:$B$296,2,0)</f>
        <v>0.03</v>
      </c>
      <c r="H820" s="36">
        <f t="shared" ca="1" si="12"/>
        <v>0.03</v>
      </c>
      <c r="I820" s="36" t="str">
        <f>_xlfn.XLOOKUP(E820,'Product List'!$B$2:$B$299,'Product List'!$A$2:$A$299)</f>
        <v>Xerox 195</v>
      </c>
      <c r="J820" s="36"/>
      <c r="K820" s="36"/>
      <c r="L820" s="36"/>
      <c r="M820" s="36"/>
      <c r="N820" s="36"/>
    </row>
    <row r="821" spans="1:14">
      <c r="A821" s="8" t="s">
        <v>869</v>
      </c>
      <c r="B821" s="19">
        <v>42029</v>
      </c>
      <c r="C821" s="8" t="s">
        <v>33</v>
      </c>
      <c r="D821" s="8">
        <v>10010</v>
      </c>
      <c r="E821" s="8" t="s">
        <v>133</v>
      </c>
      <c r="F821" s="8" t="s">
        <v>43</v>
      </c>
      <c r="G821" s="36">
        <f>VLOOKUP(E821,Flipkart!$A$1:$B$296,2,0)</f>
        <v>0.02</v>
      </c>
      <c r="H821" s="36">
        <f t="shared" ca="1" si="12"/>
        <v>0.03</v>
      </c>
      <c r="I821" s="36" t="str">
        <f>_xlfn.XLOOKUP(E821,'Product List'!$B$2:$B$299,'Product List'!$A$2:$A$299)</f>
        <v>Xerox 213</v>
      </c>
      <c r="J821" s="36"/>
      <c r="K821" s="36"/>
      <c r="L821" s="36"/>
      <c r="M821" s="36"/>
      <c r="N821" s="36"/>
    </row>
    <row r="822" spans="1:14">
      <c r="A822" s="8" t="s">
        <v>871</v>
      </c>
      <c r="B822" s="19">
        <v>42031</v>
      </c>
      <c r="C822" s="8" t="s">
        <v>51</v>
      </c>
      <c r="D822" s="8">
        <v>10007</v>
      </c>
      <c r="E822" s="8" t="s">
        <v>37</v>
      </c>
      <c r="F822" s="8" t="s">
        <v>40</v>
      </c>
      <c r="G822" s="36">
        <f>VLOOKUP(E822,Flipkart!$A$1:$B$296,2,0)</f>
        <v>0.03</v>
      </c>
      <c r="H822" s="36">
        <f t="shared" ca="1" si="12"/>
        <v>0.05</v>
      </c>
      <c r="I822" s="36" t="str">
        <f>_xlfn.XLOOKUP(E822,'Product List'!$B$2:$B$299,'Product List'!$A$2:$A$299)</f>
        <v>Avery 508</v>
      </c>
      <c r="J822" s="36"/>
      <c r="K822" s="36"/>
      <c r="L822" s="36"/>
      <c r="M822" s="36"/>
      <c r="N822" s="36"/>
    </row>
    <row r="823" spans="1:14">
      <c r="A823" s="8" t="s">
        <v>871</v>
      </c>
      <c r="B823" s="19">
        <v>42031</v>
      </c>
      <c r="C823" s="8" t="s">
        <v>27</v>
      </c>
      <c r="D823" s="8">
        <v>10015</v>
      </c>
      <c r="E823" s="8" t="s">
        <v>269</v>
      </c>
      <c r="F823" s="8" t="s">
        <v>32</v>
      </c>
      <c r="G823" s="36">
        <f>VLOOKUP(E823,Flipkart!$A$1:$B$296,2,0)</f>
        <v>0.03</v>
      </c>
      <c r="H823" s="36">
        <f t="shared" ca="1" si="12"/>
        <v>0.03</v>
      </c>
      <c r="I823" s="36" t="str">
        <f>_xlfn.XLOOKUP(E823,'Product List'!$B$2:$B$299,'Product List'!$A$2:$A$299)</f>
        <v>Xerox 1975</v>
      </c>
      <c r="J823" s="36"/>
      <c r="K823" s="36"/>
      <c r="L823" s="36"/>
      <c r="M823" s="36"/>
      <c r="N823" s="36"/>
    </row>
    <row r="824" spans="1:14">
      <c r="A824" s="8" t="s">
        <v>872</v>
      </c>
      <c r="B824" s="19">
        <v>42031</v>
      </c>
      <c r="C824" s="8" t="s">
        <v>54</v>
      </c>
      <c r="D824" s="8">
        <v>10003</v>
      </c>
      <c r="E824" s="8" t="s">
        <v>362</v>
      </c>
      <c r="F824" s="8" t="s">
        <v>35</v>
      </c>
      <c r="G824" s="36">
        <f>VLOOKUP(E824,Flipkart!$A$1:$B$296,2,0)</f>
        <v>0</v>
      </c>
      <c r="H824" s="36">
        <f t="shared" ca="1" si="12"/>
        <v>0</v>
      </c>
      <c r="I824" s="36" t="str">
        <f>_xlfn.XLOOKUP(E824,'Product List'!$B$2:$B$299,'Product List'!$A$2:$A$299)</f>
        <v>Avery 499</v>
      </c>
      <c r="J824" s="36"/>
      <c r="K824" s="36"/>
      <c r="L824" s="36"/>
      <c r="M824" s="36"/>
      <c r="N824" s="36"/>
    </row>
    <row r="825" spans="1:14">
      <c r="A825" s="8" t="s">
        <v>873</v>
      </c>
      <c r="B825" s="19">
        <v>42032</v>
      </c>
      <c r="C825" s="8" t="s">
        <v>51</v>
      </c>
      <c r="D825" s="8">
        <v>10014</v>
      </c>
      <c r="E825" s="8" t="s">
        <v>213</v>
      </c>
      <c r="F825" s="8" t="s">
        <v>50</v>
      </c>
      <c r="G825" s="36">
        <f>VLOOKUP(E825,Flipkart!$A$1:$B$296,2,0)</f>
        <v>0.04</v>
      </c>
      <c r="H825" s="36">
        <f t="shared" ca="1" si="12"/>
        <v>0.02</v>
      </c>
      <c r="I825" s="36" t="str">
        <f>_xlfn.XLOOKUP(E825,'Product List'!$B$2:$B$299,'Product List'!$A$2:$A$299)</f>
        <v>Cisco SPA301</v>
      </c>
      <c r="J825" s="36"/>
      <c r="K825" s="36"/>
      <c r="L825" s="36"/>
      <c r="M825" s="36"/>
      <c r="N825" s="36"/>
    </row>
    <row r="826" spans="1:14">
      <c r="A826" s="8" t="s">
        <v>874</v>
      </c>
      <c r="B826" s="19">
        <v>42033</v>
      </c>
      <c r="C826" s="8" t="s">
        <v>33</v>
      </c>
      <c r="D826" s="8">
        <v>10011</v>
      </c>
      <c r="E826" s="8" t="s">
        <v>364</v>
      </c>
      <c r="F826" s="8" t="s">
        <v>35</v>
      </c>
      <c r="G826" s="36">
        <f>VLOOKUP(E826,Flipkart!$A$1:$B$296,2,0)</f>
        <v>0.02</v>
      </c>
      <c r="H826" s="36">
        <f t="shared" ca="1" si="12"/>
        <v>0.02</v>
      </c>
      <c r="I826" s="36" t="str">
        <f>_xlfn.XLOOKUP(E826,'Product List'!$B$2:$B$299,'Product List'!$A$2:$A$299)</f>
        <v>Avery 474</v>
      </c>
      <c r="J826" s="36"/>
      <c r="K826" s="36"/>
      <c r="L826" s="36"/>
      <c r="M826" s="36"/>
      <c r="N826" s="36"/>
    </row>
    <row r="827" spans="1:14">
      <c r="A827" s="8" t="s">
        <v>874</v>
      </c>
      <c r="B827" s="19">
        <v>42033</v>
      </c>
      <c r="C827" s="8" t="s">
        <v>66</v>
      </c>
      <c r="D827" s="8">
        <v>10014</v>
      </c>
      <c r="E827" s="8" t="s">
        <v>505</v>
      </c>
      <c r="F827" s="8" t="s">
        <v>32</v>
      </c>
      <c r="G827" s="36">
        <f>VLOOKUP(E827,Flipkart!$A$1:$B$296,2,0)</f>
        <v>0.05</v>
      </c>
      <c r="H827" s="36">
        <f t="shared" ca="1" si="12"/>
        <v>0</v>
      </c>
      <c r="I827" s="36" t="str">
        <f>_xlfn.XLOOKUP(E827,'Product List'!$B$2:$B$299,'Product List'!$A$2:$A$299)</f>
        <v>Xerox 1934</v>
      </c>
      <c r="J827" s="36"/>
      <c r="K827" s="36"/>
      <c r="L827" s="36"/>
      <c r="M827" s="36"/>
      <c r="N827" s="36"/>
    </row>
    <row r="828" spans="1:14">
      <c r="A828" s="8" t="s">
        <v>875</v>
      </c>
      <c r="B828" s="19">
        <v>42034</v>
      </c>
      <c r="C828" s="8" t="s">
        <v>36</v>
      </c>
      <c r="D828" s="8">
        <v>10013</v>
      </c>
      <c r="E828" s="8" t="s">
        <v>439</v>
      </c>
      <c r="F828" s="8" t="s">
        <v>40</v>
      </c>
      <c r="G828" s="36">
        <f>VLOOKUP(E828,Flipkart!$A$1:$B$296,2,0)</f>
        <v>0.05</v>
      </c>
      <c r="H828" s="36">
        <f t="shared" ca="1" si="12"/>
        <v>0.02</v>
      </c>
      <c r="I828" s="36" t="str">
        <f>_xlfn.XLOOKUP(E828,'Product List'!$B$2:$B$299,'Product List'!$A$2:$A$299)</f>
        <v>Xerox 1919</v>
      </c>
      <c r="J828" s="36"/>
      <c r="K828" s="36"/>
      <c r="L828" s="36"/>
      <c r="M828" s="36"/>
      <c r="N828" s="36"/>
    </row>
    <row r="829" spans="1:14">
      <c r="A829" s="8" t="s">
        <v>875</v>
      </c>
      <c r="B829" s="19">
        <v>42034</v>
      </c>
      <c r="C829" s="8" t="s">
        <v>33</v>
      </c>
      <c r="D829" s="8">
        <v>10015</v>
      </c>
      <c r="E829" s="8" t="s">
        <v>195</v>
      </c>
      <c r="F829" s="8" t="s">
        <v>50</v>
      </c>
      <c r="G829" s="36">
        <f>VLOOKUP(E829,Flipkart!$A$1:$B$296,2,0)</f>
        <v>0.02</v>
      </c>
      <c r="H829" s="36">
        <f t="shared" ca="1" si="12"/>
        <v>0.04</v>
      </c>
      <c r="I829" s="36" t="str">
        <f>_xlfn.XLOOKUP(E829,'Product List'!$B$2:$B$299,'Product List'!$A$2:$A$299)</f>
        <v>Newell 335</v>
      </c>
      <c r="J829" s="36"/>
      <c r="K829" s="36"/>
      <c r="L829" s="36"/>
      <c r="M829" s="36"/>
      <c r="N829" s="36"/>
    </row>
    <row r="830" spans="1:14">
      <c r="A830" s="8" t="s">
        <v>876</v>
      </c>
      <c r="B830" s="19">
        <v>42035</v>
      </c>
      <c r="C830" s="8" t="s">
        <v>27</v>
      </c>
      <c r="D830" s="8">
        <v>10011</v>
      </c>
      <c r="E830" s="8" t="s">
        <v>877</v>
      </c>
      <c r="F830" s="8" t="s">
        <v>43</v>
      </c>
      <c r="G830" s="36">
        <f>VLOOKUP(E830,Flipkart!$A$1:$B$296,2,0)</f>
        <v>0.02</v>
      </c>
      <c r="H830" s="36">
        <f t="shared" ca="1" si="12"/>
        <v>0.05</v>
      </c>
      <c r="I830" s="36" t="str">
        <f>_xlfn.XLOOKUP(E830,'Product List'!$B$2:$B$299,'Product List'!$A$2:$A$299)</f>
        <v>Avery 484</v>
      </c>
      <c r="J830" s="36"/>
      <c r="K830" s="36"/>
      <c r="L830" s="36"/>
      <c r="M830" s="36"/>
      <c r="N830" s="36"/>
    </row>
    <row r="831" spans="1:14">
      <c r="A831" s="8" t="s">
        <v>878</v>
      </c>
      <c r="B831" s="19">
        <v>42036</v>
      </c>
      <c r="C831" s="8" t="s">
        <v>33</v>
      </c>
      <c r="D831" s="8">
        <v>10015</v>
      </c>
      <c r="E831" s="8" t="s">
        <v>474</v>
      </c>
      <c r="F831" s="8" t="s">
        <v>40</v>
      </c>
      <c r="G831" s="36">
        <f>VLOOKUP(E831,Flipkart!$A$1:$B$296,2,0)</f>
        <v>0.03</v>
      </c>
      <c r="H831" s="36">
        <f t="shared" ca="1" si="12"/>
        <v>0.02</v>
      </c>
      <c r="I831" s="36" t="str">
        <f>_xlfn.XLOOKUP(E831,'Product List'!$B$2:$B$299,'Product List'!$A$2:$A$299)</f>
        <v>Ideal Clamps</v>
      </c>
      <c r="J831" s="36"/>
      <c r="K831" s="36"/>
      <c r="L831" s="36"/>
      <c r="M831" s="36"/>
      <c r="N831" s="36"/>
    </row>
    <row r="832" spans="1:14">
      <c r="A832" s="8" t="s">
        <v>879</v>
      </c>
      <c r="B832" s="19">
        <v>42036</v>
      </c>
      <c r="C832" s="8" t="s">
        <v>66</v>
      </c>
      <c r="D832" s="8">
        <v>10001</v>
      </c>
      <c r="E832" s="8" t="s">
        <v>47</v>
      </c>
      <c r="F832" s="8" t="s">
        <v>35</v>
      </c>
      <c r="G832" s="36">
        <f>VLOOKUP(E832,Flipkart!$A$1:$B$296,2,0)</f>
        <v>0.03</v>
      </c>
      <c r="H832" s="36">
        <f t="shared" ca="1" si="12"/>
        <v>0.03</v>
      </c>
      <c r="I832" s="36" t="str">
        <f>_xlfn.XLOOKUP(E832,'Product List'!$B$2:$B$299,'Product List'!$A$2:$A$299)</f>
        <v>Xerox 1907</v>
      </c>
      <c r="J832" s="36"/>
      <c r="K832" s="36"/>
      <c r="L832" s="36"/>
      <c r="M832" s="36"/>
      <c r="N832" s="36"/>
    </row>
    <row r="833" spans="1:14">
      <c r="A833" s="8" t="s">
        <v>880</v>
      </c>
      <c r="B833" s="19">
        <v>42039</v>
      </c>
      <c r="C833" s="8" t="s">
        <v>54</v>
      </c>
      <c r="D833" s="8">
        <v>10004</v>
      </c>
      <c r="E833" s="8" t="s">
        <v>395</v>
      </c>
      <c r="F833" s="8" t="s">
        <v>43</v>
      </c>
      <c r="G833" s="36">
        <f>VLOOKUP(E833,Flipkart!$A$1:$B$296,2,0)</f>
        <v>0.03</v>
      </c>
      <c r="H833" s="36">
        <f t="shared" ca="1" si="12"/>
        <v>0</v>
      </c>
      <c r="I833" s="36" t="str">
        <f>_xlfn.XLOOKUP(E833,'Product List'!$B$2:$B$299,'Product List'!$A$2:$A$299)</f>
        <v>Xerox 1883</v>
      </c>
      <c r="J833" s="36"/>
      <c r="K833" s="36"/>
      <c r="L833" s="36"/>
      <c r="M833" s="36"/>
      <c r="N833" s="36"/>
    </row>
    <row r="834" spans="1:14">
      <c r="A834" s="8" t="s">
        <v>880</v>
      </c>
      <c r="B834" s="19">
        <v>42039</v>
      </c>
      <c r="C834" s="8" t="s">
        <v>27</v>
      </c>
      <c r="D834" s="8">
        <v>10004</v>
      </c>
      <c r="E834" s="8" t="s">
        <v>206</v>
      </c>
      <c r="F834" s="8" t="s">
        <v>50</v>
      </c>
      <c r="G834" s="36">
        <f>VLOOKUP(E834,Flipkart!$A$1:$B$296,2,0)</f>
        <v>0</v>
      </c>
      <c r="H834" s="36">
        <f t="shared" ca="1" si="12"/>
        <v>0</v>
      </c>
      <c r="I834" s="36" t="str">
        <f>_xlfn.XLOOKUP(E834,'Product List'!$B$2:$B$299,'Product List'!$A$2:$A$299)</f>
        <v>Xerox 1973</v>
      </c>
      <c r="J834" s="36"/>
      <c r="K834" s="36"/>
      <c r="L834" s="36"/>
      <c r="M834" s="36"/>
      <c r="N834" s="36"/>
    </row>
    <row r="835" spans="1:14">
      <c r="A835" s="8" t="s">
        <v>881</v>
      </c>
      <c r="B835" s="19">
        <v>42040</v>
      </c>
      <c r="C835" s="8" t="s">
        <v>33</v>
      </c>
      <c r="D835" s="8">
        <v>10002</v>
      </c>
      <c r="E835" s="8" t="s">
        <v>882</v>
      </c>
      <c r="F835" s="8" t="s">
        <v>50</v>
      </c>
      <c r="G835" s="36">
        <f>VLOOKUP(E835,Flipkart!$A$1:$B$296,2,0)</f>
        <v>0.02</v>
      </c>
      <c r="H835" s="36">
        <f t="shared" ca="1" si="12"/>
        <v>0.04</v>
      </c>
      <c r="I835" s="36" t="str">
        <f>_xlfn.XLOOKUP(E835,'Product List'!$B$2:$B$299,'Product List'!$A$2:$A$299)</f>
        <v>Xerox 1935</v>
      </c>
      <c r="J835" s="36"/>
      <c r="K835" s="36"/>
      <c r="L835" s="36"/>
      <c r="M835" s="36"/>
      <c r="N835" s="36"/>
    </row>
    <row r="836" spans="1:14">
      <c r="A836" s="8" t="s">
        <v>883</v>
      </c>
      <c r="B836" s="19">
        <v>42040</v>
      </c>
      <c r="C836" s="8" t="s">
        <v>51</v>
      </c>
      <c r="D836" s="8">
        <v>10015</v>
      </c>
      <c r="E836" s="8" t="s">
        <v>487</v>
      </c>
      <c r="F836" s="8" t="s">
        <v>32</v>
      </c>
      <c r="G836" s="36">
        <f>VLOOKUP(E836,Flipkart!$A$1:$B$296,2,0)</f>
        <v>0.05</v>
      </c>
      <c r="H836" s="36">
        <f t="shared" ref="H836:H899" ca="1" si="13">VLOOKUP(E836,INDIRECT(F836&amp;"!$A$1:$B$296"),2,0)</f>
        <v>0.03</v>
      </c>
      <c r="I836" s="36" t="str">
        <f>_xlfn.XLOOKUP(E836,'Product List'!$B$2:$B$299,'Product List'!$A$2:$A$299)</f>
        <v>Xerox 1949</v>
      </c>
      <c r="J836" s="36"/>
      <c r="K836" s="36"/>
      <c r="L836" s="36"/>
      <c r="M836" s="36"/>
      <c r="N836" s="36"/>
    </row>
    <row r="837" spans="1:14">
      <c r="A837" s="8" t="s">
        <v>883</v>
      </c>
      <c r="B837" s="19">
        <v>42040</v>
      </c>
      <c r="C837" s="8" t="s">
        <v>46</v>
      </c>
      <c r="D837" s="8">
        <v>10009</v>
      </c>
      <c r="E837" s="8" t="s">
        <v>158</v>
      </c>
      <c r="F837" s="8" t="s">
        <v>50</v>
      </c>
      <c r="G837" s="36">
        <f>VLOOKUP(E837,Flipkart!$A$1:$B$296,2,0)</f>
        <v>0.05</v>
      </c>
      <c r="H837" s="36">
        <f t="shared" ca="1" si="13"/>
        <v>0.03</v>
      </c>
      <c r="I837" s="36" t="str">
        <f>_xlfn.XLOOKUP(E837,'Product List'!$B$2:$B$299,'Product List'!$A$2:$A$299)</f>
        <v>Vtech CS6719</v>
      </c>
      <c r="J837" s="36"/>
      <c r="K837" s="36"/>
      <c r="L837" s="36"/>
      <c r="M837" s="36"/>
      <c r="N837" s="36"/>
    </row>
    <row r="838" spans="1:14">
      <c r="A838" s="8" t="s">
        <v>884</v>
      </c>
      <c r="B838" s="19">
        <v>42041</v>
      </c>
      <c r="C838" s="8" t="s">
        <v>51</v>
      </c>
      <c r="D838" s="8">
        <v>10003</v>
      </c>
      <c r="E838" s="8" t="s">
        <v>145</v>
      </c>
      <c r="F838" s="8" t="s">
        <v>35</v>
      </c>
      <c r="G838" s="36">
        <f>VLOOKUP(E838,Flipkart!$A$1:$B$296,2,0)</f>
        <v>0</v>
      </c>
      <c r="H838" s="36">
        <f t="shared" ca="1" si="13"/>
        <v>0</v>
      </c>
      <c r="I838" s="36" t="str">
        <f>_xlfn.XLOOKUP(E838,'Product List'!$B$2:$B$299,'Product List'!$A$2:$A$299)</f>
        <v>Xerox 1913</v>
      </c>
      <c r="J838" s="36"/>
      <c r="K838" s="36"/>
      <c r="L838" s="36"/>
      <c r="M838" s="36"/>
      <c r="N838" s="36"/>
    </row>
    <row r="839" spans="1:14">
      <c r="A839" s="8" t="s">
        <v>885</v>
      </c>
      <c r="B839" s="19">
        <v>42041</v>
      </c>
      <c r="C839" s="8" t="s">
        <v>46</v>
      </c>
      <c r="D839" s="8">
        <v>10003</v>
      </c>
      <c r="E839" s="8" t="s">
        <v>541</v>
      </c>
      <c r="F839" s="8" t="s">
        <v>40</v>
      </c>
      <c r="G839" s="36">
        <f>VLOOKUP(E839,Flipkart!$A$1:$B$296,2,0)</f>
        <v>0</v>
      </c>
      <c r="H839" s="36">
        <f t="shared" ca="1" si="13"/>
        <v>0.01</v>
      </c>
      <c r="I839" s="36" t="str">
        <f>_xlfn.XLOOKUP(E839,'Product List'!$B$2:$B$299,'Product List'!$A$2:$A$299)</f>
        <v>Xerox 221</v>
      </c>
      <c r="J839" s="36"/>
      <c r="K839" s="36"/>
      <c r="L839" s="36"/>
      <c r="M839" s="36"/>
      <c r="N839" s="36"/>
    </row>
    <row r="840" spans="1:14">
      <c r="A840" s="8" t="s">
        <v>884</v>
      </c>
      <c r="B840" s="19">
        <v>42041</v>
      </c>
      <c r="C840" s="8" t="s">
        <v>54</v>
      </c>
      <c r="D840" s="8">
        <v>10004</v>
      </c>
      <c r="E840" s="8" t="s">
        <v>84</v>
      </c>
      <c r="F840" s="8" t="s">
        <v>50</v>
      </c>
      <c r="G840" s="36">
        <f>VLOOKUP(E840,Flipkart!$A$1:$B$296,2,0)</f>
        <v>0.01</v>
      </c>
      <c r="H840" s="36">
        <f t="shared" ca="1" si="13"/>
        <v>0.01</v>
      </c>
      <c r="I840" s="36" t="str">
        <f>_xlfn.XLOOKUP(E840,'Product List'!$B$2:$B$299,'Product List'!$A$2:$A$299)</f>
        <v>Xerox 1979</v>
      </c>
      <c r="J840" s="36"/>
      <c r="K840" s="36"/>
      <c r="L840" s="36"/>
      <c r="M840" s="36"/>
      <c r="N840" s="36"/>
    </row>
    <row r="841" spans="1:14">
      <c r="A841" s="8" t="s">
        <v>886</v>
      </c>
      <c r="B841" s="19">
        <v>42042</v>
      </c>
      <c r="C841" s="8" t="s">
        <v>44</v>
      </c>
      <c r="D841" s="8">
        <v>10002</v>
      </c>
      <c r="E841" s="8" t="s">
        <v>861</v>
      </c>
      <c r="F841" s="8" t="s">
        <v>32</v>
      </c>
      <c r="G841" s="36">
        <f>VLOOKUP(E841,Flipkart!$A$1:$B$296,2,0)</f>
        <v>0.03</v>
      </c>
      <c r="H841" s="36">
        <f t="shared" ca="1" si="13"/>
        <v>0.02</v>
      </c>
      <c r="I841" s="36" t="str">
        <f>_xlfn.XLOOKUP(E841,'Product List'!$B$2:$B$299,'Product List'!$A$2:$A$299)</f>
        <v>Xerox 20</v>
      </c>
      <c r="J841" s="36"/>
      <c r="K841" s="36"/>
      <c r="L841" s="36"/>
      <c r="M841" s="36"/>
      <c r="N841" s="36"/>
    </row>
    <row r="842" spans="1:14">
      <c r="A842" s="8" t="s">
        <v>887</v>
      </c>
      <c r="B842" s="19">
        <v>42044</v>
      </c>
      <c r="C842" s="8" t="s">
        <v>36</v>
      </c>
      <c r="D842" s="8">
        <v>10002</v>
      </c>
      <c r="E842" s="8" t="s">
        <v>256</v>
      </c>
      <c r="F842" s="8" t="s">
        <v>40</v>
      </c>
      <c r="G842" s="36">
        <f>VLOOKUP(E842,Flipkart!$A$1:$B$296,2,0)</f>
        <v>0.04</v>
      </c>
      <c r="H842" s="36">
        <f t="shared" ca="1" si="13"/>
        <v>0</v>
      </c>
      <c r="I842" s="36" t="str">
        <f>_xlfn.XLOOKUP(E842,'Product List'!$B$2:$B$299,'Product List'!$A$2:$A$299)</f>
        <v>Newell 313</v>
      </c>
      <c r="J842" s="36"/>
      <c r="K842" s="36"/>
      <c r="L842" s="36"/>
      <c r="M842" s="36"/>
      <c r="N842" s="36"/>
    </row>
    <row r="843" spans="1:14">
      <c r="A843" s="8" t="s">
        <v>887</v>
      </c>
      <c r="B843" s="19">
        <v>42044</v>
      </c>
      <c r="C843" s="8" t="s">
        <v>51</v>
      </c>
      <c r="D843" s="8">
        <v>10005</v>
      </c>
      <c r="E843" s="8" t="s">
        <v>515</v>
      </c>
      <c r="F843" s="8" t="s">
        <v>35</v>
      </c>
      <c r="G843" s="36">
        <f>VLOOKUP(E843,Flipkart!$A$1:$B$296,2,0)</f>
        <v>0.05</v>
      </c>
      <c r="H843" s="36">
        <f t="shared" ca="1" si="13"/>
        <v>0.05</v>
      </c>
      <c r="I843" s="36" t="str">
        <f>_xlfn.XLOOKUP(E843,'Product List'!$B$2:$B$299,'Product List'!$A$2:$A$299)</f>
        <v>Staple holder</v>
      </c>
      <c r="J843" s="36"/>
      <c r="K843" s="36"/>
      <c r="L843" s="36"/>
      <c r="M843" s="36"/>
      <c r="N843" s="36"/>
    </row>
    <row r="844" spans="1:14">
      <c r="A844" s="8" t="s">
        <v>888</v>
      </c>
      <c r="B844" s="19">
        <v>42045</v>
      </c>
      <c r="C844" s="8" t="s">
        <v>36</v>
      </c>
      <c r="D844" s="8">
        <v>10005</v>
      </c>
      <c r="E844" s="8" t="s">
        <v>322</v>
      </c>
      <c r="F844" s="8" t="s">
        <v>50</v>
      </c>
      <c r="G844" s="36">
        <f>VLOOKUP(E844,Flipkart!$A$1:$B$296,2,0)</f>
        <v>0.05</v>
      </c>
      <c r="H844" s="36">
        <f t="shared" ca="1" si="13"/>
        <v>0.01</v>
      </c>
      <c r="I844" s="36" t="str">
        <f>_xlfn.XLOOKUP(E844,'Product List'!$B$2:$B$299,'Product List'!$A$2:$A$299)</f>
        <v>Xerox 1966</v>
      </c>
      <c r="J844" s="36"/>
      <c r="K844" s="36"/>
      <c r="L844" s="36"/>
      <c r="M844" s="36"/>
      <c r="N844" s="36"/>
    </row>
    <row r="845" spans="1:14">
      <c r="A845" s="8" t="s">
        <v>889</v>
      </c>
      <c r="B845" s="19">
        <v>42046</v>
      </c>
      <c r="C845" s="8" t="s">
        <v>27</v>
      </c>
      <c r="D845" s="8">
        <v>10004</v>
      </c>
      <c r="E845" s="8" t="s">
        <v>760</v>
      </c>
      <c r="F845" s="8" t="s">
        <v>29</v>
      </c>
      <c r="G845" s="36">
        <f>VLOOKUP(E845,Flipkart!$A$1:$B$296,2,0)</f>
        <v>0.02</v>
      </c>
      <c r="H845" s="36">
        <f t="shared" ca="1" si="13"/>
        <v>0.04</v>
      </c>
      <c r="I845" s="36" t="str">
        <f>_xlfn.XLOOKUP(E845,'Product List'!$B$2:$B$299,'Product List'!$A$2:$A$299)</f>
        <v>Xerox 1898</v>
      </c>
      <c r="J845" s="36"/>
      <c r="K845" s="36"/>
      <c r="L845" s="36"/>
      <c r="M845" s="36"/>
      <c r="N845" s="36"/>
    </row>
    <row r="846" spans="1:14">
      <c r="A846" s="8" t="s">
        <v>890</v>
      </c>
      <c r="B846" s="19">
        <v>42047</v>
      </c>
      <c r="C846" s="8" t="s">
        <v>46</v>
      </c>
      <c r="D846" s="8">
        <v>10010</v>
      </c>
      <c r="E846" s="8" t="s">
        <v>291</v>
      </c>
      <c r="F846" s="8" t="s">
        <v>50</v>
      </c>
      <c r="G846" s="36">
        <f>VLOOKUP(E846,Flipkart!$A$1:$B$296,2,0)</f>
        <v>0.03</v>
      </c>
      <c r="H846" s="36">
        <f t="shared" ca="1" si="13"/>
        <v>0.01</v>
      </c>
      <c r="I846" s="36" t="str">
        <f>_xlfn.XLOOKUP(E846,'Product List'!$B$2:$B$299,'Product List'!$A$2:$A$299)</f>
        <v>Xerox 1990</v>
      </c>
      <c r="J846" s="36"/>
      <c r="K846" s="36"/>
      <c r="L846" s="36"/>
      <c r="M846" s="36"/>
      <c r="N846" s="36"/>
    </row>
    <row r="847" spans="1:14">
      <c r="A847" s="8" t="s">
        <v>891</v>
      </c>
      <c r="B847" s="19">
        <v>42048</v>
      </c>
      <c r="C847" s="8" t="s">
        <v>33</v>
      </c>
      <c r="D847" s="8">
        <v>10010</v>
      </c>
      <c r="E847" s="8" t="s">
        <v>116</v>
      </c>
      <c r="F847" s="8" t="s">
        <v>50</v>
      </c>
      <c r="G847" s="36">
        <f>VLOOKUP(E847,Flipkart!$A$1:$B$296,2,0)</f>
        <v>0.02</v>
      </c>
      <c r="H847" s="36">
        <f t="shared" ca="1" si="13"/>
        <v>0.04</v>
      </c>
      <c r="I847" s="36" t="str">
        <f>_xlfn.XLOOKUP(E847,'Product List'!$B$2:$B$299,'Product List'!$A$2:$A$299)</f>
        <v>Newell 326</v>
      </c>
      <c r="J847" s="36"/>
      <c r="K847" s="36"/>
      <c r="L847" s="36"/>
      <c r="M847" s="36"/>
      <c r="N847" s="36"/>
    </row>
    <row r="848" spans="1:14">
      <c r="A848" s="8" t="s">
        <v>891</v>
      </c>
      <c r="B848" s="19">
        <v>42048</v>
      </c>
      <c r="C848" s="8" t="s">
        <v>51</v>
      </c>
      <c r="D848" s="8">
        <v>10009</v>
      </c>
      <c r="E848" s="8" t="s">
        <v>892</v>
      </c>
      <c r="F848" s="8" t="s">
        <v>29</v>
      </c>
      <c r="G848" s="36">
        <f>VLOOKUP(E848,Flipkart!$A$1:$B$296,2,0)</f>
        <v>0.04</v>
      </c>
      <c r="H848" s="36">
        <f t="shared" ca="1" si="13"/>
        <v>0.04</v>
      </c>
      <c r="I848" s="36" t="str">
        <f>_xlfn.XLOOKUP(E848,'Product List'!$B$2:$B$299,'Product List'!$A$2:$A$299)</f>
        <v>Avery 515</v>
      </c>
      <c r="J848" s="36"/>
      <c r="K848" s="36"/>
      <c r="L848" s="36"/>
      <c r="M848" s="36"/>
      <c r="N848" s="36"/>
    </row>
    <row r="849" spans="1:14">
      <c r="A849" s="8" t="s">
        <v>891</v>
      </c>
      <c r="B849" s="19">
        <v>42048</v>
      </c>
      <c r="C849" s="8" t="s">
        <v>51</v>
      </c>
      <c r="D849" s="8">
        <v>10003</v>
      </c>
      <c r="E849" s="8" t="s">
        <v>247</v>
      </c>
      <c r="F849" s="8" t="s">
        <v>29</v>
      </c>
      <c r="G849" s="36">
        <f>VLOOKUP(E849,Flipkart!$A$1:$B$296,2,0)</f>
        <v>0.01</v>
      </c>
      <c r="H849" s="36">
        <f t="shared" ca="1" si="13"/>
        <v>0.02</v>
      </c>
      <c r="I849" s="36" t="str">
        <f>_xlfn.XLOOKUP(E849,'Product List'!$B$2:$B$299,'Product List'!$A$2:$A$299)</f>
        <v>Newell 329</v>
      </c>
      <c r="J849" s="36"/>
      <c r="K849" s="36"/>
      <c r="L849" s="36"/>
      <c r="M849" s="36"/>
      <c r="N849" s="36"/>
    </row>
    <row r="850" spans="1:14">
      <c r="A850" s="8" t="s">
        <v>893</v>
      </c>
      <c r="B850" s="19">
        <v>42049</v>
      </c>
      <c r="C850" s="8" t="s">
        <v>66</v>
      </c>
      <c r="D850" s="8">
        <v>10004</v>
      </c>
      <c r="E850" s="8" t="s">
        <v>303</v>
      </c>
      <c r="F850" s="8" t="s">
        <v>35</v>
      </c>
      <c r="G850" s="36">
        <f>VLOOKUP(E850,Flipkart!$A$1:$B$296,2,0)</f>
        <v>0.01</v>
      </c>
      <c r="H850" s="36">
        <f t="shared" ca="1" si="13"/>
        <v>0.01</v>
      </c>
      <c r="I850" s="36" t="str">
        <f>_xlfn.XLOOKUP(E850,'Product List'!$B$2:$B$299,'Product List'!$A$2:$A$299)</f>
        <v>Xerox 1885</v>
      </c>
      <c r="J850" s="36"/>
      <c r="K850" s="36"/>
      <c r="L850" s="36"/>
      <c r="M850" s="36"/>
      <c r="N850" s="36"/>
    </row>
    <row r="851" spans="1:14">
      <c r="A851" s="8" t="s">
        <v>894</v>
      </c>
      <c r="B851" s="19">
        <v>42051</v>
      </c>
      <c r="C851" s="8" t="s">
        <v>66</v>
      </c>
      <c r="D851" s="8">
        <v>10007</v>
      </c>
      <c r="E851" s="8" t="s">
        <v>86</v>
      </c>
      <c r="F851" s="8" t="s">
        <v>43</v>
      </c>
      <c r="G851" s="36">
        <f>VLOOKUP(E851,Flipkart!$A$1:$B$296,2,0)</f>
        <v>0</v>
      </c>
      <c r="H851" s="36">
        <f t="shared" ca="1" si="13"/>
        <v>0.04</v>
      </c>
      <c r="I851" s="36" t="str">
        <f>_xlfn.XLOOKUP(E851,'Product List'!$B$2:$B$299,'Product List'!$A$2:$A$299)</f>
        <v>Newell 316</v>
      </c>
      <c r="J851" s="36"/>
      <c r="K851" s="36"/>
      <c r="L851" s="36"/>
      <c r="M851" s="36"/>
      <c r="N851" s="36"/>
    </row>
    <row r="852" spans="1:14">
      <c r="A852" s="8" t="s">
        <v>895</v>
      </c>
      <c r="B852" s="19">
        <v>42052</v>
      </c>
      <c r="C852" s="8" t="s">
        <v>46</v>
      </c>
      <c r="D852" s="8">
        <v>10006</v>
      </c>
      <c r="E852" s="8" t="s">
        <v>355</v>
      </c>
      <c r="F852" s="8" t="s">
        <v>43</v>
      </c>
      <c r="G852" s="36">
        <f>VLOOKUP(E852,Flipkart!$A$1:$B$296,2,0)</f>
        <v>0.01</v>
      </c>
      <c r="H852" s="36">
        <f t="shared" ca="1" si="13"/>
        <v>0.02</v>
      </c>
      <c r="I852" s="36" t="str">
        <f>_xlfn.XLOOKUP(E852,'Product List'!$B$2:$B$299,'Product List'!$A$2:$A$299)</f>
        <v>Avery 51</v>
      </c>
      <c r="J852" s="36"/>
      <c r="K852" s="36"/>
      <c r="L852" s="36"/>
      <c r="M852" s="36"/>
      <c r="N852" s="36"/>
    </row>
    <row r="853" spans="1:14">
      <c r="A853" s="8" t="s">
        <v>895</v>
      </c>
      <c r="B853" s="19">
        <v>42052</v>
      </c>
      <c r="C853" s="8" t="s">
        <v>27</v>
      </c>
      <c r="D853" s="8">
        <v>10015</v>
      </c>
      <c r="E853" s="8" t="s">
        <v>406</v>
      </c>
      <c r="F853" s="8" t="s">
        <v>43</v>
      </c>
      <c r="G853" s="36">
        <f>VLOOKUP(E853,Flipkart!$A$1:$B$296,2,0)</f>
        <v>0.01</v>
      </c>
      <c r="H853" s="36">
        <f t="shared" ca="1" si="13"/>
        <v>0.04</v>
      </c>
      <c r="I853" s="36" t="str">
        <f>_xlfn.XLOOKUP(E853,'Product List'!$B$2:$B$299,'Product List'!$A$2:$A$299)</f>
        <v>Xerox 198</v>
      </c>
      <c r="J853" s="36"/>
      <c r="K853" s="36"/>
      <c r="L853" s="36"/>
      <c r="M853" s="36"/>
      <c r="N853" s="36"/>
    </row>
    <row r="854" spans="1:14">
      <c r="A854" s="8" t="s">
        <v>896</v>
      </c>
      <c r="B854" s="19">
        <v>42052</v>
      </c>
      <c r="C854" s="8" t="s">
        <v>51</v>
      </c>
      <c r="D854" s="8">
        <v>10011</v>
      </c>
      <c r="E854" s="8" t="s">
        <v>391</v>
      </c>
      <c r="F854" s="8" t="s">
        <v>29</v>
      </c>
      <c r="G854" s="36">
        <f>VLOOKUP(E854,Flipkart!$A$1:$B$296,2,0)</f>
        <v>0.04</v>
      </c>
      <c r="H854" s="36">
        <f t="shared" ca="1" si="13"/>
        <v>0.03</v>
      </c>
      <c r="I854" s="36" t="str">
        <f>_xlfn.XLOOKUP(E854,'Product List'!$B$2:$B$299,'Product List'!$A$2:$A$299)</f>
        <v>Xerox 1958</v>
      </c>
      <c r="J854" s="36"/>
      <c r="K854" s="36"/>
      <c r="L854" s="36"/>
      <c r="M854" s="36"/>
      <c r="N854" s="36"/>
    </row>
    <row r="855" spans="1:14">
      <c r="A855" s="8" t="s">
        <v>897</v>
      </c>
      <c r="B855" s="19">
        <v>42053</v>
      </c>
      <c r="C855" s="8" t="s">
        <v>36</v>
      </c>
      <c r="D855" s="8">
        <v>10011</v>
      </c>
      <c r="E855" s="8" t="s">
        <v>103</v>
      </c>
      <c r="F855" s="8" t="s">
        <v>40</v>
      </c>
      <c r="G855" s="36">
        <f>VLOOKUP(E855,Flipkart!$A$1:$B$296,2,0)</f>
        <v>0.04</v>
      </c>
      <c r="H855" s="36">
        <f t="shared" ca="1" si="13"/>
        <v>0.04</v>
      </c>
      <c r="I855" s="36" t="str">
        <f>_xlfn.XLOOKUP(E855,'Product List'!$B$2:$B$299,'Product List'!$A$2:$A$299)</f>
        <v>Xerox 1981</v>
      </c>
      <c r="J855" s="36"/>
      <c r="K855" s="36"/>
      <c r="L855" s="36"/>
      <c r="M855" s="36"/>
      <c r="N855" s="36"/>
    </row>
    <row r="856" spans="1:14">
      <c r="A856" s="8" t="s">
        <v>898</v>
      </c>
      <c r="B856" s="19">
        <v>42053</v>
      </c>
      <c r="C856" s="8" t="s">
        <v>44</v>
      </c>
      <c r="D856" s="8">
        <v>10013</v>
      </c>
      <c r="E856" s="8" t="s">
        <v>223</v>
      </c>
      <c r="F856" s="8" t="s">
        <v>43</v>
      </c>
      <c r="G856" s="36">
        <f>VLOOKUP(E856,Flipkart!$A$1:$B$296,2,0)</f>
        <v>0</v>
      </c>
      <c r="H856" s="36">
        <f t="shared" ca="1" si="13"/>
        <v>0.01</v>
      </c>
      <c r="I856" s="36" t="str">
        <f>_xlfn.XLOOKUP(E856,'Product List'!$B$2:$B$299,'Product List'!$A$2:$A$299)</f>
        <v>Avery 513</v>
      </c>
      <c r="J856" s="36"/>
      <c r="K856" s="36"/>
      <c r="L856" s="36"/>
      <c r="M856" s="36"/>
      <c r="N856" s="36"/>
    </row>
    <row r="857" spans="1:14">
      <c r="A857" s="8" t="s">
        <v>898</v>
      </c>
      <c r="B857" s="19">
        <v>42053</v>
      </c>
      <c r="C857" s="8" t="s">
        <v>27</v>
      </c>
      <c r="D857" s="8">
        <v>10007</v>
      </c>
      <c r="E857" s="8" t="s">
        <v>524</v>
      </c>
      <c r="F857" s="8" t="s">
        <v>40</v>
      </c>
      <c r="G857" s="36">
        <f>VLOOKUP(E857,Flipkart!$A$1:$B$296,2,0)</f>
        <v>0.02</v>
      </c>
      <c r="H857" s="36">
        <f t="shared" ca="1" si="13"/>
        <v>0.02</v>
      </c>
      <c r="I857" s="36" t="str">
        <f>_xlfn.XLOOKUP(E857,'Product List'!$B$2:$B$299,'Product List'!$A$2:$A$299)</f>
        <v>Avery 495</v>
      </c>
      <c r="J857" s="36"/>
      <c r="K857" s="36"/>
      <c r="L857" s="36"/>
      <c r="M857" s="36"/>
      <c r="N857" s="36"/>
    </row>
    <row r="858" spans="1:14">
      <c r="A858" s="8" t="s">
        <v>899</v>
      </c>
      <c r="B858" s="19">
        <v>42053</v>
      </c>
      <c r="C858" s="8" t="s">
        <v>46</v>
      </c>
      <c r="D858" s="8">
        <v>10015</v>
      </c>
      <c r="E858" s="8" t="s">
        <v>208</v>
      </c>
      <c r="F858" s="8" t="s">
        <v>35</v>
      </c>
      <c r="G858" s="36">
        <f>VLOOKUP(E858,Flipkart!$A$1:$B$296,2,0)</f>
        <v>0</v>
      </c>
      <c r="H858" s="36">
        <f t="shared" ca="1" si="13"/>
        <v>0</v>
      </c>
      <c r="I858" s="36" t="str">
        <f>_xlfn.XLOOKUP(E858,'Product List'!$B$2:$B$299,'Product List'!$A$2:$A$299)</f>
        <v>Xerox 1928</v>
      </c>
      <c r="J858" s="36"/>
      <c r="K858" s="36"/>
      <c r="L858" s="36"/>
      <c r="M858" s="36"/>
      <c r="N858" s="36"/>
    </row>
    <row r="859" spans="1:14">
      <c r="A859" s="8" t="s">
        <v>899</v>
      </c>
      <c r="B859" s="19">
        <v>42053</v>
      </c>
      <c r="C859" s="8" t="s">
        <v>33</v>
      </c>
      <c r="D859" s="8">
        <v>10010</v>
      </c>
      <c r="E859" s="8" t="s">
        <v>877</v>
      </c>
      <c r="F859" s="8" t="s">
        <v>35</v>
      </c>
      <c r="G859" s="36">
        <f>VLOOKUP(E859,Flipkart!$A$1:$B$296,2,0)</f>
        <v>0.02</v>
      </c>
      <c r="H859" s="36">
        <f t="shared" ca="1" si="13"/>
        <v>0.02</v>
      </c>
      <c r="I859" s="36" t="str">
        <f>_xlfn.XLOOKUP(E859,'Product List'!$B$2:$B$299,'Product List'!$A$2:$A$299)</f>
        <v>Avery 484</v>
      </c>
      <c r="J859" s="36"/>
      <c r="K859" s="36"/>
      <c r="L859" s="36"/>
      <c r="M859" s="36"/>
      <c r="N859" s="36"/>
    </row>
    <row r="860" spans="1:14">
      <c r="A860" s="8" t="s">
        <v>898</v>
      </c>
      <c r="B860" s="19">
        <v>42053</v>
      </c>
      <c r="C860" s="8" t="s">
        <v>46</v>
      </c>
      <c r="D860" s="8">
        <v>10003</v>
      </c>
      <c r="E860" s="8" t="s">
        <v>729</v>
      </c>
      <c r="F860" s="8" t="s">
        <v>32</v>
      </c>
      <c r="G860" s="36">
        <f>VLOOKUP(E860,Flipkart!$A$1:$B$296,2,0)</f>
        <v>0</v>
      </c>
      <c r="H860" s="36">
        <f t="shared" ca="1" si="13"/>
        <v>0.04</v>
      </c>
      <c r="I860" s="36" t="str">
        <f>_xlfn.XLOOKUP(E860,'Product List'!$B$2:$B$299,'Product List'!$A$2:$A$299)</f>
        <v>Newell 324</v>
      </c>
      <c r="J860" s="36"/>
      <c r="K860" s="36"/>
      <c r="L860" s="36"/>
      <c r="M860" s="36"/>
      <c r="N860" s="36"/>
    </row>
    <row r="861" spans="1:14">
      <c r="A861" s="8" t="s">
        <v>900</v>
      </c>
      <c r="B861" s="19">
        <v>42054</v>
      </c>
      <c r="C861" s="8" t="s">
        <v>27</v>
      </c>
      <c r="D861" s="8">
        <v>10002</v>
      </c>
      <c r="E861" s="8" t="s">
        <v>94</v>
      </c>
      <c r="F861" s="8" t="s">
        <v>40</v>
      </c>
      <c r="G861" s="36">
        <f>VLOOKUP(E861,Flipkart!$A$1:$B$296,2,0)</f>
        <v>0.03</v>
      </c>
      <c r="H861" s="36">
        <f t="shared" ca="1" si="13"/>
        <v>0.05</v>
      </c>
      <c r="I861" s="36" t="str">
        <f>_xlfn.XLOOKUP(E861,'Product List'!$B$2:$B$299,'Product List'!$A$2:$A$299)</f>
        <v>Xerox 191</v>
      </c>
      <c r="J861" s="36"/>
      <c r="K861" s="36"/>
      <c r="L861" s="36"/>
      <c r="M861" s="36"/>
      <c r="N861" s="36"/>
    </row>
    <row r="862" spans="1:14">
      <c r="A862" s="8" t="s">
        <v>900</v>
      </c>
      <c r="B862" s="19">
        <v>42054</v>
      </c>
      <c r="C862" s="8" t="s">
        <v>54</v>
      </c>
      <c r="D862" s="8">
        <v>10009</v>
      </c>
      <c r="E862" s="8" t="s">
        <v>406</v>
      </c>
      <c r="F862" s="8" t="s">
        <v>35</v>
      </c>
      <c r="G862" s="36">
        <f>VLOOKUP(E862,Flipkart!$A$1:$B$296,2,0)</f>
        <v>0.01</v>
      </c>
      <c r="H862" s="36">
        <f t="shared" ca="1" si="13"/>
        <v>0.01</v>
      </c>
      <c r="I862" s="36" t="str">
        <f>_xlfn.XLOOKUP(E862,'Product List'!$B$2:$B$299,'Product List'!$A$2:$A$299)</f>
        <v>Xerox 198</v>
      </c>
      <c r="J862" s="36"/>
      <c r="K862" s="36"/>
      <c r="L862" s="36"/>
      <c r="M862" s="36"/>
      <c r="N862" s="36"/>
    </row>
    <row r="863" spans="1:14">
      <c r="A863" s="8" t="s">
        <v>901</v>
      </c>
      <c r="B863" s="19">
        <v>42057</v>
      </c>
      <c r="C863" s="8" t="s">
        <v>66</v>
      </c>
      <c r="D863" s="8">
        <v>10014</v>
      </c>
      <c r="E863" s="8" t="s">
        <v>149</v>
      </c>
      <c r="F863" s="8" t="s">
        <v>29</v>
      </c>
      <c r="G863" s="36">
        <f>VLOOKUP(E863,Flipkart!$A$1:$B$296,2,0)</f>
        <v>0.05</v>
      </c>
      <c r="H863" s="36">
        <f t="shared" ca="1" si="13"/>
        <v>0.03</v>
      </c>
      <c r="I863" s="36" t="str">
        <f>_xlfn.XLOOKUP(E863,'Product List'!$B$2:$B$299,'Product List'!$A$2:$A$299)</f>
        <v>Xerox 1992</v>
      </c>
      <c r="J863" s="36"/>
      <c r="K863" s="36"/>
      <c r="L863" s="36"/>
      <c r="M863" s="36"/>
      <c r="N863" s="36"/>
    </row>
    <row r="864" spans="1:14">
      <c r="A864" s="8" t="s">
        <v>901</v>
      </c>
      <c r="B864" s="19">
        <v>42057</v>
      </c>
      <c r="C864" s="8" t="s">
        <v>27</v>
      </c>
      <c r="D864" s="8">
        <v>10012</v>
      </c>
      <c r="E864" s="8" t="s">
        <v>432</v>
      </c>
      <c r="F864" s="8" t="s">
        <v>43</v>
      </c>
      <c r="G864" s="36">
        <f>VLOOKUP(E864,Flipkart!$A$1:$B$296,2,0)</f>
        <v>0.04</v>
      </c>
      <c r="H864" s="36">
        <f t="shared" ca="1" si="13"/>
        <v>0.02</v>
      </c>
      <c r="I864" s="36" t="str">
        <f>_xlfn.XLOOKUP(E864,'Product List'!$B$2:$B$299,'Product List'!$A$2:$A$299)</f>
        <v>Avery 476</v>
      </c>
      <c r="J864" s="36"/>
      <c r="K864" s="36"/>
      <c r="L864" s="36"/>
      <c r="M864" s="36"/>
      <c r="N864" s="36"/>
    </row>
    <row r="865" spans="1:14">
      <c r="A865" s="8" t="s">
        <v>902</v>
      </c>
      <c r="B865" s="19">
        <v>42062</v>
      </c>
      <c r="C865" s="8" t="s">
        <v>36</v>
      </c>
      <c r="D865" s="8">
        <v>10010</v>
      </c>
      <c r="E865" s="8" t="s">
        <v>218</v>
      </c>
      <c r="F865" s="8" t="s">
        <v>40</v>
      </c>
      <c r="G865" s="36">
        <f>VLOOKUP(E865,Flipkart!$A$1:$B$296,2,0)</f>
        <v>0.05</v>
      </c>
      <c r="H865" s="36">
        <f t="shared" ca="1" si="13"/>
        <v>0.05</v>
      </c>
      <c r="I865" s="36" t="str">
        <f>_xlfn.XLOOKUP(E865,'Product List'!$B$2:$B$299,'Product List'!$A$2:$A$299)</f>
        <v>Avery 509</v>
      </c>
      <c r="J865" s="36"/>
      <c r="K865" s="36"/>
      <c r="L865" s="36"/>
      <c r="M865" s="36"/>
      <c r="N865" s="36"/>
    </row>
    <row r="866" spans="1:14">
      <c r="A866" s="8" t="s">
        <v>903</v>
      </c>
      <c r="B866" s="19">
        <v>42063</v>
      </c>
      <c r="C866" s="8" t="s">
        <v>54</v>
      </c>
      <c r="D866" s="8">
        <v>10001</v>
      </c>
      <c r="E866" s="8" t="s">
        <v>640</v>
      </c>
      <c r="F866" s="8" t="s">
        <v>32</v>
      </c>
      <c r="G866" s="36">
        <f>VLOOKUP(E866,Flipkart!$A$1:$B$296,2,0)</f>
        <v>0.05</v>
      </c>
      <c r="H866" s="36">
        <f t="shared" ca="1" si="13"/>
        <v>0</v>
      </c>
      <c r="I866" s="36" t="str">
        <f>_xlfn.XLOOKUP(E866,'Product List'!$B$2:$B$299,'Product List'!$A$2:$A$299)</f>
        <v>Crate-A-Files</v>
      </c>
      <c r="J866" s="36"/>
      <c r="K866" s="36"/>
      <c r="L866" s="36"/>
      <c r="M866" s="36"/>
      <c r="N866" s="36"/>
    </row>
    <row r="867" spans="1:14">
      <c r="A867" s="8" t="s">
        <v>904</v>
      </c>
      <c r="B867" s="19">
        <v>42063</v>
      </c>
      <c r="C867" s="8" t="s">
        <v>44</v>
      </c>
      <c r="D867" s="8">
        <v>10011</v>
      </c>
      <c r="E867" s="8" t="s">
        <v>250</v>
      </c>
      <c r="F867" s="8" t="s">
        <v>35</v>
      </c>
      <c r="G867" s="36">
        <f>VLOOKUP(E867,Flipkart!$A$1:$B$296,2,0)</f>
        <v>0.03</v>
      </c>
      <c r="H867" s="36">
        <f t="shared" ca="1" si="13"/>
        <v>0.03</v>
      </c>
      <c r="I867" s="36" t="str">
        <f>_xlfn.XLOOKUP(E867,'Product List'!$B$2:$B$299,'Product List'!$A$2:$A$299)</f>
        <v>Avery 473</v>
      </c>
      <c r="J867" s="36"/>
      <c r="K867" s="36"/>
      <c r="L867" s="36"/>
      <c r="M867" s="36"/>
      <c r="N867" s="36"/>
    </row>
    <row r="868" spans="1:14">
      <c r="A868" s="8" t="s">
        <v>905</v>
      </c>
      <c r="B868" s="19">
        <v>42063</v>
      </c>
      <c r="C868" s="8" t="s">
        <v>46</v>
      </c>
      <c r="D868" s="8">
        <v>10014</v>
      </c>
      <c r="E868" s="8" t="s">
        <v>316</v>
      </c>
      <c r="F868" s="8" t="s">
        <v>50</v>
      </c>
      <c r="G868" s="36">
        <f>VLOOKUP(E868,Flipkart!$A$1:$B$296,2,0)</f>
        <v>0.03</v>
      </c>
      <c r="H868" s="36">
        <f t="shared" ca="1" si="13"/>
        <v>0</v>
      </c>
      <c r="I868" s="36" t="str">
        <f>_xlfn.XLOOKUP(E868,'Product List'!$B$2:$B$299,'Product List'!$A$2:$A$299)</f>
        <v>Xerox 1900</v>
      </c>
      <c r="J868" s="36"/>
      <c r="K868" s="36"/>
      <c r="L868" s="36"/>
      <c r="M868" s="36"/>
      <c r="N868" s="36"/>
    </row>
    <row r="869" spans="1:14">
      <c r="A869" s="8" t="s">
        <v>903</v>
      </c>
      <c r="B869" s="19">
        <v>42063</v>
      </c>
      <c r="C869" s="8" t="s">
        <v>66</v>
      </c>
      <c r="D869" s="8">
        <v>10015</v>
      </c>
      <c r="E869" s="8" t="s">
        <v>281</v>
      </c>
      <c r="F869" s="8" t="s">
        <v>32</v>
      </c>
      <c r="G869" s="36">
        <f>VLOOKUP(E869,Flipkart!$A$1:$B$296,2,0)</f>
        <v>0.03</v>
      </c>
      <c r="H869" s="36">
        <f t="shared" ca="1" si="13"/>
        <v>0.01</v>
      </c>
      <c r="I869" s="36" t="str">
        <f>_xlfn.XLOOKUP(E869,'Product List'!$B$2:$B$299,'Product List'!$A$2:$A$299)</f>
        <v>Newell 309</v>
      </c>
      <c r="J869" s="36"/>
      <c r="K869" s="36"/>
      <c r="L869" s="36"/>
      <c r="M869" s="36"/>
      <c r="N869" s="36"/>
    </row>
    <row r="870" spans="1:14">
      <c r="A870" s="8" t="s">
        <v>906</v>
      </c>
      <c r="B870" s="19">
        <v>42063</v>
      </c>
      <c r="C870" s="8" t="s">
        <v>54</v>
      </c>
      <c r="D870" s="8">
        <v>10012</v>
      </c>
      <c r="E870" s="8" t="s">
        <v>524</v>
      </c>
      <c r="F870" s="8" t="s">
        <v>43</v>
      </c>
      <c r="G870" s="36">
        <f>VLOOKUP(E870,Flipkart!$A$1:$B$296,2,0)</f>
        <v>0.02</v>
      </c>
      <c r="H870" s="36">
        <f t="shared" ca="1" si="13"/>
        <v>0.03</v>
      </c>
      <c r="I870" s="36" t="str">
        <f>_xlfn.XLOOKUP(E870,'Product List'!$B$2:$B$299,'Product List'!$A$2:$A$299)</f>
        <v>Avery 495</v>
      </c>
      <c r="J870" s="36"/>
      <c r="K870" s="36"/>
      <c r="L870" s="36"/>
      <c r="M870" s="36"/>
      <c r="N870" s="36"/>
    </row>
    <row r="871" spans="1:14">
      <c r="A871" s="8" t="s">
        <v>907</v>
      </c>
      <c r="B871" s="19">
        <v>42064</v>
      </c>
      <c r="C871" s="8" t="s">
        <v>27</v>
      </c>
      <c r="D871" s="8">
        <v>10015</v>
      </c>
      <c r="E871" s="8" t="s">
        <v>343</v>
      </c>
      <c r="F871" s="8" t="s">
        <v>50</v>
      </c>
      <c r="G871" s="36">
        <f>VLOOKUP(E871,Flipkart!$A$1:$B$296,2,0)</f>
        <v>0.01</v>
      </c>
      <c r="H871" s="36">
        <f t="shared" ca="1" si="13"/>
        <v>0.05</v>
      </c>
      <c r="I871" s="36" t="str">
        <f>_xlfn.XLOOKUP(E871,'Product List'!$B$2:$B$299,'Product List'!$A$2:$A$299)</f>
        <v>Newell 333</v>
      </c>
      <c r="J871" s="36"/>
      <c r="K871" s="36"/>
      <c r="L871" s="36"/>
      <c r="M871" s="36"/>
      <c r="N871" s="36"/>
    </row>
    <row r="872" spans="1:14">
      <c r="A872" s="8" t="s">
        <v>908</v>
      </c>
      <c r="B872" s="19">
        <v>42068</v>
      </c>
      <c r="C872" s="8" t="s">
        <v>54</v>
      </c>
      <c r="D872" s="8">
        <v>10004</v>
      </c>
      <c r="E872" s="8" t="s">
        <v>511</v>
      </c>
      <c r="F872" s="8" t="s">
        <v>40</v>
      </c>
      <c r="G872" s="36">
        <f>VLOOKUP(E872,Flipkart!$A$1:$B$296,2,0)</f>
        <v>0.03</v>
      </c>
      <c r="H872" s="36">
        <f t="shared" ca="1" si="13"/>
        <v>0.03</v>
      </c>
      <c r="I872" s="36" t="str">
        <f>_xlfn.XLOOKUP(E872,'Product List'!$B$2:$B$299,'Product List'!$A$2:$A$299)</f>
        <v>Xerox 1999</v>
      </c>
      <c r="J872" s="36"/>
      <c r="K872" s="36"/>
      <c r="L872" s="36"/>
      <c r="M872" s="36"/>
      <c r="N872" s="36"/>
    </row>
    <row r="873" spans="1:14">
      <c r="A873" s="8" t="s">
        <v>908</v>
      </c>
      <c r="B873" s="19">
        <v>42068</v>
      </c>
      <c r="C873" s="8" t="s">
        <v>66</v>
      </c>
      <c r="D873" s="8">
        <v>10014</v>
      </c>
      <c r="E873" s="8" t="s">
        <v>909</v>
      </c>
      <c r="F873" s="8" t="s">
        <v>40</v>
      </c>
      <c r="G873" s="36">
        <f>VLOOKUP(E873,Flipkart!$A$1:$B$296,2,0)</f>
        <v>0.02</v>
      </c>
      <c r="H873" s="36">
        <f t="shared" ca="1" si="13"/>
        <v>0.04</v>
      </c>
      <c r="I873" s="36" t="str">
        <f>_xlfn.XLOOKUP(E873,'Product List'!$B$2:$B$299,'Product List'!$A$2:$A$299)</f>
        <v>Newell 343</v>
      </c>
      <c r="J873" s="36"/>
      <c r="K873" s="36"/>
      <c r="L873" s="36"/>
      <c r="M873" s="36"/>
      <c r="N873" s="36"/>
    </row>
    <row r="874" spans="1:14">
      <c r="A874" s="8" t="s">
        <v>910</v>
      </c>
      <c r="B874" s="19">
        <v>42068</v>
      </c>
      <c r="C874" s="8" t="s">
        <v>54</v>
      </c>
      <c r="D874" s="8">
        <v>10009</v>
      </c>
      <c r="E874" s="8" t="s">
        <v>911</v>
      </c>
      <c r="F874" s="8" t="s">
        <v>40</v>
      </c>
      <c r="G874" s="36">
        <f>VLOOKUP(E874,Flipkart!$A$1:$B$296,2,0)</f>
        <v>0.02</v>
      </c>
      <c r="H874" s="36">
        <f t="shared" ca="1" si="13"/>
        <v>0.02</v>
      </c>
      <c r="I874" s="36" t="str">
        <f>_xlfn.XLOOKUP(E874,'Product List'!$B$2:$B$299,'Product List'!$A$2:$A$299)</f>
        <v>Newell 337</v>
      </c>
      <c r="J874" s="36"/>
      <c r="K874" s="36"/>
      <c r="L874" s="36"/>
      <c r="M874" s="36"/>
      <c r="N874" s="36"/>
    </row>
    <row r="875" spans="1:14">
      <c r="A875" s="8" t="s">
        <v>912</v>
      </c>
      <c r="B875" s="19">
        <v>42069</v>
      </c>
      <c r="C875" s="8" t="s">
        <v>54</v>
      </c>
      <c r="D875" s="8">
        <v>10008</v>
      </c>
      <c r="E875" s="8" t="s">
        <v>166</v>
      </c>
      <c r="F875" s="8" t="s">
        <v>29</v>
      </c>
      <c r="G875" s="36">
        <f>VLOOKUP(E875,Flipkart!$A$1:$B$296,2,0)</f>
        <v>0.05</v>
      </c>
      <c r="H875" s="36">
        <f t="shared" ca="1" si="13"/>
        <v>0.01</v>
      </c>
      <c r="I875" s="36" t="str">
        <f>_xlfn.XLOOKUP(E875,'Product List'!$B$2:$B$299,'Product List'!$A$2:$A$299)</f>
        <v>Xerox 1891</v>
      </c>
      <c r="J875" s="36"/>
      <c r="K875" s="36"/>
      <c r="L875" s="36"/>
      <c r="M875" s="36"/>
      <c r="N875" s="36"/>
    </row>
    <row r="876" spans="1:14">
      <c r="A876" s="8" t="s">
        <v>912</v>
      </c>
      <c r="B876" s="19">
        <v>42069</v>
      </c>
      <c r="C876" s="8" t="s">
        <v>36</v>
      </c>
      <c r="D876" s="8">
        <v>10008</v>
      </c>
      <c r="E876" s="8" t="s">
        <v>333</v>
      </c>
      <c r="F876" s="8" t="s">
        <v>43</v>
      </c>
      <c r="G876" s="36">
        <f>VLOOKUP(E876,Flipkart!$A$1:$B$296,2,0)</f>
        <v>0.05</v>
      </c>
      <c r="H876" s="36">
        <f t="shared" ca="1" si="13"/>
        <v>0.05</v>
      </c>
      <c r="I876" s="36" t="str">
        <f>_xlfn.XLOOKUP(E876,'Product List'!$B$2:$B$299,'Product List'!$A$2:$A$299)</f>
        <v>Xerox 1881</v>
      </c>
      <c r="J876" s="36"/>
      <c r="K876" s="36"/>
      <c r="L876" s="36"/>
      <c r="M876" s="36"/>
      <c r="N876" s="36"/>
    </row>
    <row r="877" spans="1:14">
      <c r="A877" s="8" t="s">
        <v>913</v>
      </c>
      <c r="B877" s="19">
        <v>42071</v>
      </c>
      <c r="C877" s="8" t="s">
        <v>51</v>
      </c>
      <c r="D877" s="8">
        <v>10013</v>
      </c>
      <c r="E877" s="8" t="s">
        <v>172</v>
      </c>
      <c r="F877" s="8" t="s">
        <v>43</v>
      </c>
      <c r="G877" s="36">
        <f>VLOOKUP(E877,Flipkart!$A$1:$B$296,2,0)</f>
        <v>0.04</v>
      </c>
      <c r="H877" s="36">
        <f t="shared" ca="1" si="13"/>
        <v>0.01</v>
      </c>
      <c r="I877" s="36" t="str">
        <f>_xlfn.XLOOKUP(E877,'Product List'!$B$2:$B$299,'Product List'!$A$2:$A$299)</f>
        <v>Xerox 223</v>
      </c>
      <c r="J877" s="36"/>
      <c r="K877" s="36"/>
      <c r="L877" s="36"/>
      <c r="M877" s="36"/>
      <c r="N877" s="36"/>
    </row>
    <row r="878" spans="1:14">
      <c r="A878" s="8" t="s">
        <v>914</v>
      </c>
      <c r="B878" s="19">
        <v>42072</v>
      </c>
      <c r="C878" s="8" t="s">
        <v>66</v>
      </c>
      <c r="D878" s="8">
        <v>10007</v>
      </c>
      <c r="E878" s="8" t="s">
        <v>145</v>
      </c>
      <c r="F878" s="8" t="s">
        <v>29</v>
      </c>
      <c r="G878" s="36">
        <f>VLOOKUP(E878,Flipkart!$A$1:$B$296,2,0)</f>
        <v>0</v>
      </c>
      <c r="H878" s="36">
        <f t="shared" ca="1" si="13"/>
        <v>0.05</v>
      </c>
      <c r="I878" s="36" t="str">
        <f>_xlfn.XLOOKUP(E878,'Product List'!$B$2:$B$299,'Product List'!$A$2:$A$299)</f>
        <v>Xerox 1913</v>
      </c>
      <c r="J878" s="36"/>
      <c r="K878" s="36"/>
      <c r="L878" s="36"/>
      <c r="M878" s="36"/>
      <c r="N878" s="36"/>
    </row>
    <row r="879" spans="1:14">
      <c r="A879" s="8" t="s">
        <v>915</v>
      </c>
      <c r="B879" s="19">
        <v>42072</v>
      </c>
      <c r="C879" s="8" t="s">
        <v>51</v>
      </c>
      <c r="D879" s="8">
        <v>10012</v>
      </c>
      <c r="E879" s="8" t="s">
        <v>263</v>
      </c>
      <c r="F879" s="8" t="s">
        <v>32</v>
      </c>
      <c r="G879" s="36">
        <f>VLOOKUP(E879,Flipkart!$A$1:$B$296,2,0)</f>
        <v>0.03</v>
      </c>
      <c r="H879" s="36">
        <f t="shared" ca="1" si="13"/>
        <v>0.05</v>
      </c>
      <c r="I879" s="36" t="str">
        <f>_xlfn.XLOOKUP(E879,'Product List'!$B$2:$B$299,'Product List'!$A$2:$A$299)</f>
        <v>Xerox 1976</v>
      </c>
      <c r="J879" s="36"/>
      <c r="K879" s="36"/>
      <c r="L879" s="36"/>
      <c r="M879" s="36"/>
      <c r="N879" s="36"/>
    </row>
    <row r="880" spans="1:14">
      <c r="A880" s="8" t="s">
        <v>916</v>
      </c>
      <c r="B880" s="19">
        <v>42073</v>
      </c>
      <c r="C880" s="8" t="s">
        <v>36</v>
      </c>
      <c r="D880" s="8">
        <v>10007</v>
      </c>
      <c r="E880" s="8" t="s">
        <v>269</v>
      </c>
      <c r="F880" s="8" t="s">
        <v>43</v>
      </c>
      <c r="G880" s="36">
        <f>VLOOKUP(E880,Flipkart!$A$1:$B$296,2,0)</f>
        <v>0.03</v>
      </c>
      <c r="H880" s="36">
        <f t="shared" ca="1" si="13"/>
        <v>0.04</v>
      </c>
      <c r="I880" s="36" t="str">
        <f>_xlfn.XLOOKUP(E880,'Product List'!$B$2:$B$299,'Product List'!$A$2:$A$299)</f>
        <v>Xerox 1975</v>
      </c>
      <c r="J880" s="36"/>
      <c r="K880" s="36"/>
      <c r="L880" s="36"/>
      <c r="M880" s="36"/>
      <c r="N880" s="36"/>
    </row>
    <row r="881" spans="1:14">
      <c r="A881" s="8" t="s">
        <v>916</v>
      </c>
      <c r="B881" s="19">
        <v>42073</v>
      </c>
      <c r="C881" s="8" t="s">
        <v>27</v>
      </c>
      <c r="D881" s="8">
        <v>10004</v>
      </c>
      <c r="E881" s="8" t="s">
        <v>122</v>
      </c>
      <c r="F881" s="8" t="s">
        <v>50</v>
      </c>
      <c r="G881" s="36">
        <f>VLOOKUP(E881,Flipkart!$A$1:$B$296,2,0)</f>
        <v>0.01</v>
      </c>
      <c r="H881" s="36">
        <f t="shared" ca="1" si="13"/>
        <v>0.04</v>
      </c>
      <c r="I881" s="36" t="str">
        <f>_xlfn.XLOOKUP(E881,'Product List'!$B$2:$B$299,'Product List'!$A$2:$A$299)</f>
        <v>Avery 510</v>
      </c>
      <c r="J881" s="36"/>
      <c r="K881" s="36"/>
      <c r="L881" s="36"/>
      <c r="M881" s="36"/>
      <c r="N881" s="36"/>
    </row>
    <row r="882" spans="1:14">
      <c r="A882" s="8" t="s">
        <v>917</v>
      </c>
      <c r="B882" s="19">
        <v>42073</v>
      </c>
      <c r="C882" s="8" t="s">
        <v>66</v>
      </c>
      <c r="D882" s="8">
        <v>10010</v>
      </c>
      <c r="E882" s="8" t="s">
        <v>286</v>
      </c>
      <c r="F882" s="8" t="s">
        <v>29</v>
      </c>
      <c r="G882" s="36">
        <f>VLOOKUP(E882,Flipkart!$A$1:$B$296,2,0)</f>
        <v>0.05</v>
      </c>
      <c r="H882" s="36">
        <f t="shared" ca="1" si="13"/>
        <v>0.02</v>
      </c>
      <c r="I882" s="36" t="str">
        <f>_xlfn.XLOOKUP(E882,'Product List'!$B$2:$B$299,'Product List'!$A$2:$A$299)</f>
        <v>Avery 479</v>
      </c>
      <c r="J882" s="36"/>
      <c r="K882" s="36"/>
      <c r="L882" s="36"/>
      <c r="M882" s="36"/>
      <c r="N882" s="36"/>
    </row>
    <row r="883" spans="1:14">
      <c r="A883" s="8" t="s">
        <v>918</v>
      </c>
      <c r="B883" s="19">
        <v>42074</v>
      </c>
      <c r="C883" s="8" t="s">
        <v>51</v>
      </c>
      <c r="D883" s="8">
        <v>10003</v>
      </c>
      <c r="E883" s="8" t="s">
        <v>213</v>
      </c>
      <c r="F883" s="8" t="s">
        <v>40</v>
      </c>
      <c r="G883" s="36">
        <f>VLOOKUP(E883,Flipkart!$A$1:$B$296,2,0)</f>
        <v>0.04</v>
      </c>
      <c r="H883" s="36">
        <f t="shared" ca="1" si="13"/>
        <v>0.01</v>
      </c>
      <c r="I883" s="36" t="str">
        <f>_xlfn.XLOOKUP(E883,'Product List'!$B$2:$B$299,'Product List'!$A$2:$A$299)</f>
        <v>Cisco SPA301</v>
      </c>
      <c r="J883" s="36"/>
      <c r="K883" s="36"/>
      <c r="L883" s="36"/>
      <c r="M883" s="36"/>
      <c r="N883" s="36"/>
    </row>
    <row r="884" spans="1:14">
      <c r="A884" s="8" t="s">
        <v>918</v>
      </c>
      <c r="B884" s="19">
        <v>42074</v>
      </c>
      <c r="C884" s="8" t="s">
        <v>36</v>
      </c>
      <c r="D884" s="8">
        <v>10010</v>
      </c>
      <c r="E884" s="8" t="s">
        <v>428</v>
      </c>
      <c r="F884" s="8" t="s">
        <v>50</v>
      </c>
      <c r="G884" s="36">
        <f>VLOOKUP(E884,Flipkart!$A$1:$B$296,2,0)</f>
        <v>0</v>
      </c>
      <c r="H884" s="36">
        <f t="shared" ca="1" si="13"/>
        <v>0.02</v>
      </c>
      <c r="I884" s="36" t="str">
        <f>_xlfn.XLOOKUP(E884,'Product List'!$B$2:$B$299,'Product List'!$A$2:$A$299)</f>
        <v>Avery 516</v>
      </c>
      <c r="J884" s="36"/>
      <c r="K884" s="36"/>
      <c r="L884" s="36"/>
      <c r="M884" s="36"/>
      <c r="N884" s="36"/>
    </row>
    <row r="885" spans="1:14">
      <c r="A885" s="8" t="s">
        <v>919</v>
      </c>
      <c r="B885" s="19">
        <v>42074</v>
      </c>
      <c r="C885" s="8" t="s">
        <v>51</v>
      </c>
      <c r="D885" s="8">
        <v>10010</v>
      </c>
      <c r="E885" s="8" t="s">
        <v>236</v>
      </c>
      <c r="F885" s="8" t="s">
        <v>43</v>
      </c>
      <c r="G885" s="36">
        <f>VLOOKUP(E885,Flipkart!$A$1:$B$296,2,0)</f>
        <v>0.03</v>
      </c>
      <c r="H885" s="36">
        <f t="shared" ca="1" si="13"/>
        <v>0.05</v>
      </c>
      <c r="I885" s="36" t="str">
        <f>_xlfn.XLOOKUP(E885,'Product List'!$B$2:$B$299,'Product List'!$A$2:$A$299)</f>
        <v>Xerox 1971</v>
      </c>
      <c r="J885" s="36"/>
      <c r="K885" s="36"/>
      <c r="L885" s="36"/>
      <c r="M885" s="36"/>
      <c r="N885" s="36"/>
    </row>
    <row r="886" spans="1:14">
      <c r="A886" s="8" t="s">
        <v>920</v>
      </c>
      <c r="B886" s="19">
        <v>42074</v>
      </c>
      <c r="C886" s="8" t="s">
        <v>54</v>
      </c>
      <c r="D886" s="8">
        <v>10015</v>
      </c>
      <c r="E886" s="8" t="s">
        <v>429</v>
      </c>
      <c r="F886" s="8" t="s">
        <v>43</v>
      </c>
      <c r="G886" s="36">
        <f>VLOOKUP(E886,Flipkart!$A$1:$B$296,2,0)</f>
        <v>0.05</v>
      </c>
      <c r="H886" s="36">
        <f t="shared" ca="1" si="13"/>
        <v>0.03</v>
      </c>
      <c r="I886" s="36" t="str">
        <f>_xlfn.XLOOKUP(E886,'Product List'!$B$2:$B$299,'Product List'!$A$2:$A$299)</f>
        <v>Xerox 214</v>
      </c>
      <c r="J886" s="36"/>
      <c r="K886" s="36"/>
      <c r="L886" s="36"/>
      <c r="M886" s="36"/>
      <c r="N886" s="36"/>
    </row>
    <row r="887" spans="1:14">
      <c r="A887" s="8" t="s">
        <v>920</v>
      </c>
      <c r="B887" s="19">
        <v>42074</v>
      </c>
      <c r="C887" s="8" t="s">
        <v>54</v>
      </c>
      <c r="D887" s="8">
        <v>10014</v>
      </c>
      <c r="E887" s="8" t="s">
        <v>545</v>
      </c>
      <c r="F887" s="8" t="s">
        <v>40</v>
      </c>
      <c r="G887" s="36">
        <f>VLOOKUP(E887,Flipkart!$A$1:$B$296,2,0)</f>
        <v>0.05</v>
      </c>
      <c r="H887" s="36">
        <f t="shared" ca="1" si="13"/>
        <v>0.03</v>
      </c>
      <c r="I887" s="36" t="str">
        <f>_xlfn.XLOOKUP(E887,'Product List'!$B$2:$B$299,'Product List'!$A$2:$A$299)</f>
        <v>Xerox 227</v>
      </c>
      <c r="J887" s="36"/>
      <c r="K887" s="36"/>
      <c r="L887" s="36"/>
      <c r="M887" s="36"/>
      <c r="N887" s="36"/>
    </row>
    <row r="888" spans="1:14">
      <c r="A888" s="8" t="s">
        <v>920</v>
      </c>
      <c r="B888" s="19">
        <v>42074</v>
      </c>
      <c r="C888" s="8" t="s">
        <v>33</v>
      </c>
      <c r="D888" s="8">
        <v>10001</v>
      </c>
      <c r="E888" s="8" t="s">
        <v>166</v>
      </c>
      <c r="F888" s="8" t="s">
        <v>40</v>
      </c>
      <c r="G888" s="36">
        <f>VLOOKUP(E888,Flipkart!$A$1:$B$296,2,0)</f>
        <v>0.05</v>
      </c>
      <c r="H888" s="36">
        <f t="shared" ca="1" si="13"/>
        <v>0.05</v>
      </c>
      <c r="I888" s="36" t="str">
        <f>_xlfn.XLOOKUP(E888,'Product List'!$B$2:$B$299,'Product List'!$A$2:$A$299)</f>
        <v>Xerox 1891</v>
      </c>
      <c r="J888" s="36"/>
      <c r="K888" s="36"/>
      <c r="L888" s="36"/>
      <c r="M888" s="36"/>
      <c r="N888" s="36"/>
    </row>
    <row r="889" spans="1:14">
      <c r="A889" s="8" t="s">
        <v>918</v>
      </c>
      <c r="B889" s="19">
        <v>42074</v>
      </c>
      <c r="C889" s="8" t="s">
        <v>44</v>
      </c>
      <c r="D889" s="8">
        <v>10002</v>
      </c>
      <c r="E889" s="8" t="s">
        <v>110</v>
      </c>
      <c r="F889" s="8" t="s">
        <v>50</v>
      </c>
      <c r="G889" s="36">
        <f>VLOOKUP(E889,Flipkart!$A$1:$B$296,2,0)</f>
        <v>0.04</v>
      </c>
      <c r="H889" s="36">
        <f t="shared" ca="1" si="13"/>
        <v>0.04</v>
      </c>
      <c r="I889" s="36" t="str">
        <f>_xlfn.XLOOKUP(E889,'Product List'!$B$2:$B$299,'Product List'!$A$2:$A$299)</f>
        <v>Newell 332</v>
      </c>
      <c r="J889" s="36"/>
      <c r="K889" s="36"/>
      <c r="L889" s="36"/>
      <c r="M889" s="36"/>
      <c r="N889" s="36"/>
    </row>
    <row r="890" spans="1:14">
      <c r="A890" s="8" t="s">
        <v>919</v>
      </c>
      <c r="B890" s="19">
        <v>42074</v>
      </c>
      <c r="C890" s="8" t="s">
        <v>51</v>
      </c>
      <c r="D890" s="8">
        <v>10011</v>
      </c>
      <c r="E890" s="8" t="s">
        <v>218</v>
      </c>
      <c r="F890" s="8" t="s">
        <v>43</v>
      </c>
      <c r="G890" s="36">
        <f>VLOOKUP(E890,Flipkart!$A$1:$B$296,2,0)</f>
        <v>0.05</v>
      </c>
      <c r="H890" s="36">
        <f t="shared" ca="1" si="13"/>
        <v>0.04</v>
      </c>
      <c r="I890" s="36" t="str">
        <f>_xlfn.XLOOKUP(E890,'Product List'!$B$2:$B$299,'Product List'!$A$2:$A$299)</f>
        <v>Avery 509</v>
      </c>
      <c r="J890" s="36"/>
      <c r="K890" s="36"/>
      <c r="L890" s="36"/>
      <c r="M890" s="36"/>
      <c r="N890" s="36"/>
    </row>
    <row r="891" spans="1:14">
      <c r="A891" s="8" t="s">
        <v>921</v>
      </c>
      <c r="B891" s="19">
        <v>42080</v>
      </c>
      <c r="C891" s="8" t="s">
        <v>46</v>
      </c>
      <c r="D891" s="8">
        <v>10013</v>
      </c>
      <c r="E891" s="8" t="s">
        <v>481</v>
      </c>
      <c r="F891" s="8" t="s">
        <v>32</v>
      </c>
      <c r="G891" s="36">
        <f>VLOOKUP(E891,Flipkart!$A$1:$B$296,2,0)</f>
        <v>0.02</v>
      </c>
      <c r="H891" s="36">
        <f t="shared" ca="1" si="13"/>
        <v>0.01</v>
      </c>
      <c r="I891" s="36" t="str">
        <f>_xlfn.XLOOKUP(E891,'Product List'!$B$2:$B$299,'Product List'!$A$2:$A$299)</f>
        <v>Xerox 219</v>
      </c>
      <c r="J891" s="36"/>
      <c r="K891" s="36"/>
      <c r="L891" s="36"/>
      <c r="M891" s="36"/>
      <c r="N891" s="36"/>
    </row>
    <row r="892" spans="1:14">
      <c r="A892" s="8" t="s">
        <v>921</v>
      </c>
      <c r="B892" s="19">
        <v>42080</v>
      </c>
      <c r="C892" s="8" t="s">
        <v>54</v>
      </c>
      <c r="D892" s="8">
        <v>10008</v>
      </c>
      <c r="E892" s="8" t="s">
        <v>252</v>
      </c>
      <c r="F892" s="8" t="s">
        <v>40</v>
      </c>
      <c r="G892" s="36">
        <f>VLOOKUP(E892,Flipkart!$A$1:$B$296,2,0)</f>
        <v>0</v>
      </c>
      <c r="H892" s="36">
        <f t="shared" ca="1" si="13"/>
        <v>0.03</v>
      </c>
      <c r="I892" s="36" t="str">
        <f>_xlfn.XLOOKUP(E892,'Product List'!$B$2:$B$299,'Product List'!$A$2:$A$299)</f>
        <v>Avery 481</v>
      </c>
      <c r="J892" s="36"/>
      <c r="K892" s="36"/>
      <c r="L892" s="36"/>
      <c r="M892" s="36"/>
      <c r="N892" s="36"/>
    </row>
    <row r="893" spans="1:14">
      <c r="A893" s="8" t="s">
        <v>922</v>
      </c>
      <c r="B893" s="19">
        <v>42080</v>
      </c>
      <c r="C893" s="8" t="s">
        <v>33</v>
      </c>
      <c r="D893" s="8">
        <v>10003</v>
      </c>
      <c r="E893" s="8" t="s">
        <v>368</v>
      </c>
      <c r="F893" s="8" t="s">
        <v>32</v>
      </c>
      <c r="G893" s="36">
        <f>VLOOKUP(E893,Flipkart!$A$1:$B$296,2,0)</f>
        <v>0</v>
      </c>
      <c r="H893" s="36">
        <f t="shared" ca="1" si="13"/>
        <v>0.03</v>
      </c>
      <c r="I893" s="36" t="str">
        <f>_xlfn.XLOOKUP(E893,'Product List'!$B$2:$B$299,'Product List'!$A$2:$A$299)</f>
        <v>Xerox 1978</v>
      </c>
      <c r="J893" s="36"/>
      <c r="K893" s="36"/>
      <c r="L893" s="36"/>
      <c r="M893" s="36"/>
      <c r="N893" s="36"/>
    </row>
    <row r="894" spans="1:14">
      <c r="A894" s="8" t="s">
        <v>921</v>
      </c>
      <c r="B894" s="19">
        <v>42080</v>
      </c>
      <c r="C894" s="8" t="s">
        <v>27</v>
      </c>
      <c r="D894" s="8">
        <v>10013</v>
      </c>
      <c r="E894" s="8" t="s">
        <v>695</v>
      </c>
      <c r="F894" s="8" t="s">
        <v>40</v>
      </c>
      <c r="G894" s="36">
        <f>VLOOKUP(E894,Flipkart!$A$1:$B$296,2,0)</f>
        <v>0</v>
      </c>
      <c r="H894" s="36">
        <f t="shared" ca="1" si="13"/>
        <v>0.01</v>
      </c>
      <c r="I894" s="36" t="str">
        <f>_xlfn.XLOOKUP(E894,'Product List'!$B$2:$B$299,'Product List'!$A$2:$A$299)</f>
        <v>Newell 318</v>
      </c>
      <c r="J894" s="36"/>
      <c r="K894" s="36"/>
      <c r="L894" s="36"/>
      <c r="M894" s="36"/>
      <c r="N894" s="36"/>
    </row>
    <row r="895" spans="1:14">
      <c r="A895" s="8" t="s">
        <v>923</v>
      </c>
      <c r="B895" s="19">
        <v>42080</v>
      </c>
      <c r="C895" s="8" t="s">
        <v>66</v>
      </c>
      <c r="D895" s="8">
        <v>10010</v>
      </c>
      <c r="E895" s="8" t="s">
        <v>924</v>
      </c>
      <c r="F895" s="8" t="s">
        <v>32</v>
      </c>
      <c r="G895" s="36">
        <f>VLOOKUP(E895,Flipkart!$A$1:$B$296,2,0)</f>
        <v>0</v>
      </c>
      <c r="H895" s="36">
        <f t="shared" ca="1" si="13"/>
        <v>0</v>
      </c>
      <c r="I895" s="36" t="str">
        <f>_xlfn.XLOOKUP(E895,'Product List'!$B$2:$B$299,'Product List'!$A$2:$A$299)</f>
        <v>Xerox 1960</v>
      </c>
      <c r="J895" s="36"/>
      <c r="K895" s="36"/>
      <c r="L895" s="36"/>
      <c r="M895" s="36"/>
      <c r="N895" s="36"/>
    </row>
    <row r="896" spans="1:14">
      <c r="A896" s="8" t="s">
        <v>923</v>
      </c>
      <c r="B896" s="19">
        <v>42080</v>
      </c>
      <c r="C896" s="8" t="s">
        <v>33</v>
      </c>
      <c r="D896" s="8">
        <v>10007</v>
      </c>
      <c r="E896" s="8" t="s">
        <v>505</v>
      </c>
      <c r="F896" s="8" t="s">
        <v>50</v>
      </c>
      <c r="G896" s="36">
        <f>VLOOKUP(E896,Flipkart!$A$1:$B$296,2,0)</f>
        <v>0.05</v>
      </c>
      <c r="H896" s="36">
        <f t="shared" ca="1" si="13"/>
        <v>0.04</v>
      </c>
      <c r="I896" s="36" t="str">
        <f>_xlfn.XLOOKUP(E896,'Product List'!$B$2:$B$299,'Product List'!$A$2:$A$299)</f>
        <v>Xerox 1934</v>
      </c>
      <c r="J896" s="36"/>
      <c r="K896" s="36"/>
      <c r="L896" s="36"/>
      <c r="M896" s="36"/>
      <c r="N896" s="36"/>
    </row>
    <row r="897" spans="1:14">
      <c r="A897" s="8" t="s">
        <v>925</v>
      </c>
      <c r="B897" s="19">
        <v>42081</v>
      </c>
      <c r="C897" s="8" t="s">
        <v>54</v>
      </c>
      <c r="D897" s="8">
        <v>10008</v>
      </c>
      <c r="E897" s="8" t="s">
        <v>926</v>
      </c>
      <c r="F897" s="8" t="s">
        <v>50</v>
      </c>
      <c r="G897" s="36">
        <f>VLOOKUP(E897,Flipkart!$A$1:$B$296,2,0)</f>
        <v>0</v>
      </c>
      <c r="H897" s="36">
        <f t="shared" ca="1" si="13"/>
        <v>0.05</v>
      </c>
      <c r="I897" s="36" t="str">
        <f>_xlfn.XLOOKUP(E897,'Product List'!$B$2:$B$299,'Product List'!$A$2:$A$299)</f>
        <v>Newell 33</v>
      </c>
      <c r="J897" s="36"/>
      <c r="K897" s="36"/>
      <c r="L897" s="36"/>
      <c r="M897" s="36"/>
      <c r="N897" s="36"/>
    </row>
    <row r="898" spans="1:14">
      <c r="A898" s="8" t="s">
        <v>925</v>
      </c>
      <c r="B898" s="19">
        <v>42081</v>
      </c>
      <c r="C898" s="8" t="s">
        <v>51</v>
      </c>
      <c r="D898" s="8">
        <v>10002</v>
      </c>
      <c r="E898" s="8" t="s">
        <v>472</v>
      </c>
      <c r="F898" s="8" t="s">
        <v>40</v>
      </c>
      <c r="G898" s="36">
        <f>VLOOKUP(E898,Flipkart!$A$1:$B$296,2,0)</f>
        <v>0.04</v>
      </c>
      <c r="H898" s="36">
        <f t="shared" ca="1" si="13"/>
        <v>0.04</v>
      </c>
      <c r="I898" s="36" t="str">
        <f>_xlfn.XLOOKUP(E898,'Product List'!$B$2:$B$299,'Product List'!$A$2:$A$299)</f>
        <v>Avery 488</v>
      </c>
      <c r="J898" s="36"/>
      <c r="K898" s="36"/>
      <c r="L898" s="36"/>
      <c r="M898" s="36"/>
      <c r="N898" s="36"/>
    </row>
    <row r="899" spans="1:14">
      <c r="A899" s="8" t="s">
        <v>927</v>
      </c>
      <c r="B899" s="19">
        <v>42083</v>
      </c>
      <c r="C899" s="8" t="s">
        <v>44</v>
      </c>
      <c r="D899" s="8">
        <v>10006</v>
      </c>
      <c r="E899" s="8" t="s">
        <v>341</v>
      </c>
      <c r="F899" s="8" t="s">
        <v>50</v>
      </c>
      <c r="G899" s="36">
        <f>VLOOKUP(E899,Flipkart!$A$1:$B$296,2,0)</f>
        <v>0.02</v>
      </c>
      <c r="H899" s="36">
        <f t="shared" ca="1" si="13"/>
        <v>0.01</v>
      </c>
      <c r="I899" s="36" t="str">
        <f>_xlfn.XLOOKUP(E899,'Product List'!$B$2:$B$299,'Product List'!$A$2:$A$299)</f>
        <v>Newell 342</v>
      </c>
      <c r="J899" s="36"/>
      <c r="K899" s="36"/>
      <c r="L899" s="36"/>
      <c r="M899" s="36"/>
      <c r="N899" s="36"/>
    </row>
    <row r="900" spans="1:14">
      <c r="A900" s="8" t="s">
        <v>928</v>
      </c>
      <c r="B900" s="19">
        <v>42084</v>
      </c>
      <c r="C900" s="8" t="s">
        <v>44</v>
      </c>
      <c r="D900" s="8">
        <v>10004</v>
      </c>
      <c r="E900" s="8" t="s">
        <v>259</v>
      </c>
      <c r="F900" s="8" t="s">
        <v>50</v>
      </c>
      <c r="G900" s="36">
        <f>VLOOKUP(E900,Flipkart!$A$1:$B$296,2,0)</f>
        <v>0.03</v>
      </c>
      <c r="H900" s="36">
        <f t="shared" ref="H900:H963" ca="1" si="14">VLOOKUP(E900,INDIRECT(F900&amp;"!$A$1:$B$296"),2,0)</f>
        <v>0.02</v>
      </c>
      <c r="I900" s="36" t="str">
        <f>_xlfn.XLOOKUP(E900,'Product List'!$B$2:$B$299,'Product List'!$A$2:$A$299)</f>
        <v>Newell 328</v>
      </c>
      <c r="J900" s="36"/>
      <c r="K900" s="36"/>
      <c r="L900" s="36"/>
      <c r="M900" s="36"/>
      <c r="N900" s="36"/>
    </row>
    <row r="901" spans="1:14">
      <c r="A901" s="8" t="s">
        <v>929</v>
      </c>
      <c r="B901" s="19">
        <v>42086</v>
      </c>
      <c r="C901" s="8" t="s">
        <v>36</v>
      </c>
      <c r="D901" s="8">
        <v>10014</v>
      </c>
      <c r="E901" s="8" t="s">
        <v>930</v>
      </c>
      <c r="F901" s="8" t="s">
        <v>29</v>
      </c>
      <c r="G901" s="36">
        <f>VLOOKUP(E901,Flipkart!$A$1:$B$296,2,0)</f>
        <v>0.03</v>
      </c>
      <c r="H901" s="36">
        <f t="shared" ca="1" si="14"/>
        <v>0.05</v>
      </c>
      <c r="I901" s="36" t="str">
        <f>_xlfn.XLOOKUP(E901,'Product List'!$B$2:$B$299,'Product List'!$A$2:$A$299)</f>
        <v>Xerox 1906</v>
      </c>
      <c r="J901" s="36"/>
      <c r="K901" s="36"/>
      <c r="L901" s="36"/>
      <c r="M901" s="36"/>
      <c r="N901" s="36"/>
    </row>
    <row r="902" spans="1:14">
      <c r="A902" s="8" t="s">
        <v>929</v>
      </c>
      <c r="B902" s="19">
        <v>42086</v>
      </c>
      <c r="C902" s="8" t="s">
        <v>27</v>
      </c>
      <c r="D902" s="8">
        <v>10010</v>
      </c>
      <c r="E902" s="8" t="s">
        <v>414</v>
      </c>
      <c r="F902" s="8" t="s">
        <v>43</v>
      </c>
      <c r="G902" s="36">
        <f>VLOOKUP(E902,Flipkart!$A$1:$B$296,2,0)</f>
        <v>0.05</v>
      </c>
      <c r="H902" s="36">
        <f t="shared" ca="1" si="14"/>
        <v>0.05</v>
      </c>
      <c r="I902" s="36" t="str">
        <f>_xlfn.XLOOKUP(E902,'Product List'!$B$2:$B$299,'Product List'!$A$2:$A$299)</f>
        <v>Xerox 1985</v>
      </c>
      <c r="J902" s="36"/>
      <c r="K902" s="36"/>
      <c r="L902" s="36"/>
      <c r="M902" s="36"/>
      <c r="N902" s="36"/>
    </row>
    <row r="903" spans="1:14">
      <c r="A903" s="8" t="s">
        <v>931</v>
      </c>
      <c r="B903" s="19">
        <v>42088</v>
      </c>
      <c r="C903" s="8" t="s">
        <v>66</v>
      </c>
      <c r="D903" s="8">
        <v>10011</v>
      </c>
      <c r="E903" s="8" t="s">
        <v>178</v>
      </c>
      <c r="F903" s="8" t="s">
        <v>40</v>
      </c>
      <c r="G903" s="36">
        <f>VLOOKUP(E903,Flipkart!$A$1:$B$296,2,0)</f>
        <v>0.03</v>
      </c>
      <c r="H903" s="36">
        <f t="shared" ca="1" si="14"/>
        <v>0.05</v>
      </c>
      <c r="I903" s="36" t="str">
        <f>_xlfn.XLOOKUP(E903,'Product List'!$B$2:$B$299,'Product List'!$A$2:$A$299)</f>
        <v>Xerox 1912</v>
      </c>
      <c r="J903" s="36"/>
      <c r="K903" s="36"/>
      <c r="L903" s="36"/>
      <c r="M903" s="36"/>
      <c r="N903" s="36"/>
    </row>
    <row r="904" spans="1:14">
      <c r="A904" s="8" t="s">
        <v>931</v>
      </c>
      <c r="B904" s="19">
        <v>42088</v>
      </c>
      <c r="C904" s="8" t="s">
        <v>46</v>
      </c>
      <c r="D904" s="8">
        <v>10012</v>
      </c>
      <c r="E904" s="8" t="s">
        <v>151</v>
      </c>
      <c r="F904" s="8" t="s">
        <v>32</v>
      </c>
      <c r="G904" s="36">
        <f>VLOOKUP(E904,Flipkart!$A$1:$B$296,2,0)</f>
        <v>0.01</v>
      </c>
      <c r="H904" s="36">
        <f t="shared" ca="1" si="14"/>
        <v>0.03</v>
      </c>
      <c r="I904" s="36" t="str">
        <f>_xlfn.XLOOKUP(E904,'Product List'!$B$2:$B$299,'Product List'!$A$2:$A$299)</f>
        <v>Newell 346</v>
      </c>
      <c r="J904" s="36"/>
      <c r="K904" s="36"/>
      <c r="L904" s="36"/>
      <c r="M904" s="36"/>
      <c r="N904" s="36"/>
    </row>
    <row r="905" spans="1:14">
      <c r="A905" s="8" t="s">
        <v>931</v>
      </c>
      <c r="B905" s="19">
        <v>42088</v>
      </c>
      <c r="C905" s="8" t="s">
        <v>36</v>
      </c>
      <c r="D905" s="8">
        <v>10003</v>
      </c>
      <c r="E905" s="8" t="s">
        <v>932</v>
      </c>
      <c r="F905" s="8" t="s">
        <v>40</v>
      </c>
      <c r="G905" s="36">
        <f>VLOOKUP(E905,Flipkart!$A$1:$B$296,2,0)</f>
        <v>0.04</v>
      </c>
      <c r="H905" s="36">
        <f t="shared" ca="1" si="14"/>
        <v>0.05</v>
      </c>
      <c r="I905" s="36" t="str">
        <f>_xlfn.XLOOKUP(E905,'Product List'!$B$2:$B$299,'Product List'!$A$2:$A$299)</f>
        <v>Xerox 1965</v>
      </c>
      <c r="J905" s="36"/>
      <c r="K905" s="36"/>
      <c r="L905" s="36"/>
      <c r="M905" s="36"/>
      <c r="N905" s="36"/>
    </row>
    <row r="906" spans="1:14">
      <c r="A906" s="8" t="s">
        <v>933</v>
      </c>
      <c r="B906" s="19">
        <v>42091</v>
      </c>
      <c r="C906" s="8" t="s">
        <v>46</v>
      </c>
      <c r="D906" s="8">
        <v>10004</v>
      </c>
      <c r="E906" s="8" t="s">
        <v>257</v>
      </c>
      <c r="F906" s="8" t="s">
        <v>50</v>
      </c>
      <c r="G906" s="36">
        <f>VLOOKUP(E906,Flipkart!$A$1:$B$296,2,0)</f>
        <v>0</v>
      </c>
      <c r="H906" s="36">
        <f t="shared" ca="1" si="14"/>
        <v>0</v>
      </c>
      <c r="I906" s="36" t="str">
        <f>_xlfn.XLOOKUP(E906,'Product List'!$B$2:$B$299,'Product List'!$A$2:$A$299)</f>
        <v>Xerox 1977</v>
      </c>
      <c r="J906" s="36"/>
      <c r="K906" s="36"/>
      <c r="L906" s="36"/>
      <c r="M906" s="36"/>
      <c r="N906" s="36"/>
    </row>
    <row r="907" spans="1:14">
      <c r="A907" s="8" t="s">
        <v>934</v>
      </c>
      <c r="B907" s="19">
        <v>42091</v>
      </c>
      <c r="C907" s="8" t="s">
        <v>66</v>
      </c>
      <c r="D907" s="8">
        <v>10005</v>
      </c>
      <c r="E907" s="8" t="s">
        <v>445</v>
      </c>
      <c r="F907" s="8" t="s">
        <v>35</v>
      </c>
      <c r="G907" s="36">
        <f>VLOOKUP(E907,Flipkart!$A$1:$B$296,2,0)</f>
        <v>0.01</v>
      </c>
      <c r="H907" s="36">
        <f t="shared" ca="1" si="14"/>
        <v>0.01</v>
      </c>
      <c r="I907" s="36" t="str">
        <f>_xlfn.XLOOKUP(E907,'Product List'!$B$2:$B$299,'Product List'!$A$2:$A$299)</f>
        <v>Xerox 1882</v>
      </c>
      <c r="J907" s="36"/>
      <c r="K907" s="36"/>
      <c r="L907" s="36"/>
      <c r="M907" s="36"/>
      <c r="N907" s="36"/>
    </row>
    <row r="908" spans="1:14">
      <c r="A908" s="8" t="s">
        <v>933</v>
      </c>
      <c r="B908" s="19">
        <v>42094</v>
      </c>
      <c r="C908" s="8" t="s">
        <v>33</v>
      </c>
      <c r="D908" s="8">
        <v>10012</v>
      </c>
      <c r="E908" s="8" t="s">
        <v>795</v>
      </c>
      <c r="F908" s="8" t="s">
        <v>50</v>
      </c>
      <c r="G908" s="36">
        <f>VLOOKUP(E908,Flipkart!$A$1:$B$296,2,0)</f>
        <v>0.05</v>
      </c>
      <c r="H908" s="36">
        <f t="shared" ca="1" si="14"/>
        <v>0.04</v>
      </c>
      <c r="I908" s="36" t="str">
        <f>_xlfn.XLOOKUP(E908,'Product List'!$B$2:$B$299,'Product List'!$A$2:$A$299)</f>
        <v>Newell 336</v>
      </c>
      <c r="J908" s="36"/>
      <c r="K908" s="36"/>
      <c r="L908" s="36"/>
      <c r="M908" s="36"/>
      <c r="N908" s="36"/>
    </row>
    <row r="909" spans="1:14">
      <c r="A909" s="8" t="s">
        <v>935</v>
      </c>
      <c r="B909" s="19">
        <v>42097</v>
      </c>
      <c r="C909" s="8" t="s">
        <v>36</v>
      </c>
      <c r="D909" s="8">
        <v>10003</v>
      </c>
      <c r="E909" s="8" t="s">
        <v>82</v>
      </c>
      <c r="F909" s="8" t="s">
        <v>35</v>
      </c>
      <c r="G909" s="36">
        <f>VLOOKUP(E909,Flipkart!$A$1:$B$296,2,0)</f>
        <v>0.02</v>
      </c>
      <c r="H909" s="36">
        <f t="shared" ca="1" si="14"/>
        <v>0.02</v>
      </c>
      <c r="I909" s="36" t="str">
        <f>_xlfn.XLOOKUP(E909,'Product List'!$B$2:$B$299,'Product List'!$A$2:$A$299)</f>
        <v>Xerox 1926</v>
      </c>
      <c r="J909" s="36"/>
      <c r="K909" s="36"/>
      <c r="L909" s="36"/>
      <c r="M909" s="36"/>
      <c r="N909" s="36"/>
    </row>
    <row r="910" spans="1:14">
      <c r="A910" s="8" t="s">
        <v>936</v>
      </c>
      <c r="B910" s="19">
        <v>42097</v>
      </c>
      <c r="C910" s="8" t="s">
        <v>33</v>
      </c>
      <c r="D910" s="8">
        <v>10001</v>
      </c>
      <c r="E910" s="8" t="s">
        <v>205</v>
      </c>
      <c r="F910" s="8" t="s">
        <v>40</v>
      </c>
      <c r="G910" s="36">
        <f>VLOOKUP(E910,Flipkart!$A$1:$B$296,2,0)</f>
        <v>0.02</v>
      </c>
      <c r="H910" s="36">
        <f t="shared" ca="1" si="14"/>
        <v>0.03</v>
      </c>
      <c r="I910" s="36" t="str">
        <f>_xlfn.XLOOKUP(E910,'Product List'!$B$2:$B$299,'Product List'!$A$2:$A$299)</f>
        <v>AT&amp;T TR1909W</v>
      </c>
      <c r="J910" s="36"/>
      <c r="K910" s="36"/>
      <c r="L910" s="36"/>
      <c r="M910" s="36"/>
      <c r="N910" s="36"/>
    </row>
    <row r="911" spans="1:14">
      <c r="A911" s="8" t="s">
        <v>937</v>
      </c>
      <c r="B911" s="19">
        <v>42098</v>
      </c>
      <c r="C911" s="8" t="s">
        <v>44</v>
      </c>
      <c r="D911" s="8">
        <v>10008</v>
      </c>
      <c r="E911" s="8" t="s">
        <v>300</v>
      </c>
      <c r="F911" s="8" t="s">
        <v>35</v>
      </c>
      <c r="G911" s="36">
        <f>VLOOKUP(E911,Flipkart!$A$1:$B$296,2,0)</f>
        <v>0.04</v>
      </c>
      <c r="H911" s="36">
        <f t="shared" ca="1" si="14"/>
        <v>0.04</v>
      </c>
      <c r="I911" s="36" t="str">
        <f>_xlfn.XLOOKUP(E911,'Product List'!$B$2:$B$299,'Product List'!$A$2:$A$299)</f>
        <v>Xerox 1892</v>
      </c>
      <c r="J911" s="36"/>
      <c r="K911" s="36"/>
      <c r="L911" s="36"/>
      <c r="M911" s="36"/>
      <c r="N911" s="36"/>
    </row>
    <row r="912" spans="1:14">
      <c r="A912" s="8" t="s">
        <v>938</v>
      </c>
      <c r="B912" s="19">
        <v>42099</v>
      </c>
      <c r="C912" s="8" t="s">
        <v>27</v>
      </c>
      <c r="D912" s="8">
        <v>10012</v>
      </c>
      <c r="E912" s="8" t="s">
        <v>143</v>
      </c>
      <c r="F912" s="8" t="s">
        <v>29</v>
      </c>
      <c r="G912" s="36">
        <f>VLOOKUP(E912,Flipkart!$A$1:$B$296,2,0)</f>
        <v>0.04</v>
      </c>
      <c r="H912" s="36">
        <f t="shared" ca="1" si="14"/>
        <v>0.03</v>
      </c>
      <c r="I912" s="36" t="str">
        <f>_xlfn.XLOOKUP(E912,'Product List'!$B$2:$B$299,'Product List'!$A$2:$A$299)</f>
        <v>Xerox 1932</v>
      </c>
      <c r="J912" s="36"/>
      <c r="K912" s="36"/>
      <c r="L912" s="36"/>
      <c r="M912" s="36"/>
      <c r="N912" s="36"/>
    </row>
    <row r="913" spans="1:14">
      <c r="A913" s="8" t="s">
        <v>939</v>
      </c>
      <c r="B913" s="19">
        <v>42100</v>
      </c>
      <c r="C913" s="8" t="s">
        <v>66</v>
      </c>
      <c r="D913" s="8">
        <v>10002</v>
      </c>
      <c r="E913" s="8" t="s">
        <v>190</v>
      </c>
      <c r="F913" s="8" t="s">
        <v>35</v>
      </c>
      <c r="G913" s="36">
        <f>VLOOKUP(E913,Flipkart!$A$1:$B$296,2,0)</f>
        <v>0.02</v>
      </c>
      <c r="H913" s="36">
        <f t="shared" ca="1" si="14"/>
        <v>0.02</v>
      </c>
      <c r="I913" s="36" t="str">
        <f>_xlfn.XLOOKUP(E913,'Product List'!$B$2:$B$299,'Product List'!$A$2:$A$299)</f>
        <v>Xerox 1887</v>
      </c>
      <c r="J913" s="36"/>
      <c r="K913" s="36"/>
      <c r="L913" s="36"/>
      <c r="M913" s="36"/>
      <c r="N913" s="36"/>
    </row>
    <row r="914" spans="1:14">
      <c r="A914" s="8" t="s">
        <v>940</v>
      </c>
      <c r="B914" s="19">
        <v>42101</v>
      </c>
      <c r="C914" s="8" t="s">
        <v>33</v>
      </c>
      <c r="D914" s="8">
        <v>10004</v>
      </c>
      <c r="E914" s="8" t="s">
        <v>449</v>
      </c>
      <c r="F914" s="8" t="s">
        <v>40</v>
      </c>
      <c r="G914" s="36">
        <f>VLOOKUP(E914,Flipkart!$A$1:$B$296,2,0)</f>
        <v>0.05</v>
      </c>
      <c r="H914" s="36">
        <f t="shared" ca="1" si="14"/>
        <v>0.01</v>
      </c>
      <c r="I914" s="36" t="str">
        <f>_xlfn.XLOOKUP(E914,'Product List'!$B$2:$B$299,'Product List'!$A$2:$A$299)</f>
        <v>AT&amp;T CL82213</v>
      </c>
      <c r="J914" s="36"/>
      <c r="K914" s="36"/>
      <c r="L914" s="36"/>
      <c r="M914" s="36"/>
      <c r="N914" s="36"/>
    </row>
    <row r="915" spans="1:14">
      <c r="A915" s="8" t="s">
        <v>941</v>
      </c>
      <c r="B915" s="19">
        <v>42101</v>
      </c>
      <c r="C915" s="8" t="s">
        <v>44</v>
      </c>
      <c r="D915" s="8">
        <v>10015</v>
      </c>
      <c r="E915" s="8" t="s">
        <v>524</v>
      </c>
      <c r="F915" s="8" t="s">
        <v>32</v>
      </c>
      <c r="G915" s="36">
        <f>VLOOKUP(E915,Flipkart!$A$1:$B$296,2,0)</f>
        <v>0.02</v>
      </c>
      <c r="H915" s="36">
        <f t="shared" ca="1" si="14"/>
        <v>0</v>
      </c>
      <c r="I915" s="36" t="str">
        <f>_xlfn.XLOOKUP(E915,'Product List'!$B$2:$B$299,'Product List'!$A$2:$A$299)</f>
        <v>Avery 495</v>
      </c>
      <c r="J915" s="36"/>
      <c r="K915" s="36"/>
      <c r="L915" s="36"/>
      <c r="M915" s="36"/>
      <c r="N915" s="36"/>
    </row>
    <row r="916" spans="1:14">
      <c r="A916" s="8" t="s">
        <v>940</v>
      </c>
      <c r="B916" s="19">
        <v>42101</v>
      </c>
      <c r="C916" s="8" t="s">
        <v>27</v>
      </c>
      <c r="D916" s="8">
        <v>10012</v>
      </c>
      <c r="E916" s="8" t="s">
        <v>90</v>
      </c>
      <c r="F916" s="8" t="s">
        <v>40</v>
      </c>
      <c r="G916" s="36">
        <f>VLOOKUP(E916,Flipkart!$A$1:$B$296,2,0)</f>
        <v>0</v>
      </c>
      <c r="H916" s="36">
        <f t="shared" ca="1" si="14"/>
        <v>0</v>
      </c>
      <c r="I916" s="36" t="str">
        <f>_xlfn.XLOOKUP(E916,'Product List'!$B$2:$B$299,'Product List'!$A$2:$A$299)</f>
        <v>Xerox 1974</v>
      </c>
      <c r="J916" s="36"/>
      <c r="K916" s="36"/>
      <c r="L916" s="36"/>
      <c r="M916" s="36"/>
      <c r="N916" s="36"/>
    </row>
    <row r="917" spans="1:14">
      <c r="A917" s="8" t="s">
        <v>942</v>
      </c>
      <c r="B917" s="19">
        <v>42101</v>
      </c>
      <c r="C917" s="8" t="s">
        <v>44</v>
      </c>
      <c r="D917" s="8">
        <v>10003</v>
      </c>
      <c r="E917" s="8" t="s">
        <v>90</v>
      </c>
      <c r="F917" s="8" t="s">
        <v>50</v>
      </c>
      <c r="G917" s="36">
        <f>VLOOKUP(E917,Flipkart!$A$1:$B$296,2,0)</f>
        <v>0</v>
      </c>
      <c r="H917" s="36">
        <f t="shared" ca="1" si="14"/>
        <v>0.01</v>
      </c>
      <c r="I917" s="36" t="str">
        <f>_xlfn.XLOOKUP(E917,'Product List'!$B$2:$B$299,'Product List'!$A$2:$A$299)</f>
        <v>Xerox 1974</v>
      </c>
      <c r="J917" s="36"/>
      <c r="K917" s="36"/>
      <c r="L917" s="36"/>
      <c r="M917" s="36"/>
      <c r="N917" s="36"/>
    </row>
    <row r="918" spans="1:14">
      <c r="A918" s="8" t="s">
        <v>943</v>
      </c>
      <c r="B918" s="19">
        <v>42102</v>
      </c>
      <c r="C918" s="8" t="s">
        <v>46</v>
      </c>
      <c r="D918" s="8">
        <v>10005</v>
      </c>
      <c r="E918" s="8" t="s">
        <v>158</v>
      </c>
      <c r="F918" s="8" t="s">
        <v>29</v>
      </c>
      <c r="G918" s="36">
        <f>VLOOKUP(E918,Flipkart!$A$1:$B$296,2,0)</f>
        <v>0.05</v>
      </c>
      <c r="H918" s="36">
        <f t="shared" ca="1" si="14"/>
        <v>0.03</v>
      </c>
      <c r="I918" s="36" t="str">
        <f>_xlfn.XLOOKUP(E918,'Product List'!$B$2:$B$299,'Product List'!$A$2:$A$299)</f>
        <v>Vtech CS6719</v>
      </c>
      <c r="J918" s="36"/>
      <c r="K918" s="36"/>
      <c r="L918" s="36"/>
      <c r="M918" s="36"/>
      <c r="N918" s="36"/>
    </row>
    <row r="919" spans="1:14">
      <c r="A919" s="8" t="s">
        <v>944</v>
      </c>
      <c r="B919" s="19">
        <v>42105</v>
      </c>
      <c r="C919" s="8" t="s">
        <v>27</v>
      </c>
      <c r="D919" s="8">
        <v>10003</v>
      </c>
      <c r="E919" s="8" t="s">
        <v>67</v>
      </c>
      <c r="F919" s="8" t="s">
        <v>35</v>
      </c>
      <c r="G919" s="36">
        <f>VLOOKUP(E919,Flipkart!$A$1:$B$296,2,0)</f>
        <v>0</v>
      </c>
      <c r="H919" s="36">
        <f t="shared" ca="1" si="14"/>
        <v>0</v>
      </c>
      <c r="I919" s="36" t="str">
        <f>_xlfn.XLOOKUP(E919,'Product List'!$B$2:$B$299,'Product List'!$A$2:$A$299)</f>
        <v>Xerox 1927</v>
      </c>
      <c r="J919" s="36"/>
      <c r="K919" s="36"/>
      <c r="L919" s="36"/>
      <c r="M919" s="36"/>
      <c r="N919" s="36"/>
    </row>
    <row r="920" spans="1:14">
      <c r="A920" s="8" t="s">
        <v>945</v>
      </c>
      <c r="B920" s="19">
        <v>42108</v>
      </c>
      <c r="C920" s="8" t="s">
        <v>51</v>
      </c>
      <c r="D920" s="8">
        <v>10009</v>
      </c>
      <c r="E920" s="8" t="s">
        <v>147</v>
      </c>
      <c r="F920" s="8" t="s">
        <v>50</v>
      </c>
      <c r="G920" s="36">
        <f>VLOOKUP(E920,Flipkart!$A$1:$B$296,2,0)</f>
        <v>0.03</v>
      </c>
      <c r="H920" s="36">
        <f t="shared" ca="1" si="14"/>
        <v>0</v>
      </c>
      <c r="I920" s="36" t="str">
        <f>_xlfn.XLOOKUP(E920,'Product List'!$B$2:$B$299,'Product List'!$A$2:$A$299)</f>
        <v>Xerox 1936</v>
      </c>
      <c r="J920" s="36"/>
      <c r="K920" s="36"/>
      <c r="L920" s="36"/>
      <c r="M920" s="36"/>
      <c r="N920" s="36"/>
    </row>
    <row r="921" spans="1:14">
      <c r="A921" s="8" t="s">
        <v>946</v>
      </c>
      <c r="B921" s="19">
        <v>42108</v>
      </c>
      <c r="C921" s="8" t="s">
        <v>33</v>
      </c>
      <c r="D921" s="8">
        <v>10004</v>
      </c>
      <c r="E921" s="8" t="s">
        <v>395</v>
      </c>
      <c r="F921" s="8" t="s">
        <v>40</v>
      </c>
      <c r="G921" s="36">
        <f>VLOOKUP(E921,Flipkart!$A$1:$B$296,2,0)</f>
        <v>0.03</v>
      </c>
      <c r="H921" s="36">
        <f t="shared" ca="1" si="14"/>
        <v>0</v>
      </c>
      <c r="I921" s="36" t="str">
        <f>_xlfn.XLOOKUP(E921,'Product List'!$B$2:$B$299,'Product List'!$A$2:$A$299)</f>
        <v>Xerox 1883</v>
      </c>
      <c r="J921" s="36"/>
      <c r="K921" s="36"/>
      <c r="L921" s="36"/>
      <c r="M921" s="36"/>
      <c r="N921" s="36"/>
    </row>
    <row r="922" spans="1:14">
      <c r="A922" s="8" t="s">
        <v>947</v>
      </c>
      <c r="B922" s="19">
        <v>42112</v>
      </c>
      <c r="C922" s="8" t="s">
        <v>33</v>
      </c>
      <c r="D922" s="8">
        <v>10014</v>
      </c>
      <c r="E922" s="8" t="s">
        <v>205</v>
      </c>
      <c r="F922" s="8" t="s">
        <v>29</v>
      </c>
      <c r="G922" s="36">
        <f>VLOOKUP(E922,Flipkart!$A$1:$B$296,2,0)</f>
        <v>0.02</v>
      </c>
      <c r="H922" s="36">
        <f t="shared" ca="1" si="14"/>
        <v>0</v>
      </c>
      <c r="I922" s="36" t="str">
        <f>_xlfn.XLOOKUP(E922,'Product List'!$B$2:$B$299,'Product List'!$A$2:$A$299)</f>
        <v>AT&amp;T TR1909W</v>
      </c>
      <c r="J922" s="36"/>
      <c r="K922" s="36"/>
      <c r="L922" s="36"/>
      <c r="M922" s="36"/>
      <c r="N922" s="36"/>
    </row>
    <row r="923" spans="1:14">
      <c r="A923" s="8" t="s">
        <v>947</v>
      </c>
      <c r="B923" s="19">
        <v>42112</v>
      </c>
      <c r="C923" s="8" t="s">
        <v>33</v>
      </c>
      <c r="D923" s="8">
        <v>10002</v>
      </c>
      <c r="E923" s="8" t="s">
        <v>190</v>
      </c>
      <c r="F923" s="8" t="s">
        <v>32</v>
      </c>
      <c r="G923" s="36">
        <f>VLOOKUP(E923,Flipkart!$A$1:$B$296,2,0)</f>
        <v>0.02</v>
      </c>
      <c r="H923" s="36">
        <f t="shared" ca="1" si="14"/>
        <v>0</v>
      </c>
      <c r="I923" s="36" t="str">
        <f>_xlfn.XLOOKUP(E923,'Product List'!$B$2:$B$299,'Product List'!$A$2:$A$299)</f>
        <v>Xerox 1887</v>
      </c>
      <c r="J923" s="36"/>
      <c r="K923" s="36"/>
      <c r="L923" s="36"/>
      <c r="M923" s="36"/>
      <c r="N923" s="36"/>
    </row>
    <row r="924" spans="1:14">
      <c r="A924" s="8" t="s">
        <v>948</v>
      </c>
      <c r="B924" s="19">
        <v>42113</v>
      </c>
      <c r="C924" s="8" t="s">
        <v>27</v>
      </c>
      <c r="D924" s="8">
        <v>10005</v>
      </c>
      <c r="E924" s="8" t="s">
        <v>592</v>
      </c>
      <c r="F924" s="8" t="s">
        <v>32</v>
      </c>
      <c r="G924" s="36">
        <f>VLOOKUP(E924,Flipkart!$A$1:$B$296,2,0)</f>
        <v>0</v>
      </c>
      <c r="H924" s="36">
        <f t="shared" ca="1" si="14"/>
        <v>0.02</v>
      </c>
      <c r="I924" s="36" t="str">
        <f>_xlfn.XLOOKUP(E924,'Product List'!$B$2:$B$299,'Product List'!$A$2:$A$299)</f>
        <v>Avery 5</v>
      </c>
      <c r="J924" s="36"/>
      <c r="K924" s="36"/>
      <c r="L924" s="36"/>
      <c r="M924" s="36"/>
      <c r="N924" s="36"/>
    </row>
    <row r="925" spans="1:14">
      <c r="A925" s="8" t="s">
        <v>949</v>
      </c>
      <c r="B925" s="19">
        <v>42113</v>
      </c>
      <c r="C925" s="8" t="s">
        <v>33</v>
      </c>
      <c r="D925" s="8">
        <v>10010</v>
      </c>
      <c r="E925" s="8" t="s">
        <v>501</v>
      </c>
      <c r="F925" s="8" t="s">
        <v>43</v>
      </c>
      <c r="G925" s="36">
        <f>VLOOKUP(E925,Flipkart!$A$1:$B$296,2,0)</f>
        <v>0</v>
      </c>
      <c r="H925" s="36">
        <f t="shared" ca="1" si="14"/>
        <v>0.05</v>
      </c>
      <c r="I925" s="36" t="str">
        <f>_xlfn.XLOOKUP(E925,'Product List'!$B$2:$B$299,'Product List'!$A$2:$A$299)</f>
        <v>Avery 500</v>
      </c>
      <c r="J925" s="36"/>
      <c r="K925" s="36"/>
      <c r="L925" s="36"/>
      <c r="M925" s="36"/>
      <c r="N925" s="36"/>
    </row>
    <row r="926" spans="1:14">
      <c r="A926" s="8" t="s">
        <v>950</v>
      </c>
      <c r="B926" s="19">
        <v>42113</v>
      </c>
      <c r="C926" s="8" t="s">
        <v>54</v>
      </c>
      <c r="D926" s="8">
        <v>10013</v>
      </c>
      <c r="E926" s="8" t="s">
        <v>62</v>
      </c>
      <c r="F926" s="8" t="s">
        <v>40</v>
      </c>
      <c r="G926" s="36">
        <f>VLOOKUP(E926,Flipkart!$A$1:$B$296,2,0)</f>
        <v>0.05</v>
      </c>
      <c r="H926" s="36">
        <f t="shared" ca="1" si="14"/>
        <v>0</v>
      </c>
      <c r="I926" s="36" t="str">
        <f>_xlfn.XLOOKUP(E926,'Product List'!$B$2:$B$299,'Product List'!$A$2:$A$299)</f>
        <v>Newell 308</v>
      </c>
      <c r="J926" s="36"/>
      <c r="K926" s="36"/>
      <c r="L926" s="36"/>
      <c r="M926" s="36"/>
      <c r="N926" s="36"/>
    </row>
    <row r="927" spans="1:14">
      <c r="A927" s="8" t="s">
        <v>951</v>
      </c>
      <c r="B927" s="19">
        <v>42117</v>
      </c>
      <c r="C927" s="8" t="s">
        <v>54</v>
      </c>
      <c r="D927" s="8">
        <v>10013</v>
      </c>
      <c r="E927" s="8" t="s">
        <v>298</v>
      </c>
      <c r="F927" s="8" t="s">
        <v>29</v>
      </c>
      <c r="G927" s="36">
        <f>VLOOKUP(E927,Flipkart!$A$1:$B$296,2,0)</f>
        <v>0.04</v>
      </c>
      <c r="H927" s="36">
        <f t="shared" ca="1" si="14"/>
        <v>0.05</v>
      </c>
      <c r="I927" s="36" t="str">
        <f>_xlfn.XLOOKUP(E927,'Product List'!$B$2:$B$299,'Product List'!$A$2:$A$299)</f>
        <v>Xerox 216</v>
      </c>
      <c r="J927" s="36"/>
      <c r="K927" s="36"/>
      <c r="L927" s="36"/>
      <c r="M927" s="36"/>
      <c r="N927" s="36"/>
    </row>
    <row r="928" spans="1:14">
      <c r="A928" s="8" t="s">
        <v>951</v>
      </c>
      <c r="B928" s="19">
        <v>42117</v>
      </c>
      <c r="C928" s="8" t="s">
        <v>66</v>
      </c>
      <c r="D928" s="8">
        <v>10013</v>
      </c>
      <c r="E928" s="8" t="s">
        <v>532</v>
      </c>
      <c r="F928" s="8" t="s">
        <v>43</v>
      </c>
      <c r="G928" s="36">
        <f>VLOOKUP(E928,Flipkart!$A$1:$B$296,2,0)</f>
        <v>0.05</v>
      </c>
      <c r="H928" s="36">
        <f t="shared" ca="1" si="14"/>
        <v>0</v>
      </c>
      <c r="I928" s="36" t="str">
        <f>_xlfn.XLOOKUP(E928,'Product List'!$B$2:$B$299,'Product List'!$A$2:$A$299)</f>
        <v>Clarity 53712</v>
      </c>
      <c r="J928" s="36"/>
      <c r="K928" s="36"/>
      <c r="L928" s="36"/>
      <c r="M928" s="36"/>
      <c r="N928" s="36"/>
    </row>
    <row r="929" spans="1:14">
      <c r="A929" s="8" t="s">
        <v>952</v>
      </c>
      <c r="B929" s="19">
        <v>42118</v>
      </c>
      <c r="C929" s="8" t="s">
        <v>27</v>
      </c>
      <c r="D929" s="8">
        <v>10015</v>
      </c>
      <c r="E929" s="8" t="s">
        <v>105</v>
      </c>
      <c r="F929" s="8" t="s">
        <v>40</v>
      </c>
      <c r="G929" s="36">
        <f>VLOOKUP(E929,Flipkart!$A$1:$B$296,2,0)</f>
        <v>0.05</v>
      </c>
      <c r="H929" s="36">
        <f t="shared" ca="1" si="14"/>
        <v>0.04</v>
      </c>
      <c r="I929" s="36" t="str">
        <f>_xlfn.XLOOKUP(E929,'Product List'!$B$2:$B$299,'Product List'!$A$2:$A$299)</f>
        <v>Xerox 201</v>
      </c>
      <c r="J929" s="36"/>
      <c r="K929" s="36"/>
      <c r="L929" s="36"/>
      <c r="M929" s="36"/>
      <c r="N929" s="36"/>
    </row>
    <row r="930" spans="1:14">
      <c r="A930" s="8" t="s">
        <v>953</v>
      </c>
      <c r="B930" s="19">
        <v>42118</v>
      </c>
      <c r="C930" s="8" t="s">
        <v>54</v>
      </c>
      <c r="D930" s="8">
        <v>10015</v>
      </c>
      <c r="E930" s="8" t="s">
        <v>403</v>
      </c>
      <c r="F930" s="8" t="s">
        <v>29</v>
      </c>
      <c r="G930" s="36">
        <f>VLOOKUP(E930,Flipkart!$A$1:$B$296,2,0)</f>
        <v>0.04</v>
      </c>
      <c r="H930" s="36">
        <f t="shared" ca="1" si="14"/>
        <v>0.01</v>
      </c>
      <c r="I930" s="36" t="str">
        <f>_xlfn.XLOOKUP(E930,'Product List'!$B$2:$B$299,'Product List'!$A$2:$A$299)</f>
        <v>Xerox 188</v>
      </c>
      <c r="J930" s="36"/>
      <c r="K930" s="36"/>
      <c r="L930" s="36"/>
      <c r="M930" s="36"/>
      <c r="N930" s="36"/>
    </row>
    <row r="931" spans="1:14">
      <c r="A931" s="8" t="s">
        <v>952</v>
      </c>
      <c r="B931" s="19">
        <v>42118</v>
      </c>
      <c r="C931" s="8" t="s">
        <v>36</v>
      </c>
      <c r="D931" s="8">
        <v>10012</v>
      </c>
      <c r="E931" s="8" t="s">
        <v>470</v>
      </c>
      <c r="F931" s="8" t="s">
        <v>32</v>
      </c>
      <c r="G931" s="36">
        <f>VLOOKUP(E931,Flipkart!$A$1:$B$296,2,0)</f>
        <v>0.04</v>
      </c>
      <c r="H931" s="36">
        <f t="shared" ca="1" si="14"/>
        <v>0.05</v>
      </c>
      <c r="I931" s="36" t="str">
        <f>_xlfn.XLOOKUP(E931,'Product List'!$B$2:$B$299,'Product List'!$A$2:$A$299)</f>
        <v>Xerox 1884</v>
      </c>
      <c r="J931" s="36"/>
      <c r="K931" s="36"/>
      <c r="L931" s="36"/>
      <c r="M931" s="36"/>
      <c r="N931" s="36"/>
    </row>
    <row r="932" spans="1:14">
      <c r="A932" s="8" t="s">
        <v>954</v>
      </c>
      <c r="B932" s="19">
        <v>42118</v>
      </c>
      <c r="C932" s="8" t="s">
        <v>54</v>
      </c>
      <c r="D932" s="8">
        <v>10002</v>
      </c>
      <c r="E932" s="8" t="s">
        <v>729</v>
      </c>
      <c r="F932" s="8" t="s">
        <v>43</v>
      </c>
      <c r="G932" s="36">
        <f>VLOOKUP(E932,Flipkart!$A$1:$B$296,2,0)</f>
        <v>0</v>
      </c>
      <c r="H932" s="36">
        <f t="shared" ca="1" si="14"/>
        <v>0.04</v>
      </c>
      <c r="I932" s="36" t="str">
        <f>_xlfn.XLOOKUP(E932,'Product List'!$B$2:$B$299,'Product List'!$A$2:$A$299)</f>
        <v>Newell 324</v>
      </c>
      <c r="J932" s="36"/>
      <c r="K932" s="36"/>
      <c r="L932" s="36"/>
      <c r="M932" s="36"/>
      <c r="N932" s="36"/>
    </row>
    <row r="933" spans="1:14">
      <c r="A933" s="8" t="s">
        <v>954</v>
      </c>
      <c r="B933" s="19">
        <v>42118</v>
      </c>
      <c r="C933" s="8" t="s">
        <v>66</v>
      </c>
      <c r="D933" s="8">
        <v>10011</v>
      </c>
      <c r="E933" s="8" t="s">
        <v>439</v>
      </c>
      <c r="F933" s="8" t="s">
        <v>50</v>
      </c>
      <c r="G933" s="36">
        <f>VLOOKUP(E933,Flipkart!$A$1:$B$296,2,0)</f>
        <v>0.05</v>
      </c>
      <c r="H933" s="36">
        <f t="shared" ca="1" si="14"/>
        <v>0.02</v>
      </c>
      <c r="I933" s="36" t="str">
        <f>_xlfn.XLOOKUP(E933,'Product List'!$B$2:$B$299,'Product List'!$A$2:$A$299)</f>
        <v>Xerox 1919</v>
      </c>
      <c r="J933" s="36"/>
      <c r="K933" s="36"/>
      <c r="L933" s="36"/>
      <c r="M933" s="36"/>
      <c r="N933" s="36"/>
    </row>
    <row r="934" spans="1:14">
      <c r="A934" s="8" t="s">
        <v>953</v>
      </c>
      <c r="B934" s="19">
        <v>42118</v>
      </c>
      <c r="C934" s="8" t="s">
        <v>54</v>
      </c>
      <c r="D934" s="8">
        <v>10006</v>
      </c>
      <c r="E934" s="8" t="s">
        <v>367</v>
      </c>
      <c r="F934" s="8" t="s">
        <v>35</v>
      </c>
      <c r="G934" s="36">
        <f>VLOOKUP(E934,Flipkart!$A$1:$B$296,2,0)</f>
        <v>0.04</v>
      </c>
      <c r="H934" s="36">
        <f t="shared" ca="1" si="14"/>
        <v>0.04</v>
      </c>
      <c r="I934" s="36" t="str">
        <f>_xlfn.XLOOKUP(E934,'Product List'!$B$2:$B$299,'Product List'!$A$2:$A$299)</f>
        <v>Xerox 196</v>
      </c>
      <c r="J934" s="36"/>
      <c r="K934" s="36"/>
      <c r="L934" s="36"/>
      <c r="M934" s="36"/>
      <c r="N934" s="36"/>
    </row>
    <row r="935" spans="1:14">
      <c r="A935" s="8" t="s">
        <v>952</v>
      </c>
      <c r="B935" s="19">
        <v>42118</v>
      </c>
      <c r="C935" s="8" t="s">
        <v>27</v>
      </c>
      <c r="D935" s="8">
        <v>10010</v>
      </c>
      <c r="E935" s="8" t="s">
        <v>659</v>
      </c>
      <c r="F935" s="8" t="s">
        <v>43</v>
      </c>
      <c r="G935" s="36">
        <f>VLOOKUP(E935,Flipkart!$A$1:$B$296,2,0)</f>
        <v>0.02</v>
      </c>
      <c r="H935" s="36">
        <f t="shared" ca="1" si="14"/>
        <v>0.04</v>
      </c>
      <c r="I935" s="36" t="str">
        <f>_xlfn.XLOOKUP(E935,'Product List'!$B$2:$B$299,'Product List'!$A$2:$A$299)</f>
        <v>Newell 312</v>
      </c>
      <c r="J935" s="36"/>
      <c r="K935" s="36"/>
      <c r="L935" s="36"/>
      <c r="M935" s="36"/>
      <c r="N935" s="36"/>
    </row>
    <row r="936" spans="1:14">
      <c r="A936" s="8" t="s">
        <v>955</v>
      </c>
      <c r="B936" s="19">
        <v>42121</v>
      </c>
      <c r="C936" s="8" t="s">
        <v>46</v>
      </c>
      <c r="D936" s="8">
        <v>10015</v>
      </c>
      <c r="E936" s="8" t="s">
        <v>269</v>
      </c>
      <c r="F936" s="8" t="s">
        <v>29</v>
      </c>
      <c r="G936" s="36">
        <f>VLOOKUP(E936,Flipkart!$A$1:$B$296,2,0)</f>
        <v>0.03</v>
      </c>
      <c r="H936" s="36">
        <f t="shared" ca="1" si="14"/>
        <v>0.04</v>
      </c>
      <c r="I936" s="36" t="str">
        <f>_xlfn.XLOOKUP(E936,'Product List'!$B$2:$B$299,'Product List'!$A$2:$A$299)</f>
        <v>Xerox 1975</v>
      </c>
      <c r="J936" s="36"/>
      <c r="K936" s="36"/>
      <c r="L936" s="36"/>
      <c r="M936" s="36"/>
      <c r="N936" s="36"/>
    </row>
    <row r="937" spans="1:14">
      <c r="A937" s="8" t="s">
        <v>956</v>
      </c>
      <c r="B937" s="19">
        <v>42123</v>
      </c>
      <c r="C937" s="8" t="s">
        <v>33</v>
      </c>
      <c r="D937" s="8">
        <v>10012</v>
      </c>
      <c r="E937" s="8" t="s">
        <v>37</v>
      </c>
      <c r="F937" s="8" t="s">
        <v>29</v>
      </c>
      <c r="G937" s="36">
        <f>VLOOKUP(E937,Flipkart!$A$1:$B$296,2,0)</f>
        <v>0.03</v>
      </c>
      <c r="H937" s="36">
        <f t="shared" ca="1" si="14"/>
        <v>0.03</v>
      </c>
      <c r="I937" s="36" t="str">
        <f>_xlfn.XLOOKUP(E937,'Product List'!$B$2:$B$299,'Product List'!$A$2:$A$299)</f>
        <v>Avery 508</v>
      </c>
      <c r="J937" s="36"/>
      <c r="K937" s="36"/>
      <c r="L937" s="36"/>
      <c r="M937" s="36"/>
      <c r="N937" s="36"/>
    </row>
    <row r="938" spans="1:14">
      <c r="A938" s="8" t="s">
        <v>957</v>
      </c>
      <c r="B938" s="19">
        <v>42124</v>
      </c>
      <c r="C938" s="8" t="s">
        <v>36</v>
      </c>
      <c r="D938" s="8">
        <v>10011</v>
      </c>
      <c r="E938" s="8" t="s">
        <v>743</v>
      </c>
      <c r="F938" s="8" t="s">
        <v>43</v>
      </c>
      <c r="G938" s="36">
        <f>VLOOKUP(E938,Flipkart!$A$1:$B$296,2,0)</f>
        <v>0.04</v>
      </c>
      <c r="H938" s="36">
        <f t="shared" ca="1" si="14"/>
        <v>0.01</v>
      </c>
      <c r="I938" s="36" t="str">
        <f>_xlfn.XLOOKUP(E938,'Product List'!$B$2:$B$299,'Product List'!$A$2:$A$299)</f>
        <v>Xerox 207</v>
      </c>
      <c r="J938" s="36"/>
      <c r="K938" s="36"/>
      <c r="L938" s="36"/>
      <c r="M938" s="36"/>
      <c r="N938" s="36"/>
    </row>
    <row r="939" spans="1:14">
      <c r="A939" s="8" t="s">
        <v>958</v>
      </c>
      <c r="B939" s="19">
        <v>42127</v>
      </c>
      <c r="C939" s="8" t="s">
        <v>27</v>
      </c>
      <c r="D939" s="8">
        <v>10001</v>
      </c>
      <c r="E939" s="8" t="s">
        <v>80</v>
      </c>
      <c r="F939" s="8" t="s">
        <v>50</v>
      </c>
      <c r="G939" s="36">
        <f>VLOOKUP(E939,Flipkart!$A$1:$B$296,2,0)</f>
        <v>0.01</v>
      </c>
      <c r="H939" s="36">
        <f t="shared" ca="1" si="14"/>
        <v>0.01</v>
      </c>
      <c r="I939" s="36" t="str">
        <f>_xlfn.XLOOKUP(E939,'Product List'!$B$2:$B$299,'Product List'!$A$2:$A$299)</f>
        <v>Xerox 192</v>
      </c>
      <c r="J939" s="36"/>
      <c r="K939" s="36"/>
      <c r="L939" s="36"/>
      <c r="M939" s="36"/>
      <c r="N939" s="36"/>
    </row>
    <row r="940" spans="1:14">
      <c r="A940" s="8" t="s">
        <v>959</v>
      </c>
      <c r="B940" s="19">
        <v>42128</v>
      </c>
      <c r="C940" s="8" t="s">
        <v>44</v>
      </c>
      <c r="D940" s="8">
        <v>10012</v>
      </c>
      <c r="E940" s="8" t="s">
        <v>390</v>
      </c>
      <c r="F940" s="8" t="s">
        <v>29</v>
      </c>
      <c r="G940" s="36">
        <f>VLOOKUP(E940,Flipkart!$A$1:$B$296,2,0)</f>
        <v>0.05</v>
      </c>
      <c r="H940" s="36">
        <f t="shared" ca="1" si="14"/>
        <v>0.05</v>
      </c>
      <c r="I940" s="36" t="str">
        <f>_xlfn.XLOOKUP(E940,'Product List'!$B$2:$B$299,'Product List'!$A$2:$A$299)</f>
        <v>Avery 502</v>
      </c>
      <c r="J940" s="36"/>
      <c r="K940" s="36"/>
      <c r="L940" s="36"/>
      <c r="M940" s="36"/>
      <c r="N940" s="36"/>
    </row>
    <row r="941" spans="1:14">
      <c r="A941" s="8" t="s">
        <v>959</v>
      </c>
      <c r="B941" s="19">
        <v>42128</v>
      </c>
      <c r="C941" s="8" t="s">
        <v>27</v>
      </c>
      <c r="D941" s="8">
        <v>10006</v>
      </c>
      <c r="E941" s="8" t="s">
        <v>102</v>
      </c>
      <c r="F941" s="8" t="s">
        <v>29</v>
      </c>
      <c r="G941" s="36">
        <f>VLOOKUP(E941,Flipkart!$A$1:$B$296,2,0)</f>
        <v>0.02</v>
      </c>
      <c r="H941" s="36">
        <f t="shared" ca="1" si="14"/>
        <v>0</v>
      </c>
      <c r="I941" s="36" t="str">
        <f>_xlfn.XLOOKUP(E941,'Product List'!$B$2:$B$299,'Product List'!$A$2:$A$299)</f>
        <v>Xerox 1997</v>
      </c>
      <c r="J941" s="36"/>
      <c r="K941" s="36"/>
      <c r="L941" s="36"/>
      <c r="M941" s="36"/>
      <c r="N941" s="36"/>
    </row>
    <row r="942" spans="1:14">
      <c r="A942" s="8" t="s">
        <v>960</v>
      </c>
      <c r="B942" s="19">
        <v>42128</v>
      </c>
      <c r="C942" s="8" t="s">
        <v>33</v>
      </c>
      <c r="D942" s="8">
        <v>10006</v>
      </c>
      <c r="E942" s="8" t="s">
        <v>368</v>
      </c>
      <c r="F942" s="8" t="s">
        <v>50</v>
      </c>
      <c r="G942" s="36">
        <f>VLOOKUP(E942,Flipkart!$A$1:$B$296,2,0)</f>
        <v>0</v>
      </c>
      <c r="H942" s="36">
        <f t="shared" ca="1" si="14"/>
        <v>0.03</v>
      </c>
      <c r="I942" s="36" t="str">
        <f>_xlfn.XLOOKUP(E942,'Product List'!$B$2:$B$299,'Product List'!$A$2:$A$299)</f>
        <v>Xerox 1978</v>
      </c>
      <c r="J942" s="36"/>
      <c r="K942" s="36"/>
      <c r="L942" s="36"/>
      <c r="M942" s="36"/>
      <c r="N942" s="36"/>
    </row>
    <row r="943" spans="1:14">
      <c r="A943" s="8" t="s">
        <v>959</v>
      </c>
      <c r="B943" s="19">
        <v>42128</v>
      </c>
      <c r="C943" s="8" t="s">
        <v>27</v>
      </c>
      <c r="D943" s="8">
        <v>10003</v>
      </c>
      <c r="E943" s="8" t="s">
        <v>507</v>
      </c>
      <c r="F943" s="8" t="s">
        <v>29</v>
      </c>
      <c r="G943" s="36">
        <f>VLOOKUP(E943,Flipkart!$A$1:$B$296,2,0)</f>
        <v>0.04</v>
      </c>
      <c r="H943" s="36">
        <f t="shared" ca="1" si="14"/>
        <v>0</v>
      </c>
      <c r="I943" s="36" t="str">
        <f>_xlfn.XLOOKUP(E943,'Product List'!$B$2:$B$299,'Product List'!$A$2:$A$299)</f>
        <v>Xerox 1905</v>
      </c>
      <c r="J943" s="36"/>
      <c r="K943" s="36"/>
      <c r="L943" s="36"/>
      <c r="M943" s="36"/>
      <c r="N943" s="36"/>
    </row>
    <row r="944" spans="1:14">
      <c r="A944" s="8" t="s">
        <v>960</v>
      </c>
      <c r="B944" s="19">
        <v>42128</v>
      </c>
      <c r="C944" s="8" t="s">
        <v>46</v>
      </c>
      <c r="D944" s="8">
        <v>10004</v>
      </c>
      <c r="E944" s="8" t="s">
        <v>91</v>
      </c>
      <c r="F944" s="8" t="s">
        <v>35</v>
      </c>
      <c r="G944" s="36">
        <f>VLOOKUP(E944,Flipkart!$A$1:$B$296,2,0)</f>
        <v>0.05</v>
      </c>
      <c r="H944" s="36">
        <f t="shared" ca="1" si="14"/>
        <v>0.05</v>
      </c>
      <c r="I944" s="36" t="str">
        <f>_xlfn.XLOOKUP(E944,'Product List'!$B$2:$B$299,'Product List'!$A$2:$A$299)</f>
        <v>Avery 475</v>
      </c>
      <c r="J944" s="36"/>
      <c r="K944" s="36"/>
      <c r="L944" s="36"/>
      <c r="M944" s="36"/>
      <c r="N944" s="36"/>
    </row>
    <row r="945" spans="1:14">
      <c r="A945" s="8" t="s">
        <v>961</v>
      </c>
      <c r="B945" s="19">
        <v>42129</v>
      </c>
      <c r="C945" s="8" t="s">
        <v>51</v>
      </c>
      <c r="D945" s="8">
        <v>10013</v>
      </c>
      <c r="E945" s="8" t="s">
        <v>218</v>
      </c>
      <c r="F945" s="8" t="s">
        <v>29</v>
      </c>
      <c r="G945" s="36">
        <f>VLOOKUP(E945,Flipkart!$A$1:$B$296,2,0)</f>
        <v>0.05</v>
      </c>
      <c r="H945" s="36">
        <f t="shared" ca="1" si="14"/>
        <v>0.01</v>
      </c>
      <c r="I945" s="36" t="str">
        <f>_xlfn.XLOOKUP(E945,'Product List'!$B$2:$B$299,'Product List'!$A$2:$A$299)</f>
        <v>Avery 509</v>
      </c>
      <c r="J945" s="36"/>
      <c r="K945" s="36"/>
      <c r="L945" s="36"/>
      <c r="M945" s="36"/>
      <c r="N945" s="36"/>
    </row>
    <row r="946" spans="1:14">
      <c r="A946" s="8" t="s">
        <v>962</v>
      </c>
      <c r="B946" s="19">
        <v>42129</v>
      </c>
      <c r="C946" s="8" t="s">
        <v>66</v>
      </c>
      <c r="D946" s="8">
        <v>10014</v>
      </c>
      <c r="E946" s="8" t="s">
        <v>100</v>
      </c>
      <c r="F946" s="8" t="s">
        <v>35</v>
      </c>
      <c r="G946" s="36">
        <f>VLOOKUP(E946,Flipkart!$A$1:$B$296,2,0)</f>
        <v>0.02</v>
      </c>
      <c r="H946" s="36">
        <f t="shared" ca="1" si="14"/>
        <v>0.02</v>
      </c>
      <c r="I946" s="36" t="str">
        <f>_xlfn.XLOOKUP(E946,'Product List'!$B$2:$B$299,'Product List'!$A$2:$A$299)</f>
        <v>Xerox 1893</v>
      </c>
      <c r="J946" s="36"/>
      <c r="K946" s="36"/>
      <c r="L946" s="36"/>
      <c r="M946" s="36"/>
      <c r="N946" s="36"/>
    </row>
    <row r="947" spans="1:14">
      <c r="A947" s="8" t="s">
        <v>963</v>
      </c>
      <c r="B947" s="19">
        <v>42131</v>
      </c>
      <c r="C947" s="8" t="s">
        <v>54</v>
      </c>
      <c r="D947" s="8">
        <v>10001</v>
      </c>
      <c r="E947" s="8" t="s">
        <v>247</v>
      </c>
      <c r="F947" s="8" t="s">
        <v>35</v>
      </c>
      <c r="G947" s="36">
        <f>VLOOKUP(E947,Flipkart!$A$1:$B$296,2,0)</f>
        <v>0.01</v>
      </c>
      <c r="H947" s="36">
        <f t="shared" ca="1" si="14"/>
        <v>0.01</v>
      </c>
      <c r="I947" s="36" t="str">
        <f>_xlfn.XLOOKUP(E947,'Product List'!$B$2:$B$299,'Product List'!$A$2:$A$299)</f>
        <v>Newell 329</v>
      </c>
      <c r="J947" s="36"/>
      <c r="K947" s="36"/>
      <c r="L947" s="36"/>
      <c r="M947" s="36"/>
      <c r="N947" s="36"/>
    </row>
    <row r="948" spans="1:14">
      <c r="A948" s="8" t="s">
        <v>964</v>
      </c>
      <c r="B948" s="19">
        <v>42133</v>
      </c>
      <c r="C948" s="8" t="s">
        <v>54</v>
      </c>
      <c r="D948" s="8">
        <v>10007</v>
      </c>
      <c r="E948" s="8" t="s">
        <v>213</v>
      </c>
      <c r="F948" s="8" t="s">
        <v>29</v>
      </c>
      <c r="G948" s="36">
        <f>VLOOKUP(E948,Flipkart!$A$1:$B$296,2,0)</f>
        <v>0.04</v>
      </c>
      <c r="H948" s="36">
        <f t="shared" ca="1" si="14"/>
        <v>0.03</v>
      </c>
      <c r="I948" s="36" t="str">
        <f>_xlfn.XLOOKUP(E948,'Product List'!$B$2:$B$299,'Product List'!$A$2:$A$299)</f>
        <v>Cisco SPA301</v>
      </c>
      <c r="J948" s="36"/>
      <c r="K948" s="36"/>
      <c r="L948" s="36"/>
      <c r="M948" s="36"/>
      <c r="N948" s="36"/>
    </row>
    <row r="949" spans="1:14">
      <c r="A949" s="8" t="s">
        <v>965</v>
      </c>
      <c r="B949" s="19">
        <v>42133</v>
      </c>
      <c r="C949" s="8" t="s">
        <v>27</v>
      </c>
      <c r="D949" s="8">
        <v>10007</v>
      </c>
      <c r="E949" s="8" t="s">
        <v>455</v>
      </c>
      <c r="F949" s="8" t="s">
        <v>32</v>
      </c>
      <c r="G949" s="36">
        <f>VLOOKUP(E949,Flipkart!$A$1:$B$296,2,0)</f>
        <v>0</v>
      </c>
      <c r="H949" s="36">
        <f t="shared" ca="1" si="14"/>
        <v>0.05</v>
      </c>
      <c r="I949" s="36" t="str">
        <f>_xlfn.XLOOKUP(E949,'Product List'!$B$2:$B$299,'Product List'!$A$2:$A$299)</f>
        <v>Newell 307</v>
      </c>
      <c r="J949" s="36"/>
      <c r="K949" s="36"/>
      <c r="L949" s="36"/>
      <c r="M949" s="36"/>
      <c r="N949" s="36"/>
    </row>
    <row r="950" spans="1:14">
      <c r="A950" s="8" t="s">
        <v>966</v>
      </c>
      <c r="B950" s="19">
        <v>42134</v>
      </c>
      <c r="C950" s="8" t="s">
        <v>44</v>
      </c>
      <c r="D950" s="8">
        <v>10003</v>
      </c>
      <c r="E950" s="8" t="s">
        <v>640</v>
      </c>
      <c r="F950" s="8" t="s">
        <v>32</v>
      </c>
      <c r="G950" s="36">
        <f>VLOOKUP(E950,Flipkart!$A$1:$B$296,2,0)</f>
        <v>0.05</v>
      </c>
      <c r="H950" s="36">
        <f t="shared" ca="1" si="14"/>
        <v>0</v>
      </c>
      <c r="I950" s="36" t="str">
        <f>_xlfn.XLOOKUP(E950,'Product List'!$B$2:$B$299,'Product List'!$A$2:$A$299)</f>
        <v>Crate-A-Files</v>
      </c>
      <c r="J950" s="36"/>
      <c r="K950" s="36"/>
      <c r="L950" s="36"/>
      <c r="M950" s="36"/>
      <c r="N950" s="36"/>
    </row>
    <row r="951" spans="1:14">
      <c r="A951" s="8" t="s">
        <v>967</v>
      </c>
      <c r="B951" s="19">
        <v>42135</v>
      </c>
      <c r="C951" s="8" t="s">
        <v>44</v>
      </c>
      <c r="D951" s="8">
        <v>10012</v>
      </c>
      <c r="E951" s="8" t="s">
        <v>476</v>
      </c>
      <c r="F951" s="8" t="s">
        <v>32</v>
      </c>
      <c r="G951" s="36">
        <f>VLOOKUP(E951,Flipkart!$A$1:$B$296,2,0)</f>
        <v>0.04</v>
      </c>
      <c r="H951" s="36">
        <f t="shared" ca="1" si="14"/>
        <v>0.05</v>
      </c>
      <c r="I951" s="36" t="str">
        <f>_xlfn.XLOOKUP(E951,'Product List'!$B$2:$B$299,'Product List'!$A$2:$A$299)</f>
        <v>Xerox 200</v>
      </c>
      <c r="J951" s="36"/>
      <c r="K951" s="36"/>
      <c r="L951" s="36"/>
      <c r="M951" s="36"/>
      <c r="N951" s="36"/>
    </row>
    <row r="952" spans="1:14">
      <c r="A952" s="8" t="s">
        <v>967</v>
      </c>
      <c r="B952" s="19">
        <v>42135</v>
      </c>
      <c r="C952" s="8" t="s">
        <v>36</v>
      </c>
      <c r="D952" s="8">
        <v>10015</v>
      </c>
      <c r="E952" s="8" t="s">
        <v>226</v>
      </c>
      <c r="F952" s="8" t="s">
        <v>40</v>
      </c>
      <c r="G952" s="36">
        <f>VLOOKUP(E952,Flipkart!$A$1:$B$296,2,0)</f>
        <v>0.05</v>
      </c>
      <c r="H952" s="36">
        <f t="shared" ca="1" si="14"/>
        <v>0.01</v>
      </c>
      <c r="I952" s="36" t="str">
        <f>_xlfn.XLOOKUP(E952,'Product List'!$B$2:$B$299,'Product List'!$A$2:$A$299)</f>
        <v>Avery 517</v>
      </c>
      <c r="J952" s="36"/>
      <c r="K952" s="36"/>
      <c r="L952" s="36"/>
      <c r="M952" s="36"/>
      <c r="N952" s="36"/>
    </row>
    <row r="953" spans="1:14">
      <c r="A953" s="8" t="s">
        <v>968</v>
      </c>
      <c r="B953" s="19">
        <v>42138</v>
      </c>
      <c r="C953" s="8" t="s">
        <v>33</v>
      </c>
      <c r="D953" s="8">
        <v>10014</v>
      </c>
      <c r="E953" s="8" t="s">
        <v>795</v>
      </c>
      <c r="F953" s="8" t="s">
        <v>40</v>
      </c>
      <c r="G953" s="36">
        <f>VLOOKUP(E953,Flipkart!$A$1:$B$296,2,0)</f>
        <v>0.05</v>
      </c>
      <c r="H953" s="36">
        <f t="shared" ca="1" si="14"/>
        <v>0.03</v>
      </c>
      <c r="I953" s="36" t="str">
        <f>_xlfn.XLOOKUP(E953,'Product List'!$B$2:$B$299,'Product List'!$A$2:$A$299)</f>
        <v>Newell 336</v>
      </c>
      <c r="J953" s="36"/>
      <c r="K953" s="36"/>
      <c r="L953" s="36"/>
      <c r="M953" s="36"/>
      <c r="N953" s="36"/>
    </row>
    <row r="954" spans="1:14">
      <c r="A954" s="8" t="s">
        <v>969</v>
      </c>
      <c r="B954" s="19">
        <v>42138</v>
      </c>
      <c r="C954" s="8" t="s">
        <v>54</v>
      </c>
      <c r="D954" s="8">
        <v>10008</v>
      </c>
      <c r="E954" s="8" t="s">
        <v>535</v>
      </c>
      <c r="F954" s="8" t="s">
        <v>43</v>
      </c>
      <c r="G954" s="36">
        <f>VLOOKUP(E954,Flipkart!$A$1:$B$296,2,0)</f>
        <v>0.01</v>
      </c>
      <c r="H954" s="36">
        <f t="shared" ca="1" si="14"/>
        <v>0.05</v>
      </c>
      <c r="I954" s="36" t="str">
        <f>_xlfn.XLOOKUP(E954,'Product List'!$B$2:$B$299,'Product List'!$A$2:$A$299)</f>
        <v>Newell 325</v>
      </c>
      <c r="J954" s="36"/>
      <c r="K954" s="36"/>
      <c r="L954" s="36"/>
      <c r="M954" s="36"/>
      <c r="N954" s="36"/>
    </row>
    <row r="955" spans="1:14">
      <c r="A955" s="8" t="s">
        <v>969</v>
      </c>
      <c r="B955" s="19">
        <v>42138</v>
      </c>
      <c r="C955" s="8" t="s">
        <v>66</v>
      </c>
      <c r="D955" s="8">
        <v>10010</v>
      </c>
      <c r="E955" s="8" t="s">
        <v>312</v>
      </c>
      <c r="F955" s="8" t="s">
        <v>32</v>
      </c>
      <c r="G955" s="36">
        <f>VLOOKUP(E955,Flipkart!$A$1:$B$296,2,0)</f>
        <v>0.01</v>
      </c>
      <c r="H955" s="36">
        <f t="shared" ca="1" si="14"/>
        <v>0.05</v>
      </c>
      <c r="I955" s="36" t="str">
        <f>_xlfn.XLOOKUP(E955,'Product List'!$B$2:$B$299,'Product List'!$A$2:$A$299)</f>
        <v>Avery 492</v>
      </c>
      <c r="J955" s="36"/>
      <c r="K955" s="36"/>
      <c r="L955" s="36"/>
      <c r="M955" s="36"/>
      <c r="N955" s="36"/>
    </row>
    <row r="956" spans="1:14">
      <c r="A956" s="8" t="s">
        <v>969</v>
      </c>
      <c r="B956" s="19">
        <v>42138</v>
      </c>
      <c r="C956" s="8" t="s">
        <v>44</v>
      </c>
      <c r="D956" s="8">
        <v>10004</v>
      </c>
      <c r="E956" s="8" t="s">
        <v>840</v>
      </c>
      <c r="F956" s="8" t="s">
        <v>43</v>
      </c>
      <c r="G956" s="36">
        <f>VLOOKUP(E956,Flipkart!$A$1:$B$296,2,0)</f>
        <v>0</v>
      </c>
      <c r="H956" s="36">
        <f t="shared" ca="1" si="14"/>
        <v>0.04</v>
      </c>
      <c r="I956" s="36" t="str">
        <f>_xlfn.XLOOKUP(E956,'Product List'!$B$2:$B$299,'Product List'!$A$2:$A$299)</f>
        <v>Xerox 1888</v>
      </c>
      <c r="J956" s="36"/>
      <c r="K956" s="36"/>
      <c r="L956" s="36"/>
      <c r="M956" s="36"/>
      <c r="N956" s="36"/>
    </row>
    <row r="957" spans="1:14">
      <c r="A957" s="8" t="s">
        <v>970</v>
      </c>
      <c r="B957" s="19">
        <v>42142</v>
      </c>
      <c r="C957" s="8" t="s">
        <v>66</v>
      </c>
      <c r="D957" s="8">
        <v>10004</v>
      </c>
      <c r="E957" s="8" t="s">
        <v>337</v>
      </c>
      <c r="F957" s="8" t="s">
        <v>50</v>
      </c>
      <c r="G957" s="36">
        <f>VLOOKUP(E957,Flipkart!$A$1:$B$296,2,0)</f>
        <v>0.04</v>
      </c>
      <c r="H957" s="36">
        <f t="shared" ca="1" si="14"/>
        <v>0.05</v>
      </c>
      <c r="I957" s="36" t="str">
        <f>_xlfn.XLOOKUP(E957,'Product List'!$B$2:$B$299,'Product List'!$A$2:$A$299)</f>
        <v>Avery 487</v>
      </c>
      <c r="J957" s="36"/>
      <c r="K957" s="36"/>
      <c r="L957" s="36"/>
      <c r="M957" s="36"/>
      <c r="N957" s="36"/>
    </row>
    <row r="958" spans="1:14">
      <c r="A958" s="8" t="s">
        <v>970</v>
      </c>
      <c r="B958" s="19">
        <v>42142</v>
      </c>
      <c r="C958" s="8" t="s">
        <v>66</v>
      </c>
      <c r="D958" s="8">
        <v>10007</v>
      </c>
      <c r="E958" s="8" t="s">
        <v>507</v>
      </c>
      <c r="F958" s="8" t="s">
        <v>29</v>
      </c>
      <c r="G958" s="36">
        <f>VLOOKUP(E958,Flipkart!$A$1:$B$296,2,0)</f>
        <v>0.04</v>
      </c>
      <c r="H958" s="36">
        <f t="shared" ca="1" si="14"/>
        <v>0</v>
      </c>
      <c r="I958" s="36" t="str">
        <f>_xlfn.XLOOKUP(E958,'Product List'!$B$2:$B$299,'Product List'!$A$2:$A$299)</f>
        <v>Xerox 1905</v>
      </c>
      <c r="J958" s="36"/>
      <c r="K958" s="36"/>
      <c r="L958" s="36"/>
      <c r="M958" s="36"/>
      <c r="N958" s="36"/>
    </row>
    <row r="959" spans="1:14">
      <c r="A959" s="8" t="s">
        <v>971</v>
      </c>
      <c r="B959" s="19">
        <v>42142</v>
      </c>
      <c r="C959" s="8" t="s">
        <v>44</v>
      </c>
      <c r="D959" s="8">
        <v>10006</v>
      </c>
      <c r="E959" s="8" t="s">
        <v>649</v>
      </c>
      <c r="F959" s="8" t="s">
        <v>35</v>
      </c>
      <c r="G959" s="36">
        <f>VLOOKUP(E959,Flipkart!$A$1:$B$296,2,0)</f>
        <v>0</v>
      </c>
      <c r="H959" s="36">
        <f t="shared" ca="1" si="14"/>
        <v>0</v>
      </c>
      <c r="I959" s="36" t="str">
        <f>_xlfn.XLOOKUP(E959,'Product List'!$B$2:$B$299,'Product List'!$A$2:$A$299)</f>
        <v>Xerox 1969</v>
      </c>
      <c r="J959" s="36"/>
      <c r="K959" s="36"/>
      <c r="L959" s="36"/>
      <c r="M959" s="36"/>
      <c r="N959" s="36"/>
    </row>
    <row r="960" spans="1:14">
      <c r="A960" s="8" t="s">
        <v>972</v>
      </c>
      <c r="B960" s="19">
        <v>42143</v>
      </c>
      <c r="C960" s="8" t="s">
        <v>36</v>
      </c>
      <c r="D960" s="8">
        <v>10015</v>
      </c>
      <c r="E960" s="8" t="s">
        <v>116</v>
      </c>
      <c r="F960" s="8" t="s">
        <v>40</v>
      </c>
      <c r="G960" s="36">
        <f>VLOOKUP(E960,Flipkart!$A$1:$B$296,2,0)</f>
        <v>0.02</v>
      </c>
      <c r="H960" s="36">
        <f t="shared" ca="1" si="14"/>
        <v>0.03</v>
      </c>
      <c r="I960" s="36" t="str">
        <f>_xlfn.XLOOKUP(E960,'Product List'!$B$2:$B$299,'Product List'!$A$2:$A$299)</f>
        <v>Newell 326</v>
      </c>
      <c r="J960" s="36"/>
      <c r="K960" s="36"/>
      <c r="L960" s="36"/>
      <c r="M960" s="36"/>
      <c r="N960" s="36"/>
    </row>
    <row r="961" spans="1:14">
      <c r="A961" s="8" t="s">
        <v>972</v>
      </c>
      <c r="B961" s="19">
        <v>42143</v>
      </c>
      <c r="C961" s="8" t="s">
        <v>66</v>
      </c>
      <c r="D961" s="8">
        <v>10008</v>
      </c>
      <c r="E961" s="8" t="s">
        <v>130</v>
      </c>
      <c r="F961" s="8" t="s">
        <v>29</v>
      </c>
      <c r="G961" s="36">
        <f>VLOOKUP(E961,Flipkart!$A$1:$B$296,2,0)</f>
        <v>0</v>
      </c>
      <c r="H961" s="36">
        <f t="shared" ca="1" si="14"/>
        <v>0.02</v>
      </c>
      <c r="I961" s="36" t="str">
        <f>_xlfn.XLOOKUP(E961,'Product List'!$B$2:$B$299,'Product List'!$A$2:$A$299)</f>
        <v>Xerox 212</v>
      </c>
      <c r="J961" s="36"/>
      <c r="K961" s="36"/>
      <c r="L961" s="36"/>
      <c r="M961" s="36"/>
      <c r="N961" s="36"/>
    </row>
    <row r="962" spans="1:14">
      <c r="A962" s="8" t="s">
        <v>972</v>
      </c>
      <c r="B962" s="19">
        <v>42143</v>
      </c>
      <c r="C962" s="8" t="s">
        <v>36</v>
      </c>
      <c r="D962" s="8">
        <v>10015</v>
      </c>
      <c r="E962" s="8" t="s">
        <v>712</v>
      </c>
      <c r="F962" s="8" t="s">
        <v>50</v>
      </c>
      <c r="G962" s="36">
        <f>VLOOKUP(E962,Flipkart!$A$1:$B$296,2,0)</f>
        <v>0.05</v>
      </c>
      <c r="H962" s="36">
        <f t="shared" ca="1" si="14"/>
        <v>0.02</v>
      </c>
      <c r="I962" s="36" t="str">
        <f>_xlfn.XLOOKUP(E962,'Product List'!$B$2:$B$299,'Product List'!$A$2:$A$299)</f>
        <v>Xerox 1929</v>
      </c>
      <c r="J962" s="36"/>
      <c r="K962" s="36"/>
      <c r="L962" s="36"/>
      <c r="M962" s="36"/>
      <c r="N962" s="36"/>
    </row>
    <row r="963" spans="1:14">
      <c r="A963" s="8" t="s">
        <v>973</v>
      </c>
      <c r="B963" s="19">
        <v>42146</v>
      </c>
      <c r="C963" s="8" t="s">
        <v>27</v>
      </c>
      <c r="D963" s="8">
        <v>10003</v>
      </c>
      <c r="E963" s="8" t="s">
        <v>78</v>
      </c>
      <c r="F963" s="8" t="s">
        <v>35</v>
      </c>
      <c r="G963" s="36">
        <f>VLOOKUP(E963,Flipkart!$A$1:$B$296,2,0)</f>
        <v>0.02</v>
      </c>
      <c r="H963" s="36">
        <f t="shared" ca="1" si="14"/>
        <v>0.02</v>
      </c>
      <c r="I963" s="36" t="str">
        <f>_xlfn.XLOOKUP(E963,'Product List'!$B$2:$B$299,'Product List'!$A$2:$A$299)</f>
        <v>Xerox 199</v>
      </c>
      <c r="J963" s="36"/>
      <c r="K963" s="36"/>
      <c r="L963" s="36"/>
      <c r="M963" s="36"/>
      <c r="N963" s="36"/>
    </row>
    <row r="964" spans="1:14">
      <c r="A964" s="8" t="s">
        <v>974</v>
      </c>
      <c r="B964" s="19">
        <v>42147</v>
      </c>
      <c r="C964" s="8" t="s">
        <v>33</v>
      </c>
      <c r="D964" s="8">
        <v>10004</v>
      </c>
      <c r="E964" s="8" t="s">
        <v>298</v>
      </c>
      <c r="F964" s="8" t="s">
        <v>32</v>
      </c>
      <c r="G964" s="36">
        <f>VLOOKUP(E964,Flipkart!$A$1:$B$296,2,0)</f>
        <v>0.04</v>
      </c>
      <c r="H964" s="36">
        <f t="shared" ref="H964:H1027" ca="1" si="15">VLOOKUP(E964,INDIRECT(F964&amp;"!$A$1:$B$296"),2,0)</f>
        <v>0</v>
      </c>
      <c r="I964" s="36" t="str">
        <f>_xlfn.XLOOKUP(E964,'Product List'!$B$2:$B$299,'Product List'!$A$2:$A$299)</f>
        <v>Xerox 216</v>
      </c>
      <c r="J964" s="36"/>
      <c r="K964" s="36"/>
      <c r="L964" s="36"/>
      <c r="M964" s="36"/>
      <c r="N964" s="36"/>
    </row>
    <row r="965" spans="1:14">
      <c r="A965" s="8" t="s">
        <v>974</v>
      </c>
      <c r="B965" s="19">
        <v>42147</v>
      </c>
      <c r="C965" s="8" t="s">
        <v>33</v>
      </c>
      <c r="D965" s="8">
        <v>10014</v>
      </c>
      <c r="E965" s="8" t="s">
        <v>100</v>
      </c>
      <c r="F965" s="8" t="s">
        <v>29</v>
      </c>
      <c r="G965" s="36">
        <f>VLOOKUP(E965,Flipkart!$A$1:$B$296,2,0)</f>
        <v>0.02</v>
      </c>
      <c r="H965" s="36">
        <f t="shared" ca="1" si="15"/>
        <v>0</v>
      </c>
      <c r="I965" s="36" t="str">
        <f>_xlfn.XLOOKUP(E965,'Product List'!$B$2:$B$299,'Product List'!$A$2:$A$299)</f>
        <v>Xerox 1893</v>
      </c>
      <c r="J965" s="36"/>
      <c r="K965" s="36"/>
      <c r="L965" s="36"/>
      <c r="M965" s="36"/>
      <c r="N965" s="36"/>
    </row>
    <row r="966" spans="1:14">
      <c r="A966" s="8" t="s">
        <v>974</v>
      </c>
      <c r="B966" s="19">
        <v>42147</v>
      </c>
      <c r="C966" s="8" t="s">
        <v>66</v>
      </c>
      <c r="D966" s="8">
        <v>10002</v>
      </c>
      <c r="E966" s="8" t="s">
        <v>263</v>
      </c>
      <c r="F966" s="8" t="s">
        <v>35</v>
      </c>
      <c r="G966" s="36">
        <f>VLOOKUP(E966,Flipkart!$A$1:$B$296,2,0)</f>
        <v>0.03</v>
      </c>
      <c r="H966" s="36">
        <f t="shared" ca="1" si="15"/>
        <v>0.03</v>
      </c>
      <c r="I966" s="36" t="str">
        <f>_xlfn.XLOOKUP(E966,'Product List'!$B$2:$B$299,'Product List'!$A$2:$A$299)</f>
        <v>Xerox 1976</v>
      </c>
      <c r="J966" s="36"/>
      <c r="K966" s="36"/>
      <c r="L966" s="36"/>
      <c r="M966" s="36"/>
      <c r="N966" s="36"/>
    </row>
    <row r="967" spans="1:14">
      <c r="A967" s="8" t="s">
        <v>975</v>
      </c>
      <c r="B967" s="19">
        <v>42148</v>
      </c>
      <c r="C967" s="8" t="s">
        <v>44</v>
      </c>
      <c r="D967" s="8">
        <v>10014</v>
      </c>
      <c r="E967" s="8" t="s">
        <v>859</v>
      </c>
      <c r="F967" s="8" t="s">
        <v>32</v>
      </c>
      <c r="G967" s="36">
        <f>VLOOKUP(E967,Flipkart!$A$1:$B$296,2,0)</f>
        <v>0</v>
      </c>
      <c r="H967" s="36">
        <f t="shared" ca="1" si="15"/>
        <v>0.05</v>
      </c>
      <c r="I967" s="36" t="str">
        <f>_xlfn.XLOOKUP(E967,'Product List'!$B$2:$B$299,'Product List'!$A$2:$A$299)</f>
        <v>Xerox 1970</v>
      </c>
      <c r="J967" s="36"/>
      <c r="K967" s="36"/>
      <c r="L967" s="36"/>
      <c r="M967" s="36"/>
      <c r="N967" s="36"/>
    </row>
    <row r="968" spans="1:14">
      <c r="A968" s="8" t="s">
        <v>976</v>
      </c>
      <c r="B968" s="19">
        <v>42148</v>
      </c>
      <c r="C968" s="8" t="s">
        <v>51</v>
      </c>
      <c r="D968" s="8">
        <v>10015</v>
      </c>
      <c r="E968" s="8" t="s">
        <v>420</v>
      </c>
      <c r="F968" s="8" t="s">
        <v>32</v>
      </c>
      <c r="G968" s="36">
        <f>VLOOKUP(E968,Flipkart!$A$1:$B$296,2,0)</f>
        <v>0.05</v>
      </c>
      <c r="H968" s="36">
        <f t="shared" ca="1" si="15"/>
        <v>0.02</v>
      </c>
      <c r="I968" s="36" t="str">
        <f>_xlfn.XLOOKUP(E968,'Product List'!$B$2:$B$299,'Product List'!$A$2:$A$299)</f>
        <v>Xerox 1972</v>
      </c>
      <c r="J968" s="36"/>
      <c r="K968" s="36"/>
      <c r="L968" s="36"/>
      <c r="M968" s="36"/>
      <c r="N968" s="36"/>
    </row>
    <row r="969" spans="1:14">
      <c r="A969" s="8" t="s">
        <v>976</v>
      </c>
      <c r="B969" s="19">
        <v>42148</v>
      </c>
      <c r="C969" s="8" t="s">
        <v>33</v>
      </c>
      <c r="D969" s="8">
        <v>10006</v>
      </c>
      <c r="E969" s="8" t="s">
        <v>137</v>
      </c>
      <c r="F969" s="8" t="s">
        <v>32</v>
      </c>
      <c r="G969" s="36">
        <f>VLOOKUP(E969,Flipkart!$A$1:$B$296,2,0)</f>
        <v>0</v>
      </c>
      <c r="H969" s="36">
        <f t="shared" ca="1" si="15"/>
        <v>0.05</v>
      </c>
      <c r="I969" s="36" t="str">
        <f>_xlfn.XLOOKUP(E969,'Product List'!$B$2:$B$299,'Product List'!$A$2:$A$299)</f>
        <v>Newell 35</v>
      </c>
      <c r="J969" s="36"/>
      <c r="K969" s="36"/>
      <c r="L969" s="36"/>
      <c r="M969" s="36"/>
      <c r="N969" s="36"/>
    </row>
    <row r="970" spans="1:14">
      <c r="A970" s="8" t="s">
        <v>975</v>
      </c>
      <c r="B970" s="19">
        <v>42148</v>
      </c>
      <c r="C970" s="8" t="s">
        <v>66</v>
      </c>
      <c r="D970" s="8">
        <v>10008</v>
      </c>
      <c r="E970" s="8" t="s">
        <v>205</v>
      </c>
      <c r="F970" s="8" t="s">
        <v>50</v>
      </c>
      <c r="G970" s="36">
        <f>VLOOKUP(E970,Flipkart!$A$1:$B$296,2,0)</f>
        <v>0.02</v>
      </c>
      <c r="H970" s="36">
        <f t="shared" ca="1" si="15"/>
        <v>0.03</v>
      </c>
      <c r="I970" s="36" t="str">
        <f>_xlfn.XLOOKUP(E970,'Product List'!$B$2:$B$299,'Product List'!$A$2:$A$299)</f>
        <v>AT&amp;T TR1909W</v>
      </c>
      <c r="J970" s="36"/>
      <c r="K970" s="36"/>
      <c r="L970" s="36"/>
      <c r="M970" s="36"/>
      <c r="N970" s="36"/>
    </row>
    <row r="971" spans="1:14">
      <c r="A971" s="8" t="s">
        <v>977</v>
      </c>
      <c r="B971" s="19">
        <v>42149</v>
      </c>
      <c r="C971" s="8" t="s">
        <v>66</v>
      </c>
      <c r="D971" s="8">
        <v>10009</v>
      </c>
      <c r="E971" s="8" t="s">
        <v>182</v>
      </c>
      <c r="F971" s="8" t="s">
        <v>35</v>
      </c>
      <c r="G971" s="36">
        <f>VLOOKUP(E971,Flipkart!$A$1:$B$296,2,0)</f>
        <v>0.04</v>
      </c>
      <c r="H971" s="36">
        <f t="shared" ca="1" si="15"/>
        <v>0.04</v>
      </c>
      <c r="I971" s="36" t="str">
        <f>_xlfn.XLOOKUP(E971,'Product List'!$B$2:$B$299,'Product List'!$A$2:$A$299)</f>
        <v>Newell 351</v>
      </c>
      <c r="J971" s="36"/>
      <c r="K971" s="36"/>
      <c r="L971" s="36"/>
      <c r="M971" s="36"/>
      <c r="N971" s="36"/>
    </row>
    <row r="972" spans="1:14">
      <c r="A972" s="8" t="s">
        <v>978</v>
      </c>
      <c r="B972" s="19">
        <v>42149</v>
      </c>
      <c r="C972" s="8" t="s">
        <v>66</v>
      </c>
      <c r="D972" s="8">
        <v>10005</v>
      </c>
      <c r="E972" s="8" t="s">
        <v>395</v>
      </c>
      <c r="F972" s="8" t="s">
        <v>43</v>
      </c>
      <c r="G972" s="36">
        <f>VLOOKUP(E972,Flipkart!$A$1:$B$296,2,0)</f>
        <v>0.03</v>
      </c>
      <c r="H972" s="36">
        <f t="shared" ca="1" si="15"/>
        <v>0</v>
      </c>
      <c r="I972" s="36" t="str">
        <f>_xlfn.XLOOKUP(E972,'Product List'!$B$2:$B$299,'Product List'!$A$2:$A$299)</f>
        <v>Xerox 1883</v>
      </c>
      <c r="J972" s="36"/>
      <c r="K972" s="36"/>
      <c r="L972" s="36"/>
      <c r="M972" s="36"/>
      <c r="N972" s="36"/>
    </row>
    <row r="973" spans="1:14">
      <c r="A973" s="8" t="s">
        <v>978</v>
      </c>
      <c r="B973" s="19">
        <v>42149</v>
      </c>
      <c r="C973" s="8" t="s">
        <v>46</v>
      </c>
      <c r="D973" s="8">
        <v>10015</v>
      </c>
      <c r="E973" s="8" t="s">
        <v>37</v>
      </c>
      <c r="F973" s="8" t="s">
        <v>40</v>
      </c>
      <c r="G973" s="36">
        <f>VLOOKUP(E973,Flipkart!$A$1:$B$296,2,0)</f>
        <v>0.03</v>
      </c>
      <c r="H973" s="36">
        <f t="shared" ca="1" si="15"/>
        <v>0.05</v>
      </c>
      <c r="I973" s="36" t="str">
        <f>_xlfn.XLOOKUP(E973,'Product List'!$B$2:$B$299,'Product List'!$A$2:$A$299)</f>
        <v>Avery 508</v>
      </c>
      <c r="J973" s="36"/>
      <c r="K973" s="36"/>
      <c r="L973" s="36"/>
      <c r="M973" s="36"/>
      <c r="N973" s="36"/>
    </row>
    <row r="974" spans="1:14">
      <c r="A974" s="8" t="s">
        <v>977</v>
      </c>
      <c r="B974" s="19">
        <v>42149</v>
      </c>
      <c r="C974" s="8" t="s">
        <v>33</v>
      </c>
      <c r="D974" s="8">
        <v>10010</v>
      </c>
      <c r="E974" s="8" t="s">
        <v>412</v>
      </c>
      <c r="F974" s="8" t="s">
        <v>50</v>
      </c>
      <c r="G974" s="36">
        <f>VLOOKUP(E974,Flipkart!$A$1:$B$296,2,0)</f>
        <v>0.01</v>
      </c>
      <c r="H974" s="36">
        <f t="shared" ca="1" si="15"/>
        <v>0.02</v>
      </c>
      <c r="I974" s="36" t="str">
        <f>_xlfn.XLOOKUP(E974,'Product List'!$B$2:$B$299,'Product List'!$A$2:$A$299)</f>
        <v>Avery 482</v>
      </c>
      <c r="J974" s="36"/>
      <c r="K974" s="36"/>
      <c r="L974" s="36"/>
      <c r="M974" s="36"/>
      <c r="N974" s="36"/>
    </row>
    <row r="975" spans="1:14">
      <c r="A975" s="8" t="s">
        <v>977</v>
      </c>
      <c r="B975" s="19">
        <v>42149</v>
      </c>
      <c r="C975" s="8" t="s">
        <v>33</v>
      </c>
      <c r="D975" s="8">
        <v>10003</v>
      </c>
      <c r="E975" s="8" t="s">
        <v>143</v>
      </c>
      <c r="F975" s="8" t="s">
        <v>35</v>
      </c>
      <c r="G975" s="36">
        <f>VLOOKUP(E975,Flipkart!$A$1:$B$296,2,0)</f>
        <v>0.04</v>
      </c>
      <c r="H975" s="36">
        <f t="shared" ca="1" si="15"/>
        <v>0.04</v>
      </c>
      <c r="I975" s="36" t="str">
        <f>_xlfn.XLOOKUP(E975,'Product List'!$B$2:$B$299,'Product List'!$A$2:$A$299)</f>
        <v>Xerox 1932</v>
      </c>
      <c r="J975" s="36"/>
      <c r="K975" s="36"/>
      <c r="L975" s="36"/>
      <c r="M975" s="36"/>
      <c r="N975" s="36"/>
    </row>
    <row r="976" spans="1:14">
      <c r="A976" s="8" t="s">
        <v>978</v>
      </c>
      <c r="B976" s="19">
        <v>42149</v>
      </c>
      <c r="C976" s="8" t="s">
        <v>46</v>
      </c>
      <c r="D976" s="8">
        <v>10009</v>
      </c>
      <c r="E976" s="8" t="s">
        <v>716</v>
      </c>
      <c r="F976" s="8" t="s">
        <v>50</v>
      </c>
      <c r="G976" s="36">
        <f>VLOOKUP(E976,Flipkart!$A$1:$B$296,2,0)</f>
        <v>0.01</v>
      </c>
      <c r="H976" s="36">
        <f t="shared" ca="1" si="15"/>
        <v>0.01</v>
      </c>
      <c r="I976" s="36" t="str">
        <f>_xlfn.XLOOKUP(E976,'Product List'!$B$2:$B$299,'Product List'!$A$2:$A$299)</f>
        <v>Xerox 1954</v>
      </c>
      <c r="J976" s="36"/>
      <c r="K976" s="36"/>
      <c r="L976" s="36"/>
      <c r="M976" s="36"/>
      <c r="N976" s="36"/>
    </row>
    <row r="977" spans="1:14">
      <c r="A977" s="8" t="s">
        <v>979</v>
      </c>
      <c r="B977" s="19">
        <v>42151</v>
      </c>
      <c r="C977" s="8" t="s">
        <v>46</v>
      </c>
      <c r="D977" s="8">
        <v>10004</v>
      </c>
      <c r="E977" s="8" t="s">
        <v>303</v>
      </c>
      <c r="F977" s="8" t="s">
        <v>50</v>
      </c>
      <c r="G977" s="36">
        <f>VLOOKUP(E977,Flipkart!$A$1:$B$296,2,0)</f>
        <v>0.01</v>
      </c>
      <c r="H977" s="36">
        <f t="shared" ca="1" si="15"/>
        <v>0.02</v>
      </c>
      <c r="I977" s="36" t="str">
        <f>_xlfn.XLOOKUP(E977,'Product List'!$B$2:$B$299,'Product List'!$A$2:$A$299)</f>
        <v>Xerox 1885</v>
      </c>
      <c r="J977" s="36"/>
      <c r="K977" s="36"/>
      <c r="L977" s="36"/>
      <c r="M977" s="36"/>
      <c r="N977" s="36"/>
    </row>
    <row r="978" spans="1:14">
      <c r="A978" s="8" t="s">
        <v>980</v>
      </c>
      <c r="B978" s="19">
        <v>42151</v>
      </c>
      <c r="C978" s="8" t="s">
        <v>46</v>
      </c>
      <c r="D978" s="8">
        <v>10009</v>
      </c>
      <c r="E978" s="8" t="s">
        <v>218</v>
      </c>
      <c r="F978" s="8" t="s">
        <v>50</v>
      </c>
      <c r="G978" s="36">
        <f>VLOOKUP(E978,Flipkart!$A$1:$B$296,2,0)</f>
        <v>0.05</v>
      </c>
      <c r="H978" s="36">
        <f t="shared" ca="1" si="15"/>
        <v>0.03</v>
      </c>
      <c r="I978" s="36" t="str">
        <f>_xlfn.XLOOKUP(E978,'Product List'!$B$2:$B$299,'Product List'!$A$2:$A$299)</f>
        <v>Avery 509</v>
      </c>
      <c r="J978" s="36"/>
      <c r="K978" s="36"/>
      <c r="L978" s="36"/>
      <c r="M978" s="36"/>
      <c r="N978" s="36"/>
    </row>
    <row r="979" spans="1:14">
      <c r="A979" s="8" t="s">
        <v>981</v>
      </c>
      <c r="B979" s="19">
        <v>42151</v>
      </c>
      <c r="C979" s="8" t="s">
        <v>51</v>
      </c>
      <c r="D979" s="8">
        <v>10002</v>
      </c>
      <c r="E979" s="8" t="s">
        <v>309</v>
      </c>
      <c r="F979" s="8" t="s">
        <v>29</v>
      </c>
      <c r="G979" s="36">
        <f>VLOOKUP(E979,Flipkart!$A$1:$B$296,2,0)</f>
        <v>0.01</v>
      </c>
      <c r="H979" s="36">
        <f t="shared" ca="1" si="15"/>
        <v>0.05</v>
      </c>
      <c r="I979" s="36" t="str">
        <f>_xlfn.XLOOKUP(E979,'Product List'!$B$2:$B$299,'Product List'!$A$2:$A$299)</f>
        <v>Xerox 1996</v>
      </c>
      <c r="J979" s="36"/>
      <c r="K979" s="36"/>
      <c r="L979" s="36"/>
      <c r="M979" s="36"/>
      <c r="N979" s="36"/>
    </row>
    <row r="980" spans="1:14">
      <c r="A980" s="8" t="s">
        <v>981</v>
      </c>
      <c r="B980" s="19">
        <v>42151</v>
      </c>
      <c r="C980" s="8" t="s">
        <v>54</v>
      </c>
      <c r="D980" s="8">
        <v>10001</v>
      </c>
      <c r="E980" s="8" t="s">
        <v>123</v>
      </c>
      <c r="F980" s="8" t="s">
        <v>29</v>
      </c>
      <c r="G980" s="36">
        <f>VLOOKUP(E980,Flipkart!$A$1:$B$296,2,0)</f>
        <v>0.01</v>
      </c>
      <c r="H980" s="36">
        <f t="shared" ca="1" si="15"/>
        <v>0</v>
      </c>
      <c r="I980" s="36" t="str">
        <f>_xlfn.XLOOKUP(E980,'Product List'!$B$2:$B$299,'Product List'!$A$2:$A$299)</f>
        <v>Avery 503</v>
      </c>
      <c r="J980" s="36"/>
      <c r="K980" s="36"/>
      <c r="L980" s="36"/>
      <c r="M980" s="36"/>
      <c r="N980" s="36"/>
    </row>
    <row r="981" spans="1:14">
      <c r="A981" s="8" t="s">
        <v>980</v>
      </c>
      <c r="B981" s="19">
        <v>42151</v>
      </c>
      <c r="C981" s="8" t="s">
        <v>51</v>
      </c>
      <c r="D981" s="8">
        <v>10002</v>
      </c>
      <c r="E981" s="8" t="s">
        <v>128</v>
      </c>
      <c r="F981" s="8" t="s">
        <v>50</v>
      </c>
      <c r="G981" s="36">
        <f>VLOOKUP(E981,Flipkart!$A$1:$B$296,2,0)</f>
        <v>0.04</v>
      </c>
      <c r="H981" s="36">
        <f t="shared" ca="1" si="15"/>
        <v>0.05</v>
      </c>
      <c r="I981" s="36" t="str">
        <f>_xlfn.XLOOKUP(E981,'Product List'!$B$2:$B$299,'Product List'!$A$2:$A$299)</f>
        <v>Xerox 19</v>
      </c>
      <c r="J981" s="36"/>
      <c r="K981" s="36"/>
      <c r="L981" s="36"/>
      <c r="M981" s="36"/>
      <c r="N981" s="36"/>
    </row>
    <row r="982" spans="1:14">
      <c r="A982" s="8" t="s">
        <v>982</v>
      </c>
      <c r="B982" s="19">
        <v>42152</v>
      </c>
      <c r="C982" s="8" t="s">
        <v>33</v>
      </c>
      <c r="D982" s="8">
        <v>10001</v>
      </c>
      <c r="E982" s="8" t="s">
        <v>58</v>
      </c>
      <c r="F982" s="8" t="s">
        <v>29</v>
      </c>
      <c r="G982" s="36">
        <f>VLOOKUP(E982,Flipkart!$A$1:$B$296,2,0)</f>
        <v>0.05</v>
      </c>
      <c r="H982" s="36">
        <f t="shared" ca="1" si="15"/>
        <v>0</v>
      </c>
      <c r="I982" s="36" t="str">
        <f>_xlfn.XLOOKUP(E982,'Product List'!$B$2:$B$299,'Product List'!$A$2:$A$299)</f>
        <v>Xiaomi Mi3</v>
      </c>
      <c r="J982" s="36"/>
      <c r="K982" s="36"/>
      <c r="L982" s="36"/>
      <c r="M982" s="36"/>
      <c r="N982" s="36"/>
    </row>
    <row r="983" spans="1:14">
      <c r="A983" s="8" t="s">
        <v>983</v>
      </c>
      <c r="B983" s="19">
        <v>42152</v>
      </c>
      <c r="C983" s="8" t="s">
        <v>46</v>
      </c>
      <c r="D983" s="8">
        <v>10014</v>
      </c>
      <c r="E983" s="8" t="s">
        <v>78</v>
      </c>
      <c r="F983" s="8" t="s">
        <v>50</v>
      </c>
      <c r="G983" s="36">
        <f>VLOOKUP(E983,Flipkart!$A$1:$B$296,2,0)</f>
        <v>0.02</v>
      </c>
      <c r="H983" s="36">
        <f t="shared" ca="1" si="15"/>
        <v>0.01</v>
      </c>
      <c r="I983" s="36" t="str">
        <f>_xlfn.XLOOKUP(E983,'Product List'!$B$2:$B$299,'Product List'!$A$2:$A$299)</f>
        <v>Xerox 199</v>
      </c>
      <c r="J983" s="36"/>
      <c r="K983" s="36"/>
      <c r="L983" s="36"/>
      <c r="M983" s="36"/>
      <c r="N983" s="36"/>
    </row>
    <row r="984" spans="1:14">
      <c r="A984" s="8" t="s">
        <v>982</v>
      </c>
      <c r="B984" s="19">
        <v>42152</v>
      </c>
      <c r="C984" s="8" t="s">
        <v>44</v>
      </c>
      <c r="D984" s="8">
        <v>10003</v>
      </c>
      <c r="E984" s="8" t="s">
        <v>605</v>
      </c>
      <c r="F984" s="8" t="s">
        <v>29</v>
      </c>
      <c r="G984" s="36">
        <f>VLOOKUP(E984,Flipkart!$A$1:$B$296,2,0)</f>
        <v>0.01</v>
      </c>
      <c r="H984" s="36">
        <f t="shared" ca="1" si="15"/>
        <v>0</v>
      </c>
      <c r="I984" s="36" t="str">
        <f>_xlfn.XLOOKUP(E984,'Product List'!$B$2:$B$299,'Product List'!$A$2:$A$299)</f>
        <v>Pyle PMP37LED</v>
      </c>
      <c r="J984" s="36"/>
      <c r="K984" s="36"/>
      <c r="L984" s="36"/>
      <c r="M984" s="36"/>
      <c r="N984" s="36"/>
    </row>
    <row r="985" spans="1:14">
      <c r="A985" s="8" t="s">
        <v>982</v>
      </c>
      <c r="B985" s="19">
        <v>42152</v>
      </c>
      <c r="C985" s="8" t="s">
        <v>66</v>
      </c>
      <c r="D985" s="8">
        <v>10009</v>
      </c>
      <c r="E985" s="8" t="s">
        <v>842</v>
      </c>
      <c r="F985" s="8" t="s">
        <v>29</v>
      </c>
      <c r="G985" s="36">
        <f>VLOOKUP(E985,Flipkart!$A$1:$B$296,2,0)</f>
        <v>0.03</v>
      </c>
      <c r="H985" s="36">
        <f t="shared" ca="1" si="15"/>
        <v>0</v>
      </c>
      <c r="I985" s="36" t="str">
        <f>_xlfn.XLOOKUP(E985,'Product List'!$B$2:$B$299,'Product List'!$A$2:$A$299)</f>
        <v>Xerox 1933</v>
      </c>
      <c r="J985" s="36"/>
      <c r="K985" s="36"/>
      <c r="L985" s="36"/>
      <c r="M985" s="36"/>
      <c r="N985" s="36"/>
    </row>
    <row r="986" spans="1:14">
      <c r="A986" s="8" t="s">
        <v>984</v>
      </c>
      <c r="B986" s="19">
        <v>42153</v>
      </c>
      <c r="C986" s="8" t="s">
        <v>33</v>
      </c>
      <c r="D986" s="8">
        <v>10012</v>
      </c>
      <c r="E986" s="8" t="s">
        <v>370</v>
      </c>
      <c r="F986" s="8" t="s">
        <v>40</v>
      </c>
      <c r="G986" s="36">
        <f>VLOOKUP(E986,Flipkart!$A$1:$B$296,2,0)</f>
        <v>0.05</v>
      </c>
      <c r="H986" s="36">
        <f t="shared" ca="1" si="15"/>
        <v>0.01</v>
      </c>
      <c r="I986" s="36" t="str">
        <f>_xlfn.XLOOKUP(E986,'Product List'!$B$2:$B$299,'Product List'!$A$2:$A$299)</f>
        <v>Avery 496</v>
      </c>
      <c r="J986" s="36"/>
      <c r="K986" s="36"/>
      <c r="L986" s="36"/>
      <c r="M986" s="36"/>
      <c r="N986" s="36"/>
    </row>
    <row r="987" spans="1:14">
      <c r="A987" s="8" t="s">
        <v>985</v>
      </c>
      <c r="B987" s="19">
        <v>42153</v>
      </c>
      <c r="C987" s="8" t="s">
        <v>36</v>
      </c>
      <c r="D987" s="8">
        <v>10003</v>
      </c>
      <c r="E987" s="8" t="s">
        <v>654</v>
      </c>
      <c r="F987" s="8" t="s">
        <v>43</v>
      </c>
      <c r="G987" s="36">
        <f>VLOOKUP(E987,Flipkart!$A$1:$B$296,2,0)</f>
        <v>0.01</v>
      </c>
      <c r="H987" s="36">
        <f t="shared" ca="1" si="15"/>
        <v>0.04</v>
      </c>
      <c r="I987" s="36" t="str">
        <f>_xlfn.XLOOKUP(E987,'Product List'!$B$2:$B$299,'Product List'!$A$2:$A$299)</f>
        <v>Xerox 1895</v>
      </c>
      <c r="J987" s="36"/>
      <c r="K987" s="36"/>
      <c r="L987" s="36"/>
      <c r="M987" s="36"/>
      <c r="N987" s="36"/>
    </row>
    <row r="988" spans="1:14">
      <c r="A988" s="8" t="s">
        <v>984</v>
      </c>
      <c r="B988" s="19">
        <v>42153</v>
      </c>
      <c r="C988" s="8" t="s">
        <v>44</v>
      </c>
      <c r="D988" s="8">
        <v>10001</v>
      </c>
      <c r="E988" s="8" t="s">
        <v>285</v>
      </c>
      <c r="F988" s="8" t="s">
        <v>32</v>
      </c>
      <c r="G988" s="36">
        <f>VLOOKUP(E988,Flipkart!$A$1:$B$296,2,0)</f>
        <v>0.05</v>
      </c>
      <c r="H988" s="36">
        <f t="shared" ca="1" si="15"/>
        <v>0.03</v>
      </c>
      <c r="I988" s="36" t="str">
        <f>_xlfn.XLOOKUP(E988,'Product List'!$B$2:$B$299,'Product List'!$A$2:$A$299)</f>
        <v>Newell 344</v>
      </c>
      <c r="J988" s="36"/>
      <c r="K988" s="36"/>
      <c r="L988" s="36"/>
      <c r="M988" s="36"/>
      <c r="N988" s="36"/>
    </row>
    <row r="989" spans="1:14">
      <c r="A989" s="8" t="s">
        <v>986</v>
      </c>
      <c r="B989" s="19">
        <v>42154</v>
      </c>
      <c r="C989" s="8" t="s">
        <v>51</v>
      </c>
      <c r="D989" s="8">
        <v>10015</v>
      </c>
      <c r="E989" s="8" t="s">
        <v>182</v>
      </c>
      <c r="F989" s="8" t="s">
        <v>32</v>
      </c>
      <c r="G989" s="36">
        <f>VLOOKUP(E989,Flipkart!$A$1:$B$296,2,0)</f>
        <v>0.04</v>
      </c>
      <c r="H989" s="36">
        <f t="shared" ca="1" si="15"/>
        <v>0</v>
      </c>
      <c r="I989" s="36" t="str">
        <f>_xlfn.XLOOKUP(E989,'Product List'!$B$2:$B$299,'Product List'!$A$2:$A$299)</f>
        <v>Newell 351</v>
      </c>
      <c r="J989" s="36"/>
      <c r="K989" s="36"/>
      <c r="L989" s="36"/>
      <c r="M989" s="36"/>
      <c r="N989" s="36"/>
    </row>
    <row r="990" spans="1:14">
      <c r="A990" s="8" t="s">
        <v>986</v>
      </c>
      <c r="B990" s="19">
        <v>42154</v>
      </c>
      <c r="C990" s="8" t="s">
        <v>66</v>
      </c>
      <c r="D990" s="8">
        <v>10005</v>
      </c>
      <c r="E990" s="8" t="s">
        <v>265</v>
      </c>
      <c r="F990" s="8" t="s">
        <v>29</v>
      </c>
      <c r="G990" s="36">
        <f>VLOOKUP(E990,Flipkart!$A$1:$B$296,2,0)</f>
        <v>0.03</v>
      </c>
      <c r="H990" s="36">
        <f t="shared" ca="1" si="15"/>
        <v>0.04</v>
      </c>
      <c r="I990" s="36" t="str">
        <f>_xlfn.XLOOKUP(E990,'Product List'!$B$2:$B$299,'Product List'!$A$2:$A$299)</f>
        <v>Xerox 205</v>
      </c>
      <c r="J990" s="36"/>
      <c r="K990" s="36"/>
      <c r="L990" s="36"/>
      <c r="M990" s="36"/>
      <c r="N990" s="36"/>
    </row>
    <row r="991" spans="1:14">
      <c r="A991" s="8" t="s">
        <v>986</v>
      </c>
      <c r="B991" s="19">
        <v>42154</v>
      </c>
      <c r="C991" s="8" t="s">
        <v>44</v>
      </c>
      <c r="D991" s="8">
        <v>10002</v>
      </c>
      <c r="E991" s="8" t="s">
        <v>164</v>
      </c>
      <c r="F991" s="8" t="s">
        <v>40</v>
      </c>
      <c r="G991" s="36">
        <f>VLOOKUP(E991,Flipkart!$A$1:$B$296,2,0)</f>
        <v>0.03</v>
      </c>
      <c r="H991" s="36">
        <f t="shared" ca="1" si="15"/>
        <v>0.04</v>
      </c>
      <c r="I991" s="36" t="str">
        <f>_xlfn.XLOOKUP(E991,'Product List'!$B$2:$B$299,'Product List'!$A$2:$A$299)</f>
        <v>Avery 52</v>
      </c>
      <c r="J991" s="36"/>
      <c r="K991" s="36"/>
      <c r="L991" s="36"/>
      <c r="M991" s="36"/>
      <c r="N991" s="36"/>
    </row>
    <row r="992" spans="1:14">
      <c r="A992" s="8" t="s">
        <v>987</v>
      </c>
      <c r="B992" s="19">
        <v>42154</v>
      </c>
      <c r="C992" s="8" t="s">
        <v>44</v>
      </c>
      <c r="D992" s="8">
        <v>10013</v>
      </c>
      <c r="E992" s="8" t="s">
        <v>578</v>
      </c>
      <c r="F992" s="8" t="s">
        <v>29</v>
      </c>
      <c r="G992" s="36">
        <f>VLOOKUP(E992,Flipkart!$A$1:$B$296,2,0)</f>
        <v>0.04</v>
      </c>
      <c r="H992" s="36">
        <f t="shared" ca="1" si="15"/>
        <v>0.02</v>
      </c>
      <c r="I992" s="36" t="str">
        <f>_xlfn.XLOOKUP(E992,'Product List'!$B$2:$B$299,'Product List'!$A$2:$A$299)</f>
        <v>Xerox 1948</v>
      </c>
      <c r="J992" s="36"/>
      <c r="K992" s="36"/>
      <c r="L992" s="36"/>
      <c r="M992" s="36"/>
      <c r="N992" s="36"/>
    </row>
    <row r="993" spans="1:14">
      <c r="A993" s="8" t="s">
        <v>988</v>
      </c>
      <c r="B993" s="19">
        <v>42155</v>
      </c>
      <c r="C993" s="8" t="s">
        <v>46</v>
      </c>
      <c r="D993" s="8">
        <v>10008</v>
      </c>
      <c r="E993" s="8" t="s">
        <v>882</v>
      </c>
      <c r="F993" s="8" t="s">
        <v>50</v>
      </c>
      <c r="G993" s="36">
        <f>VLOOKUP(E993,Flipkart!$A$1:$B$296,2,0)</f>
        <v>0.02</v>
      </c>
      <c r="H993" s="36">
        <f t="shared" ca="1" si="15"/>
        <v>0.04</v>
      </c>
      <c r="I993" s="36" t="str">
        <f>_xlfn.XLOOKUP(E993,'Product List'!$B$2:$B$299,'Product List'!$A$2:$A$299)</f>
        <v>Xerox 1935</v>
      </c>
      <c r="J993" s="36"/>
      <c r="K993" s="36"/>
      <c r="L993" s="36"/>
      <c r="M993" s="36"/>
      <c r="N993" s="36"/>
    </row>
    <row r="994" spans="1:14">
      <c r="A994" s="8" t="s">
        <v>989</v>
      </c>
      <c r="B994" s="19">
        <v>42157</v>
      </c>
      <c r="C994" s="8" t="s">
        <v>66</v>
      </c>
      <c r="D994" s="8">
        <v>10001</v>
      </c>
      <c r="E994" s="8" t="s">
        <v>600</v>
      </c>
      <c r="F994" s="8" t="s">
        <v>50</v>
      </c>
      <c r="G994" s="36">
        <f>VLOOKUP(E994,Flipkart!$A$1:$B$296,2,0)</f>
        <v>0.03</v>
      </c>
      <c r="H994" s="36">
        <f t="shared" ca="1" si="15"/>
        <v>0.04</v>
      </c>
      <c r="I994" s="36" t="str">
        <f>_xlfn.XLOOKUP(E994,'Product List'!$B$2:$B$299,'Product List'!$A$2:$A$299)</f>
        <v>Xerox 189</v>
      </c>
      <c r="J994" s="36"/>
      <c r="K994" s="36"/>
      <c r="L994" s="36"/>
      <c r="M994" s="36"/>
      <c r="N994" s="36"/>
    </row>
    <row r="995" spans="1:14">
      <c r="A995" s="8" t="s">
        <v>990</v>
      </c>
      <c r="B995" s="19">
        <v>42157</v>
      </c>
      <c r="C995" s="8" t="s">
        <v>54</v>
      </c>
      <c r="D995" s="8">
        <v>10002</v>
      </c>
      <c r="E995" s="8" t="s">
        <v>289</v>
      </c>
      <c r="F995" s="8" t="s">
        <v>40</v>
      </c>
      <c r="G995" s="36">
        <f>VLOOKUP(E995,Flipkart!$A$1:$B$296,2,0)</f>
        <v>0.03</v>
      </c>
      <c r="H995" s="36">
        <f t="shared" ca="1" si="15"/>
        <v>0.02</v>
      </c>
      <c r="I995" s="36" t="str">
        <f>_xlfn.XLOOKUP(E995,'Product List'!$B$2:$B$299,'Product List'!$A$2:$A$299)</f>
        <v>Newell 348</v>
      </c>
      <c r="J995" s="36"/>
      <c r="K995" s="36"/>
      <c r="L995" s="36"/>
      <c r="M995" s="36"/>
      <c r="N995" s="36"/>
    </row>
    <row r="996" spans="1:14">
      <c r="A996" s="8" t="s">
        <v>991</v>
      </c>
      <c r="B996" s="19">
        <v>42159</v>
      </c>
      <c r="C996" s="8" t="s">
        <v>33</v>
      </c>
      <c r="D996" s="8">
        <v>10002</v>
      </c>
      <c r="E996" s="8" t="s">
        <v>859</v>
      </c>
      <c r="F996" s="8" t="s">
        <v>29</v>
      </c>
      <c r="G996" s="36">
        <f>VLOOKUP(E996,Flipkart!$A$1:$B$296,2,0)</f>
        <v>0</v>
      </c>
      <c r="H996" s="36">
        <f t="shared" ca="1" si="15"/>
        <v>0.01</v>
      </c>
      <c r="I996" s="36" t="str">
        <f>_xlfn.XLOOKUP(E996,'Product List'!$B$2:$B$299,'Product List'!$A$2:$A$299)</f>
        <v>Xerox 1970</v>
      </c>
      <c r="J996" s="36"/>
      <c r="K996" s="36"/>
      <c r="L996" s="36"/>
      <c r="M996" s="36"/>
      <c r="N996" s="36"/>
    </row>
    <row r="997" spans="1:14">
      <c r="A997" s="8" t="s">
        <v>992</v>
      </c>
      <c r="B997" s="19">
        <v>42159</v>
      </c>
      <c r="C997" s="8" t="s">
        <v>36</v>
      </c>
      <c r="D997" s="8">
        <v>10014</v>
      </c>
      <c r="E997" s="8" t="s">
        <v>743</v>
      </c>
      <c r="F997" s="8" t="s">
        <v>43</v>
      </c>
      <c r="G997" s="36">
        <f>VLOOKUP(E997,Flipkart!$A$1:$B$296,2,0)</f>
        <v>0.04</v>
      </c>
      <c r="H997" s="36">
        <f t="shared" ca="1" si="15"/>
        <v>0.01</v>
      </c>
      <c r="I997" s="36" t="str">
        <f>_xlfn.XLOOKUP(E997,'Product List'!$B$2:$B$299,'Product List'!$A$2:$A$299)</f>
        <v>Xerox 207</v>
      </c>
      <c r="J997" s="36"/>
      <c r="K997" s="36"/>
      <c r="L997" s="36"/>
      <c r="M997" s="36"/>
      <c r="N997" s="36"/>
    </row>
    <row r="998" spans="1:14">
      <c r="A998" s="8" t="s">
        <v>993</v>
      </c>
      <c r="B998" s="19">
        <v>42161</v>
      </c>
      <c r="C998" s="8" t="s">
        <v>44</v>
      </c>
      <c r="D998" s="8">
        <v>10004</v>
      </c>
      <c r="E998" s="8" t="s">
        <v>930</v>
      </c>
      <c r="F998" s="8" t="s">
        <v>32</v>
      </c>
      <c r="G998" s="36">
        <f>VLOOKUP(E998,Flipkart!$A$1:$B$296,2,0)</f>
        <v>0.03</v>
      </c>
      <c r="H998" s="36">
        <f t="shared" ca="1" si="15"/>
        <v>0.01</v>
      </c>
      <c r="I998" s="36" t="str">
        <f>_xlfn.XLOOKUP(E998,'Product List'!$B$2:$B$299,'Product List'!$A$2:$A$299)</f>
        <v>Xerox 1906</v>
      </c>
      <c r="J998" s="36"/>
      <c r="K998" s="36"/>
      <c r="L998" s="36"/>
      <c r="M998" s="36"/>
      <c r="N998" s="36"/>
    </row>
    <row r="999" spans="1:14">
      <c r="A999" s="8" t="s">
        <v>994</v>
      </c>
      <c r="B999" s="19">
        <v>42161</v>
      </c>
      <c r="C999" s="8" t="s">
        <v>66</v>
      </c>
      <c r="D999" s="8">
        <v>10001</v>
      </c>
      <c r="E999" s="8" t="s">
        <v>333</v>
      </c>
      <c r="F999" s="8" t="s">
        <v>40</v>
      </c>
      <c r="G999" s="36">
        <f>VLOOKUP(E999,Flipkart!$A$1:$B$296,2,0)</f>
        <v>0.05</v>
      </c>
      <c r="H999" s="36">
        <f t="shared" ca="1" si="15"/>
        <v>0.03</v>
      </c>
      <c r="I999" s="36" t="str">
        <f>_xlfn.XLOOKUP(E999,'Product List'!$B$2:$B$299,'Product List'!$A$2:$A$299)</f>
        <v>Xerox 1881</v>
      </c>
      <c r="J999" s="36"/>
      <c r="K999" s="36"/>
      <c r="L999" s="36"/>
      <c r="M999" s="36"/>
      <c r="N999" s="36"/>
    </row>
    <row r="1000" spans="1:14">
      <c r="A1000" s="8" t="s">
        <v>995</v>
      </c>
      <c r="B1000" s="19">
        <v>42161</v>
      </c>
      <c r="C1000" s="8" t="s">
        <v>46</v>
      </c>
      <c r="D1000" s="8">
        <v>10015</v>
      </c>
      <c r="E1000" s="8" t="s">
        <v>584</v>
      </c>
      <c r="F1000" s="8" t="s">
        <v>32</v>
      </c>
      <c r="G1000" s="36">
        <f>VLOOKUP(E1000,Flipkart!$A$1:$B$296,2,0)</f>
        <v>0.02</v>
      </c>
      <c r="H1000" s="36">
        <f t="shared" ca="1" si="15"/>
        <v>0.01</v>
      </c>
      <c r="I1000" s="36" t="str">
        <f>_xlfn.XLOOKUP(E1000,'Product List'!$B$2:$B$299,'Product List'!$A$2:$A$299)</f>
        <v>Xerox 1894</v>
      </c>
      <c r="J1000" s="36"/>
      <c r="K1000" s="36"/>
      <c r="L1000" s="36"/>
      <c r="M1000" s="36"/>
      <c r="N1000" s="36"/>
    </row>
    <row r="1001" spans="1:14">
      <c r="A1001" s="8" t="s">
        <v>996</v>
      </c>
      <c r="B1001" s="19">
        <v>42162</v>
      </c>
      <c r="C1001" s="8" t="s">
        <v>33</v>
      </c>
      <c r="D1001" s="8">
        <v>10015</v>
      </c>
      <c r="E1001" s="8" t="s">
        <v>227</v>
      </c>
      <c r="F1001" s="8" t="s">
        <v>50</v>
      </c>
      <c r="G1001" s="36">
        <f>VLOOKUP(E1001,Flipkart!$A$1:$B$296,2,0)</f>
        <v>0.02</v>
      </c>
      <c r="H1001" s="36">
        <f t="shared" ca="1" si="15"/>
        <v>0.01</v>
      </c>
      <c r="I1001" s="36" t="str">
        <f>_xlfn.XLOOKUP(E1001,'Product List'!$B$2:$B$299,'Product List'!$A$2:$A$299)</f>
        <v>Xerox 21</v>
      </c>
      <c r="J1001" s="36"/>
      <c r="K1001" s="36"/>
      <c r="L1001" s="36"/>
      <c r="M1001" s="36"/>
      <c r="N1001" s="36"/>
    </row>
    <row r="1002" spans="1:14">
      <c r="A1002" s="8" t="s">
        <v>996</v>
      </c>
      <c r="B1002" s="19">
        <v>42162</v>
      </c>
      <c r="C1002" s="8" t="s">
        <v>46</v>
      </c>
      <c r="D1002" s="8">
        <v>10013</v>
      </c>
      <c r="E1002" s="8" t="s">
        <v>736</v>
      </c>
      <c r="F1002" s="8" t="s">
        <v>32</v>
      </c>
      <c r="G1002" s="36">
        <f>VLOOKUP(E1002,Flipkart!$A$1:$B$296,2,0)</f>
        <v>0.03</v>
      </c>
      <c r="H1002" s="36">
        <f t="shared" ca="1" si="15"/>
        <v>0.05</v>
      </c>
      <c r="I1002" s="36" t="str">
        <f>_xlfn.XLOOKUP(E1002,'Product List'!$B$2:$B$299,'Product List'!$A$2:$A$299)</f>
        <v>Xerox 1908</v>
      </c>
      <c r="J1002" s="36"/>
      <c r="K1002" s="36"/>
      <c r="L1002" s="36"/>
      <c r="M1002" s="36"/>
      <c r="N1002" s="36"/>
    </row>
    <row r="1003" spans="1:14">
      <c r="A1003" s="8" t="s">
        <v>996</v>
      </c>
      <c r="B1003" s="19">
        <v>42162</v>
      </c>
      <c r="C1003" s="8" t="s">
        <v>66</v>
      </c>
      <c r="D1003" s="8">
        <v>10004</v>
      </c>
      <c r="E1003" s="8" t="s">
        <v>203</v>
      </c>
      <c r="F1003" s="8" t="s">
        <v>40</v>
      </c>
      <c r="G1003" s="36">
        <f>VLOOKUP(E1003,Flipkart!$A$1:$B$296,2,0)</f>
        <v>0.02</v>
      </c>
      <c r="H1003" s="36">
        <f t="shared" ca="1" si="15"/>
        <v>0.04</v>
      </c>
      <c r="I1003" s="36" t="str">
        <f>_xlfn.XLOOKUP(E1003,'Product List'!$B$2:$B$299,'Product List'!$A$2:$A$299)</f>
        <v>Xerox 1957</v>
      </c>
      <c r="J1003" s="36"/>
      <c r="K1003" s="36"/>
      <c r="L1003" s="36"/>
      <c r="M1003" s="36"/>
      <c r="N1003" s="36"/>
    </row>
    <row r="1004" spans="1:14">
      <c r="A1004" s="8" t="s">
        <v>997</v>
      </c>
      <c r="B1004" s="19">
        <v>42163</v>
      </c>
      <c r="C1004" s="8" t="s">
        <v>54</v>
      </c>
      <c r="D1004" s="8">
        <v>10005</v>
      </c>
      <c r="E1004" s="8" t="s">
        <v>249</v>
      </c>
      <c r="F1004" s="8" t="s">
        <v>50</v>
      </c>
      <c r="G1004" s="36">
        <f>VLOOKUP(E1004,Flipkart!$A$1:$B$296,2,0)</f>
        <v>0</v>
      </c>
      <c r="H1004" s="36">
        <f t="shared" ca="1" si="15"/>
        <v>0.03</v>
      </c>
      <c r="I1004" s="36" t="str">
        <f>_xlfn.XLOOKUP(E1004,'Product List'!$B$2:$B$299,'Product List'!$A$2:$A$299)</f>
        <v>Newell 315</v>
      </c>
      <c r="J1004" s="36"/>
      <c r="K1004" s="36"/>
      <c r="L1004" s="36"/>
      <c r="M1004" s="36"/>
      <c r="N1004" s="36"/>
    </row>
    <row r="1005" spans="1:14">
      <c r="A1005" s="8" t="s">
        <v>998</v>
      </c>
      <c r="B1005" s="19">
        <v>42164</v>
      </c>
      <c r="C1005" s="8" t="s">
        <v>66</v>
      </c>
      <c r="D1005" s="8">
        <v>10011</v>
      </c>
      <c r="E1005" s="8" t="s">
        <v>285</v>
      </c>
      <c r="F1005" s="8" t="s">
        <v>40</v>
      </c>
      <c r="G1005" s="36">
        <f>VLOOKUP(E1005,Flipkart!$A$1:$B$296,2,0)</f>
        <v>0.05</v>
      </c>
      <c r="H1005" s="36">
        <f t="shared" ca="1" si="15"/>
        <v>0.02</v>
      </c>
      <c r="I1005" s="36" t="str">
        <f>_xlfn.XLOOKUP(E1005,'Product List'!$B$2:$B$299,'Product List'!$A$2:$A$299)</f>
        <v>Newell 344</v>
      </c>
      <c r="J1005" s="36"/>
      <c r="K1005" s="36"/>
      <c r="L1005" s="36"/>
      <c r="M1005" s="36"/>
      <c r="N1005" s="36"/>
    </row>
    <row r="1006" spans="1:14">
      <c r="A1006" s="8" t="s">
        <v>999</v>
      </c>
      <c r="B1006" s="19">
        <v>42164</v>
      </c>
      <c r="C1006" s="8" t="s">
        <v>36</v>
      </c>
      <c r="D1006" s="8">
        <v>10008</v>
      </c>
      <c r="E1006" s="8" t="s">
        <v>137</v>
      </c>
      <c r="F1006" s="8" t="s">
        <v>32</v>
      </c>
      <c r="G1006" s="36">
        <f>VLOOKUP(E1006,Flipkart!$A$1:$B$296,2,0)</f>
        <v>0</v>
      </c>
      <c r="H1006" s="36">
        <f t="shared" ca="1" si="15"/>
        <v>0.05</v>
      </c>
      <c r="I1006" s="36" t="str">
        <f>_xlfn.XLOOKUP(E1006,'Product List'!$B$2:$B$299,'Product List'!$A$2:$A$299)</f>
        <v>Newell 35</v>
      </c>
      <c r="J1006" s="36"/>
      <c r="K1006" s="36"/>
      <c r="L1006" s="36"/>
      <c r="M1006" s="36"/>
      <c r="N1006" s="36"/>
    </row>
    <row r="1007" spans="1:14">
      <c r="A1007" s="8" t="s">
        <v>1000</v>
      </c>
      <c r="B1007" s="19">
        <v>42164</v>
      </c>
      <c r="C1007" s="8" t="s">
        <v>27</v>
      </c>
      <c r="D1007" s="8">
        <v>10001</v>
      </c>
      <c r="E1007" s="8" t="s">
        <v>172</v>
      </c>
      <c r="F1007" s="8" t="s">
        <v>29</v>
      </c>
      <c r="G1007" s="36">
        <f>VLOOKUP(E1007,Flipkart!$A$1:$B$296,2,0)</f>
        <v>0.04</v>
      </c>
      <c r="H1007" s="36">
        <f t="shared" ca="1" si="15"/>
        <v>0</v>
      </c>
      <c r="I1007" s="36" t="str">
        <f>_xlfn.XLOOKUP(E1007,'Product List'!$B$2:$B$299,'Product List'!$A$2:$A$299)</f>
        <v>Xerox 223</v>
      </c>
      <c r="J1007" s="36"/>
      <c r="K1007" s="36"/>
      <c r="L1007" s="36"/>
      <c r="M1007" s="36"/>
      <c r="N1007" s="36"/>
    </row>
    <row r="1008" spans="1:14">
      <c r="A1008" s="8" t="s">
        <v>1001</v>
      </c>
      <c r="B1008" s="19">
        <v>42165</v>
      </c>
      <c r="C1008" s="8" t="s">
        <v>36</v>
      </c>
      <c r="D1008" s="8">
        <v>10015</v>
      </c>
      <c r="E1008" s="8" t="s">
        <v>850</v>
      </c>
      <c r="F1008" s="8" t="s">
        <v>35</v>
      </c>
      <c r="G1008" s="36">
        <f>VLOOKUP(E1008,Flipkart!$A$1:$B$296,2,0)</f>
        <v>0.04</v>
      </c>
      <c r="H1008" s="36">
        <f t="shared" ca="1" si="15"/>
        <v>0.04</v>
      </c>
      <c r="I1008" s="36" t="str">
        <f>_xlfn.XLOOKUP(E1008,'Product List'!$B$2:$B$299,'Product List'!$A$2:$A$299)</f>
        <v>Xerox 225</v>
      </c>
      <c r="J1008" s="36"/>
      <c r="K1008" s="36"/>
      <c r="L1008" s="36"/>
      <c r="M1008" s="36"/>
      <c r="N1008" s="36"/>
    </row>
    <row r="1009" spans="1:14">
      <c r="A1009" s="8" t="s">
        <v>1001</v>
      </c>
      <c r="B1009" s="19">
        <v>42165</v>
      </c>
      <c r="C1009" s="8" t="s">
        <v>54</v>
      </c>
      <c r="D1009" s="8">
        <v>10008</v>
      </c>
      <c r="E1009" s="8" t="s">
        <v>339</v>
      </c>
      <c r="F1009" s="8" t="s">
        <v>43</v>
      </c>
      <c r="G1009" s="36">
        <f>VLOOKUP(E1009,Flipkart!$A$1:$B$296,2,0)</f>
        <v>0.02</v>
      </c>
      <c r="H1009" s="36">
        <f t="shared" ca="1" si="15"/>
        <v>0</v>
      </c>
      <c r="I1009" s="36" t="str">
        <f>_xlfn.XLOOKUP(E1009,'Product List'!$B$2:$B$299,'Product List'!$A$2:$A$299)</f>
        <v>Avery 489</v>
      </c>
      <c r="J1009" s="36"/>
      <c r="K1009" s="36"/>
      <c r="L1009" s="36"/>
      <c r="M1009" s="36"/>
      <c r="N1009" s="36"/>
    </row>
    <row r="1010" spans="1:14">
      <c r="A1010" s="8" t="s">
        <v>1002</v>
      </c>
      <c r="B1010" s="19">
        <v>42166</v>
      </c>
      <c r="C1010" s="8" t="s">
        <v>66</v>
      </c>
      <c r="D1010" s="8">
        <v>10001</v>
      </c>
      <c r="E1010" s="8" t="s">
        <v>94</v>
      </c>
      <c r="F1010" s="8" t="s">
        <v>40</v>
      </c>
      <c r="G1010" s="36">
        <f>VLOOKUP(E1010,Flipkart!$A$1:$B$296,2,0)</f>
        <v>0.03</v>
      </c>
      <c r="H1010" s="36">
        <f t="shared" ca="1" si="15"/>
        <v>0.05</v>
      </c>
      <c r="I1010" s="36" t="str">
        <f>_xlfn.XLOOKUP(E1010,'Product List'!$B$2:$B$299,'Product List'!$A$2:$A$299)</f>
        <v>Xerox 191</v>
      </c>
      <c r="J1010" s="36"/>
      <c r="K1010" s="36"/>
      <c r="L1010" s="36"/>
      <c r="M1010" s="36"/>
      <c r="N1010" s="36"/>
    </row>
    <row r="1011" spans="1:14">
      <c r="A1011" s="8" t="s">
        <v>1002</v>
      </c>
      <c r="B1011" s="19">
        <v>42166</v>
      </c>
      <c r="C1011" s="8" t="s">
        <v>44</v>
      </c>
      <c r="D1011" s="8">
        <v>10010</v>
      </c>
      <c r="E1011" s="8" t="s">
        <v>1003</v>
      </c>
      <c r="F1011" s="8" t="s">
        <v>32</v>
      </c>
      <c r="G1011" s="36">
        <f>VLOOKUP(E1011,Flipkart!$A$1:$B$296,2,0)</f>
        <v>0</v>
      </c>
      <c r="H1011" s="36">
        <f t="shared" ca="1" si="15"/>
        <v>0.03</v>
      </c>
      <c r="I1011" s="36" t="str">
        <f>_xlfn.XLOOKUP(E1011,'Product List'!$B$2:$B$299,'Product List'!$A$2:$A$299)</f>
        <v>Xerox 224</v>
      </c>
      <c r="J1011" s="36"/>
      <c r="K1011" s="36"/>
      <c r="L1011" s="36"/>
      <c r="M1011" s="36"/>
      <c r="N1011" s="36"/>
    </row>
    <row r="1012" spans="1:14">
      <c r="A1012" s="8" t="s">
        <v>1004</v>
      </c>
      <c r="B1012" s="19">
        <v>42168</v>
      </c>
      <c r="C1012" s="8" t="s">
        <v>33</v>
      </c>
      <c r="D1012" s="8">
        <v>10015</v>
      </c>
      <c r="E1012" s="8" t="s">
        <v>416</v>
      </c>
      <c r="F1012" s="8" t="s">
        <v>40</v>
      </c>
      <c r="G1012" s="36">
        <f>VLOOKUP(E1012,Flipkart!$A$1:$B$296,2,0)</f>
        <v>0.03</v>
      </c>
      <c r="H1012" s="36">
        <f t="shared" ca="1" si="15"/>
        <v>0.03</v>
      </c>
      <c r="I1012" s="36" t="str">
        <f>_xlfn.XLOOKUP(E1012,'Product List'!$B$2:$B$299,'Product List'!$A$2:$A$299)</f>
        <v>Newell 314</v>
      </c>
      <c r="J1012" s="36"/>
      <c r="K1012" s="36"/>
      <c r="L1012" s="36"/>
      <c r="M1012" s="36"/>
      <c r="N1012" s="36"/>
    </row>
    <row r="1013" spans="1:14">
      <c r="A1013" s="8" t="s">
        <v>1005</v>
      </c>
      <c r="B1013" s="19">
        <v>42170</v>
      </c>
      <c r="C1013" s="8" t="s">
        <v>46</v>
      </c>
      <c r="D1013" s="8">
        <v>10004</v>
      </c>
      <c r="E1013" s="8" t="s">
        <v>416</v>
      </c>
      <c r="F1013" s="8" t="s">
        <v>40</v>
      </c>
      <c r="G1013" s="36">
        <f>VLOOKUP(E1013,Flipkart!$A$1:$B$296,2,0)</f>
        <v>0.03</v>
      </c>
      <c r="H1013" s="36">
        <f t="shared" ca="1" si="15"/>
        <v>0.03</v>
      </c>
      <c r="I1013" s="36" t="str">
        <f>_xlfn.XLOOKUP(E1013,'Product List'!$B$2:$B$299,'Product List'!$A$2:$A$299)</f>
        <v>Newell 314</v>
      </c>
      <c r="J1013" s="36"/>
      <c r="K1013" s="36"/>
      <c r="L1013" s="36"/>
      <c r="M1013" s="36"/>
      <c r="N1013" s="36"/>
    </row>
    <row r="1014" spans="1:14">
      <c r="A1014" s="8" t="s">
        <v>1005</v>
      </c>
      <c r="B1014" s="19">
        <v>42170</v>
      </c>
      <c r="C1014" s="8" t="s">
        <v>66</v>
      </c>
      <c r="D1014" s="8">
        <v>10007</v>
      </c>
      <c r="E1014" s="8" t="s">
        <v>436</v>
      </c>
      <c r="F1014" s="8" t="s">
        <v>29</v>
      </c>
      <c r="G1014" s="36">
        <f>VLOOKUP(E1014,Flipkart!$A$1:$B$296,2,0)</f>
        <v>0.03</v>
      </c>
      <c r="H1014" s="36">
        <f t="shared" ca="1" si="15"/>
        <v>0.02</v>
      </c>
      <c r="I1014" s="36" t="str">
        <f>_xlfn.XLOOKUP(E1014,'Product List'!$B$2:$B$299,'Product List'!$A$2:$A$299)</f>
        <v>Newell 338</v>
      </c>
      <c r="J1014" s="36"/>
      <c r="K1014" s="36"/>
      <c r="L1014" s="36"/>
      <c r="M1014" s="36"/>
      <c r="N1014" s="36"/>
    </row>
    <row r="1015" spans="1:14">
      <c r="A1015" s="8" t="s">
        <v>1006</v>
      </c>
      <c r="B1015" s="19">
        <v>42171</v>
      </c>
      <c r="C1015" s="8" t="s">
        <v>46</v>
      </c>
      <c r="D1015" s="8">
        <v>10002</v>
      </c>
      <c r="E1015" s="8" t="s">
        <v>211</v>
      </c>
      <c r="F1015" s="8" t="s">
        <v>43</v>
      </c>
      <c r="G1015" s="36">
        <f>VLOOKUP(E1015,Flipkart!$A$1:$B$296,2,0)</f>
        <v>0.03</v>
      </c>
      <c r="H1015" s="36">
        <f t="shared" ca="1" si="15"/>
        <v>0</v>
      </c>
      <c r="I1015" s="36" t="str">
        <f>_xlfn.XLOOKUP(E1015,'Product List'!$B$2:$B$299,'Product List'!$A$2:$A$299)</f>
        <v>Xerox 1993</v>
      </c>
      <c r="J1015" s="36"/>
      <c r="K1015" s="36"/>
      <c r="L1015" s="36"/>
      <c r="M1015" s="36"/>
      <c r="N1015" s="36"/>
    </row>
    <row r="1016" spans="1:14">
      <c r="A1016" s="8" t="s">
        <v>1007</v>
      </c>
      <c r="B1016" s="19">
        <v>42171</v>
      </c>
      <c r="C1016" s="8" t="s">
        <v>27</v>
      </c>
      <c r="D1016" s="8">
        <v>10014</v>
      </c>
      <c r="E1016" s="8" t="s">
        <v>284</v>
      </c>
      <c r="F1016" s="8" t="s">
        <v>29</v>
      </c>
      <c r="G1016" s="36">
        <f>VLOOKUP(E1016,Flipkart!$A$1:$B$296,2,0)</f>
        <v>0.04</v>
      </c>
      <c r="H1016" s="36">
        <f t="shared" ca="1" si="15"/>
        <v>0.03</v>
      </c>
      <c r="I1016" s="36" t="str">
        <f>_xlfn.XLOOKUP(E1016,'Product List'!$B$2:$B$299,'Product List'!$A$2:$A$299)</f>
        <v>Xerox 1986</v>
      </c>
      <c r="J1016" s="36"/>
      <c r="K1016" s="36"/>
      <c r="L1016" s="36"/>
      <c r="M1016" s="36"/>
      <c r="N1016" s="36"/>
    </row>
    <row r="1017" spans="1:14">
      <c r="A1017" s="8" t="s">
        <v>1008</v>
      </c>
      <c r="B1017" s="19">
        <v>42172</v>
      </c>
      <c r="C1017" s="8" t="s">
        <v>66</v>
      </c>
      <c r="D1017" s="8">
        <v>10007</v>
      </c>
      <c r="E1017" s="8" t="s">
        <v>45</v>
      </c>
      <c r="F1017" s="8" t="s">
        <v>35</v>
      </c>
      <c r="G1017" s="36">
        <f>VLOOKUP(E1017,Flipkart!$A$1:$B$296,2,0)</f>
        <v>0.04</v>
      </c>
      <c r="H1017" s="36">
        <f t="shared" ca="1" si="15"/>
        <v>0.04</v>
      </c>
      <c r="I1017" s="36" t="str">
        <f>_xlfn.XLOOKUP(E1017,'Product List'!$B$2:$B$299,'Product List'!$A$2:$A$299)</f>
        <v>Avery 486</v>
      </c>
      <c r="J1017" s="36"/>
      <c r="K1017" s="36"/>
      <c r="L1017" s="36"/>
      <c r="M1017" s="36"/>
      <c r="N1017" s="36"/>
    </row>
    <row r="1018" spans="1:14">
      <c r="A1018" s="8" t="s">
        <v>1008</v>
      </c>
      <c r="B1018" s="19">
        <v>42172</v>
      </c>
      <c r="C1018" s="8" t="s">
        <v>27</v>
      </c>
      <c r="D1018" s="8">
        <v>10004</v>
      </c>
      <c r="E1018" s="8" t="s">
        <v>539</v>
      </c>
      <c r="F1018" s="8" t="s">
        <v>43</v>
      </c>
      <c r="G1018" s="36">
        <f>VLOOKUP(E1018,Flipkart!$A$1:$B$296,2,0)</f>
        <v>0</v>
      </c>
      <c r="H1018" s="36">
        <f t="shared" ca="1" si="15"/>
        <v>0.04</v>
      </c>
      <c r="I1018" s="36" t="str">
        <f>_xlfn.XLOOKUP(E1018,'Product List'!$B$2:$B$299,'Product List'!$A$2:$A$299)</f>
        <v>Xerox 220</v>
      </c>
      <c r="J1018" s="36"/>
      <c r="K1018" s="36"/>
      <c r="L1018" s="36"/>
      <c r="M1018" s="36"/>
      <c r="N1018" s="36"/>
    </row>
    <row r="1019" spans="1:14">
      <c r="A1019" s="8" t="s">
        <v>1009</v>
      </c>
      <c r="B1019" s="19">
        <v>42172</v>
      </c>
      <c r="C1019" s="8" t="s">
        <v>51</v>
      </c>
      <c r="D1019" s="8">
        <v>10008</v>
      </c>
      <c r="E1019" s="8" t="s">
        <v>263</v>
      </c>
      <c r="F1019" s="8" t="s">
        <v>40</v>
      </c>
      <c r="G1019" s="36">
        <f>VLOOKUP(E1019,Flipkart!$A$1:$B$296,2,0)</f>
        <v>0.03</v>
      </c>
      <c r="H1019" s="36">
        <f t="shared" ca="1" si="15"/>
        <v>0.04</v>
      </c>
      <c r="I1019" s="36" t="str">
        <f>_xlfn.XLOOKUP(E1019,'Product List'!$B$2:$B$299,'Product List'!$A$2:$A$299)</f>
        <v>Xerox 1976</v>
      </c>
      <c r="J1019" s="36"/>
      <c r="K1019" s="36"/>
      <c r="L1019" s="36"/>
      <c r="M1019" s="36"/>
      <c r="N1019" s="36"/>
    </row>
    <row r="1020" spans="1:14">
      <c r="A1020" s="8" t="s">
        <v>1010</v>
      </c>
      <c r="B1020" s="19">
        <v>42173</v>
      </c>
      <c r="C1020" s="8" t="s">
        <v>27</v>
      </c>
      <c r="D1020" s="8">
        <v>10011</v>
      </c>
      <c r="E1020" s="8" t="s">
        <v>605</v>
      </c>
      <c r="F1020" s="8" t="s">
        <v>43</v>
      </c>
      <c r="G1020" s="36">
        <f>VLOOKUP(E1020,Flipkart!$A$1:$B$296,2,0)</f>
        <v>0.01</v>
      </c>
      <c r="H1020" s="36">
        <f t="shared" ca="1" si="15"/>
        <v>0.01</v>
      </c>
      <c r="I1020" s="36" t="str">
        <f>_xlfn.XLOOKUP(E1020,'Product List'!$B$2:$B$299,'Product List'!$A$2:$A$299)</f>
        <v>Pyle PMP37LED</v>
      </c>
      <c r="J1020" s="36"/>
      <c r="K1020" s="36"/>
      <c r="L1020" s="36"/>
      <c r="M1020" s="36"/>
      <c r="N1020" s="36"/>
    </row>
    <row r="1021" spans="1:14">
      <c r="A1021" s="8" t="s">
        <v>1011</v>
      </c>
      <c r="B1021" s="19">
        <v>42173</v>
      </c>
      <c r="C1021" s="8" t="s">
        <v>33</v>
      </c>
      <c r="D1021" s="8">
        <v>10012</v>
      </c>
      <c r="E1021" s="8" t="s">
        <v>510</v>
      </c>
      <c r="F1021" s="8" t="s">
        <v>40</v>
      </c>
      <c r="G1021" s="36">
        <f>VLOOKUP(E1021,Flipkart!$A$1:$B$296,2,0)</f>
        <v>0.04</v>
      </c>
      <c r="H1021" s="36">
        <f t="shared" ca="1" si="15"/>
        <v>0</v>
      </c>
      <c r="I1021" s="36" t="str">
        <f>_xlfn.XLOOKUP(E1021,'Product List'!$B$2:$B$299,'Product List'!$A$2:$A$299)</f>
        <v>Avery 507</v>
      </c>
      <c r="J1021" s="36"/>
      <c r="K1021" s="36"/>
      <c r="L1021" s="36"/>
      <c r="M1021" s="36"/>
      <c r="N1021" s="36"/>
    </row>
    <row r="1022" spans="1:14">
      <c r="A1022" s="8" t="s">
        <v>1010</v>
      </c>
      <c r="B1022" s="19">
        <v>42173</v>
      </c>
      <c r="C1022" s="8" t="s">
        <v>46</v>
      </c>
      <c r="D1022" s="8">
        <v>10007</v>
      </c>
      <c r="E1022" s="8" t="s">
        <v>102</v>
      </c>
      <c r="F1022" s="8" t="s">
        <v>50</v>
      </c>
      <c r="G1022" s="36">
        <f>VLOOKUP(E1022,Flipkart!$A$1:$B$296,2,0)</f>
        <v>0.02</v>
      </c>
      <c r="H1022" s="36">
        <f t="shared" ca="1" si="15"/>
        <v>0</v>
      </c>
      <c r="I1022" s="36" t="str">
        <f>_xlfn.XLOOKUP(E1022,'Product List'!$B$2:$B$299,'Product List'!$A$2:$A$299)</f>
        <v>Xerox 1997</v>
      </c>
      <c r="J1022" s="36"/>
      <c r="K1022" s="36"/>
      <c r="L1022" s="36"/>
      <c r="M1022" s="36"/>
      <c r="N1022" s="36"/>
    </row>
    <row r="1023" spans="1:14">
      <c r="A1023" s="8" t="s">
        <v>1012</v>
      </c>
      <c r="B1023" s="19">
        <v>42173</v>
      </c>
      <c r="C1023" s="8" t="s">
        <v>66</v>
      </c>
      <c r="D1023" s="8">
        <v>10002</v>
      </c>
      <c r="E1023" s="8" t="s">
        <v>137</v>
      </c>
      <c r="F1023" s="8" t="s">
        <v>29</v>
      </c>
      <c r="G1023" s="36">
        <f>VLOOKUP(E1023,Flipkart!$A$1:$B$296,2,0)</f>
        <v>0</v>
      </c>
      <c r="H1023" s="36">
        <f t="shared" ca="1" si="15"/>
        <v>0.04</v>
      </c>
      <c r="I1023" s="36" t="str">
        <f>_xlfn.XLOOKUP(E1023,'Product List'!$B$2:$B$299,'Product List'!$A$2:$A$299)</f>
        <v>Newell 35</v>
      </c>
      <c r="J1023" s="36"/>
      <c r="K1023" s="36"/>
      <c r="L1023" s="36"/>
      <c r="M1023" s="36"/>
      <c r="N1023" s="36"/>
    </row>
    <row r="1024" spans="1:14">
      <c r="A1024" s="8" t="s">
        <v>1012</v>
      </c>
      <c r="B1024" s="19">
        <v>42173</v>
      </c>
      <c r="C1024" s="8" t="s">
        <v>46</v>
      </c>
      <c r="D1024" s="8">
        <v>10004</v>
      </c>
      <c r="E1024" s="8" t="s">
        <v>1013</v>
      </c>
      <c r="F1024" s="8" t="s">
        <v>35</v>
      </c>
      <c r="G1024" s="36">
        <f>VLOOKUP(E1024,Flipkart!$A$1:$B$296,2,0)</f>
        <v>0.05</v>
      </c>
      <c r="H1024" s="36">
        <f t="shared" ca="1" si="15"/>
        <v>0.05</v>
      </c>
      <c r="I1024" s="36" t="str">
        <f>_xlfn.XLOOKUP(E1024,'Product List'!$B$2:$B$299,'Product List'!$A$2:$A$299)</f>
        <v>Avery 480</v>
      </c>
      <c r="J1024" s="36"/>
      <c r="K1024" s="36"/>
      <c r="L1024" s="36"/>
      <c r="M1024" s="36"/>
      <c r="N1024" s="36"/>
    </row>
    <row r="1025" spans="1:14">
      <c r="A1025" s="8" t="s">
        <v>1014</v>
      </c>
      <c r="B1025" s="19">
        <v>42175</v>
      </c>
      <c r="C1025" s="8" t="s">
        <v>36</v>
      </c>
      <c r="D1025" s="8">
        <v>10012</v>
      </c>
      <c r="E1025" s="8" t="s">
        <v>497</v>
      </c>
      <c r="F1025" s="8" t="s">
        <v>43</v>
      </c>
      <c r="G1025" s="36">
        <f>VLOOKUP(E1025,Flipkart!$A$1:$B$296,2,0)</f>
        <v>0.04</v>
      </c>
      <c r="H1025" s="36">
        <f t="shared" ca="1" si="15"/>
        <v>0.02</v>
      </c>
      <c r="I1025" s="36" t="str">
        <f>_xlfn.XLOOKUP(E1025,'Product List'!$B$2:$B$299,'Product List'!$A$2:$A$299)</f>
        <v>Xerox 232</v>
      </c>
      <c r="J1025" s="36"/>
      <c r="K1025" s="36"/>
      <c r="L1025" s="36"/>
      <c r="M1025" s="36"/>
      <c r="N1025" s="36"/>
    </row>
    <row r="1026" spans="1:14">
      <c r="A1026" s="8" t="s">
        <v>1014</v>
      </c>
      <c r="B1026" s="19">
        <v>42175</v>
      </c>
      <c r="C1026" s="8" t="s">
        <v>36</v>
      </c>
      <c r="D1026" s="8">
        <v>10008</v>
      </c>
      <c r="E1026" s="8" t="s">
        <v>130</v>
      </c>
      <c r="F1026" s="8" t="s">
        <v>50</v>
      </c>
      <c r="G1026" s="36">
        <f>VLOOKUP(E1026,Flipkart!$A$1:$B$296,2,0)</f>
        <v>0</v>
      </c>
      <c r="H1026" s="36">
        <f t="shared" ca="1" si="15"/>
        <v>0.03</v>
      </c>
      <c r="I1026" s="36" t="str">
        <f>_xlfn.XLOOKUP(E1026,'Product List'!$B$2:$B$299,'Product List'!$A$2:$A$299)</f>
        <v>Xerox 212</v>
      </c>
      <c r="J1026" s="36"/>
      <c r="K1026" s="36"/>
      <c r="L1026" s="36"/>
      <c r="M1026" s="36"/>
      <c r="N1026" s="36"/>
    </row>
    <row r="1027" spans="1:14">
      <c r="A1027" s="8" t="s">
        <v>1014</v>
      </c>
      <c r="B1027" s="19">
        <v>42175</v>
      </c>
      <c r="C1027" s="8" t="s">
        <v>66</v>
      </c>
      <c r="D1027" s="8">
        <v>10003</v>
      </c>
      <c r="E1027" s="8" t="s">
        <v>497</v>
      </c>
      <c r="F1027" s="8" t="s">
        <v>43</v>
      </c>
      <c r="G1027" s="36">
        <f>VLOOKUP(E1027,Flipkart!$A$1:$B$296,2,0)</f>
        <v>0.04</v>
      </c>
      <c r="H1027" s="36">
        <f t="shared" ca="1" si="15"/>
        <v>0.02</v>
      </c>
      <c r="I1027" s="36" t="str">
        <f>_xlfn.XLOOKUP(E1027,'Product List'!$B$2:$B$299,'Product List'!$A$2:$A$299)</f>
        <v>Xerox 232</v>
      </c>
      <c r="J1027" s="36"/>
      <c r="K1027" s="36"/>
      <c r="L1027" s="36"/>
      <c r="M1027" s="36"/>
      <c r="N1027" s="36"/>
    </row>
    <row r="1028" spans="1:14">
      <c r="A1028" s="8" t="s">
        <v>1015</v>
      </c>
      <c r="B1028" s="19">
        <v>42178</v>
      </c>
      <c r="C1028" s="8" t="s">
        <v>27</v>
      </c>
      <c r="D1028" s="8">
        <v>10001</v>
      </c>
      <c r="E1028" s="8" t="s">
        <v>535</v>
      </c>
      <c r="F1028" s="8" t="s">
        <v>43</v>
      </c>
      <c r="G1028" s="36">
        <f>VLOOKUP(E1028,Flipkart!$A$1:$B$296,2,0)</f>
        <v>0.01</v>
      </c>
      <c r="H1028" s="36">
        <f t="shared" ref="H1028:H1091" ca="1" si="16">VLOOKUP(E1028,INDIRECT(F1028&amp;"!$A$1:$B$296"),2,0)</f>
        <v>0.05</v>
      </c>
      <c r="I1028" s="36" t="str">
        <f>_xlfn.XLOOKUP(E1028,'Product List'!$B$2:$B$299,'Product List'!$A$2:$A$299)</f>
        <v>Newell 325</v>
      </c>
      <c r="J1028" s="36"/>
      <c r="K1028" s="36"/>
      <c r="L1028" s="36"/>
      <c r="M1028" s="36"/>
      <c r="N1028" s="36"/>
    </row>
    <row r="1029" spans="1:14">
      <c r="A1029" s="8" t="s">
        <v>1015</v>
      </c>
      <c r="B1029" s="19">
        <v>42178</v>
      </c>
      <c r="C1029" s="8" t="s">
        <v>46</v>
      </c>
      <c r="D1029" s="8">
        <v>10011</v>
      </c>
      <c r="E1029" s="8" t="s">
        <v>610</v>
      </c>
      <c r="F1029" s="8" t="s">
        <v>50</v>
      </c>
      <c r="G1029" s="36">
        <f>VLOOKUP(E1029,Flipkart!$A$1:$B$296,2,0)</f>
        <v>0</v>
      </c>
      <c r="H1029" s="36">
        <f t="shared" ca="1" si="16"/>
        <v>0.01</v>
      </c>
      <c r="I1029" s="36" t="str">
        <f>_xlfn.XLOOKUP(E1029,'Product List'!$B$2:$B$299,'Product List'!$A$2:$A$299)</f>
        <v>Newell 311</v>
      </c>
      <c r="J1029" s="36"/>
      <c r="K1029" s="36"/>
      <c r="L1029" s="36"/>
      <c r="M1029" s="36"/>
      <c r="N1029" s="36"/>
    </row>
    <row r="1030" spans="1:14">
      <c r="A1030" s="8" t="s">
        <v>1016</v>
      </c>
      <c r="B1030" s="19">
        <v>42179</v>
      </c>
      <c r="C1030" s="8" t="s">
        <v>27</v>
      </c>
      <c r="D1030" s="8">
        <v>10003</v>
      </c>
      <c r="E1030" s="8" t="s">
        <v>39</v>
      </c>
      <c r="F1030" s="8" t="s">
        <v>40</v>
      </c>
      <c r="G1030" s="36">
        <f>VLOOKUP(E1030,Flipkart!$A$1:$B$296,2,0)</f>
        <v>0.05</v>
      </c>
      <c r="H1030" s="36">
        <f t="shared" ca="1" si="16"/>
        <v>0.04</v>
      </c>
      <c r="I1030" s="36" t="str">
        <f>_xlfn.XLOOKUP(E1030,'Product List'!$B$2:$B$299,'Product List'!$A$2:$A$299)</f>
        <v>Xerox 1890</v>
      </c>
      <c r="J1030" s="36"/>
      <c r="K1030" s="36"/>
      <c r="L1030" s="36"/>
      <c r="M1030" s="36"/>
      <c r="N1030" s="36"/>
    </row>
    <row r="1031" spans="1:14">
      <c r="A1031" s="8" t="s">
        <v>1017</v>
      </c>
      <c r="B1031" s="19">
        <v>42179</v>
      </c>
      <c r="C1031" s="8" t="s">
        <v>66</v>
      </c>
      <c r="D1031" s="8">
        <v>10011</v>
      </c>
      <c r="E1031" s="8" t="s">
        <v>362</v>
      </c>
      <c r="F1031" s="8" t="s">
        <v>40</v>
      </c>
      <c r="G1031" s="36">
        <f>VLOOKUP(E1031,Flipkart!$A$1:$B$296,2,0)</f>
        <v>0</v>
      </c>
      <c r="H1031" s="36">
        <f t="shared" ca="1" si="16"/>
        <v>0.04</v>
      </c>
      <c r="I1031" s="36" t="str">
        <f>_xlfn.XLOOKUP(E1031,'Product List'!$B$2:$B$299,'Product List'!$A$2:$A$299)</f>
        <v>Avery 499</v>
      </c>
      <c r="J1031" s="36"/>
      <c r="K1031" s="36"/>
      <c r="L1031" s="36"/>
      <c r="M1031" s="36"/>
      <c r="N1031" s="36"/>
    </row>
    <row r="1032" spans="1:14">
      <c r="A1032" s="8" t="s">
        <v>1018</v>
      </c>
      <c r="B1032" s="19">
        <v>42181</v>
      </c>
      <c r="C1032" s="8" t="s">
        <v>54</v>
      </c>
      <c r="D1032" s="8">
        <v>10010</v>
      </c>
      <c r="E1032" s="8" t="s">
        <v>174</v>
      </c>
      <c r="F1032" s="8" t="s">
        <v>35</v>
      </c>
      <c r="G1032" s="36">
        <f>VLOOKUP(E1032,Flipkart!$A$1:$B$296,2,0)</f>
        <v>0</v>
      </c>
      <c r="H1032" s="36">
        <f t="shared" ca="1" si="16"/>
        <v>0</v>
      </c>
      <c r="I1032" s="36" t="str">
        <f>_xlfn.XLOOKUP(E1032,'Product List'!$B$2:$B$299,'Product List'!$A$2:$A$299)</f>
        <v>Staples</v>
      </c>
      <c r="J1032" s="36"/>
      <c r="K1032" s="36"/>
      <c r="L1032" s="36"/>
      <c r="M1032" s="36"/>
      <c r="N1032" s="36"/>
    </row>
    <row r="1033" spans="1:14">
      <c r="A1033" s="8" t="s">
        <v>1018</v>
      </c>
      <c r="B1033" s="19">
        <v>42181</v>
      </c>
      <c r="C1033" s="8" t="s">
        <v>27</v>
      </c>
      <c r="D1033" s="8">
        <v>10002</v>
      </c>
      <c r="E1033" s="8" t="s">
        <v>172</v>
      </c>
      <c r="F1033" s="8" t="s">
        <v>35</v>
      </c>
      <c r="G1033" s="36">
        <f>VLOOKUP(E1033,Flipkart!$A$1:$B$296,2,0)</f>
        <v>0.04</v>
      </c>
      <c r="H1033" s="36">
        <f t="shared" ca="1" si="16"/>
        <v>0.04</v>
      </c>
      <c r="I1033" s="36" t="str">
        <f>_xlfn.XLOOKUP(E1033,'Product List'!$B$2:$B$299,'Product List'!$A$2:$A$299)</f>
        <v>Xerox 223</v>
      </c>
      <c r="J1033" s="36"/>
      <c r="K1033" s="36"/>
      <c r="L1033" s="36"/>
      <c r="M1033" s="36"/>
      <c r="N1033" s="36"/>
    </row>
    <row r="1034" spans="1:14">
      <c r="A1034" s="8" t="s">
        <v>1019</v>
      </c>
      <c r="B1034" s="19">
        <v>42181</v>
      </c>
      <c r="C1034" s="8" t="s">
        <v>51</v>
      </c>
      <c r="D1034" s="8">
        <v>10012</v>
      </c>
      <c r="E1034" s="8" t="s">
        <v>112</v>
      </c>
      <c r="F1034" s="8" t="s">
        <v>40</v>
      </c>
      <c r="G1034" s="36">
        <f>VLOOKUP(E1034,Flipkart!$A$1:$B$296,2,0)</f>
        <v>0.04</v>
      </c>
      <c r="H1034" s="36">
        <f t="shared" ca="1" si="16"/>
        <v>0</v>
      </c>
      <c r="I1034" s="36" t="str">
        <f>_xlfn.XLOOKUP(E1034,'Product List'!$B$2:$B$299,'Product List'!$A$2:$A$299)</f>
        <v>Newell 317</v>
      </c>
      <c r="J1034" s="36"/>
      <c r="K1034" s="36"/>
      <c r="L1034" s="36"/>
      <c r="M1034" s="36"/>
      <c r="N1034" s="36"/>
    </row>
    <row r="1035" spans="1:14">
      <c r="A1035" s="8" t="s">
        <v>1020</v>
      </c>
      <c r="B1035" s="19">
        <v>42181</v>
      </c>
      <c r="C1035" s="8" t="s">
        <v>46</v>
      </c>
      <c r="D1035" s="8">
        <v>10008</v>
      </c>
      <c r="E1035" s="8" t="s">
        <v>277</v>
      </c>
      <c r="F1035" s="8" t="s">
        <v>29</v>
      </c>
      <c r="G1035" s="36">
        <f>VLOOKUP(E1035,Flipkart!$A$1:$B$296,2,0)</f>
        <v>0.01</v>
      </c>
      <c r="H1035" s="36">
        <f t="shared" ca="1" si="16"/>
        <v>0.04</v>
      </c>
      <c r="I1035" s="36" t="str">
        <f>_xlfn.XLOOKUP(E1035,'Product List'!$B$2:$B$299,'Product List'!$A$2:$A$299)</f>
        <v>Xerox 1946</v>
      </c>
      <c r="J1035" s="36"/>
      <c r="K1035" s="36"/>
      <c r="L1035" s="36"/>
      <c r="M1035" s="36"/>
      <c r="N1035" s="36"/>
    </row>
    <row r="1036" spans="1:14">
      <c r="A1036" s="8" t="s">
        <v>1020</v>
      </c>
      <c r="B1036" s="19">
        <v>42181</v>
      </c>
      <c r="C1036" s="8" t="s">
        <v>54</v>
      </c>
      <c r="D1036" s="8">
        <v>10012</v>
      </c>
      <c r="E1036" s="8" t="s">
        <v>368</v>
      </c>
      <c r="F1036" s="8" t="s">
        <v>29</v>
      </c>
      <c r="G1036" s="36">
        <f>VLOOKUP(E1036,Flipkart!$A$1:$B$296,2,0)</f>
        <v>0</v>
      </c>
      <c r="H1036" s="36">
        <f t="shared" ca="1" si="16"/>
        <v>0</v>
      </c>
      <c r="I1036" s="36" t="str">
        <f>_xlfn.XLOOKUP(E1036,'Product List'!$B$2:$B$299,'Product List'!$A$2:$A$299)</f>
        <v>Xerox 1978</v>
      </c>
      <c r="J1036" s="36"/>
      <c r="K1036" s="36"/>
      <c r="L1036" s="36"/>
      <c r="M1036" s="36"/>
      <c r="N1036" s="36"/>
    </row>
    <row r="1037" spans="1:14">
      <c r="A1037" s="8" t="s">
        <v>1021</v>
      </c>
      <c r="B1037" s="19">
        <v>42184</v>
      </c>
      <c r="C1037" s="8" t="s">
        <v>33</v>
      </c>
      <c r="D1037" s="8">
        <v>10004</v>
      </c>
      <c r="E1037" s="8" t="s">
        <v>672</v>
      </c>
      <c r="F1037" s="8" t="s">
        <v>35</v>
      </c>
      <c r="G1037" s="36">
        <f>VLOOKUP(E1037,Flipkart!$A$1:$B$296,2,0)</f>
        <v>0</v>
      </c>
      <c r="H1037" s="36">
        <f t="shared" ca="1" si="16"/>
        <v>0</v>
      </c>
      <c r="I1037" s="36" t="str">
        <f>_xlfn.XLOOKUP(E1037,'Product List'!$B$2:$B$299,'Product List'!$A$2:$A$299)</f>
        <v>Newell 319</v>
      </c>
      <c r="J1037" s="36"/>
      <c r="K1037" s="36"/>
      <c r="L1037" s="36"/>
      <c r="M1037" s="36"/>
      <c r="N1037" s="36"/>
    </row>
    <row r="1038" spans="1:14">
      <c r="A1038" s="8" t="s">
        <v>1022</v>
      </c>
      <c r="B1038" s="19">
        <v>42185</v>
      </c>
      <c r="C1038" s="8" t="s">
        <v>44</v>
      </c>
      <c r="D1038" s="8">
        <v>10009</v>
      </c>
      <c r="E1038" s="8" t="s">
        <v>188</v>
      </c>
      <c r="F1038" s="8" t="s">
        <v>43</v>
      </c>
      <c r="G1038" s="36">
        <f>VLOOKUP(E1038,Flipkart!$A$1:$B$296,2,0)</f>
        <v>0.03</v>
      </c>
      <c r="H1038" s="36">
        <f t="shared" ca="1" si="16"/>
        <v>0.04</v>
      </c>
      <c r="I1038" s="36" t="str">
        <f>_xlfn.XLOOKUP(E1038,'Product List'!$B$2:$B$299,'Product List'!$A$2:$A$299)</f>
        <v>Xerox 1953</v>
      </c>
      <c r="J1038" s="36"/>
      <c r="K1038" s="36"/>
      <c r="L1038" s="36"/>
      <c r="M1038" s="36"/>
      <c r="N1038" s="36"/>
    </row>
    <row r="1039" spans="1:14">
      <c r="A1039" s="8" t="s">
        <v>1023</v>
      </c>
      <c r="B1039" s="19">
        <v>42185</v>
      </c>
      <c r="C1039" s="8" t="s">
        <v>33</v>
      </c>
      <c r="D1039" s="8">
        <v>10013</v>
      </c>
      <c r="E1039" s="8" t="s">
        <v>710</v>
      </c>
      <c r="F1039" s="8" t="s">
        <v>35</v>
      </c>
      <c r="G1039" s="36">
        <f>VLOOKUP(E1039,Flipkart!$A$1:$B$296,2,0)</f>
        <v>0.03</v>
      </c>
      <c r="H1039" s="36">
        <f t="shared" ca="1" si="16"/>
        <v>0.03</v>
      </c>
      <c r="I1039" s="36" t="str">
        <f>_xlfn.XLOOKUP(E1039,'Product List'!$B$2:$B$299,'Product List'!$A$2:$A$299)</f>
        <v>Xerox 195</v>
      </c>
      <c r="J1039" s="36"/>
      <c r="K1039" s="36"/>
      <c r="L1039" s="36"/>
      <c r="M1039" s="36"/>
      <c r="N1039" s="36"/>
    </row>
    <row r="1040" spans="1:14">
      <c r="A1040" s="8" t="s">
        <v>1024</v>
      </c>
      <c r="B1040" s="19">
        <v>42185</v>
      </c>
      <c r="C1040" s="8" t="s">
        <v>27</v>
      </c>
      <c r="D1040" s="8">
        <v>10007</v>
      </c>
      <c r="E1040" s="8" t="s">
        <v>594</v>
      </c>
      <c r="F1040" s="8" t="s">
        <v>50</v>
      </c>
      <c r="G1040" s="36">
        <f>VLOOKUP(E1040,Flipkart!$A$1:$B$296,2,0)</f>
        <v>0.04</v>
      </c>
      <c r="H1040" s="36">
        <f t="shared" ca="1" si="16"/>
        <v>0.05</v>
      </c>
      <c r="I1040" s="36" t="str">
        <f>_xlfn.XLOOKUP(E1040,'Product List'!$B$2:$B$299,'Product List'!$A$2:$A$299)</f>
        <v>Xerox 217</v>
      </c>
      <c r="J1040" s="36"/>
      <c r="K1040" s="36"/>
      <c r="L1040" s="36"/>
      <c r="M1040" s="36"/>
      <c r="N1040" s="36"/>
    </row>
    <row r="1041" spans="1:14">
      <c r="A1041" s="8" t="s">
        <v>1025</v>
      </c>
      <c r="B1041" s="19">
        <v>42186</v>
      </c>
      <c r="C1041" s="8" t="s">
        <v>27</v>
      </c>
      <c r="D1041" s="8">
        <v>10012</v>
      </c>
      <c r="E1041" s="8" t="s">
        <v>65</v>
      </c>
      <c r="F1041" s="8" t="s">
        <v>35</v>
      </c>
      <c r="G1041" s="36">
        <f>VLOOKUP(E1041,Flipkart!$A$1:$B$296,2,0)</f>
        <v>0</v>
      </c>
      <c r="H1041" s="36">
        <f t="shared" ca="1" si="16"/>
        <v>0</v>
      </c>
      <c r="I1041" s="36" t="str">
        <f>_xlfn.XLOOKUP(E1041,'Product List'!$B$2:$B$299,'Product List'!$A$2:$A$299)</f>
        <v>Xerox 1963</v>
      </c>
      <c r="J1041" s="36"/>
      <c r="K1041" s="36"/>
      <c r="L1041" s="36"/>
      <c r="M1041" s="36"/>
      <c r="N1041" s="36"/>
    </row>
    <row r="1042" spans="1:14">
      <c r="A1042" s="8" t="s">
        <v>1025</v>
      </c>
      <c r="B1042" s="19">
        <v>42186</v>
      </c>
      <c r="C1042" s="8" t="s">
        <v>27</v>
      </c>
      <c r="D1042" s="8">
        <v>10005</v>
      </c>
      <c r="E1042" s="8" t="s">
        <v>502</v>
      </c>
      <c r="F1042" s="8" t="s">
        <v>40</v>
      </c>
      <c r="G1042" s="36">
        <f>VLOOKUP(E1042,Flipkart!$A$1:$B$296,2,0)</f>
        <v>0</v>
      </c>
      <c r="H1042" s="36">
        <f t="shared" ca="1" si="16"/>
        <v>0.05</v>
      </c>
      <c r="I1042" s="36" t="str">
        <f>_xlfn.XLOOKUP(E1042,'Product List'!$B$2:$B$299,'Product List'!$A$2:$A$299)</f>
        <v>Xerox 1896</v>
      </c>
      <c r="J1042" s="36"/>
      <c r="K1042" s="36"/>
      <c r="L1042" s="36"/>
      <c r="M1042" s="36"/>
      <c r="N1042" s="36"/>
    </row>
    <row r="1043" spans="1:14">
      <c r="A1043" s="8" t="s">
        <v>1025</v>
      </c>
      <c r="B1043" s="19">
        <v>42186</v>
      </c>
      <c r="C1043" s="8" t="s">
        <v>36</v>
      </c>
      <c r="D1043" s="8">
        <v>10005</v>
      </c>
      <c r="E1043" s="8" t="s">
        <v>1026</v>
      </c>
      <c r="F1043" s="8" t="s">
        <v>29</v>
      </c>
      <c r="G1043" s="36">
        <f>VLOOKUP(E1043,Flipkart!$A$1:$B$296,2,0)</f>
        <v>0.03</v>
      </c>
      <c r="H1043" s="36">
        <f t="shared" ca="1" si="16"/>
        <v>0.05</v>
      </c>
      <c r="I1043" s="36" t="str">
        <f>_xlfn.XLOOKUP(E1043,'Product List'!$B$2:$B$299,'Product List'!$A$2:$A$299)</f>
        <v>Xerox 2000</v>
      </c>
      <c r="J1043" s="36"/>
      <c r="K1043" s="36"/>
      <c r="L1043" s="36"/>
      <c r="M1043" s="36"/>
      <c r="N1043" s="36"/>
    </row>
    <row r="1044" spans="1:14">
      <c r="A1044" s="8" t="s">
        <v>1027</v>
      </c>
      <c r="B1044" s="19">
        <v>42188</v>
      </c>
      <c r="C1044" s="8" t="s">
        <v>36</v>
      </c>
      <c r="D1044" s="8">
        <v>10005</v>
      </c>
      <c r="E1044" s="8" t="s">
        <v>434</v>
      </c>
      <c r="F1044" s="8" t="s">
        <v>32</v>
      </c>
      <c r="G1044" s="36">
        <f>VLOOKUP(E1044,Flipkart!$A$1:$B$296,2,0)</f>
        <v>0.04</v>
      </c>
      <c r="H1044" s="36">
        <f t="shared" ca="1" si="16"/>
        <v>0.01</v>
      </c>
      <c r="I1044" s="36" t="str">
        <f>_xlfn.XLOOKUP(E1044,'Product List'!$B$2:$B$299,'Product List'!$A$2:$A$299)</f>
        <v>Xerox 1952</v>
      </c>
      <c r="J1044" s="36"/>
      <c r="K1044" s="36"/>
      <c r="L1044" s="36"/>
      <c r="M1044" s="36"/>
      <c r="N1044" s="36"/>
    </row>
    <row r="1045" spans="1:14">
      <c r="A1045" s="8" t="s">
        <v>1028</v>
      </c>
      <c r="B1045" s="19">
        <v>42189</v>
      </c>
      <c r="C1045" s="8" t="s">
        <v>27</v>
      </c>
      <c r="D1045" s="8">
        <v>10008</v>
      </c>
      <c r="E1045" s="8" t="s">
        <v>168</v>
      </c>
      <c r="F1045" s="8" t="s">
        <v>50</v>
      </c>
      <c r="G1045" s="36">
        <f>VLOOKUP(E1045,Flipkart!$A$1:$B$296,2,0)</f>
        <v>0.03</v>
      </c>
      <c r="H1045" s="36">
        <f t="shared" ca="1" si="16"/>
        <v>0.04</v>
      </c>
      <c r="I1045" s="36" t="str">
        <f>_xlfn.XLOOKUP(E1045,'Product List'!$B$2:$B$299,'Product List'!$A$2:$A$299)</f>
        <v>Newell 334</v>
      </c>
      <c r="J1045" s="36"/>
      <c r="K1045" s="36"/>
      <c r="L1045" s="36"/>
      <c r="M1045" s="36"/>
      <c r="N1045" s="36"/>
    </row>
    <row r="1046" spans="1:14">
      <c r="A1046" s="8" t="s">
        <v>1029</v>
      </c>
      <c r="B1046" s="19">
        <v>42190</v>
      </c>
      <c r="C1046" s="8" t="s">
        <v>36</v>
      </c>
      <c r="D1046" s="8">
        <v>10001</v>
      </c>
      <c r="E1046" s="8" t="s">
        <v>302</v>
      </c>
      <c r="F1046" s="8" t="s">
        <v>29</v>
      </c>
      <c r="G1046" s="36">
        <f>VLOOKUP(E1046,Flipkart!$A$1:$B$296,2,0)</f>
        <v>0.03</v>
      </c>
      <c r="H1046" s="36">
        <f t="shared" ca="1" si="16"/>
        <v>0</v>
      </c>
      <c r="I1046" s="36" t="str">
        <f>_xlfn.XLOOKUP(E1046,'Product List'!$B$2:$B$299,'Product List'!$A$2:$A$299)</f>
        <v>Xerox 190</v>
      </c>
      <c r="J1046" s="36"/>
      <c r="K1046" s="36"/>
      <c r="L1046" s="36"/>
      <c r="M1046" s="36"/>
      <c r="N1046" s="36"/>
    </row>
    <row r="1047" spans="1:14">
      <c r="A1047" s="8" t="s">
        <v>1029</v>
      </c>
      <c r="B1047" s="19">
        <v>42190</v>
      </c>
      <c r="C1047" s="8" t="s">
        <v>46</v>
      </c>
      <c r="D1047" s="8">
        <v>10002</v>
      </c>
      <c r="E1047" s="8" t="s">
        <v>71</v>
      </c>
      <c r="F1047" s="8" t="s">
        <v>32</v>
      </c>
      <c r="G1047" s="36">
        <f>VLOOKUP(E1047,Flipkart!$A$1:$B$296,2,0)</f>
        <v>0.04</v>
      </c>
      <c r="H1047" s="36">
        <f t="shared" ca="1" si="16"/>
        <v>0.02</v>
      </c>
      <c r="I1047" s="36" t="str">
        <f>_xlfn.XLOOKUP(E1047,'Product List'!$B$2:$B$299,'Product List'!$A$2:$A$299)</f>
        <v>GE 30522EE2</v>
      </c>
      <c r="J1047" s="36"/>
      <c r="K1047" s="36"/>
      <c r="L1047" s="36"/>
      <c r="M1047" s="36"/>
      <c r="N1047" s="36"/>
    </row>
    <row r="1048" spans="1:14">
      <c r="A1048" s="8" t="s">
        <v>1029</v>
      </c>
      <c r="B1048" s="19">
        <v>42190</v>
      </c>
      <c r="C1048" s="8" t="s">
        <v>27</v>
      </c>
      <c r="D1048" s="8">
        <v>10007</v>
      </c>
      <c r="E1048" s="8" t="s">
        <v>86</v>
      </c>
      <c r="F1048" s="8" t="s">
        <v>32</v>
      </c>
      <c r="G1048" s="36">
        <f>VLOOKUP(E1048,Flipkart!$A$1:$B$296,2,0)</f>
        <v>0</v>
      </c>
      <c r="H1048" s="36">
        <f t="shared" ca="1" si="16"/>
        <v>0.03</v>
      </c>
      <c r="I1048" s="36" t="str">
        <f>_xlfn.XLOOKUP(E1048,'Product List'!$B$2:$B$299,'Product List'!$A$2:$A$299)</f>
        <v>Newell 316</v>
      </c>
      <c r="J1048" s="36"/>
      <c r="K1048" s="36"/>
      <c r="L1048" s="36"/>
      <c r="M1048" s="36"/>
      <c r="N1048" s="36"/>
    </row>
    <row r="1049" spans="1:14">
      <c r="A1049" s="8" t="s">
        <v>1030</v>
      </c>
      <c r="B1049" s="19">
        <v>42192</v>
      </c>
      <c r="C1049" s="8" t="s">
        <v>66</v>
      </c>
      <c r="D1049" s="8">
        <v>10003</v>
      </c>
      <c r="E1049" s="8" t="s">
        <v>256</v>
      </c>
      <c r="F1049" s="8" t="s">
        <v>35</v>
      </c>
      <c r="G1049" s="36">
        <f>VLOOKUP(E1049,Flipkart!$A$1:$B$296,2,0)</f>
        <v>0.04</v>
      </c>
      <c r="H1049" s="36">
        <f t="shared" ca="1" si="16"/>
        <v>0.04</v>
      </c>
      <c r="I1049" s="36" t="str">
        <f>_xlfn.XLOOKUP(E1049,'Product List'!$B$2:$B$299,'Product List'!$A$2:$A$299)</f>
        <v>Newell 313</v>
      </c>
      <c r="J1049" s="36"/>
      <c r="K1049" s="36"/>
      <c r="L1049" s="36"/>
      <c r="M1049" s="36"/>
      <c r="N1049" s="36"/>
    </row>
    <row r="1050" spans="1:14">
      <c r="A1050" s="8" t="s">
        <v>1031</v>
      </c>
      <c r="B1050" s="19">
        <v>42192</v>
      </c>
      <c r="C1050" s="8" t="s">
        <v>33</v>
      </c>
      <c r="D1050" s="8">
        <v>10006</v>
      </c>
      <c r="E1050" s="8" t="s">
        <v>182</v>
      </c>
      <c r="F1050" s="8" t="s">
        <v>29</v>
      </c>
      <c r="G1050" s="36">
        <f>VLOOKUP(E1050,Flipkart!$A$1:$B$296,2,0)</f>
        <v>0.04</v>
      </c>
      <c r="H1050" s="36">
        <f t="shared" ca="1" si="16"/>
        <v>0.04</v>
      </c>
      <c r="I1050" s="36" t="str">
        <f>_xlfn.XLOOKUP(E1050,'Product List'!$B$2:$B$299,'Product List'!$A$2:$A$299)</f>
        <v>Newell 351</v>
      </c>
      <c r="J1050" s="36"/>
      <c r="K1050" s="36"/>
      <c r="L1050" s="36"/>
      <c r="M1050" s="36"/>
      <c r="N1050" s="36"/>
    </row>
    <row r="1051" spans="1:14">
      <c r="A1051" s="8" t="s">
        <v>1030</v>
      </c>
      <c r="B1051" s="19">
        <v>42192</v>
      </c>
      <c r="C1051" s="8" t="s">
        <v>36</v>
      </c>
      <c r="D1051" s="8">
        <v>10002</v>
      </c>
      <c r="E1051" s="8" t="s">
        <v>203</v>
      </c>
      <c r="F1051" s="8" t="s">
        <v>50</v>
      </c>
      <c r="G1051" s="36">
        <f>VLOOKUP(E1051,Flipkart!$A$1:$B$296,2,0)</f>
        <v>0.02</v>
      </c>
      <c r="H1051" s="36">
        <f t="shared" ca="1" si="16"/>
        <v>0.05</v>
      </c>
      <c r="I1051" s="36" t="str">
        <f>_xlfn.XLOOKUP(E1051,'Product List'!$B$2:$B$299,'Product List'!$A$2:$A$299)</f>
        <v>Xerox 1957</v>
      </c>
      <c r="J1051" s="36"/>
      <c r="K1051" s="36"/>
      <c r="L1051" s="36"/>
      <c r="M1051" s="36"/>
      <c r="N1051" s="36"/>
    </row>
    <row r="1052" spans="1:14">
      <c r="A1052" s="8" t="s">
        <v>1030</v>
      </c>
      <c r="B1052" s="19">
        <v>42192</v>
      </c>
      <c r="C1052" s="8" t="s">
        <v>54</v>
      </c>
      <c r="D1052" s="8">
        <v>10014</v>
      </c>
      <c r="E1052" s="8" t="s">
        <v>877</v>
      </c>
      <c r="F1052" s="8" t="s">
        <v>35</v>
      </c>
      <c r="G1052" s="36">
        <f>VLOOKUP(E1052,Flipkart!$A$1:$B$296,2,0)</f>
        <v>0.02</v>
      </c>
      <c r="H1052" s="36">
        <f t="shared" ca="1" si="16"/>
        <v>0.02</v>
      </c>
      <c r="I1052" s="36" t="str">
        <f>_xlfn.XLOOKUP(E1052,'Product List'!$B$2:$B$299,'Product List'!$A$2:$A$299)</f>
        <v>Avery 484</v>
      </c>
      <c r="J1052" s="36"/>
      <c r="K1052" s="36"/>
      <c r="L1052" s="36"/>
      <c r="M1052" s="36"/>
      <c r="N1052" s="36"/>
    </row>
    <row r="1053" spans="1:14">
      <c r="A1053" s="8" t="s">
        <v>1032</v>
      </c>
      <c r="B1053" s="19">
        <v>42193</v>
      </c>
      <c r="C1053" s="8" t="s">
        <v>54</v>
      </c>
      <c r="D1053" s="8">
        <v>10006</v>
      </c>
      <c r="E1053" s="8" t="s">
        <v>356</v>
      </c>
      <c r="F1053" s="8" t="s">
        <v>43</v>
      </c>
      <c r="G1053" s="36">
        <f>VLOOKUP(E1053,Flipkart!$A$1:$B$296,2,0)</f>
        <v>0.04</v>
      </c>
      <c r="H1053" s="36">
        <f t="shared" ca="1" si="16"/>
        <v>0.03</v>
      </c>
      <c r="I1053" s="36" t="str">
        <f>_xlfn.XLOOKUP(E1053,'Product List'!$B$2:$B$299,'Product List'!$A$2:$A$299)</f>
        <v>Newell 32</v>
      </c>
      <c r="J1053" s="36"/>
      <c r="K1053" s="36"/>
      <c r="L1053" s="36"/>
      <c r="M1053" s="36"/>
      <c r="N1053" s="36"/>
    </row>
    <row r="1054" spans="1:14">
      <c r="A1054" s="8" t="s">
        <v>1033</v>
      </c>
      <c r="B1054" s="19">
        <v>42196</v>
      </c>
      <c r="C1054" s="8" t="s">
        <v>66</v>
      </c>
      <c r="D1054" s="8">
        <v>10009</v>
      </c>
      <c r="E1054" s="8" t="s">
        <v>135</v>
      </c>
      <c r="F1054" s="8" t="s">
        <v>40</v>
      </c>
      <c r="G1054" s="36">
        <f>VLOOKUP(E1054,Flipkart!$A$1:$B$296,2,0)</f>
        <v>0.04</v>
      </c>
      <c r="H1054" s="36">
        <f t="shared" ca="1" si="16"/>
        <v>0.01</v>
      </c>
      <c r="I1054" s="36" t="str">
        <f>_xlfn.XLOOKUP(E1054,'Product List'!$B$2:$B$299,'Product List'!$A$2:$A$299)</f>
        <v>Xerox 1939</v>
      </c>
      <c r="J1054" s="36"/>
      <c r="K1054" s="36"/>
      <c r="L1054" s="36"/>
      <c r="M1054" s="36"/>
      <c r="N1054" s="36"/>
    </row>
    <row r="1055" spans="1:14">
      <c r="A1055" s="8" t="s">
        <v>1033</v>
      </c>
      <c r="B1055" s="19">
        <v>42196</v>
      </c>
      <c r="C1055" s="8" t="s">
        <v>44</v>
      </c>
      <c r="D1055" s="8">
        <v>10012</v>
      </c>
      <c r="E1055" s="8" t="s">
        <v>847</v>
      </c>
      <c r="F1055" s="8" t="s">
        <v>50</v>
      </c>
      <c r="G1055" s="36">
        <f>VLOOKUP(E1055,Flipkart!$A$1:$B$296,2,0)</f>
        <v>0.04</v>
      </c>
      <c r="H1055" s="36">
        <f t="shared" ca="1" si="16"/>
        <v>0</v>
      </c>
      <c r="I1055" s="36" t="str">
        <f>_xlfn.XLOOKUP(E1055,'Product List'!$B$2:$B$299,'Product List'!$A$2:$A$299)</f>
        <v>Xerox 1941</v>
      </c>
      <c r="J1055" s="36"/>
      <c r="K1055" s="36"/>
      <c r="L1055" s="36"/>
      <c r="M1055" s="36"/>
      <c r="N1055" s="36"/>
    </row>
    <row r="1056" spans="1:14">
      <c r="A1056" s="8" t="s">
        <v>1033</v>
      </c>
      <c r="B1056" s="19">
        <v>42196</v>
      </c>
      <c r="C1056" s="8" t="s">
        <v>51</v>
      </c>
      <c r="D1056" s="8">
        <v>10010</v>
      </c>
      <c r="E1056" s="8" t="s">
        <v>102</v>
      </c>
      <c r="F1056" s="8" t="s">
        <v>50</v>
      </c>
      <c r="G1056" s="36">
        <f>VLOOKUP(E1056,Flipkart!$A$1:$B$296,2,0)</f>
        <v>0.02</v>
      </c>
      <c r="H1056" s="36">
        <f t="shared" ca="1" si="16"/>
        <v>0</v>
      </c>
      <c r="I1056" s="36" t="str">
        <f>_xlfn.XLOOKUP(E1056,'Product List'!$B$2:$B$299,'Product List'!$A$2:$A$299)</f>
        <v>Xerox 1997</v>
      </c>
      <c r="J1056" s="36"/>
      <c r="K1056" s="36"/>
      <c r="L1056" s="36"/>
      <c r="M1056" s="36"/>
      <c r="N1056" s="36"/>
    </row>
    <row r="1057" spans="1:14">
      <c r="A1057" s="8" t="s">
        <v>1034</v>
      </c>
      <c r="B1057" s="19">
        <v>42196</v>
      </c>
      <c r="C1057" s="8" t="s">
        <v>54</v>
      </c>
      <c r="D1057" s="8">
        <v>10015</v>
      </c>
      <c r="E1057" s="8" t="s">
        <v>1026</v>
      </c>
      <c r="F1057" s="8" t="s">
        <v>32</v>
      </c>
      <c r="G1057" s="36">
        <f>VLOOKUP(E1057,Flipkart!$A$1:$B$296,2,0)</f>
        <v>0.03</v>
      </c>
      <c r="H1057" s="36">
        <f t="shared" ca="1" si="16"/>
        <v>0.05</v>
      </c>
      <c r="I1057" s="36" t="str">
        <f>_xlfn.XLOOKUP(E1057,'Product List'!$B$2:$B$299,'Product List'!$A$2:$A$299)</f>
        <v>Xerox 2000</v>
      </c>
      <c r="J1057" s="36"/>
      <c r="K1057" s="36"/>
      <c r="L1057" s="36"/>
      <c r="M1057" s="36"/>
      <c r="N1057" s="36"/>
    </row>
    <row r="1058" spans="1:14">
      <c r="A1058" s="8" t="s">
        <v>1035</v>
      </c>
      <c r="B1058" s="19">
        <v>42196</v>
      </c>
      <c r="C1058" s="8" t="s">
        <v>44</v>
      </c>
      <c r="D1058" s="8">
        <v>10010</v>
      </c>
      <c r="E1058" s="8" t="s">
        <v>83</v>
      </c>
      <c r="F1058" s="8" t="s">
        <v>40</v>
      </c>
      <c r="G1058" s="36">
        <f>VLOOKUP(E1058,Flipkart!$A$1:$B$296,2,0)</f>
        <v>0.05</v>
      </c>
      <c r="H1058" s="36">
        <f t="shared" ca="1" si="16"/>
        <v>0.01</v>
      </c>
      <c r="I1058" s="36" t="str">
        <f>_xlfn.XLOOKUP(E1058,'Product List'!$B$2:$B$299,'Product List'!$A$2:$A$299)</f>
        <v>Xerox 211</v>
      </c>
      <c r="J1058" s="36"/>
      <c r="K1058" s="36"/>
      <c r="L1058" s="36"/>
      <c r="M1058" s="36"/>
      <c r="N1058" s="36"/>
    </row>
    <row r="1059" spans="1:14">
      <c r="A1059" s="8" t="s">
        <v>1036</v>
      </c>
      <c r="B1059" s="19">
        <v>42199</v>
      </c>
      <c r="C1059" s="8" t="s">
        <v>46</v>
      </c>
      <c r="D1059" s="8">
        <v>10010</v>
      </c>
      <c r="E1059" s="8" t="s">
        <v>445</v>
      </c>
      <c r="F1059" s="8" t="s">
        <v>43</v>
      </c>
      <c r="G1059" s="36">
        <f>VLOOKUP(E1059,Flipkart!$A$1:$B$296,2,0)</f>
        <v>0.01</v>
      </c>
      <c r="H1059" s="36">
        <f t="shared" ca="1" si="16"/>
        <v>0</v>
      </c>
      <c r="I1059" s="36" t="str">
        <f>_xlfn.XLOOKUP(E1059,'Product List'!$B$2:$B$299,'Product List'!$A$2:$A$299)</f>
        <v>Xerox 1882</v>
      </c>
      <c r="J1059" s="36"/>
      <c r="K1059" s="36"/>
      <c r="L1059" s="36"/>
      <c r="M1059" s="36"/>
      <c r="N1059" s="36"/>
    </row>
    <row r="1060" spans="1:14">
      <c r="A1060" s="8" t="s">
        <v>1037</v>
      </c>
      <c r="B1060" s="19">
        <v>42200</v>
      </c>
      <c r="C1060" s="8" t="s">
        <v>51</v>
      </c>
      <c r="D1060" s="8">
        <v>10012</v>
      </c>
      <c r="E1060" s="8" t="s">
        <v>729</v>
      </c>
      <c r="F1060" s="8" t="s">
        <v>40</v>
      </c>
      <c r="G1060" s="36">
        <f>VLOOKUP(E1060,Flipkart!$A$1:$B$296,2,0)</f>
        <v>0</v>
      </c>
      <c r="H1060" s="36">
        <f t="shared" ca="1" si="16"/>
        <v>0.05</v>
      </c>
      <c r="I1060" s="36" t="str">
        <f>_xlfn.XLOOKUP(E1060,'Product List'!$B$2:$B$299,'Product List'!$A$2:$A$299)</f>
        <v>Newell 324</v>
      </c>
      <c r="J1060" s="36"/>
      <c r="K1060" s="36"/>
      <c r="L1060" s="36"/>
      <c r="M1060" s="36"/>
      <c r="N1060" s="36"/>
    </row>
    <row r="1061" spans="1:14">
      <c r="A1061" s="8" t="s">
        <v>1037</v>
      </c>
      <c r="B1061" s="19">
        <v>42200</v>
      </c>
      <c r="C1061" s="8" t="s">
        <v>27</v>
      </c>
      <c r="D1061" s="8">
        <v>10007</v>
      </c>
      <c r="E1061" s="8" t="s">
        <v>451</v>
      </c>
      <c r="F1061" s="8" t="s">
        <v>40</v>
      </c>
      <c r="G1061" s="36">
        <f>VLOOKUP(E1061,Flipkart!$A$1:$B$296,2,0)</f>
        <v>0.01</v>
      </c>
      <c r="H1061" s="36">
        <f t="shared" ca="1" si="16"/>
        <v>0.02</v>
      </c>
      <c r="I1061" s="36" t="str">
        <f>_xlfn.XLOOKUP(E1061,'Product List'!$B$2:$B$299,'Product List'!$A$2:$A$299)</f>
        <v>Xerox 1903</v>
      </c>
      <c r="J1061" s="36"/>
      <c r="K1061" s="36"/>
      <c r="L1061" s="36"/>
      <c r="M1061" s="36"/>
      <c r="N1061" s="36"/>
    </row>
    <row r="1062" spans="1:14">
      <c r="A1062" s="8" t="s">
        <v>1037</v>
      </c>
      <c r="B1062" s="19">
        <v>42200</v>
      </c>
      <c r="C1062" s="8" t="s">
        <v>66</v>
      </c>
      <c r="D1062" s="8">
        <v>10005</v>
      </c>
      <c r="E1062" s="8" t="s">
        <v>223</v>
      </c>
      <c r="F1062" s="8" t="s">
        <v>50</v>
      </c>
      <c r="G1062" s="36">
        <f>VLOOKUP(E1062,Flipkart!$A$1:$B$296,2,0)</f>
        <v>0</v>
      </c>
      <c r="H1062" s="36">
        <f t="shared" ca="1" si="16"/>
        <v>0.02</v>
      </c>
      <c r="I1062" s="36" t="str">
        <f>_xlfn.XLOOKUP(E1062,'Product List'!$B$2:$B$299,'Product List'!$A$2:$A$299)</f>
        <v>Avery 513</v>
      </c>
      <c r="J1062" s="36"/>
      <c r="K1062" s="36"/>
      <c r="L1062" s="36"/>
      <c r="M1062" s="36"/>
      <c r="N1062" s="36"/>
    </row>
    <row r="1063" spans="1:14">
      <c r="A1063" s="8" t="s">
        <v>1038</v>
      </c>
      <c r="B1063" s="19">
        <v>42201</v>
      </c>
      <c r="C1063" s="8" t="s">
        <v>66</v>
      </c>
      <c r="D1063" s="8">
        <v>10012</v>
      </c>
      <c r="E1063" s="8" t="s">
        <v>114</v>
      </c>
      <c r="F1063" s="8" t="s">
        <v>50</v>
      </c>
      <c r="G1063" s="36">
        <f>VLOOKUP(E1063,Flipkart!$A$1:$B$296,2,0)</f>
        <v>0.03</v>
      </c>
      <c r="H1063" s="36">
        <f t="shared" ca="1" si="16"/>
        <v>0.04</v>
      </c>
      <c r="I1063" s="36" t="str">
        <f>_xlfn.XLOOKUP(E1063,'Product List'!$B$2:$B$299,'Product List'!$A$2:$A$299)</f>
        <v>Xerox 1910</v>
      </c>
      <c r="J1063" s="36"/>
      <c r="K1063" s="36"/>
      <c r="L1063" s="36"/>
      <c r="M1063" s="36"/>
      <c r="N1063" s="36"/>
    </row>
    <row r="1064" spans="1:14">
      <c r="A1064" s="8" t="s">
        <v>1039</v>
      </c>
      <c r="B1064" s="19">
        <v>42205</v>
      </c>
      <c r="C1064" s="8" t="s">
        <v>27</v>
      </c>
      <c r="D1064" s="8">
        <v>10015</v>
      </c>
      <c r="E1064" s="8" t="s">
        <v>776</v>
      </c>
      <c r="F1064" s="8" t="s">
        <v>43</v>
      </c>
      <c r="G1064" s="36">
        <f>VLOOKUP(E1064,Flipkart!$A$1:$B$296,2,0)</f>
        <v>0.03</v>
      </c>
      <c r="H1064" s="36">
        <f t="shared" ca="1" si="16"/>
        <v>0.01</v>
      </c>
      <c r="I1064" s="36" t="str">
        <f>_xlfn.XLOOKUP(E1064,'Product List'!$B$2:$B$299,'Product List'!$A$2:$A$299)</f>
        <v>Newell 347</v>
      </c>
      <c r="J1064" s="36"/>
      <c r="K1064" s="36"/>
      <c r="L1064" s="36"/>
      <c r="M1064" s="36"/>
      <c r="N1064" s="36"/>
    </row>
    <row r="1065" spans="1:14">
      <c r="A1065" s="8" t="s">
        <v>1040</v>
      </c>
      <c r="B1065" s="19">
        <v>42205</v>
      </c>
      <c r="C1065" s="8" t="s">
        <v>44</v>
      </c>
      <c r="D1065" s="8">
        <v>10010</v>
      </c>
      <c r="E1065" s="8" t="s">
        <v>329</v>
      </c>
      <c r="F1065" s="8" t="s">
        <v>32</v>
      </c>
      <c r="G1065" s="36">
        <f>VLOOKUP(E1065,Flipkart!$A$1:$B$296,2,0)</f>
        <v>0</v>
      </c>
      <c r="H1065" s="36">
        <f t="shared" ca="1" si="16"/>
        <v>0.05</v>
      </c>
      <c r="I1065" s="36" t="str">
        <f>_xlfn.XLOOKUP(E1065,'Product List'!$B$2:$B$299,'Product List'!$A$2:$A$299)</f>
        <v>Xerox 1991</v>
      </c>
      <c r="J1065" s="36"/>
      <c r="K1065" s="36"/>
      <c r="L1065" s="36"/>
      <c r="M1065" s="36"/>
      <c r="N1065" s="36"/>
    </row>
    <row r="1066" spans="1:14">
      <c r="A1066" s="8" t="s">
        <v>1039</v>
      </c>
      <c r="B1066" s="19">
        <v>42205</v>
      </c>
      <c r="C1066" s="8" t="s">
        <v>46</v>
      </c>
      <c r="D1066" s="8">
        <v>10008</v>
      </c>
      <c r="E1066" s="8" t="s">
        <v>408</v>
      </c>
      <c r="F1066" s="8" t="s">
        <v>43</v>
      </c>
      <c r="G1066" s="36">
        <f>VLOOKUP(E1066,Flipkart!$A$1:$B$296,2,0)</f>
        <v>0.02</v>
      </c>
      <c r="H1066" s="36">
        <f t="shared" ca="1" si="16"/>
        <v>0.05</v>
      </c>
      <c r="I1066" s="36" t="str">
        <f>_xlfn.XLOOKUP(E1066,'Product List'!$B$2:$B$299,'Product List'!$A$2:$A$299)</f>
        <v>Xerox 1955</v>
      </c>
      <c r="J1066" s="36"/>
      <c r="K1066" s="36"/>
      <c r="L1066" s="36"/>
      <c r="M1066" s="36"/>
      <c r="N1066" s="36"/>
    </row>
    <row r="1067" spans="1:14">
      <c r="A1067" s="8" t="s">
        <v>1041</v>
      </c>
      <c r="B1067" s="19">
        <v>42207</v>
      </c>
      <c r="C1067" s="8" t="s">
        <v>51</v>
      </c>
      <c r="D1067" s="8">
        <v>10002</v>
      </c>
      <c r="E1067" s="8" t="s">
        <v>178</v>
      </c>
      <c r="F1067" s="8" t="s">
        <v>40</v>
      </c>
      <c r="G1067" s="36">
        <f>VLOOKUP(E1067,Flipkart!$A$1:$B$296,2,0)</f>
        <v>0.03</v>
      </c>
      <c r="H1067" s="36">
        <f t="shared" ca="1" si="16"/>
        <v>0.05</v>
      </c>
      <c r="I1067" s="36" t="str">
        <f>_xlfn.XLOOKUP(E1067,'Product List'!$B$2:$B$299,'Product List'!$A$2:$A$299)</f>
        <v>Xerox 1912</v>
      </c>
      <c r="J1067" s="36"/>
      <c r="K1067" s="36"/>
      <c r="L1067" s="36"/>
      <c r="M1067" s="36"/>
      <c r="N1067" s="36"/>
    </row>
    <row r="1068" spans="1:14">
      <c r="A1068" s="8" t="s">
        <v>1041</v>
      </c>
      <c r="B1068" s="19">
        <v>42207</v>
      </c>
      <c r="C1068" s="8" t="s">
        <v>44</v>
      </c>
      <c r="D1068" s="8">
        <v>10006</v>
      </c>
      <c r="E1068" s="8" t="s">
        <v>195</v>
      </c>
      <c r="F1068" s="8" t="s">
        <v>32</v>
      </c>
      <c r="G1068" s="36">
        <f>VLOOKUP(E1068,Flipkart!$A$1:$B$296,2,0)</f>
        <v>0.02</v>
      </c>
      <c r="H1068" s="36">
        <f t="shared" ca="1" si="16"/>
        <v>0.02</v>
      </c>
      <c r="I1068" s="36" t="str">
        <f>_xlfn.XLOOKUP(E1068,'Product List'!$B$2:$B$299,'Product List'!$A$2:$A$299)</f>
        <v>Newell 335</v>
      </c>
      <c r="J1068" s="36"/>
      <c r="K1068" s="36"/>
      <c r="L1068" s="36"/>
      <c r="M1068" s="36"/>
      <c r="N1068" s="36"/>
    </row>
    <row r="1069" spans="1:14">
      <c r="A1069" s="8" t="s">
        <v>1042</v>
      </c>
      <c r="B1069" s="19">
        <v>42208</v>
      </c>
      <c r="C1069" s="8" t="s">
        <v>66</v>
      </c>
      <c r="D1069" s="8">
        <v>10013</v>
      </c>
      <c r="E1069" s="8" t="s">
        <v>810</v>
      </c>
      <c r="F1069" s="8" t="s">
        <v>35</v>
      </c>
      <c r="G1069" s="36">
        <f>VLOOKUP(E1069,Flipkart!$A$1:$B$296,2,0)</f>
        <v>0.04</v>
      </c>
      <c r="H1069" s="36">
        <f t="shared" ca="1" si="16"/>
        <v>0.04</v>
      </c>
      <c r="I1069" s="36" t="str">
        <f>_xlfn.XLOOKUP(E1069,'Product List'!$B$2:$B$299,'Product List'!$A$2:$A$299)</f>
        <v>Newell 345</v>
      </c>
      <c r="J1069" s="36"/>
      <c r="K1069" s="36"/>
      <c r="L1069" s="36"/>
      <c r="M1069" s="36"/>
      <c r="N1069" s="36"/>
    </row>
    <row r="1070" spans="1:14">
      <c r="A1070" s="8" t="s">
        <v>1043</v>
      </c>
      <c r="B1070" s="19">
        <v>42211</v>
      </c>
      <c r="C1070" s="8" t="s">
        <v>36</v>
      </c>
      <c r="D1070" s="8">
        <v>10010</v>
      </c>
      <c r="E1070" s="8" t="s">
        <v>545</v>
      </c>
      <c r="F1070" s="8" t="s">
        <v>50</v>
      </c>
      <c r="G1070" s="36">
        <f>VLOOKUP(E1070,Flipkart!$A$1:$B$296,2,0)</f>
        <v>0.05</v>
      </c>
      <c r="H1070" s="36">
        <f t="shared" ca="1" si="16"/>
        <v>0</v>
      </c>
      <c r="I1070" s="36" t="str">
        <f>_xlfn.XLOOKUP(E1070,'Product List'!$B$2:$B$299,'Product List'!$A$2:$A$299)</f>
        <v>Xerox 227</v>
      </c>
      <c r="J1070" s="36"/>
      <c r="K1070" s="36"/>
      <c r="L1070" s="36"/>
      <c r="M1070" s="36"/>
      <c r="N1070" s="36"/>
    </row>
    <row r="1071" spans="1:14">
      <c r="A1071" s="8" t="s">
        <v>1044</v>
      </c>
      <c r="B1071" s="19">
        <v>42212</v>
      </c>
      <c r="C1071" s="8" t="s">
        <v>44</v>
      </c>
      <c r="D1071" s="8">
        <v>10009</v>
      </c>
      <c r="E1071" s="8" t="s">
        <v>180</v>
      </c>
      <c r="F1071" s="8" t="s">
        <v>35</v>
      </c>
      <c r="G1071" s="36">
        <f>VLOOKUP(E1071,Flipkart!$A$1:$B$296,2,0)</f>
        <v>0.04</v>
      </c>
      <c r="H1071" s="36">
        <f t="shared" ca="1" si="16"/>
        <v>0.04</v>
      </c>
      <c r="I1071" s="36" t="str">
        <f>_xlfn.XLOOKUP(E1071,'Product List'!$B$2:$B$299,'Product List'!$A$2:$A$299)</f>
        <v>Avery 497</v>
      </c>
      <c r="J1071" s="36"/>
      <c r="K1071" s="36"/>
      <c r="L1071" s="36"/>
      <c r="M1071" s="36"/>
      <c r="N1071" s="36"/>
    </row>
    <row r="1072" spans="1:14">
      <c r="A1072" s="8" t="s">
        <v>1045</v>
      </c>
      <c r="B1072" s="19">
        <v>42213</v>
      </c>
      <c r="C1072" s="8" t="s">
        <v>51</v>
      </c>
      <c r="D1072" s="8">
        <v>10011</v>
      </c>
      <c r="E1072" s="8" t="s">
        <v>67</v>
      </c>
      <c r="F1072" s="8" t="s">
        <v>43</v>
      </c>
      <c r="G1072" s="36">
        <f>VLOOKUP(E1072,Flipkart!$A$1:$B$296,2,0)</f>
        <v>0</v>
      </c>
      <c r="H1072" s="36">
        <f t="shared" ca="1" si="16"/>
        <v>0.03</v>
      </c>
      <c r="I1072" s="36" t="str">
        <f>_xlfn.XLOOKUP(E1072,'Product List'!$B$2:$B$299,'Product List'!$A$2:$A$299)</f>
        <v>Xerox 1927</v>
      </c>
      <c r="J1072" s="36"/>
      <c r="K1072" s="36"/>
      <c r="L1072" s="36"/>
      <c r="M1072" s="36"/>
      <c r="N1072" s="36"/>
    </row>
    <row r="1073" spans="1:14">
      <c r="A1073" s="8" t="s">
        <v>1045</v>
      </c>
      <c r="B1073" s="19">
        <v>42213</v>
      </c>
      <c r="C1073" s="8" t="s">
        <v>33</v>
      </c>
      <c r="D1073" s="8">
        <v>10008</v>
      </c>
      <c r="E1073" s="8" t="s">
        <v>93</v>
      </c>
      <c r="F1073" s="8" t="s">
        <v>40</v>
      </c>
      <c r="G1073" s="36">
        <f>VLOOKUP(E1073,Flipkart!$A$1:$B$296,2,0)</f>
        <v>0.04</v>
      </c>
      <c r="H1073" s="36">
        <f t="shared" ca="1" si="16"/>
        <v>0.03</v>
      </c>
      <c r="I1073" s="36" t="str">
        <f>_xlfn.XLOOKUP(E1073,'Product List'!$B$2:$B$299,'Product List'!$A$2:$A$299)</f>
        <v>Xerox 1943</v>
      </c>
      <c r="J1073" s="36"/>
      <c r="K1073" s="36"/>
      <c r="L1073" s="36"/>
      <c r="M1073" s="36"/>
      <c r="N1073" s="36"/>
    </row>
    <row r="1074" spans="1:14">
      <c r="A1074" s="8" t="s">
        <v>1046</v>
      </c>
      <c r="B1074" s="19">
        <v>42214</v>
      </c>
      <c r="C1074" s="8" t="s">
        <v>66</v>
      </c>
      <c r="D1074" s="8">
        <v>10001</v>
      </c>
      <c r="E1074" s="8" t="s">
        <v>428</v>
      </c>
      <c r="F1074" s="8" t="s">
        <v>43</v>
      </c>
      <c r="G1074" s="36">
        <f>VLOOKUP(E1074,Flipkart!$A$1:$B$296,2,0)</f>
        <v>0</v>
      </c>
      <c r="H1074" s="36">
        <f t="shared" ca="1" si="16"/>
        <v>0.03</v>
      </c>
      <c r="I1074" s="36" t="str">
        <f>_xlfn.XLOOKUP(E1074,'Product List'!$B$2:$B$299,'Product List'!$A$2:$A$299)</f>
        <v>Avery 516</v>
      </c>
      <c r="J1074" s="36"/>
      <c r="K1074" s="36"/>
      <c r="L1074" s="36"/>
      <c r="M1074" s="36"/>
      <c r="N1074" s="36"/>
    </row>
    <row r="1075" spans="1:14">
      <c r="A1075" s="8" t="s">
        <v>1047</v>
      </c>
      <c r="B1075" s="19">
        <v>42214</v>
      </c>
      <c r="C1075" s="8" t="s">
        <v>33</v>
      </c>
      <c r="D1075" s="8">
        <v>10006</v>
      </c>
      <c r="E1075" s="8" t="s">
        <v>510</v>
      </c>
      <c r="F1075" s="8" t="s">
        <v>32</v>
      </c>
      <c r="G1075" s="36">
        <f>VLOOKUP(E1075,Flipkart!$A$1:$B$296,2,0)</f>
        <v>0.04</v>
      </c>
      <c r="H1075" s="36">
        <f t="shared" ca="1" si="16"/>
        <v>0.04</v>
      </c>
      <c r="I1075" s="36" t="str">
        <f>_xlfn.XLOOKUP(E1075,'Product List'!$B$2:$B$299,'Product List'!$A$2:$A$299)</f>
        <v>Avery 507</v>
      </c>
      <c r="J1075" s="36"/>
      <c r="K1075" s="36"/>
      <c r="L1075" s="36"/>
      <c r="M1075" s="36"/>
      <c r="N1075" s="36"/>
    </row>
    <row r="1076" spans="1:14">
      <c r="A1076" s="8" t="s">
        <v>1046</v>
      </c>
      <c r="B1076" s="19">
        <v>42214</v>
      </c>
      <c r="C1076" s="8" t="s">
        <v>27</v>
      </c>
      <c r="D1076" s="8">
        <v>10005</v>
      </c>
      <c r="E1076" s="8" t="s">
        <v>1048</v>
      </c>
      <c r="F1076" s="8" t="s">
        <v>32</v>
      </c>
      <c r="G1076" s="36">
        <f>VLOOKUP(E1076,Flipkart!$A$1:$B$296,2,0)</f>
        <v>0</v>
      </c>
      <c r="H1076" s="36">
        <f t="shared" ca="1" si="16"/>
        <v>0.03</v>
      </c>
      <c r="I1076" s="36" t="str">
        <f>_xlfn.XLOOKUP(E1076,'Product List'!$B$2:$B$299,'Product List'!$A$2:$A$299)</f>
        <v>LG G3</v>
      </c>
      <c r="J1076" s="36"/>
      <c r="K1076" s="36"/>
      <c r="L1076" s="36"/>
      <c r="M1076" s="36"/>
      <c r="N1076" s="36"/>
    </row>
    <row r="1077" spans="1:14">
      <c r="A1077" s="8" t="s">
        <v>1049</v>
      </c>
      <c r="B1077" s="19">
        <v>42215</v>
      </c>
      <c r="C1077" s="8" t="s">
        <v>44</v>
      </c>
      <c r="D1077" s="8">
        <v>10009</v>
      </c>
      <c r="E1077" s="8" t="s">
        <v>213</v>
      </c>
      <c r="F1077" s="8" t="s">
        <v>35</v>
      </c>
      <c r="G1077" s="36">
        <f>VLOOKUP(E1077,Flipkart!$A$1:$B$296,2,0)</f>
        <v>0.04</v>
      </c>
      <c r="H1077" s="36">
        <f t="shared" ca="1" si="16"/>
        <v>0.04</v>
      </c>
      <c r="I1077" s="36" t="str">
        <f>_xlfn.XLOOKUP(E1077,'Product List'!$B$2:$B$299,'Product List'!$A$2:$A$299)</f>
        <v>Cisco SPA301</v>
      </c>
      <c r="J1077" s="36"/>
      <c r="K1077" s="36"/>
      <c r="L1077" s="36"/>
      <c r="M1077" s="36"/>
      <c r="N1077" s="36"/>
    </row>
    <row r="1078" spans="1:14">
      <c r="A1078" s="8" t="s">
        <v>1050</v>
      </c>
      <c r="B1078" s="19">
        <v>42215</v>
      </c>
      <c r="C1078" s="8" t="s">
        <v>66</v>
      </c>
      <c r="D1078" s="8">
        <v>10009</v>
      </c>
      <c r="E1078" s="8" t="s">
        <v>333</v>
      </c>
      <c r="F1078" s="8" t="s">
        <v>40</v>
      </c>
      <c r="G1078" s="36">
        <f>VLOOKUP(E1078,Flipkart!$A$1:$B$296,2,0)</f>
        <v>0.05</v>
      </c>
      <c r="H1078" s="36">
        <f t="shared" ca="1" si="16"/>
        <v>0.03</v>
      </c>
      <c r="I1078" s="36" t="str">
        <f>_xlfn.XLOOKUP(E1078,'Product List'!$B$2:$B$299,'Product List'!$A$2:$A$299)</f>
        <v>Xerox 1881</v>
      </c>
      <c r="J1078" s="36"/>
      <c r="K1078" s="36"/>
      <c r="L1078" s="36"/>
      <c r="M1078" s="36"/>
      <c r="N1078" s="36"/>
    </row>
    <row r="1079" spans="1:14">
      <c r="A1079" s="8" t="s">
        <v>1050</v>
      </c>
      <c r="B1079" s="19">
        <v>42215</v>
      </c>
      <c r="C1079" s="8" t="s">
        <v>44</v>
      </c>
      <c r="D1079" s="8">
        <v>10005</v>
      </c>
      <c r="E1079" s="8" t="s">
        <v>42</v>
      </c>
      <c r="F1079" s="8" t="s">
        <v>50</v>
      </c>
      <c r="G1079" s="36">
        <f>VLOOKUP(E1079,Flipkart!$A$1:$B$296,2,0)</f>
        <v>0.04</v>
      </c>
      <c r="H1079" s="36">
        <f t="shared" ca="1" si="16"/>
        <v>0.05</v>
      </c>
      <c r="I1079" s="36" t="str">
        <f>_xlfn.XLOOKUP(E1079,'Product List'!$B$2:$B$299,'Product List'!$A$2:$A$299)</f>
        <v>Staple magnet</v>
      </c>
      <c r="J1079" s="36"/>
      <c r="K1079" s="36"/>
      <c r="L1079" s="36"/>
      <c r="M1079" s="36"/>
      <c r="N1079" s="36"/>
    </row>
    <row r="1080" spans="1:14">
      <c r="A1080" s="8" t="s">
        <v>1051</v>
      </c>
      <c r="B1080" s="19">
        <v>42218</v>
      </c>
      <c r="C1080" s="8" t="s">
        <v>27</v>
      </c>
      <c r="D1080" s="8">
        <v>10013</v>
      </c>
      <c r="E1080" s="8" t="s">
        <v>145</v>
      </c>
      <c r="F1080" s="8" t="s">
        <v>43</v>
      </c>
      <c r="G1080" s="36">
        <f>VLOOKUP(E1080,Flipkart!$A$1:$B$296,2,0)</f>
        <v>0</v>
      </c>
      <c r="H1080" s="36">
        <f t="shared" ca="1" si="16"/>
        <v>0.04</v>
      </c>
      <c r="I1080" s="36" t="str">
        <f>_xlfn.XLOOKUP(E1080,'Product List'!$B$2:$B$299,'Product List'!$A$2:$A$299)</f>
        <v>Xerox 1913</v>
      </c>
      <c r="J1080" s="36"/>
      <c r="K1080" s="36"/>
      <c r="L1080" s="36"/>
      <c r="M1080" s="36"/>
      <c r="N1080" s="36"/>
    </row>
    <row r="1081" spans="1:14">
      <c r="A1081" s="8" t="s">
        <v>1052</v>
      </c>
      <c r="B1081" s="19">
        <v>42218</v>
      </c>
      <c r="C1081" s="8" t="s">
        <v>33</v>
      </c>
      <c r="D1081" s="8">
        <v>10015</v>
      </c>
      <c r="E1081" s="8" t="s">
        <v>174</v>
      </c>
      <c r="F1081" s="8" t="s">
        <v>43</v>
      </c>
      <c r="G1081" s="36">
        <f>VLOOKUP(E1081,Flipkart!$A$1:$B$296,2,0)</f>
        <v>0</v>
      </c>
      <c r="H1081" s="36">
        <f t="shared" ca="1" si="16"/>
        <v>0.02</v>
      </c>
      <c r="I1081" s="36" t="str">
        <f>_xlfn.XLOOKUP(E1081,'Product List'!$B$2:$B$299,'Product List'!$A$2:$A$299)</f>
        <v>Staples</v>
      </c>
      <c r="J1081" s="36"/>
      <c r="K1081" s="36"/>
      <c r="L1081" s="36"/>
      <c r="M1081" s="36"/>
      <c r="N1081" s="36"/>
    </row>
    <row r="1082" spans="1:14">
      <c r="A1082" s="8" t="s">
        <v>1051</v>
      </c>
      <c r="B1082" s="19">
        <v>42218</v>
      </c>
      <c r="C1082" s="8" t="s">
        <v>36</v>
      </c>
      <c r="D1082" s="8">
        <v>10011</v>
      </c>
      <c r="E1082" s="8" t="s">
        <v>472</v>
      </c>
      <c r="F1082" s="8" t="s">
        <v>29</v>
      </c>
      <c r="G1082" s="36">
        <f>VLOOKUP(E1082,Flipkart!$A$1:$B$296,2,0)</f>
        <v>0.04</v>
      </c>
      <c r="H1082" s="36">
        <f t="shared" ca="1" si="16"/>
        <v>0.02</v>
      </c>
      <c r="I1082" s="36" t="str">
        <f>_xlfn.XLOOKUP(E1082,'Product List'!$B$2:$B$299,'Product List'!$A$2:$A$299)</f>
        <v>Avery 488</v>
      </c>
      <c r="J1082" s="36"/>
      <c r="K1082" s="36"/>
      <c r="L1082" s="36"/>
      <c r="M1082" s="36"/>
      <c r="N1082" s="36"/>
    </row>
    <row r="1083" spans="1:14">
      <c r="A1083" s="8" t="s">
        <v>1051</v>
      </c>
      <c r="B1083" s="19">
        <v>42218</v>
      </c>
      <c r="C1083" s="8" t="s">
        <v>51</v>
      </c>
      <c r="D1083" s="8">
        <v>10004</v>
      </c>
      <c r="E1083" s="8" t="s">
        <v>670</v>
      </c>
      <c r="F1083" s="8" t="s">
        <v>29</v>
      </c>
      <c r="G1083" s="36">
        <f>VLOOKUP(E1083,Flipkart!$A$1:$B$296,2,0)</f>
        <v>0.04</v>
      </c>
      <c r="H1083" s="36">
        <f t="shared" ca="1" si="16"/>
        <v>0.04</v>
      </c>
      <c r="I1083" s="36" t="str">
        <f>_xlfn.XLOOKUP(E1083,'Product List'!$B$2:$B$299,'Product List'!$A$2:$A$299)</f>
        <v>Avery 506</v>
      </c>
      <c r="J1083" s="36"/>
      <c r="K1083" s="36"/>
      <c r="L1083" s="36"/>
      <c r="M1083" s="36"/>
      <c r="N1083" s="36"/>
    </row>
    <row r="1084" spans="1:14">
      <c r="A1084" s="8" t="s">
        <v>1053</v>
      </c>
      <c r="B1084" s="19">
        <v>42219</v>
      </c>
      <c r="C1084" s="8" t="s">
        <v>66</v>
      </c>
      <c r="D1084" s="8">
        <v>10012</v>
      </c>
      <c r="E1084" s="8" t="s">
        <v>584</v>
      </c>
      <c r="F1084" s="8" t="s">
        <v>35</v>
      </c>
      <c r="G1084" s="36">
        <f>VLOOKUP(E1084,Flipkart!$A$1:$B$296,2,0)</f>
        <v>0.02</v>
      </c>
      <c r="H1084" s="36">
        <f t="shared" ca="1" si="16"/>
        <v>0.02</v>
      </c>
      <c r="I1084" s="36" t="str">
        <f>_xlfn.XLOOKUP(E1084,'Product List'!$B$2:$B$299,'Product List'!$A$2:$A$299)</f>
        <v>Xerox 1894</v>
      </c>
      <c r="J1084" s="36"/>
      <c r="K1084" s="36"/>
      <c r="L1084" s="36"/>
      <c r="M1084" s="36"/>
      <c r="N1084" s="36"/>
    </row>
    <row r="1085" spans="1:14">
      <c r="A1085" s="8" t="s">
        <v>1053</v>
      </c>
      <c r="B1085" s="19">
        <v>42219</v>
      </c>
      <c r="C1085" s="8" t="s">
        <v>44</v>
      </c>
      <c r="D1085" s="8">
        <v>10003</v>
      </c>
      <c r="E1085" s="8" t="s">
        <v>395</v>
      </c>
      <c r="F1085" s="8" t="s">
        <v>50</v>
      </c>
      <c r="G1085" s="36">
        <f>VLOOKUP(E1085,Flipkart!$A$1:$B$296,2,0)</f>
        <v>0.03</v>
      </c>
      <c r="H1085" s="36">
        <f t="shared" ca="1" si="16"/>
        <v>0.05</v>
      </c>
      <c r="I1085" s="36" t="str">
        <f>_xlfn.XLOOKUP(E1085,'Product List'!$B$2:$B$299,'Product List'!$A$2:$A$299)</f>
        <v>Xerox 1883</v>
      </c>
      <c r="J1085" s="36"/>
      <c r="K1085" s="36"/>
      <c r="L1085" s="36"/>
      <c r="M1085" s="36"/>
      <c r="N1085" s="36"/>
    </row>
    <row r="1086" spans="1:14">
      <c r="A1086" s="8" t="s">
        <v>1054</v>
      </c>
      <c r="B1086" s="19">
        <v>42221</v>
      </c>
      <c r="C1086" s="8" t="s">
        <v>46</v>
      </c>
      <c r="D1086" s="8">
        <v>10012</v>
      </c>
      <c r="E1086" s="8" t="s">
        <v>247</v>
      </c>
      <c r="F1086" s="8" t="s">
        <v>40</v>
      </c>
      <c r="G1086" s="36">
        <f>VLOOKUP(E1086,Flipkart!$A$1:$B$296,2,0)</f>
        <v>0.01</v>
      </c>
      <c r="H1086" s="36">
        <f t="shared" ca="1" si="16"/>
        <v>0</v>
      </c>
      <c r="I1086" s="36" t="str">
        <f>_xlfn.XLOOKUP(E1086,'Product List'!$B$2:$B$299,'Product List'!$A$2:$A$299)</f>
        <v>Newell 329</v>
      </c>
      <c r="J1086" s="36"/>
      <c r="K1086" s="36"/>
      <c r="L1086" s="36"/>
      <c r="M1086" s="36"/>
      <c r="N1086" s="36"/>
    </row>
    <row r="1087" spans="1:14">
      <c r="A1087" s="8" t="s">
        <v>1055</v>
      </c>
      <c r="B1087" s="19">
        <v>42221</v>
      </c>
      <c r="C1087" s="8" t="s">
        <v>27</v>
      </c>
      <c r="D1087" s="8">
        <v>10006</v>
      </c>
      <c r="E1087" s="8" t="s">
        <v>672</v>
      </c>
      <c r="F1087" s="8" t="s">
        <v>32</v>
      </c>
      <c r="G1087" s="36">
        <f>VLOOKUP(E1087,Flipkart!$A$1:$B$296,2,0)</f>
        <v>0</v>
      </c>
      <c r="H1087" s="36">
        <f t="shared" ca="1" si="16"/>
        <v>0.02</v>
      </c>
      <c r="I1087" s="36" t="str">
        <f>_xlfn.XLOOKUP(E1087,'Product List'!$B$2:$B$299,'Product List'!$A$2:$A$299)</f>
        <v>Newell 319</v>
      </c>
      <c r="J1087" s="36"/>
      <c r="K1087" s="36"/>
      <c r="L1087" s="36"/>
      <c r="M1087" s="36"/>
      <c r="N1087" s="36"/>
    </row>
    <row r="1088" spans="1:14">
      <c r="A1088" s="8" t="s">
        <v>1056</v>
      </c>
      <c r="B1088" s="19">
        <v>42222</v>
      </c>
      <c r="C1088" s="8" t="s">
        <v>44</v>
      </c>
      <c r="D1088" s="8">
        <v>10012</v>
      </c>
      <c r="E1088" s="8" t="s">
        <v>358</v>
      </c>
      <c r="F1088" s="8" t="s">
        <v>50</v>
      </c>
      <c r="G1088" s="36">
        <f>VLOOKUP(E1088,Flipkart!$A$1:$B$296,2,0)</f>
        <v>0</v>
      </c>
      <c r="H1088" s="36">
        <f t="shared" ca="1" si="16"/>
        <v>0.02</v>
      </c>
      <c r="I1088" s="36" t="str">
        <f>_xlfn.XLOOKUP(E1088,'Product List'!$B$2:$B$299,'Product List'!$A$2:$A$299)</f>
        <v>Xerox 1962</v>
      </c>
      <c r="J1088" s="36"/>
      <c r="K1088" s="36"/>
      <c r="L1088" s="36"/>
      <c r="M1088" s="36"/>
      <c r="N1088" s="36"/>
    </row>
    <row r="1089" spans="1:14">
      <c r="A1089" s="8" t="s">
        <v>1057</v>
      </c>
      <c r="B1089" s="19">
        <v>42223</v>
      </c>
      <c r="C1089" s="8" t="s">
        <v>66</v>
      </c>
      <c r="D1089" s="8">
        <v>10008</v>
      </c>
      <c r="E1089" s="8" t="s">
        <v>1013</v>
      </c>
      <c r="F1089" s="8" t="s">
        <v>43</v>
      </c>
      <c r="G1089" s="36">
        <f>VLOOKUP(E1089,Flipkart!$A$1:$B$296,2,0)</f>
        <v>0.05</v>
      </c>
      <c r="H1089" s="36">
        <f t="shared" ca="1" si="16"/>
        <v>0.04</v>
      </c>
      <c r="I1089" s="36" t="str">
        <f>_xlfn.XLOOKUP(E1089,'Product List'!$B$2:$B$299,'Product List'!$A$2:$A$299)</f>
        <v>Avery 480</v>
      </c>
      <c r="J1089" s="36"/>
      <c r="K1089" s="36"/>
      <c r="L1089" s="36"/>
      <c r="M1089" s="36"/>
      <c r="N1089" s="36"/>
    </row>
    <row r="1090" spans="1:14">
      <c r="A1090" s="8" t="s">
        <v>1058</v>
      </c>
      <c r="B1090" s="19">
        <v>42223</v>
      </c>
      <c r="C1090" s="8" t="s">
        <v>27</v>
      </c>
      <c r="D1090" s="8">
        <v>10010</v>
      </c>
      <c r="E1090" s="8" t="s">
        <v>445</v>
      </c>
      <c r="F1090" s="8" t="s">
        <v>50</v>
      </c>
      <c r="G1090" s="36">
        <f>VLOOKUP(E1090,Flipkart!$A$1:$B$296,2,0)</f>
        <v>0.01</v>
      </c>
      <c r="H1090" s="36">
        <f t="shared" ca="1" si="16"/>
        <v>0.01</v>
      </c>
      <c r="I1090" s="36" t="str">
        <f>_xlfn.XLOOKUP(E1090,'Product List'!$B$2:$B$299,'Product List'!$A$2:$A$299)</f>
        <v>Xerox 1882</v>
      </c>
      <c r="J1090" s="36"/>
      <c r="K1090" s="36"/>
      <c r="L1090" s="36"/>
      <c r="M1090" s="36"/>
      <c r="N1090" s="36"/>
    </row>
    <row r="1091" spans="1:14">
      <c r="A1091" s="8" t="s">
        <v>1059</v>
      </c>
      <c r="B1091" s="19">
        <v>42224</v>
      </c>
      <c r="C1091" s="8" t="s">
        <v>44</v>
      </c>
      <c r="D1091" s="8">
        <v>10002</v>
      </c>
      <c r="E1091" s="8" t="s">
        <v>86</v>
      </c>
      <c r="F1091" s="8" t="s">
        <v>40</v>
      </c>
      <c r="G1091" s="36">
        <f>VLOOKUP(E1091,Flipkart!$A$1:$B$296,2,0)</f>
        <v>0</v>
      </c>
      <c r="H1091" s="36">
        <f t="shared" ca="1" si="16"/>
        <v>0.01</v>
      </c>
      <c r="I1091" s="36" t="str">
        <f>_xlfn.XLOOKUP(E1091,'Product List'!$B$2:$B$299,'Product List'!$A$2:$A$299)</f>
        <v>Newell 316</v>
      </c>
      <c r="J1091" s="36"/>
      <c r="K1091" s="36"/>
      <c r="L1091" s="36"/>
      <c r="M1091" s="36"/>
      <c r="N1091" s="36"/>
    </row>
    <row r="1092" spans="1:14">
      <c r="A1092" s="8" t="s">
        <v>1059</v>
      </c>
      <c r="B1092" s="19">
        <v>42224</v>
      </c>
      <c r="C1092" s="8" t="s">
        <v>44</v>
      </c>
      <c r="D1092" s="8">
        <v>10001</v>
      </c>
      <c r="E1092" s="8" t="s">
        <v>496</v>
      </c>
      <c r="F1092" s="8" t="s">
        <v>29</v>
      </c>
      <c r="G1092" s="36">
        <f>VLOOKUP(E1092,Flipkart!$A$1:$B$296,2,0)</f>
        <v>0.05</v>
      </c>
      <c r="H1092" s="36">
        <f t="shared" ref="H1092:H1155" ca="1" si="17">VLOOKUP(E1092,INDIRECT(F1092&amp;"!$A$1:$B$296"),2,0)</f>
        <v>0</v>
      </c>
      <c r="I1092" s="36" t="str">
        <f>_xlfn.XLOOKUP(E1092,'Product List'!$B$2:$B$299,'Product List'!$A$2:$A$299)</f>
        <v>Avery 514</v>
      </c>
      <c r="J1092" s="36"/>
      <c r="K1092" s="36"/>
      <c r="L1092" s="36"/>
      <c r="M1092" s="36"/>
      <c r="N1092" s="36"/>
    </row>
    <row r="1093" spans="1:14">
      <c r="A1093" s="8" t="s">
        <v>1059</v>
      </c>
      <c r="B1093" s="19">
        <v>42224</v>
      </c>
      <c r="C1093" s="8" t="s">
        <v>27</v>
      </c>
      <c r="D1093" s="8">
        <v>10013</v>
      </c>
      <c r="E1093" s="8" t="s">
        <v>213</v>
      </c>
      <c r="F1093" s="8" t="s">
        <v>40</v>
      </c>
      <c r="G1093" s="36">
        <f>VLOOKUP(E1093,Flipkart!$A$1:$B$296,2,0)</f>
        <v>0.04</v>
      </c>
      <c r="H1093" s="36">
        <f t="shared" ca="1" si="17"/>
        <v>0.01</v>
      </c>
      <c r="I1093" s="36" t="str">
        <f>_xlfn.XLOOKUP(E1093,'Product List'!$B$2:$B$299,'Product List'!$A$2:$A$299)</f>
        <v>Cisco SPA301</v>
      </c>
      <c r="J1093" s="36"/>
      <c r="K1093" s="36"/>
      <c r="L1093" s="36"/>
      <c r="M1093" s="36"/>
      <c r="N1093" s="36"/>
    </row>
    <row r="1094" spans="1:14">
      <c r="A1094" s="8" t="s">
        <v>1060</v>
      </c>
      <c r="B1094" s="19">
        <v>42228</v>
      </c>
      <c r="C1094" s="8" t="s">
        <v>33</v>
      </c>
      <c r="D1094" s="8">
        <v>10010</v>
      </c>
      <c r="E1094" s="8" t="s">
        <v>932</v>
      </c>
      <c r="F1094" s="8" t="s">
        <v>40</v>
      </c>
      <c r="G1094" s="36">
        <f>VLOOKUP(E1094,Flipkart!$A$1:$B$296,2,0)</f>
        <v>0.04</v>
      </c>
      <c r="H1094" s="36">
        <f t="shared" ca="1" si="17"/>
        <v>0.05</v>
      </c>
      <c r="I1094" s="36" t="str">
        <f>_xlfn.XLOOKUP(E1094,'Product List'!$B$2:$B$299,'Product List'!$A$2:$A$299)</f>
        <v>Xerox 1965</v>
      </c>
      <c r="J1094" s="36"/>
      <c r="K1094" s="36"/>
      <c r="L1094" s="36"/>
      <c r="M1094" s="36"/>
      <c r="N1094" s="36"/>
    </row>
    <row r="1095" spans="1:14">
      <c r="A1095" s="8" t="s">
        <v>1061</v>
      </c>
      <c r="B1095" s="19">
        <v>42230</v>
      </c>
      <c r="C1095" s="8" t="s">
        <v>36</v>
      </c>
      <c r="D1095" s="8">
        <v>10009</v>
      </c>
      <c r="E1095" s="8" t="s">
        <v>250</v>
      </c>
      <c r="F1095" s="8" t="s">
        <v>50</v>
      </c>
      <c r="G1095" s="36">
        <f>VLOOKUP(E1095,Flipkart!$A$1:$B$296,2,0)</f>
        <v>0.03</v>
      </c>
      <c r="H1095" s="36">
        <f t="shared" ca="1" si="17"/>
        <v>0</v>
      </c>
      <c r="I1095" s="36" t="str">
        <f>_xlfn.XLOOKUP(E1095,'Product List'!$B$2:$B$299,'Product List'!$A$2:$A$299)</f>
        <v>Avery 473</v>
      </c>
      <c r="J1095" s="36"/>
      <c r="K1095" s="36"/>
      <c r="L1095" s="36"/>
      <c r="M1095" s="36"/>
      <c r="N1095" s="36"/>
    </row>
    <row r="1096" spans="1:14">
      <c r="A1096" s="8" t="s">
        <v>1062</v>
      </c>
      <c r="B1096" s="19">
        <v>42231</v>
      </c>
      <c r="C1096" s="8" t="s">
        <v>51</v>
      </c>
      <c r="D1096" s="8">
        <v>10015</v>
      </c>
      <c r="E1096" s="8" t="s">
        <v>358</v>
      </c>
      <c r="F1096" s="8" t="s">
        <v>35</v>
      </c>
      <c r="G1096" s="36">
        <f>VLOOKUP(E1096,Flipkart!$A$1:$B$296,2,0)</f>
        <v>0</v>
      </c>
      <c r="H1096" s="36">
        <f t="shared" ca="1" si="17"/>
        <v>0</v>
      </c>
      <c r="I1096" s="36" t="str">
        <f>_xlfn.XLOOKUP(E1096,'Product List'!$B$2:$B$299,'Product List'!$A$2:$A$299)</f>
        <v>Xerox 1962</v>
      </c>
      <c r="J1096" s="36"/>
      <c r="K1096" s="36"/>
      <c r="L1096" s="36"/>
      <c r="M1096" s="36"/>
      <c r="N1096" s="36"/>
    </row>
    <row r="1097" spans="1:14">
      <c r="A1097" s="8" t="s">
        <v>1063</v>
      </c>
      <c r="B1097" s="19">
        <v>42231</v>
      </c>
      <c r="C1097" s="8" t="s">
        <v>27</v>
      </c>
      <c r="D1097" s="8">
        <v>10008</v>
      </c>
      <c r="E1097" s="8" t="s">
        <v>464</v>
      </c>
      <c r="F1097" s="8" t="s">
        <v>32</v>
      </c>
      <c r="G1097" s="36">
        <f>VLOOKUP(E1097,Flipkart!$A$1:$B$296,2,0)</f>
        <v>0.03</v>
      </c>
      <c r="H1097" s="36">
        <f t="shared" ca="1" si="17"/>
        <v>0</v>
      </c>
      <c r="I1097" s="36" t="str">
        <f>_xlfn.XLOOKUP(E1097,'Product List'!$B$2:$B$299,'Product List'!$A$2:$A$299)</f>
        <v>Xerox 22</v>
      </c>
      <c r="J1097" s="36"/>
      <c r="K1097" s="36"/>
      <c r="L1097" s="36"/>
      <c r="M1097" s="36"/>
      <c r="N1097" s="36"/>
    </row>
    <row r="1098" spans="1:14">
      <c r="A1098" s="8" t="s">
        <v>1064</v>
      </c>
      <c r="B1098" s="19">
        <v>42232</v>
      </c>
      <c r="C1098" s="8" t="s">
        <v>46</v>
      </c>
      <c r="D1098" s="8">
        <v>10008</v>
      </c>
      <c r="E1098" s="8" t="s">
        <v>659</v>
      </c>
      <c r="F1098" s="8" t="s">
        <v>32</v>
      </c>
      <c r="G1098" s="36">
        <f>VLOOKUP(E1098,Flipkart!$A$1:$B$296,2,0)</f>
        <v>0.02</v>
      </c>
      <c r="H1098" s="36">
        <f t="shared" ca="1" si="17"/>
        <v>0</v>
      </c>
      <c r="I1098" s="36" t="str">
        <f>_xlfn.XLOOKUP(E1098,'Product List'!$B$2:$B$299,'Product List'!$A$2:$A$299)</f>
        <v>Newell 312</v>
      </c>
      <c r="J1098" s="36"/>
      <c r="K1098" s="36"/>
      <c r="L1098" s="36"/>
      <c r="M1098" s="36"/>
      <c r="N1098" s="36"/>
    </row>
    <row r="1099" spans="1:14">
      <c r="A1099" s="8" t="s">
        <v>1064</v>
      </c>
      <c r="B1099" s="19">
        <v>42232</v>
      </c>
      <c r="C1099" s="8" t="s">
        <v>27</v>
      </c>
      <c r="D1099" s="8">
        <v>10005</v>
      </c>
      <c r="E1099" s="8" t="s">
        <v>174</v>
      </c>
      <c r="F1099" s="8" t="s">
        <v>40</v>
      </c>
      <c r="G1099" s="36">
        <f>VLOOKUP(E1099,Flipkart!$A$1:$B$296,2,0)</f>
        <v>0</v>
      </c>
      <c r="H1099" s="36">
        <f t="shared" ca="1" si="17"/>
        <v>0.05</v>
      </c>
      <c r="I1099" s="36" t="str">
        <f>_xlfn.XLOOKUP(E1099,'Product List'!$B$2:$B$299,'Product List'!$A$2:$A$299)</f>
        <v>Staples</v>
      </c>
      <c r="J1099" s="36"/>
      <c r="K1099" s="36"/>
      <c r="L1099" s="36"/>
      <c r="M1099" s="36"/>
      <c r="N1099" s="36"/>
    </row>
    <row r="1100" spans="1:14">
      <c r="A1100" s="8" t="s">
        <v>1065</v>
      </c>
      <c r="B1100" s="19">
        <v>42233</v>
      </c>
      <c r="C1100" s="8" t="s">
        <v>44</v>
      </c>
      <c r="D1100" s="8">
        <v>10012</v>
      </c>
      <c r="E1100" s="8" t="s">
        <v>470</v>
      </c>
      <c r="F1100" s="8" t="s">
        <v>35</v>
      </c>
      <c r="G1100" s="36">
        <f>VLOOKUP(E1100,Flipkart!$A$1:$B$296,2,0)</f>
        <v>0.04</v>
      </c>
      <c r="H1100" s="36">
        <f t="shared" ca="1" si="17"/>
        <v>0.04</v>
      </c>
      <c r="I1100" s="36" t="str">
        <f>_xlfn.XLOOKUP(E1100,'Product List'!$B$2:$B$299,'Product List'!$A$2:$A$299)</f>
        <v>Xerox 1884</v>
      </c>
      <c r="J1100" s="36"/>
      <c r="K1100" s="36"/>
      <c r="L1100" s="36"/>
      <c r="M1100" s="36"/>
      <c r="N1100" s="36"/>
    </row>
    <row r="1101" spans="1:14">
      <c r="A1101" s="8" t="s">
        <v>1066</v>
      </c>
      <c r="B1101" s="19">
        <v>42233</v>
      </c>
      <c r="C1101" s="8" t="s">
        <v>51</v>
      </c>
      <c r="D1101" s="8">
        <v>10012</v>
      </c>
      <c r="E1101" s="8" t="s">
        <v>324</v>
      </c>
      <c r="F1101" s="8" t="s">
        <v>40</v>
      </c>
      <c r="G1101" s="36">
        <f>VLOOKUP(E1101,Flipkart!$A$1:$B$296,2,0)</f>
        <v>0.04</v>
      </c>
      <c r="H1101" s="36">
        <f t="shared" ca="1" si="17"/>
        <v>0.05</v>
      </c>
      <c r="I1101" s="36" t="str">
        <f>_xlfn.XLOOKUP(E1101,'Product List'!$B$2:$B$299,'Product List'!$A$2:$A$299)</f>
        <v>Newell 31</v>
      </c>
      <c r="J1101" s="36"/>
      <c r="K1101" s="36"/>
      <c r="L1101" s="36"/>
      <c r="M1101" s="36"/>
      <c r="N1101" s="36"/>
    </row>
    <row r="1102" spans="1:14">
      <c r="A1102" s="8" t="s">
        <v>1065</v>
      </c>
      <c r="B1102" s="19">
        <v>42233</v>
      </c>
      <c r="C1102" s="8" t="s">
        <v>44</v>
      </c>
      <c r="D1102" s="8">
        <v>10003</v>
      </c>
      <c r="E1102" s="8" t="s">
        <v>281</v>
      </c>
      <c r="F1102" s="8" t="s">
        <v>43</v>
      </c>
      <c r="G1102" s="36">
        <f>VLOOKUP(E1102,Flipkart!$A$1:$B$296,2,0)</f>
        <v>0.03</v>
      </c>
      <c r="H1102" s="36">
        <f t="shared" ca="1" si="17"/>
        <v>0</v>
      </c>
      <c r="I1102" s="36" t="str">
        <f>_xlfn.XLOOKUP(E1102,'Product List'!$B$2:$B$299,'Product List'!$A$2:$A$299)</f>
        <v>Newell 309</v>
      </c>
      <c r="J1102" s="36"/>
      <c r="K1102" s="36"/>
      <c r="L1102" s="36"/>
      <c r="M1102" s="36"/>
      <c r="N1102" s="36"/>
    </row>
    <row r="1103" spans="1:14">
      <c r="A1103" s="8" t="s">
        <v>1065</v>
      </c>
      <c r="B1103" s="19">
        <v>42233</v>
      </c>
      <c r="C1103" s="8" t="s">
        <v>27</v>
      </c>
      <c r="D1103" s="8">
        <v>10001</v>
      </c>
      <c r="E1103" s="8" t="s">
        <v>69</v>
      </c>
      <c r="F1103" s="8" t="s">
        <v>40</v>
      </c>
      <c r="G1103" s="36">
        <f>VLOOKUP(E1103,Flipkart!$A$1:$B$296,2,0)</f>
        <v>0.05</v>
      </c>
      <c r="H1103" s="36">
        <f t="shared" ca="1" si="17"/>
        <v>0.03</v>
      </c>
      <c r="I1103" s="36" t="str">
        <f>_xlfn.XLOOKUP(E1103,'Product List'!$B$2:$B$299,'Product List'!$A$2:$A$299)</f>
        <v>Newell 330</v>
      </c>
      <c r="J1103" s="36"/>
      <c r="K1103" s="36"/>
      <c r="L1103" s="36"/>
      <c r="M1103" s="36"/>
      <c r="N1103" s="36"/>
    </row>
    <row r="1104" spans="1:14">
      <c r="A1104" s="8" t="s">
        <v>1067</v>
      </c>
      <c r="B1104" s="19">
        <v>42235</v>
      </c>
      <c r="C1104" s="8" t="s">
        <v>33</v>
      </c>
      <c r="D1104" s="8">
        <v>10005</v>
      </c>
      <c r="E1104" s="8" t="s">
        <v>91</v>
      </c>
      <c r="F1104" s="8" t="s">
        <v>50</v>
      </c>
      <c r="G1104" s="36">
        <f>VLOOKUP(E1104,Flipkart!$A$1:$B$296,2,0)</f>
        <v>0.05</v>
      </c>
      <c r="H1104" s="36">
        <f t="shared" ca="1" si="17"/>
        <v>0.01</v>
      </c>
      <c r="I1104" s="36" t="str">
        <f>_xlfn.XLOOKUP(E1104,'Product List'!$B$2:$B$299,'Product List'!$A$2:$A$299)</f>
        <v>Avery 475</v>
      </c>
      <c r="J1104" s="36"/>
      <c r="K1104" s="36"/>
      <c r="L1104" s="36"/>
      <c r="M1104" s="36"/>
      <c r="N1104" s="36"/>
    </row>
    <row r="1105" spans="1:14">
      <c r="A1105" s="8" t="s">
        <v>1068</v>
      </c>
      <c r="B1105" s="19">
        <v>42236</v>
      </c>
      <c r="C1105" s="8" t="s">
        <v>46</v>
      </c>
      <c r="D1105" s="8">
        <v>10012</v>
      </c>
      <c r="E1105" s="8" t="s">
        <v>78</v>
      </c>
      <c r="F1105" s="8" t="s">
        <v>35</v>
      </c>
      <c r="G1105" s="36">
        <f>VLOOKUP(E1105,Flipkart!$A$1:$B$296,2,0)</f>
        <v>0.02</v>
      </c>
      <c r="H1105" s="36">
        <f t="shared" ca="1" si="17"/>
        <v>0.02</v>
      </c>
      <c r="I1105" s="36" t="str">
        <f>_xlfn.XLOOKUP(E1105,'Product List'!$B$2:$B$299,'Product List'!$A$2:$A$299)</f>
        <v>Xerox 199</v>
      </c>
      <c r="J1105" s="36"/>
      <c r="K1105" s="36"/>
      <c r="L1105" s="36"/>
      <c r="M1105" s="36"/>
      <c r="N1105" s="36"/>
    </row>
    <row r="1106" spans="1:14">
      <c r="A1106" s="8" t="s">
        <v>1068</v>
      </c>
      <c r="B1106" s="19">
        <v>42236</v>
      </c>
      <c r="C1106" s="8" t="s">
        <v>33</v>
      </c>
      <c r="D1106" s="8">
        <v>10007</v>
      </c>
      <c r="E1106" s="8" t="s">
        <v>743</v>
      </c>
      <c r="F1106" s="8" t="s">
        <v>50</v>
      </c>
      <c r="G1106" s="36">
        <f>VLOOKUP(E1106,Flipkart!$A$1:$B$296,2,0)</f>
        <v>0.04</v>
      </c>
      <c r="H1106" s="36">
        <f t="shared" ca="1" si="17"/>
        <v>0.02</v>
      </c>
      <c r="I1106" s="36" t="str">
        <f>_xlfn.XLOOKUP(E1106,'Product List'!$B$2:$B$299,'Product List'!$A$2:$A$299)</f>
        <v>Xerox 207</v>
      </c>
      <c r="J1106" s="36"/>
      <c r="K1106" s="36"/>
      <c r="L1106" s="36"/>
      <c r="M1106" s="36"/>
      <c r="N1106" s="36"/>
    </row>
    <row r="1107" spans="1:14">
      <c r="A1107" s="8" t="s">
        <v>1069</v>
      </c>
      <c r="B1107" s="19">
        <v>42238</v>
      </c>
      <c r="C1107" s="8" t="s">
        <v>66</v>
      </c>
      <c r="D1107" s="8">
        <v>10011</v>
      </c>
      <c r="E1107" s="8" t="s">
        <v>94</v>
      </c>
      <c r="F1107" s="8" t="s">
        <v>40</v>
      </c>
      <c r="G1107" s="36">
        <f>VLOOKUP(E1107,Flipkart!$A$1:$B$296,2,0)</f>
        <v>0.03</v>
      </c>
      <c r="H1107" s="36">
        <f t="shared" ca="1" si="17"/>
        <v>0.05</v>
      </c>
      <c r="I1107" s="36" t="str">
        <f>_xlfn.XLOOKUP(E1107,'Product List'!$B$2:$B$299,'Product List'!$A$2:$A$299)</f>
        <v>Xerox 191</v>
      </c>
      <c r="J1107" s="36"/>
      <c r="K1107" s="36"/>
      <c r="L1107" s="36"/>
      <c r="M1107" s="36"/>
      <c r="N1107" s="36"/>
    </row>
    <row r="1108" spans="1:14">
      <c r="A1108" s="8" t="s">
        <v>1070</v>
      </c>
      <c r="B1108" s="19">
        <v>42239</v>
      </c>
      <c r="C1108" s="8" t="s">
        <v>51</v>
      </c>
      <c r="D1108" s="8">
        <v>10001</v>
      </c>
      <c r="E1108" s="8" t="s">
        <v>216</v>
      </c>
      <c r="F1108" s="8" t="s">
        <v>35</v>
      </c>
      <c r="G1108" s="36">
        <f>VLOOKUP(E1108,Flipkart!$A$1:$B$296,2,0)</f>
        <v>0</v>
      </c>
      <c r="H1108" s="36">
        <f t="shared" ca="1" si="17"/>
        <v>0</v>
      </c>
      <c r="I1108" s="36" t="str">
        <f>_xlfn.XLOOKUP(E1108,'Product List'!$B$2:$B$299,'Product List'!$A$2:$A$299)</f>
        <v>Xerox 1920</v>
      </c>
      <c r="J1108" s="36"/>
      <c r="K1108" s="36"/>
      <c r="L1108" s="36"/>
      <c r="M1108" s="36"/>
      <c r="N1108" s="36"/>
    </row>
    <row r="1109" spans="1:14">
      <c r="A1109" s="8" t="s">
        <v>1071</v>
      </c>
      <c r="B1109" s="19">
        <v>42240</v>
      </c>
      <c r="C1109" s="8" t="s">
        <v>36</v>
      </c>
      <c r="D1109" s="8">
        <v>10005</v>
      </c>
      <c r="E1109" s="8" t="s">
        <v>511</v>
      </c>
      <c r="F1109" s="8" t="s">
        <v>35</v>
      </c>
      <c r="G1109" s="36">
        <f>VLOOKUP(E1109,Flipkart!$A$1:$B$296,2,0)</f>
        <v>0.03</v>
      </c>
      <c r="H1109" s="36">
        <f t="shared" ca="1" si="17"/>
        <v>0.03</v>
      </c>
      <c r="I1109" s="36" t="str">
        <f>_xlfn.XLOOKUP(E1109,'Product List'!$B$2:$B$299,'Product List'!$A$2:$A$299)</f>
        <v>Xerox 1999</v>
      </c>
      <c r="J1109" s="36"/>
      <c r="K1109" s="36"/>
      <c r="L1109" s="36"/>
      <c r="M1109" s="36"/>
      <c r="N1109" s="36"/>
    </row>
    <row r="1110" spans="1:14">
      <c r="A1110" s="8" t="s">
        <v>1072</v>
      </c>
      <c r="B1110" s="19">
        <v>42242</v>
      </c>
      <c r="C1110" s="8" t="s">
        <v>51</v>
      </c>
      <c r="D1110" s="8">
        <v>10010</v>
      </c>
      <c r="E1110" s="8" t="s">
        <v>184</v>
      </c>
      <c r="F1110" s="8" t="s">
        <v>43</v>
      </c>
      <c r="G1110" s="36">
        <f>VLOOKUP(E1110,Flipkart!$A$1:$B$296,2,0)</f>
        <v>0.03</v>
      </c>
      <c r="H1110" s="36">
        <f t="shared" ca="1" si="17"/>
        <v>0.04</v>
      </c>
      <c r="I1110" s="36" t="str">
        <f>_xlfn.XLOOKUP(E1110,'Product List'!$B$2:$B$299,'Product List'!$A$2:$A$299)</f>
        <v>Xerox 1983</v>
      </c>
      <c r="J1110" s="36"/>
      <c r="K1110" s="36"/>
      <c r="L1110" s="36"/>
      <c r="M1110" s="36"/>
      <c r="N1110" s="36"/>
    </row>
    <row r="1111" spans="1:14">
      <c r="A1111" s="8" t="s">
        <v>1073</v>
      </c>
      <c r="B1111" s="19">
        <v>42243</v>
      </c>
      <c r="C1111" s="8" t="s">
        <v>33</v>
      </c>
      <c r="D1111" s="8">
        <v>10006</v>
      </c>
      <c r="E1111" s="8" t="s">
        <v>49</v>
      </c>
      <c r="F1111" s="8" t="s">
        <v>43</v>
      </c>
      <c r="G1111" s="36">
        <f>VLOOKUP(E1111,Flipkart!$A$1:$B$296,2,0)</f>
        <v>0.04</v>
      </c>
      <c r="H1111" s="36">
        <f t="shared" ca="1" si="17"/>
        <v>0</v>
      </c>
      <c r="I1111" s="36" t="str">
        <f>_xlfn.XLOOKUP(E1111,'Product List'!$B$2:$B$299,'Product List'!$A$2:$A$299)</f>
        <v>Avery 477</v>
      </c>
      <c r="J1111" s="36"/>
      <c r="K1111" s="36"/>
      <c r="L1111" s="36"/>
      <c r="M1111" s="36"/>
      <c r="N1111" s="36"/>
    </row>
    <row r="1112" spans="1:14">
      <c r="A1112" s="8" t="s">
        <v>1074</v>
      </c>
      <c r="B1112" s="19">
        <v>42243</v>
      </c>
      <c r="C1112" s="8" t="s">
        <v>66</v>
      </c>
      <c r="D1112" s="8">
        <v>10006</v>
      </c>
      <c r="E1112" s="8" t="s">
        <v>445</v>
      </c>
      <c r="F1112" s="8" t="s">
        <v>29</v>
      </c>
      <c r="G1112" s="36">
        <f>VLOOKUP(E1112,Flipkart!$A$1:$B$296,2,0)</f>
        <v>0.01</v>
      </c>
      <c r="H1112" s="36">
        <f t="shared" ca="1" si="17"/>
        <v>0</v>
      </c>
      <c r="I1112" s="36" t="str">
        <f>_xlfn.XLOOKUP(E1112,'Product List'!$B$2:$B$299,'Product List'!$A$2:$A$299)</f>
        <v>Xerox 1882</v>
      </c>
      <c r="J1112" s="36"/>
      <c r="K1112" s="36"/>
      <c r="L1112" s="36"/>
      <c r="M1112" s="36"/>
      <c r="N1112" s="36"/>
    </row>
    <row r="1113" spans="1:14">
      <c r="A1113" s="8" t="s">
        <v>1073</v>
      </c>
      <c r="B1113" s="19">
        <v>42243</v>
      </c>
      <c r="C1113" s="8" t="s">
        <v>27</v>
      </c>
      <c r="D1113" s="8">
        <v>10008</v>
      </c>
      <c r="E1113" s="8" t="s">
        <v>605</v>
      </c>
      <c r="F1113" s="8" t="s">
        <v>50</v>
      </c>
      <c r="G1113" s="36">
        <f>VLOOKUP(E1113,Flipkart!$A$1:$B$296,2,0)</f>
        <v>0.01</v>
      </c>
      <c r="H1113" s="36">
        <f t="shared" ca="1" si="17"/>
        <v>0.05</v>
      </c>
      <c r="I1113" s="36" t="str">
        <f>_xlfn.XLOOKUP(E1113,'Product List'!$B$2:$B$299,'Product List'!$A$2:$A$299)</f>
        <v>Pyle PMP37LED</v>
      </c>
      <c r="J1113" s="36"/>
      <c r="K1113" s="36"/>
      <c r="L1113" s="36"/>
      <c r="M1113" s="36"/>
      <c r="N1113" s="36"/>
    </row>
    <row r="1114" spans="1:14">
      <c r="A1114" s="8" t="s">
        <v>1075</v>
      </c>
      <c r="B1114" s="19">
        <v>42244</v>
      </c>
      <c r="C1114" s="8" t="s">
        <v>44</v>
      </c>
      <c r="D1114" s="8">
        <v>10012</v>
      </c>
      <c r="E1114" s="8" t="s">
        <v>145</v>
      </c>
      <c r="F1114" s="8" t="s">
        <v>43</v>
      </c>
      <c r="G1114" s="36">
        <f>VLOOKUP(E1114,Flipkart!$A$1:$B$296,2,0)</f>
        <v>0</v>
      </c>
      <c r="H1114" s="36">
        <f t="shared" ca="1" si="17"/>
        <v>0.04</v>
      </c>
      <c r="I1114" s="36" t="str">
        <f>_xlfn.XLOOKUP(E1114,'Product List'!$B$2:$B$299,'Product List'!$A$2:$A$299)</f>
        <v>Xerox 1913</v>
      </c>
      <c r="J1114" s="36"/>
      <c r="K1114" s="36"/>
      <c r="L1114" s="36"/>
      <c r="M1114" s="36"/>
      <c r="N1114" s="36"/>
    </row>
    <row r="1115" spans="1:14">
      <c r="A1115" s="8" t="s">
        <v>1076</v>
      </c>
      <c r="B1115" s="19">
        <v>42246</v>
      </c>
      <c r="C1115" s="8" t="s">
        <v>27</v>
      </c>
      <c r="D1115" s="8">
        <v>10011</v>
      </c>
      <c r="E1115" s="8" t="s">
        <v>379</v>
      </c>
      <c r="F1115" s="8" t="s">
        <v>40</v>
      </c>
      <c r="G1115" s="36">
        <f>VLOOKUP(E1115,Flipkart!$A$1:$B$296,2,0)</f>
        <v>0.01</v>
      </c>
      <c r="H1115" s="36">
        <f t="shared" ca="1" si="17"/>
        <v>0.02</v>
      </c>
      <c r="I1115" s="36" t="str">
        <f>_xlfn.XLOOKUP(E1115,'Product List'!$B$2:$B$299,'Product List'!$A$2:$A$299)</f>
        <v>Xerox 1937</v>
      </c>
      <c r="J1115" s="36"/>
      <c r="K1115" s="36"/>
      <c r="L1115" s="36"/>
      <c r="M1115" s="36"/>
      <c r="N1115" s="36"/>
    </row>
    <row r="1116" spans="1:14">
      <c r="A1116" s="8" t="s">
        <v>1077</v>
      </c>
      <c r="B1116" s="19">
        <v>42246</v>
      </c>
      <c r="C1116" s="8" t="s">
        <v>46</v>
      </c>
      <c r="D1116" s="8">
        <v>10012</v>
      </c>
      <c r="E1116" s="8" t="s">
        <v>501</v>
      </c>
      <c r="F1116" s="8" t="s">
        <v>43</v>
      </c>
      <c r="G1116" s="36">
        <f>VLOOKUP(E1116,Flipkart!$A$1:$B$296,2,0)</f>
        <v>0</v>
      </c>
      <c r="H1116" s="36">
        <f t="shared" ca="1" si="17"/>
        <v>0.05</v>
      </c>
      <c r="I1116" s="36" t="str">
        <f>_xlfn.XLOOKUP(E1116,'Product List'!$B$2:$B$299,'Product List'!$A$2:$A$299)</f>
        <v>Avery 500</v>
      </c>
      <c r="J1116" s="36"/>
      <c r="K1116" s="36"/>
      <c r="L1116" s="36"/>
      <c r="M1116" s="36"/>
      <c r="N1116" s="36"/>
    </row>
    <row r="1117" spans="1:14">
      <c r="A1117" s="8" t="s">
        <v>1077</v>
      </c>
      <c r="B1117" s="19">
        <v>42246</v>
      </c>
      <c r="C1117" s="8" t="s">
        <v>51</v>
      </c>
      <c r="D1117" s="8">
        <v>10015</v>
      </c>
      <c r="E1117" s="8" t="s">
        <v>227</v>
      </c>
      <c r="F1117" s="8" t="s">
        <v>32</v>
      </c>
      <c r="G1117" s="36">
        <f>VLOOKUP(E1117,Flipkart!$A$1:$B$296,2,0)</f>
        <v>0.02</v>
      </c>
      <c r="H1117" s="36">
        <f t="shared" ca="1" si="17"/>
        <v>0.04</v>
      </c>
      <c r="I1117" s="36" t="str">
        <f>_xlfn.XLOOKUP(E1117,'Product List'!$B$2:$B$299,'Product List'!$A$2:$A$299)</f>
        <v>Xerox 21</v>
      </c>
      <c r="J1117" s="36"/>
      <c r="K1117" s="36"/>
      <c r="L1117" s="36"/>
      <c r="M1117" s="36"/>
      <c r="N1117" s="36"/>
    </row>
    <row r="1118" spans="1:14">
      <c r="A1118" s="8" t="s">
        <v>1077</v>
      </c>
      <c r="B1118" s="19">
        <v>42246</v>
      </c>
      <c r="C1118" s="8" t="s">
        <v>27</v>
      </c>
      <c r="D1118" s="8">
        <v>10014</v>
      </c>
      <c r="E1118" s="8" t="s">
        <v>307</v>
      </c>
      <c r="F1118" s="8" t="s">
        <v>50</v>
      </c>
      <c r="G1118" s="36">
        <f>VLOOKUP(E1118,Flipkart!$A$1:$B$296,2,0)</f>
        <v>0.04</v>
      </c>
      <c r="H1118" s="36">
        <f t="shared" ca="1" si="17"/>
        <v>0.03</v>
      </c>
      <c r="I1118" s="36" t="str">
        <f>_xlfn.XLOOKUP(E1118,'Product List'!$B$2:$B$299,'Product List'!$A$2:$A$299)</f>
        <v>Avery 519</v>
      </c>
      <c r="J1118" s="36"/>
      <c r="K1118" s="36"/>
      <c r="L1118" s="36"/>
      <c r="M1118" s="36"/>
      <c r="N1118" s="36"/>
    </row>
    <row r="1119" spans="1:14">
      <c r="A1119" s="8" t="s">
        <v>1078</v>
      </c>
      <c r="B1119" s="19">
        <v>42247</v>
      </c>
      <c r="C1119" s="8" t="s">
        <v>66</v>
      </c>
      <c r="D1119" s="8">
        <v>10010</v>
      </c>
      <c r="E1119" s="8" t="s">
        <v>370</v>
      </c>
      <c r="F1119" s="8" t="s">
        <v>35</v>
      </c>
      <c r="G1119" s="36">
        <f>VLOOKUP(E1119,Flipkart!$A$1:$B$296,2,0)</f>
        <v>0.05</v>
      </c>
      <c r="H1119" s="36">
        <f t="shared" ca="1" si="17"/>
        <v>0.05</v>
      </c>
      <c r="I1119" s="36" t="str">
        <f>_xlfn.XLOOKUP(E1119,'Product List'!$B$2:$B$299,'Product List'!$A$2:$A$299)</f>
        <v>Avery 496</v>
      </c>
      <c r="J1119" s="36"/>
      <c r="K1119" s="36"/>
      <c r="L1119" s="36"/>
      <c r="M1119" s="36"/>
      <c r="N1119" s="36"/>
    </row>
    <row r="1120" spans="1:14">
      <c r="A1120" s="8" t="s">
        <v>1079</v>
      </c>
      <c r="B1120" s="19">
        <v>42248</v>
      </c>
      <c r="C1120" s="8" t="s">
        <v>51</v>
      </c>
      <c r="D1120" s="8">
        <v>10004</v>
      </c>
      <c r="E1120" s="8" t="s">
        <v>451</v>
      </c>
      <c r="F1120" s="8" t="s">
        <v>32</v>
      </c>
      <c r="G1120" s="36">
        <f>VLOOKUP(E1120,Flipkart!$A$1:$B$296,2,0)</f>
        <v>0.01</v>
      </c>
      <c r="H1120" s="36">
        <f t="shared" ca="1" si="17"/>
        <v>0</v>
      </c>
      <c r="I1120" s="36" t="str">
        <f>_xlfn.XLOOKUP(E1120,'Product List'!$B$2:$B$299,'Product List'!$A$2:$A$299)</f>
        <v>Xerox 1903</v>
      </c>
      <c r="J1120" s="36"/>
      <c r="K1120" s="36"/>
      <c r="L1120" s="36"/>
      <c r="M1120" s="36"/>
      <c r="N1120" s="36"/>
    </row>
    <row r="1121" spans="1:14">
      <c r="A1121" s="8" t="s">
        <v>1079</v>
      </c>
      <c r="B1121" s="19">
        <v>42248</v>
      </c>
      <c r="C1121" s="8" t="s">
        <v>54</v>
      </c>
      <c r="D1121" s="8">
        <v>10015</v>
      </c>
      <c r="E1121" s="8" t="s">
        <v>501</v>
      </c>
      <c r="F1121" s="8" t="s">
        <v>35</v>
      </c>
      <c r="G1121" s="36">
        <f>VLOOKUP(E1121,Flipkart!$A$1:$B$296,2,0)</f>
        <v>0</v>
      </c>
      <c r="H1121" s="36">
        <f t="shared" ca="1" si="17"/>
        <v>0</v>
      </c>
      <c r="I1121" s="36" t="str">
        <f>_xlfn.XLOOKUP(E1121,'Product List'!$B$2:$B$299,'Product List'!$A$2:$A$299)</f>
        <v>Avery 500</v>
      </c>
      <c r="J1121" s="36"/>
      <c r="K1121" s="36"/>
      <c r="L1121" s="36"/>
      <c r="M1121" s="36"/>
      <c r="N1121" s="36"/>
    </row>
    <row r="1122" spans="1:14">
      <c r="A1122" s="8" t="s">
        <v>1080</v>
      </c>
      <c r="B1122" s="19">
        <v>42249</v>
      </c>
      <c r="C1122" s="8" t="s">
        <v>44</v>
      </c>
      <c r="D1122" s="8">
        <v>10013</v>
      </c>
      <c r="E1122" s="8" t="s">
        <v>76</v>
      </c>
      <c r="F1122" s="8" t="s">
        <v>40</v>
      </c>
      <c r="G1122" s="36">
        <f>VLOOKUP(E1122,Flipkart!$A$1:$B$296,2,0)</f>
        <v>0.05</v>
      </c>
      <c r="H1122" s="36">
        <f t="shared" ca="1" si="17"/>
        <v>0.02</v>
      </c>
      <c r="I1122" s="36" t="str">
        <f>_xlfn.XLOOKUP(E1122,'Product List'!$B$2:$B$299,'Product List'!$A$2:$A$299)</f>
        <v>Avery 49</v>
      </c>
      <c r="J1122" s="36"/>
      <c r="K1122" s="36"/>
      <c r="L1122" s="36"/>
      <c r="M1122" s="36"/>
      <c r="N1122" s="36"/>
    </row>
    <row r="1123" spans="1:14">
      <c r="A1123" s="8" t="s">
        <v>1081</v>
      </c>
      <c r="B1123" s="19">
        <v>42252</v>
      </c>
      <c r="C1123" s="8" t="s">
        <v>66</v>
      </c>
      <c r="D1123" s="8">
        <v>10009</v>
      </c>
      <c r="E1123" s="8" t="s">
        <v>518</v>
      </c>
      <c r="F1123" s="8" t="s">
        <v>43</v>
      </c>
      <c r="G1123" s="36">
        <f>VLOOKUP(E1123,Flipkart!$A$1:$B$296,2,0)</f>
        <v>0.02</v>
      </c>
      <c r="H1123" s="36">
        <f t="shared" ca="1" si="17"/>
        <v>0</v>
      </c>
      <c r="I1123" s="36" t="str">
        <f>_xlfn.XLOOKUP(E1123,'Product List'!$B$2:$B$299,'Product List'!$A$2:$A$299)</f>
        <v>Xerox 1931</v>
      </c>
      <c r="J1123" s="36"/>
      <c r="K1123" s="36"/>
      <c r="L1123" s="36"/>
      <c r="M1123" s="36"/>
      <c r="N1123" s="36"/>
    </row>
    <row r="1124" spans="1:14">
      <c r="A1124" s="8" t="s">
        <v>1082</v>
      </c>
      <c r="B1124" s="19">
        <v>42252</v>
      </c>
      <c r="C1124" s="8" t="s">
        <v>36</v>
      </c>
      <c r="D1124" s="8">
        <v>10011</v>
      </c>
      <c r="E1124" s="8" t="s">
        <v>381</v>
      </c>
      <c r="F1124" s="8" t="s">
        <v>32</v>
      </c>
      <c r="G1124" s="36">
        <f>VLOOKUP(E1124,Flipkart!$A$1:$B$296,2,0)</f>
        <v>0.04</v>
      </c>
      <c r="H1124" s="36">
        <f t="shared" ca="1" si="17"/>
        <v>0</v>
      </c>
      <c r="I1124" s="36" t="str">
        <f>_xlfn.XLOOKUP(E1124,'Product List'!$B$2:$B$299,'Product List'!$A$2:$A$299)</f>
        <v>Xerox 1911</v>
      </c>
      <c r="J1124" s="36"/>
      <c r="K1124" s="36"/>
      <c r="L1124" s="36"/>
      <c r="M1124" s="36"/>
      <c r="N1124" s="36"/>
    </row>
    <row r="1125" spans="1:14">
      <c r="A1125" s="8" t="s">
        <v>1082</v>
      </c>
      <c r="B1125" s="19">
        <v>42252</v>
      </c>
      <c r="C1125" s="8" t="s">
        <v>36</v>
      </c>
      <c r="D1125" s="8">
        <v>10013</v>
      </c>
      <c r="E1125" s="8" t="s">
        <v>446</v>
      </c>
      <c r="F1125" s="8" t="s">
        <v>29</v>
      </c>
      <c r="G1125" s="36">
        <f>VLOOKUP(E1125,Flipkart!$A$1:$B$296,2,0)</f>
        <v>0.02</v>
      </c>
      <c r="H1125" s="36">
        <f t="shared" ca="1" si="17"/>
        <v>0.05</v>
      </c>
      <c r="I1125" s="36" t="str">
        <f>_xlfn.XLOOKUP(E1125,'Product List'!$B$2:$B$299,'Product List'!$A$2:$A$299)</f>
        <v>Xerox 1956</v>
      </c>
      <c r="J1125" s="36"/>
      <c r="K1125" s="36"/>
      <c r="L1125" s="36"/>
      <c r="M1125" s="36"/>
      <c r="N1125" s="36"/>
    </row>
    <row r="1126" spans="1:14">
      <c r="A1126" s="8" t="s">
        <v>1083</v>
      </c>
      <c r="B1126" s="19">
        <v>42253</v>
      </c>
      <c r="C1126" s="8" t="s">
        <v>36</v>
      </c>
      <c r="D1126" s="8">
        <v>10009</v>
      </c>
      <c r="E1126" s="8" t="s">
        <v>854</v>
      </c>
      <c r="F1126" s="8" t="s">
        <v>32</v>
      </c>
      <c r="G1126" s="36">
        <f>VLOOKUP(E1126,Flipkart!$A$1:$B$296,2,0)</f>
        <v>0.03</v>
      </c>
      <c r="H1126" s="36">
        <f t="shared" ca="1" si="17"/>
        <v>0.02</v>
      </c>
      <c r="I1126" s="36" t="str">
        <f>_xlfn.XLOOKUP(E1126,'Product List'!$B$2:$B$299,'Product List'!$A$2:$A$299)</f>
        <v>Newell 341</v>
      </c>
      <c r="J1126" s="36"/>
      <c r="K1126" s="36"/>
      <c r="L1126" s="36"/>
      <c r="M1126" s="36"/>
      <c r="N1126" s="36"/>
    </row>
    <row r="1127" spans="1:14">
      <c r="A1127" s="8" t="s">
        <v>1084</v>
      </c>
      <c r="B1127" s="19">
        <v>42254</v>
      </c>
      <c r="C1127" s="8" t="s">
        <v>54</v>
      </c>
      <c r="D1127" s="8">
        <v>10004</v>
      </c>
      <c r="E1127" s="8" t="s">
        <v>256</v>
      </c>
      <c r="F1127" s="8" t="s">
        <v>35</v>
      </c>
      <c r="G1127" s="36">
        <f>VLOOKUP(E1127,Flipkart!$A$1:$B$296,2,0)</f>
        <v>0.04</v>
      </c>
      <c r="H1127" s="36">
        <f t="shared" ca="1" si="17"/>
        <v>0.04</v>
      </c>
      <c r="I1127" s="36" t="str">
        <f>_xlfn.XLOOKUP(E1127,'Product List'!$B$2:$B$299,'Product List'!$A$2:$A$299)</f>
        <v>Newell 313</v>
      </c>
      <c r="J1127" s="36"/>
      <c r="K1127" s="36"/>
      <c r="L1127" s="36"/>
      <c r="M1127" s="36"/>
      <c r="N1127" s="36"/>
    </row>
    <row r="1128" spans="1:14">
      <c r="A1128" s="8" t="s">
        <v>1085</v>
      </c>
      <c r="B1128" s="19">
        <v>42254</v>
      </c>
      <c r="C1128" s="8" t="s">
        <v>27</v>
      </c>
      <c r="D1128" s="8">
        <v>10001</v>
      </c>
      <c r="E1128" s="8" t="s">
        <v>358</v>
      </c>
      <c r="F1128" s="8" t="s">
        <v>50</v>
      </c>
      <c r="G1128" s="36">
        <f>VLOOKUP(E1128,Flipkart!$A$1:$B$296,2,0)</f>
        <v>0</v>
      </c>
      <c r="H1128" s="36">
        <f t="shared" ca="1" si="17"/>
        <v>0.02</v>
      </c>
      <c r="I1128" s="36" t="str">
        <f>_xlfn.XLOOKUP(E1128,'Product List'!$B$2:$B$299,'Product List'!$A$2:$A$299)</f>
        <v>Xerox 1962</v>
      </c>
      <c r="J1128" s="36"/>
      <c r="K1128" s="36"/>
      <c r="L1128" s="36"/>
      <c r="M1128" s="36"/>
      <c r="N1128" s="36"/>
    </row>
    <row r="1129" spans="1:14">
      <c r="A1129" s="8" t="s">
        <v>1084</v>
      </c>
      <c r="B1129" s="19">
        <v>42254</v>
      </c>
      <c r="C1129" s="8" t="s">
        <v>44</v>
      </c>
      <c r="D1129" s="8">
        <v>10002</v>
      </c>
      <c r="E1129" s="8" t="s">
        <v>327</v>
      </c>
      <c r="F1129" s="8" t="s">
        <v>29</v>
      </c>
      <c r="G1129" s="36">
        <f>VLOOKUP(E1129,Flipkart!$A$1:$B$296,2,0)</f>
        <v>0.04</v>
      </c>
      <c r="H1129" s="36">
        <f t="shared" ca="1" si="17"/>
        <v>0.01</v>
      </c>
      <c r="I1129" s="36" t="str">
        <f>_xlfn.XLOOKUP(E1129,'Product List'!$B$2:$B$299,'Product List'!$A$2:$A$299)</f>
        <v>HTC One Mini</v>
      </c>
      <c r="J1129" s="36"/>
      <c r="K1129" s="36"/>
      <c r="L1129" s="36"/>
      <c r="M1129" s="36"/>
      <c r="N1129" s="36"/>
    </row>
    <row r="1130" spans="1:14">
      <c r="A1130" s="8" t="s">
        <v>1086</v>
      </c>
      <c r="B1130" s="19">
        <v>42255</v>
      </c>
      <c r="C1130" s="8" t="s">
        <v>33</v>
      </c>
      <c r="D1130" s="8">
        <v>10002</v>
      </c>
      <c r="E1130" s="8" t="s">
        <v>1087</v>
      </c>
      <c r="F1130" s="8" t="s">
        <v>29</v>
      </c>
      <c r="G1130" s="36">
        <f>VLOOKUP(E1130,Flipkart!$A$1:$B$296,2,0)</f>
        <v>0.05</v>
      </c>
      <c r="H1130" s="36">
        <f t="shared" ca="1" si="17"/>
        <v>0</v>
      </c>
      <c r="I1130" s="36" t="str">
        <f>_xlfn.XLOOKUP(E1130,'Product List'!$B$2:$B$299,'Product List'!$A$2:$A$299)</f>
        <v>Newell 323</v>
      </c>
      <c r="J1130" s="36"/>
      <c r="K1130" s="36"/>
      <c r="L1130" s="36"/>
      <c r="M1130" s="36"/>
      <c r="N1130" s="36"/>
    </row>
    <row r="1131" spans="1:14">
      <c r="A1131" s="8" t="s">
        <v>1088</v>
      </c>
      <c r="B1131" s="19">
        <v>42256</v>
      </c>
      <c r="C1131" s="8" t="s">
        <v>54</v>
      </c>
      <c r="D1131" s="8">
        <v>10010</v>
      </c>
      <c r="E1131" s="8" t="s">
        <v>28</v>
      </c>
      <c r="F1131" s="8" t="s">
        <v>29</v>
      </c>
      <c r="G1131" s="36">
        <f>VLOOKUP(E1131,Flipkart!$A$1:$B$296,2,0)</f>
        <v>0</v>
      </c>
      <c r="H1131" s="36">
        <f t="shared" ca="1" si="17"/>
        <v>0.01</v>
      </c>
      <c r="I1131" s="36" t="str">
        <f>_xlfn.XLOOKUP(E1131,'Product List'!$B$2:$B$299,'Product List'!$A$2:$A$299)</f>
        <v>Xerox 1951</v>
      </c>
      <c r="J1131" s="36"/>
      <c r="K1131" s="36"/>
      <c r="L1131" s="36"/>
      <c r="M1131" s="36"/>
      <c r="N1131" s="36"/>
    </row>
    <row r="1132" spans="1:14">
      <c r="A1132" s="8" t="s">
        <v>1089</v>
      </c>
      <c r="B1132" s="19">
        <v>42256</v>
      </c>
      <c r="C1132" s="8" t="s">
        <v>44</v>
      </c>
      <c r="D1132" s="8">
        <v>10013</v>
      </c>
      <c r="E1132" s="8" t="s">
        <v>515</v>
      </c>
      <c r="F1132" s="8" t="s">
        <v>50</v>
      </c>
      <c r="G1132" s="36">
        <f>VLOOKUP(E1132,Flipkart!$A$1:$B$296,2,0)</f>
        <v>0.05</v>
      </c>
      <c r="H1132" s="36">
        <f t="shared" ca="1" si="17"/>
        <v>0.05</v>
      </c>
      <c r="I1132" s="36" t="str">
        <f>_xlfn.XLOOKUP(E1132,'Product List'!$B$2:$B$299,'Product List'!$A$2:$A$299)</f>
        <v>Staple holder</v>
      </c>
      <c r="J1132" s="36"/>
      <c r="K1132" s="36"/>
      <c r="L1132" s="36"/>
      <c r="M1132" s="36"/>
      <c r="N1132" s="36"/>
    </row>
    <row r="1133" spans="1:14">
      <c r="A1133" s="8" t="s">
        <v>1090</v>
      </c>
      <c r="B1133" s="19">
        <v>42257</v>
      </c>
      <c r="C1133" s="8" t="s">
        <v>27</v>
      </c>
      <c r="D1133" s="8">
        <v>10010</v>
      </c>
      <c r="E1133" s="8" t="s">
        <v>100</v>
      </c>
      <c r="F1133" s="8" t="s">
        <v>32</v>
      </c>
      <c r="G1133" s="36">
        <f>VLOOKUP(E1133,Flipkart!$A$1:$B$296,2,0)</f>
        <v>0.02</v>
      </c>
      <c r="H1133" s="36">
        <f t="shared" ca="1" si="17"/>
        <v>0.03</v>
      </c>
      <c r="I1133" s="36" t="str">
        <f>_xlfn.XLOOKUP(E1133,'Product List'!$B$2:$B$299,'Product List'!$A$2:$A$299)</f>
        <v>Xerox 1893</v>
      </c>
      <c r="J1133" s="36"/>
      <c r="K1133" s="36"/>
      <c r="L1133" s="36"/>
      <c r="M1133" s="36"/>
      <c r="N1133" s="36"/>
    </row>
    <row r="1134" spans="1:14">
      <c r="A1134" s="8" t="s">
        <v>1091</v>
      </c>
      <c r="B1134" s="19">
        <v>42258</v>
      </c>
      <c r="C1134" s="8" t="s">
        <v>51</v>
      </c>
      <c r="D1134" s="8">
        <v>10006</v>
      </c>
      <c r="E1134" s="8" t="s">
        <v>208</v>
      </c>
      <c r="F1134" s="8" t="s">
        <v>32</v>
      </c>
      <c r="G1134" s="36">
        <f>VLOOKUP(E1134,Flipkart!$A$1:$B$296,2,0)</f>
        <v>0</v>
      </c>
      <c r="H1134" s="36">
        <f t="shared" ca="1" si="17"/>
        <v>0.03</v>
      </c>
      <c r="I1134" s="36" t="str">
        <f>_xlfn.XLOOKUP(E1134,'Product List'!$B$2:$B$299,'Product List'!$A$2:$A$299)</f>
        <v>Xerox 1928</v>
      </c>
      <c r="J1134" s="36"/>
      <c r="K1134" s="36"/>
      <c r="L1134" s="36"/>
      <c r="M1134" s="36"/>
      <c r="N1134" s="36"/>
    </row>
    <row r="1135" spans="1:14">
      <c r="A1135" s="8" t="s">
        <v>1091</v>
      </c>
      <c r="B1135" s="19">
        <v>42258</v>
      </c>
      <c r="C1135" s="8" t="s">
        <v>66</v>
      </c>
      <c r="D1135" s="8">
        <v>10003</v>
      </c>
      <c r="E1135" s="8" t="s">
        <v>238</v>
      </c>
      <c r="F1135" s="8" t="s">
        <v>50</v>
      </c>
      <c r="G1135" s="36">
        <f>VLOOKUP(E1135,Flipkart!$A$1:$B$296,2,0)</f>
        <v>0.01</v>
      </c>
      <c r="H1135" s="36">
        <f t="shared" ca="1" si="17"/>
        <v>0.01</v>
      </c>
      <c r="I1135" s="36" t="str">
        <f>_xlfn.XLOOKUP(E1135,'Product List'!$B$2:$B$299,'Product List'!$A$2:$A$299)</f>
        <v>Xerox 202</v>
      </c>
      <c r="J1135" s="36"/>
      <c r="K1135" s="36"/>
      <c r="L1135" s="36"/>
      <c r="M1135" s="36"/>
      <c r="N1135" s="36"/>
    </row>
    <row r="1136" spans="1:14">
      <c r="A1136" s="8" t="s">
        <v>1092</v>
      </c>
      <c r="B1136" s="19">
        <v>42258</v>
      </c>
      <c r="C1136" s="8" t="s">
        <v>36</v>
      </c>
      <c r="D1136" s="8">
        <v>10006</v>
      </c>
      <c r="E1136" s="8" t="s">
        <v>391</v>
      </c>
      <c r="F1136" s="8" t="s">
        <v>29</v>
      </c>
      <c r="G1136" s="36">
        <f>VLOOKUP(E1136,Flipkart!$A$1:$B$296,2,0)</f>
        <v>0.04</v>
      </c>
      <c r="H1136" s="36">
        <f t="shared" ca="1" si="17"/>
        <v>0.03</v>
      </c>
      <c r="I1136" s="36" t="str">
        <f>_xlfn.XLOOKUP(E1136,'Product List'!$B$2:$B$299,'Product List'!$A$2:$A$299)</f>
        <v>Xerox 1958</v>
      </c>
      <c r="J1136" s="36"/>
      <c r="K1136" s="36"/>
      <c r="L1136" s="36"/>
      <c r="M1136" s="36"/>
      <c r="N1136" s="36"/>
    </row>
    <row r="1137" spans="1:14">
      <c r="A1137" s="8" t="s">
        <v>1092</v>
      </c>
      <c r="B1137" s="19">
        <v>42258</v>
      </c>
      <c r="C1137" s="8" t="s">
        <v>27</v>
      </c>
      <c r="D1137" s="8">
        <v>10003</v>
      </c>
      <c r="E1137" s="8" t="s">
        <v>511</v>
      </c>
      <c r="F1137" s="8" t="s">
        <v>40</v>
      </c>
      <c r="G1137" s="36">
        <f>VLOOKUP(E1137,Flipkart!$A$1:$B$296,2,0)</f>
        <v>0.03</v>
      </c>
      <c r="H1137" s="36">
        <f t="shared" ca="1" si="17"/>
        <v>0.03</v>
      </c>
      <c r="I1137" s="36" t="str">
        <f>_xlfn.XLOOKUP(E1137,'Product List'!$B$2:$B$299,'Product List'!$A$2:$A$299)</f>
        <v>Xerox 1999</v>
      </c>
      <c r="J1137" s="36"/>
      <c r="K1137" s="36"/>
      <c r="L1137" s="36"/>
      <c r="M1137" s="36"/>
      <c r="N1137" s="36"/>
    </row>
    <row r="1138" spans="1:14">
      <c r="A1138" s="8" t="s">
        <v>1091</v>
      </c>
      <c r="B1138" s="19">
        <v>42258</v>
      </c>
      <c r="C1138" s="8" t="s">
        <v>54</v>
      </c>
      <c r="D1138" s="8">
        <v>10003</v>
      </c>
      <c r="E1138" s="8" t="s">
        <v>333</v>
      </c>
      <c r="F1138" s="8" t="s">
        <v>50</v>
      </c>
      <c r="G1138" s="36">
        <f>VLOOKUP(E1138,Flipkart!$A$1:$B$296,2,0)</f>
        <v>0.05</v>
      </c>
      <c r="H1138" s="36">
        <f t="shared" ca="1" si="17"/>
        <v>0.01</v>
      </c>
      <c r="I1138" s="36" t="str">
        <f>_xlfn.XLOOKUP(E1138,'Product List'!$B$2:$B$299,'Product List'!$A$2:$A$299)</f>
        <v>Xerox 1881</v>
      </c>
      <c r="J1138" s="36"/>
      <c r="K1138" s="36"/>
      <c r="L1138" s="36"/>
      <c r="M1138" s="36"/>
      <c r="N1138" s="36"/>
    </row>
    <row r="1139" spans="1:14">
      <c r="A1139" s="8" t="s">
        <v>1093</v>
      </c>
      <c r="B1139" s="19">
        <v>42259</v>
      </c>
      <c r="C1139" s="8" t="s">
        <v>36</v>
      </c>
      <c r="D1139" s="8">
        <v>10010</v>
      </c>
      <c r="E1139" s="8" t="s">
        <v>622</v>
      </c>
      <c r="F1139" s="8" t="s">
        <v>35</v>
      </c>
      <c r="G1139" s="36">
        <f>VLOOKUP(E1139,Flipkart!$A$1:$B$296,2,0)</f>
        <v>0.01</v>
      </c>
      <c r="H1139" s="36">
        <f t="shared" ca="1" si="17"/>
        <v>0.01</v>
      </c>
      <c r="I1139" s="36" t="str">
        <f>_xlfn.XLOOKUP(E1139,'Product List'!$B$2:$B$299,'Product List'!$A$2:$A$299)</f>
        <v>Xerox 1995</v>
      </c>
      <c r="J1139" s="36"/>
      <c r="K1139" s="36"/>
      <c r="L1139" s="36"/>
      <c r="M1139" s="36"/>
      <c r="N1139" s="36"/>
    </row>
    <row r="1140" spans="1:14">
      <c r="A1140" s="8" t="s">
        <v>1093</v>
      </c>
      <c r="B1140" s="19">
        <v>42259</v>
      </c>
      <c r="C1140" s="8" t="s">
        <v>46</v>
      </c>
      <c r="D1140" s="8">
        <v>10011</v>
      </c>
      <c r="E1140" s="8" t="s">
        <v>502</v>
      </c>
      <c r="F1140" s="8" t="s">
        <v>29</v>
      </c>
      <c r="G1140" s="36">
        <f>VLOOKUP(E1140,Flipkart!$A$1:$B$296,2,0)</f>
        <v>0</v>
      </c>
      <c r="H1140" s="36">
        <f t="shared" ca="1" si="17"/>
        <v>0.05</v>
      </c>
      <c r="I1140" s="36" t="str">
        <f>_xlfn.XLOOKUP(E1140,'Product List'!$B$2:$B$299,'Product List'!$A$2:$A$299)</f>
        <v>Xerox 1896</v>
      </c>
      <c r="J1140" s="36"/>
      <c r="K1140" s="36"/>
      <c r="L1140" s="36"/>
      <c r="M1140" s="36"/>
      <c r="N1140" s="36"/>
    </row>
    <row r="1141" spans="1:14">
      <c r="A1141" s="8" t="s">
        <v>1093</v>
      </c>
      <c r="B1141" s="19">
        <v>42259</v>
      </c>
      <c r="C1141" s="8" t="s">
        <v>46</v>
      </c>
      <c r="D1141" s="8">
        <v>10005</v>
      </c>
      <c r="E1141" s="8" t="s">
        <v>926</v>
      </c>
      <c r="F1141" s="8" t="s">
        <v>50</v>
      </c>
      <c r="G1141" s="36">
        <f>VLOOKUP(E1141,Flipkart!$A$1:$B$296,2,0)</f>
        <v>0</v>
      </c>
      <c r="H1141" s="36">
        <f t="shared" ca="1" si="17"/>
        <v>0.05</v>
      </c>
      <c r="I1141" s="36" t="str">
        <f>_xlfn.XLOOKUP(E1141,'Product List'!$B$2:$B$299,'Product List'!$A$2:$A$299)</f>
        <v>Newell 33</v>
      </c>
      <c r="J1141" s="36"/>
      <c r="K1141" s="36"/>
      <c r="L1141" s="36"/>
      <c r="M1141" s="36"/>
      <c r="N1141" s="36"/>
    </row>
    <row r="1142" spans="1:14">
      <c r="A1142" s="8" t="s">
        <v>1094</v>
      </c>
      <c r="B1142" s="19">
        <v>42263</v>
      </c>
      <c r="C1142" s="8" t="s">
        <v>36</v>
      </c>
      <c r="D1142" s="8">
        <v>10001</v>
      </c>
      <c r="E1142" s="8" t="s">
        <v>213</v>
      </c>
      <c r="F1142" s="8" t="s">
        <v>40</v>
      </c>
      <c r="G1142" s="36">
        <f>VLOOKUP(E1142,Flipkart!$A$1:$B$296,2,0)</f>
        <v>0.04</v>
      </c>
      <c r="H1142" s="36">
        <f t="shared" ca="1" si="17"/>
        <v>0.01</v>
      </c>
      <c r="I1142" s="36" t="str">
        <f>_xlfn.XLOOKUP(E1142,'Product List'!$B$2:$B$299,'Product List'!$A$2:$A$299)</f>
        <v>Cisco SPA301</v>
      </c>
      <c r="J1142" s="36"/>
      <c r="K1142" s="36"/>
      <c r="L1142" s="36"/>
      <c r="M1142" s="36"/>
      <c r="N1142" s="36"/>
    </row>
    <row r="1143" spans="1:14">
      <c r="A1143" s="8" t="s">
        <v>1095</v>
      </c>
      <c r="B1143" s="19">
        <v>42265</v>
      </c>
      <c r="C1143" s="8" t="s">
        <v>66</v>
      </c>
      <c r="D1143" s="8">
        <v>10008</v>
      </c>
      <c r="E1143" s="8" t="s">
        <v>501</v>
      </c>
      <c r="F1143" s="8" t="s">
        <v>35</v>
      </c>
      <c r="G1143" s="36">
        <f>VLOOKUP(E1143,Flipkart!$A$1:$B$296,2,0)</f>
        <v>0</v>
      </c>
      <c r="H1143" s="36">
        <f t="shared" ca="1" si="17"/>
        <v>0</v>
      </c>
      <c r="I1143" s="36" t="str">
        <f>_xlfn.XLOOKUP(E1143,'Product List'!$B$2:$B$299,'Product List'!$A$2:$A$299)</f>
        <v>Avery 500</v>
      </c>
      <c r="J1143" s="36"/>
      <c r="K1143" s="36"/>
      <c r="L1143" s="36"/>
      <c r="M1143" s="36"/>
      <c r="N1143" s="36"/>
    </row>
    <row r="1144" spans="1:14">
      <c r="A1144" s="8" t="s">
        <v>1095</v>
      </c>
      <c r="B1144" s="19">
        <v>42265</v>
      </c>
      <c r="C1144" s="8" t="s">
        <v>36</v>
      </c>
      <c r="D1144" s="8">
        <v>10012</v>
      </c>
      <c r="E1144" s="8" t="s">
        <v>892</v>
      </c>
      <c r="F1144" s="8" t="s">
        <v>32</v>
      </c>
      <c r="G1144" s="36">
        <f>VLOOKUP(E1144,Flipkart!$A$1:$B$296,2,0)</f>
        <v>0.04</v>
      </c>
      <c r="H1144" s="36">
        <f t="shared" ca="1" si="17"/>
        <v>0</v>
      </c>
      <c r="I1144" s="36" t="str">
        <f>_xlfn.XLOOKUP(E1144,'Product List'!$B$2:$B$299,'Product List'!$A$2:$A$299)</f>
        <v>Avery 515</v>
      </c>
      <c r="J1144" s="36"/>
      <c r="K1144" s="36"/>
      <c r="L1144" s="36"/>
      <c r="M1144" s="36"/>
      <c r="N1144" s="36"/>
    </row>
    <row r="1145" spans="1:14">
      <c r="A1145" s="8" t="s">
        <v>1095</v>
      </c>
      <c r="B1145" s="19">
        <v>42265</v>
      </c>
      <c r="C1145" s="8" t="s">
        <v>46</v>
      </c>
      <c r="D1145" s="8">
        <v>10012</v>
      </c>
      <c r="E1145" s="8" t="s">
        <v>126</v>
      </c>
      <c r="F1145" s="8" t="s">
        <v>40</v>
      </c>
      <c r="G1145" s="36">
        <f>VLOOKUP(E1145,Flipkart!$A$1:$B$296,2,0)</f>
        <v>0.05</v>
      </c>
      <c r="H1145" s="36">
        <f t="shared" ca="1" si="17"/>
        <v>0.03</v>
      </c>
      <c r="I1145" s="36" t="str">
        <f>_xlfn.XLOOKUP(E1145,'Product List'!$B$2:$B$299,'Product List'!$A$2:$A$299)</f>
        <v>Xerox 1964</v>
      </c>
      <c r="J1145" s="36"/>
      <c r="K1145" s="36"/>
      <c r="L1145" s="36"/>
      <c r="M1145" s="36"/>
      <c r="N1145" s="36"/>
    </row>
    <row r="1146" spans="1:14">
      <c r="A1146" s="8" t="s">
        <v>1096</v>
      </c>
      <c r="B1146" s="19">
        <v>42267</v>
      </c>
      <c r="C1146" s="8" t="s">
        <v>54</v>
      </c>
      <c r="D1146" s="8">
        <v>10008</v>
      </c>
      <c r="E1146" s="8" t="s">
        <v>309</v>
      </c>
      <c r="F1146" s="8" t="s">
        <v>43</v>
      </c>
      <c r="G1146" s="36">
        <f>VLOOKUP(E1146,Flipkart!$A$1:$B$296,2,0)</f>
        <v>0.01</v>
      </c>
      <c r="H1146" s="36">
        <f t="shared" ca="1" si="17"/>
        <v>0.02</v>
      </c>
      <c r="I1146" s="36" t="str">
        <f>_xlfn.XLOOKUP(E1146,'Product List'!$B$2:$B$299,'Product List'!$A$2:$A$299)</f>
        <v>Xerox 1996</v>
      </c>
      <c r="J1146" s="36"/>
      <c r="K1146" s="36"/>
      <c r="L1146" s="36"/>
      <c r="M1146" s="36"/>
      <c r="N1146" s="36"/>
    </row>
    <row r="1147" spans="1:14">
      <c r="A1147" s="8" t="s">
        <v>1097</v>
      </c>
      <c r="B1147" s="19">
        <v>42270</v>
      </c>
      <c r="C1147" s="8" t="s">
        <v>46</v>
      </c>
      <c r="D1147" s="8">
        <v>10005</v>
      </c>
      <c r="E1147" s="8" t="s">
        <v>361</v>
      </c>
      <c r="F1147" s="8" t="s">
        <v>35</v>
      </c>
      <c r="G1147" s="36">
        <f>VLOOKUP(E1147,Flipkart!$A$1:$B$296,2,0)</f>
        <v>0.01</v>
      </c>
      <c r="H1147" s="36">
        <f t="shared" ca="1" si="17"/>
        <v>0.01</v>
      </c>
      <c r="I1147" s="36" t="str">
        <f>_xlfn.XLOOKUP(E1147,'Product List'!$B$2:$B$299,'Product List'!$A$2:$A$299)</f>
        <v>Avery 518</v>
      </c>
      <c r="J1147" s="36"/>
      <c r="K1147" s="36"/>
      <c r="L1147" s="36"/>
      <c r="M1147" s="36"/>
      <c r="N1147" s="36"/>
    </row>
    <row r="1148" spans="1:14">
      <c r="A1148" s="8" t="s">
        <v>1097</v>
      </c>
      <c r="B1148" s="19">
        <v>42270</v>
      </c>
      <c r="C1148" s="8" t="s">
        <v>33</v>
      </c>
      <c r="D1148" s="8">
        <v>10013</v>
      </c>
      <c r="E1148" s="8" t="s">
        <v>149</v>
      </c>
      <c r="F1148" s="8" t="s">
        <v>50</v>
      </c>
      <c r="G1148" s="36">
        <f>VLOOKUP(E1148,Flipkart!$A$1:$B$296,2,0)</f>
        <v>0.05</v>
      </c>
      <c r="H1148" s="36">
        <f t="shared" ca="1" si="17"/>
        <v>0</v>
      </c>
      <c r="I1148" s="36" t="str">
        <f>_xlfn.XLOOKUP(E1148,'Product List'!$B$2:$B$299,'Product List'!$A$2:$A$299)</f>
        <v>Xerox 1992</v>
      </c>
      <c r="J1148" s="36"/>
      <c r="K1148" s="36"/>
      <c r="L1148" s="36"/>
      <c r="M1148" s="36"/>
      <c r="N1148" s="36"/>
    </row>
    <row r="1149" spans="1:14">
      <c r="A1149" s="8" t="s">
        <v>1097</v>
      </c>
      <c r="B1149" s="19">
        <v>42270</v>
      </c>
      <c r="C1149" s="8" t="s">
        <v>27</v>
      </c>
      <c r="D1149" s="8">
        <v>10002</v>
      </c>
      <c r="E1149" s="8" t="s">
        <v>100</v>
      </c>
      <c r="F1149" s="8" t="s">
        <v>43</v>
      </c>
      <c r="G1149" s="36">
        <f>VLOOKUP(E1149,Flipkart!$A$1:$B$296,2,0)</f>
        <v>0.02</v>
      </c>
      <c r="H1149" s="36">
        <f t="shared" ca="1" si="17"/>
        <v>0.05</v>
      </c>
      <c r="I1149" s="36" t="str">
        <f>_xlfn.XLOOKUP(E1149,'Product List'!$B$2:$B$299,'Product List'!$A$2:$A$299)</f>
        <v>Xerox 1893</v>
      </c>
      <c r="J1149" s="36"/>
      <c r="K1149" s="36"/>
      <c r="L1149" s="36"/>
      <c r="M1149" s="36"/>
      <c r="N1149" s="36"/>
    </row>
    <row r="1150" spans="1:14">
      <c r="A1150" s="8" t="s">
        <v>1098</v>
      </c>
      <c r="B1150" s="19">
        <v>42272</v>
      </c>
      <c r="C1150" s="8" t="s">
        <v>51</v>
      </c>
      <c r="D1150" s="8">
        <v>10012</v>
      </c>
      <c r="E1150" s="8" t="s">
        <v>116</v>
      </c>
      <c r="F1150" s="8" t="s">
        <v>29</v>
      </c>
      <c r="G1150" s="36">
        <f>VLOOKUP(E1150,Flipkart!$A$1:$B$296,2,0)</f>
        <v>0.02</v>
      </c>
      <c r="H1150" s="36">
        <f t="shared" ca="1" si="17"/>
        <v>0.05</v>
      </c>
      <c r="I1150" s="36" t="str">
        <f>_xlfn.XLOOKUP(E1150,'Product List'!$B$2:$B$299,'Product List'!$A$2:$A$299)</f>
        <v>Newell 326</v>
      </c>
      <c r="J1150" s="36"/>
      <c r="K1150" s="36"/>
      <c r="L1150" s="36"/>
      <c r="M1150" s="36"/>
      <c r="N1150" s="36"/>
    </row>
    <row r="1151" spans="1:14">
      <c r="A1151" s="8" t="s">
        <v>1098</v>
      </c>
      <c r="B1151" s="19">
        <v>42272</v>
      </c>
      <c r="C1151" s="8" t="s">
        <v>33</v>
      </c>
      <c r="D1151" s="8">
        <v>10014</v>
      </c>
      <c r="E1151" s="8" t="s">
        <v>445</v>
      </c>
      <c r="F1151" s="8" t="s">
        <v>50</v>
      </c>
      <c r="G1151" s="36">
        <f>VLOOKUP(E1151,Flipkart!$A$1:$B$296,2,0)</f>
        <v>0.01</v>
      </c>
      <c r="H1151" s="36">
        <f t="shared" ca="1" si="17"/>
        <v>0.01</v>
      </c>
      <c r="I1151" s="36" t="str">
        <f>_xlfn.XLOOKUP(E1151,'Product List'!$B$2:$B$299,'Product List'!$A$2:$A$299)</f>
        <v>Xerox 1882</v>
      </c>
      <c r="J1151" s="36"/>
      <c r="K1151" s="36"/>
      <c r="L1151" s="36"/>
      <c r="M1151" s="36"/>
      <c r="N1151" s="36"/>
    </row>
    <row r="1152" spans="1:14">
      <c r="A1152" s="8" t="s">
        <v>1099</v>
      </c>
      <c r="B1152" s="19">
        <v>42273</v>
      </c>
      <c r="C1152" s="8" t="s">
        <v>54</v>
      </c>
      <c r="D1152" s="8">
        <v>10008</v>
      </c>
      <c r="E1152" s="8" t="s">
        <v>555</v>
      </c>
      <c r="F1152" s="8" t="s">
        <v>40</v>
      </c>
      <c r="G1152" s="36">
        <f>VLOOKUP(E1152,Flipkart!$A$1:$B$296,2,0)</f>
        <v>0.04</v>
      </c>
      <c r="H1152" s="36">
        <f t="shared" ca="1" si="17"/>
        <v>0.04</v>
      </c>
      <c r="I1152" s="36" t="str">
        <f>_xlfn.XLOOKUP(E1152,'Product List'!$B$2:$B$299,'Product List'!$A$2:$A$299)</f>
        <v>Xerox 1880</v>
      </c>
      <c r="J1152" s="36"/>
      <c r="K1152" s="36"/>
      <c r="L1152" s="36"/>
      <c r="M1152" s="36"/>
      <c r="N1152" s="36"/>
    </row>
    <row r="1153" spans="1:14">
      <c r="A1153" s="8" t="s">
        <v>1100</v>
      </c>
      <c r="B1153" s="19">
        <v>42273</v>
      </c>
      <c r="C1153" s="8" t="s">
        <v>27</v>
      </c>
      <c r="D1153" s="8">
        <v>10002</v>
      </c>
      <c r="E1153" s="8" t="s">
        <v>588</v>
      </c>
      <c r="F1153" s="8" t="s">
        <v>35</v>
      </c>
      <c r="G1153" s="36">
        <f>VLOOKUP(E1153,Flipkart!$A$1:$B$296,2,0)</f>
        <v>0.05</v>
      </c>
      <c r="H1153" s="36">
        <f t="shared" ca="1" si="17"/>
        <v>0.05</v>
      </c>
      <c r="I1153" s="36" t="str">
        <f>_xlfn.XLOOKUP(E1153,'Product List'!$B$2:$B$299,'Product List'!$A$2:$A$299)</f>
        <v>Xerox 1947</v>
      </c>
      <c r="J1153" s="36"/>
      <c r="K1153" s="36"/>
      <c r="L1153" s="36"/>
      <c r="M1153" s="36"/>
      <c r="N1153" s="36"/>
    </row>
    <row r="1154" spans="1:14">
      <c r="A1154" s="8" t="s">
        <v>1101</v>
      </c>
      <c r="B1154" s="19">
        <v>42275</v>
      </c>
      <c r="C1154" s="8" t="s">
        <v>46</v>
      </c>
      <c r="D1154" s="8">
        <v>10011</v>
      </c>
      <c r="E1154" s="8" t="s">
        <v>74</v>
      </c>
      <c r="F1154" s="8" t="s">
        <v>35</v>
      </c>
      <c r="G1154" s="36">
        <f>VLOOKUP(E1154,Flipkart!$A$1:$B$296,2,0)</f>
        <v>0.03</v>
      </c>
      <c r="H1154" s="36">
        <f t="shared" ca="1" si="17"/>
        <v>0.03</v>
      </c>
      <c r="I1154" s="36" t="str">
        <f>_xlfn.XLOOKUP(E1154,'Product List'!$B$2:$B$299,'Product List'!$A$2:$A$299)</f>
        <v>Newell 310</v>
      </c>
      <c r="J1154" s="36"/>
      <c r="K1154" s="36"/>
      <c r="L1154" s="36"/>
      <c r="M1154" s="36"/>
      <c r="N1154" s="36"/>
    </row>
    <row r="1155" spans="1:14">
      <c r="A1155" s="8" t="s">
        <v>1101</v>
      </c>
      <c r="B1155" s="19">
        <v>42275</v>
      </c>
      <c r="C1155" s="8" t="s">
        <v>27</v>
      </c>
      <c r="D1155" s="8">
        <v>10010</v>
      </c>
      <c r="E1155" s="8" t="s">
        <v>390</v>
      </c>
      <c r="F1155" s="8" t="s">
        <v>43</v>
      </c>
      <c r="G1155" s="36">
        <f>VLOOKUP(E1155,Flipkart!$A$1:$B$296,2,0)</f>
        <v>0.05</v>
      </c>
      <c r="H1155" s="36">
        <f t="shared" ca="1" si="17"/>
        <v>0.05</v>
      </c>
      <c r="I1155" s="36" t="str">
        <f>_xlfn.XLOOKUP(E1155,'Product List'!$B$2:$B$299,'Product List'!$A$2:$A$299)</f>
        <v>Avery 502</v>
      </c>
      <c r="J1155" s="36"/>
      <c r="K1155" s="36"/>
      <c r="L1155" s="36"/>
      <c r="M1155" s="36"/>
      <c r="N1155" s="36"/>
    </row>
    <row r="1156" spans="1:14">
      <c r="A1156" s="8" t="s">
        <v>1102</v>
      </c>
      <c r="B1156" s="19">
        <v>42277</v>
      </c>
      <c r="C1156" s="8" t="s">
        <v>66</v>
      </c>
      <c r="D1156" s="8">
        <v>10006</v>
      </c>
      <c r="E1156" s="8" t="s">
        <v>322</v>
      </c>
      <c r="F1156" s="8" t="s">
        <v>50</v>
      </c>
      <c r="G1156" s="36">
        <f>VLOOKUP(E1156,Flipkart!$A$1:$B$296,2,0)</f>
        <v>0.05</v>
      </c>
      <c r="H1156" s="36">
        <f t="shared" ref="H1156:H1219" ca="1" si="18">VLOOKUP(E1156,INDIRECT(F1156&amp;"!$A$1:$B$296"),2,0)</f>
        <v>0.01</v>
      </c>
      <c r="I1156" s="36" t="str">
        <f>_xlfn.XLOOKUP(E1156,'Product List'!$B$2:$B$299,'Product List'!$A$2:$A$299)</f>
        <v>Xerox 1966</v>
      </c>
      <c r="J1156" s="36"/>
      <c r="K1156" s="36"/>
      <c r="L1156" s="36"/>
      <c r="M1156" s="36"/>
      <c r="N1156" s="36"/>
    </row>
    <row r="1157" spans="1:14">
      <c r="A1157" s="8" t="s">
        <v>1102</v>
      </c>
      <c r="B1157" s="19">
        <v>42277</v>
      </c>
      <c r="C1157" s="8" t="s">
        <v>51</v>
      </c>
      <c r="D1157" s="8">
        <v>10014</v>
      </c>
      <c r="E1157" s="8" t="s">
        <v>1048</v>
      </c>
      <c r="F1157" s="8" t="s">
        <v>35</v>
      </c>
      <c r="G1157" s="36">
        <f>VLOOKUP(E1157,Flipkart!$A$1:$B$296,2,0)</f>
        <v>0</v>
      </c>
      <c r="H1157" s="36">
        <f t="shared" ca="1" si="18"/>
        <v>0</v>
      </c>
      <c r="I1157" s="36" t="str">
        <f>_xlfn.XLOOKUP(E1157,'Product List'!$B$2:$B$299,'Product List'!$A$2:$A$299)</f>
        <v>LG G3</v>
      </c>
      <c r="J1157" s="36"/>
      <c r="K1157" s="36"/>
      <c r="L1157" s="36"/>
      <c r="M1157" s="36"/>
      <c r="N1157" s="36"/>
    </row>
    <row r="1158" spans="1:14">
      <c r="A1158" s="8" t="s">
        <v>1103</v>
      </c>
      <c r="B1158" s="19">
        <v>42278</v>
      </c>
      <c r="C1158" s="8" t="s">
        <v>36</v>
      </c>
      <c r="D1158" s="8">
        <v>10008</v>
      </c>
      <c r="E1158" s="8" t="s">
        <v>69</v>
      </c>
      <c r="F1158" s="8" t="s">
        <v>40</v>
      </c>
      <c r="G1158" s="36">
        <f>VLOOKUP(E1158,Flipkart!$A$1:$B$296,2,0)</f>
        <v>0.05</v>
      </c>
      <c r="H1158" s="36">
        <f t="shared" ca="1" si="18"/>
        <v>0.03</v>
      </c>
      <c r="I1158" s="36" t="str">
        <f>_xlfn.XLOOKUP(E1158,'Product List'!$B$2:$B$299,'Product List'!$A$2:$A$299)</f>
        <v>Newell 330</v>
      </c>
      <c r="J1158" s="36"/>
      <c r="K1158" s="36"/>
      <c r="L1158" s="36"/>
      <c r="M1158" s="36"/>
      <c r="N1158" s="36"/>
    </row>
    <row r="1159" spans="1:14">
      <c r="A1159" s="8" t="s">
        <v>1104</v>
      </c>
      <c r="B1159" s="19">
        <v>42278</v>
      </c>
      <c r="C1159" s="8" t="s">
        <v>36</v>
      </c>
      <c r="D1159" s="8">
        <v>10005</v>
      </c>
      <c r="E1159" s="8" t="s">
        <v>45</v>
      </c>
      <c r="F1159" s="8" t="s">
        <v>43</v>
      </c>
      <c r="G1159" s="36">
        <f>VLOOKUP(E1159,Flipkart!$A$1:$B$296,2,0)</f>
        <v>0.04</v>
      </c>
      <c r="H1159" s="36">
        <f t="shared" ca="1" si="18"/>
        <v>0.01</v>
      </c>
      <c r="I1159" s="36" t="str">
        <f>_xlfn.XLOOKUP(E1159,'Product List'!$B$2:$B$299,'Product List'!$A$2:$A$299)</f>
        <v>Avery 486</v>
      </c>
      <c r="J1159" s="36"/>
      <c r="K1159" s="36"/>
      <c r="L1159" s="36"/>
      <c r="M1159" s="36"/>
      <c r="N1159" s="36"/>
    </row>
    <row r="1160" spans="1:14">
      <c r="A1160" s="8" t="s">
        <v>1103</v>
      </c>
      <c r="B1160" s="19">
        <v>42278</v>
      </c>
      <c r="C1160" s="8" t="s">
        <v>46</v>
      </c>
      <c r="D1160" s="8">
        <v>10013</v>
      </c>
      <c r="E1160" s="8" t="s">
        <v>118</v>
      </c>
      <c r="F1160" s="8" t="s">
        <v>40</v>
      </c>
      <c r="G1160" s="36">
        <f>VLOOKUP(E1160,Flipkart!$A$1:$B$296,2,0)</f>
        <v>0.01</v>
      </c>
      <c r="H1160" s="36">
        <f t="shared" ca="1" si="18"/>
        <v>0.01</v>
      </c>
      <c r="I1160" s="36" t="str">
        <f>_xlfn.XLOOKUP(E1160,'Product List'!$B$2:$B$299,'Product List'!$A$2:$A$299)</f>
        <v>Xerox 1998</v>
      </c>
      <c r="J1160" s="36"/>
      <c r="K1160" s="36"/>
      <c r="L1160" s="36"/>
      <c r="M1160" s="36"/>
      <c r="N1160" s="36"/>
    </row>
    <row r="1161" spans="1:14">
      <c r="A1161" s="8" t="s">
        <v>1104</v>
      </c>
      <c r="B1161" s="19">
        <v>42278</v>
      </c>
      <c r="C1161" s="8" t="s">
        <v>51</v>
      </c>
      <c r="D1161" s="8">
        <v>10013</v>
      </c>
      <c r="E1161" s="8" t="s">
        <v>877</v>
      </c>
      <c r="F1161" s="8" t="s">
        <v>32</v>
      </c>
      <c r="G1161" s="36">
        <f>VLOOKUP(E1161,Flipkart!$A$1:$B$296,2,0)</f>
        <v>0.02</v>
      </c>
      <c r="H1161" s="36">
        <f t="shared" ca="1" si="18"/>
        <v>0.02</v>
      </c>
      <c r="I1161" s="36" t="str">
        <f>_xlfn.XLOOKUP(E1161,'Product List'!$B$2:$B$299,'Product List'!$A$2:$A$299)</f>
        <v>Avery 484</v>
      </c>
      <c r="J1161" s="36"/>
      <c r="K1161" s="36"/>
      <c r="L1161" s="36"/>
      <c r="M1161" s="36"/>
      <c r="N1161" s="36"/>
    </row>
    <row r="1162" spans="1:14">
      <c r="A1162" s="8" t="s">
        <v>1104</v>
      </c>
      <c r="B1162" s="19">
        <v>42278</v>
      </c>
      <c r="C1162" s="8" t="s">
        <v>51</v>
      </c>
      <c r="D1162" s="8">
        <v>10013</v>
      </c>
      <c r="E1162" s="8" t="s">
        <v>877</v>
      </c>
      <c r="F1162" s="8" t="s">
        <v>32</v>
      </c>
      <c r="G1162" s="36">
        <f>VLOOKUP(E1162,Flipkart!$A$1:$B$296,2,0)</f>
        <v>0.02</v>
      </c>
      <c r="H1162" s="36">
        <f t="shared" ca="1" si="18"/>
        <v>0.02</v>
      </c>
      <c r="I1162" s="36" t="str">
        <f>_xlfn.XLOOKUP(E1162,'Product List'!$B$2:$B$299,'Product List'!$A$2:$A$299)</f>
        <v>Avery 484</v>
      </c>
      <c r="J1162" s="36"/>
      <c r="K1162" s="36"/>
      <c r="L1162" s="36"/>
      <c r="M1162" s="36"/>
      <c r="N1162" s="36"/>
    </row>
    <row r="1163" spans="1:14">
      <c r="A1163" s="8" t="s">
        <v>1105</v>
      </c>
      <c r="B1163" s="19">
        <v>42280</v>
      </c>
      <c r="C1163" s="8" t="s">
        <v>51</v>
      </c>
      <c r="D1163" s="8">
        <v>10008</v>
      </c>
      <c r="E1163" s="8" t="s">
        <v>322</v>
      </c>
      <c r="F1163" s="8" t="s">
        <v>43</v>
      </c>
      <c r="G1163" s="36">
        <f>VLOOKUP(E1163,Flipkart!$A$1:$B$296,2,0)</f>
        <v>0.05</v>
      </c>
      <c r="H1163" s="36">
        <f t="shared" ca="1" si="18"/>
        <v>0.05</v>
      </c>
      <c r="I1163" s="36" t="str">
        <f>_xlfn.XLOOKUP(E1163,'Product List'!$B$2:$B$299,'Product List'!$A$2:$A$299)</f>
        <v>Xerox 1966</v>
      </c>
      <c r="J1163" s="36"/>
      <c r="K1163" s="36"/>
      <c r="L1163" s="36"/>
      <c r="M1163" s="36"/>
      <c r="N1163" s="36"/>
    </row>
    <row r="1164" spans="1:14">
      <c r="A1164" s="8" t="s">
        <v>1106</v>
      </c>
      <c r="B1164" s="19">
        <v>42281</v>
      </c>
      <c r="C1164" s="8" t="s">
        <v>51</v>
      </c>
      <c r="D1164" s="8">
        <v>10004</v>
      </c>
      <c r="E1164" s="8" t="s">
        <v>105</v>
      </c>
      <c r="F1164" s="8" t="s">
        <v>32</v>
      </c>
      <c r="G1164" s="36">
        <f>VLOOKUP(E1164,Flipkart!$A$1:$B$296,2,0)</f>
        <v>0.05</v>
      </c>
      <c r="H1164" s="36">
        <f t="shared" ca="1" si="18"/>
        <v>0.01</v>
      </c>
      <c r="I1164" s="36" t="str">
        <f>_xlfn.XLOOKUP(E1164,'Product List'!$B$2:$B$299,'Product List'!$A$2:$A$299)</f>
        <v>Xerox 201</v>
      </c>
      <c r="J1164" s="36"/>
      <c r="K1164" s="36"/>
      <c r="L1164" s="36"/>
      <c r="M1164" s="36"/>
      <c r="N1164" s="36"/>
    </row>
    <row r="1165" spans="1:14">
      <c r="A1165" s="8" t="s">
        <v>1107</v>
      </c>
      <c r="B1165" s="19">
        <v>42286</v>
      </c>
      <c r="C1165" s="8" t="s">
        <v>36</v>
      </c>
      <c r="D1165" s="8">
        <v>10001</v>
      </c>
      <c r="E1165" s="8" t="s">
        <v>211</v>
      </c>
      <c r="F1165" s="8" t="s">
        <v>40</v>
      </c>
      <c r="G1165" s="36">
        <f>VLOOKUP(E1165,Flipkart!$A$1:$B$296,2,0)</f>
        <v>0.03</v>
      </c>
      <c r="H1165" s="36">
        <f t="shared" ca="1" si="18"/>
        <v>0.02</v>
      </c>
      <c r="I1165" s="36" t="str">
        <f>_xlfn.XLOOKUP(E1165,'Product List'!$B$2:$B$299,'Product List'!$A$2:$A$299)</f>
        <v>Xerox 1993</v>
      </c>
      <c r="J1165" s="36"/>
      <c r="K1165" s="36"/>
      <c r="L1165" s="36"/>
      <c r="M1165" s="36"/>
      <c r="N1165" s="36"/>
    </row>
    <row r="1166" spans="1:14">
      <c r="A1166" s="8" t="s">
        <v>1108</v>
      </c>
      <c r="B1166" s="19">
        <v>42287</v>
      </c>
      <c r="C1166" s="8" t="s">
        <v>36</v>
      </c>
      <c r="D1166" s="8">
        <v>10003</v>
      </c>
      <c r="E1166" s="8" t="s">
        <v>467</v>
      </c>
      <c r="F1166" s="8" t="s">
        <v>35</v>
      </c>
      <c r="G1166" s="36">
        <f>VLOOKUP(E1166,Flipkart!$A$1:$B$296,2,0)</f>
        <v>0.05</v>
      </c>
      <c r="H1166" s="36">
        <f t="shared" ca="1" si="18"/>
        <v>0.05</v>
      </c>
      <c r="I1166" s="36" t="str">
        <f>_xlfn.XLOOKUP(E1166,'Product List'!$B$2:$B$299,'Product List'!$A$2:$A$299)</f>
        <v>Xerox 215</v>
      </c>
      <c r="J1166" s="36"/>
      <c r="K1166" s="36"/>
      <c r="L1166" s="36"/>
      <c r="M1166" s="36"/>
      <c r="N1166" s="36"/>
    </row>
    <row r="1167" spans="1:14">
      <c r="A1167" s="8" t="s">
        <v>1109</v>
      </c>
      <c r="B1167" s="19">
        <v>42289</v>
      </c>
      <c r="C1167" s="8" t="s">
        <v>54</v>
      </c>
      <c r="D1167" s="8">
        <v>10010</v>
      </c>
      <c r="E1167" s="8" t="s">
        <v>143</v>
      </c>
      <c r="F1167" s="8" t="s">
        <v>29</v>
      </c>
      <c r="G1167" s="36">
        <f>VLOOKUP(E1167,Flipkart!$A$1:$B$296,2,0)</f>
        <v>0.04</v>
      </c>
      <c r="H1167" s="36">
        <f t="shared" ca="1" si="18"/>
        <v>0.03</v>
      </c>
      <c r="I1167" s="36" t="str">
        <f>_xlfn.XLOOKUP(E1167,'Product List'!$B$2:$B$299,'Product List'!$A$2:$A$299)</f>
        <v>Xerox 1932</v>
      </c>
      <c r="J1167" s="36"/>
      <c r="K1167" s="36"/>
      <c r="L1167" s="36"/>
      <c r="M1167" s="36"/>
      <c r="N1167" s="36"/>
    </row>
    <row r="1168" spans="1:14">
      <c r="A1168" s="8" t="s">
        <v>1110</v>
      </c>
      <c r="B1168" s="19">
        <v>42291</v>
      </c>
      <c r="C1168" s="8" t="s">
        <v>36</v>
      </c>
      <c r="D1168" s="8">
        <v>10005</v>
      </c>
      <c r="E1168" s="8" t="s">
        <v>470</v>
      </c>
      <c r="F1168" s="8" t="s">
        <v>35</v>
      </c>
      <c r="G1168" s="36">
        <f>VLOOKUP(E1168,Flipkart!$A$1:$B$296,2,0)</f>
        <v>0.04</v>
      </c>
      <c r="H1168" s="36">
        <f t="shared" ca="1" si="18"/>
        <v>0.04</v>
      </c>
      <c r="I1168" s="36" t="str">
        <f>_xlfn.XLOOKUP(E1168,'Product List'!$B$2:$B$299,'Product List'!$A$2:$A$299)</f>
        <v>Xerox 1884</v>
      </c>
      <c r="J1168" s="36"/>
      <c r="K1168" s="36"/>
      <c r="L1168" s="36"/>
      <c r="M1168" s="36"/>
      <c r="N1168" s="36"/>
    </row>
    <row r="1169" spans="1:14">
      <c r="A1169" s="8" t="s">
        <v>1111</v>
      </c>
      <c r="B1169" s="19">
        <v>42293</v>
      </c>
      <c r="C1169" s="8" t="s">
        <v>36</v>
      </c>
      <c r="D1169" s="8">
        <v>10003</v>
      </c>
      <c r="E1169" s="8" t="s">
        <v>420</v>
      </c>
      <c r="F1169" s="8" t="s">
        <v>35</v>
      </c>
      <c r="G1169" s="36">
        <f>VLOOKUP(E1169,Flipkart!$A$1:$B$296,2,0)</f>
        <v>0.05</v>
      </c>
      <c r="H1169" s="36">
        <f t="shared" ca="1" si="18"/>
        <v>0.05</v>
      </c>
      <c r="I1169" s="36" t="str">
        <f>_xlfn.XLOOKUP(E1169,'Product List'!$B$2:$B$299,'Product List'!$A$2:$A$299)</f>
        <v>Xerox 1972</v>
      </c>
      <c r="J1169" s="36"/>
      <c r="K1169" s="36"/>
      <c r="L1169" s="36"/>
      <c r="M1169" s="36"/>
      <c r="N1169" s="36"/>
    </row>
    <row r="1170" spans="1:14">
      <c r="A1170" s="8" t="s">
        <v>1112</v>
      </c>
      <c r="B1170" s="19">
        <v>42295</v>
      </c>
      <c r="C1170" s="8" t="s">
        <v>51</v>
      </c>
      <c r="D1170" s="8">
        <v>10005</v>
      </c>
      <c r="E1170" s="8" t="s">
        <v>588</v>
      </c>
      <c r="F1170" s="8" t="s">
        <v>29</v>
      </c>
      <c r="G1170" s="36">
        <f>VLOOKUP(E1170,Flipkart!$A$1:$B$296,2,0)</f>
        <v>0.05</v>
      </c>
      <c r="H1170" s="36">
        <f t="shared" ca="1" si="18"/>
        <v>0.02</v>
      </c>
      <c r="I1170" s="36" t="str">
        <f>_xlfn.XLOOKUP(E1170,'Product List'!$B$2:$B$299,'Product List'!$A$2:$A$299)</f>
        <v>Xerox 1947</v>
      </c>
      <c r="J1170" s="36"/>
      <c r="K1170" s="36"/>
      <c r="L1170" s="36"/>
      <c r="M1170" s="36"/>
      <c r="N1170" s="36"/>
    </row>
    <row r="1171" spans="1:14">
      <c r="A1171" s="8" t="s">
        <v>1113</v>
      </c>
      <c r="B1171" s="19">
        <v>42295</v>
      </c>
      <c r="C1171" s="8" t="s">
        <v>46</v>
      </c>
      <c r="D1171" s="8">
        <v>10003</v>
      </c>
      <c r="E1171" s="8" t="s">
        <v>28</v>
      </c>
      <c r="F1171" s="8" t="s">
        <v>29</v>
      </c>
      <c r="G1171" s="36">
        <f>VLOOKUP(E1171,Flipkart!$A$1:$B$296,2,0)</f>
        <v>0</v>
      </c>
      <c r="H1171" s="36">
        <f t="shared" ca="1" si="18"/>
        <v>0.01</v>
      </c>
      <c r="I1171" s="36" t="str">
        <f>_xlfn.XLOOKUP(E1171,'Product List'!$B$2:$B$299,'Product List'!$A$2:$A$299)</f>
        <v>Xerox 1951</v>
      </c>
      <c r="J1171" s="36"/>
      <c r="K1171" s="36"/>
      <c r="L1171" s="36"/>
      <c r="M1171" s="36"/>
      <c r="N1171" s="36"/>
    </row>
    <row r="1172" spans="1:14">
      <c r="A1172" s="8" t="s">
        <v>1112</v>
      </c>
      <c r="B1172" s="19">
        <v>42295</v>
      </c>
      <c r="C1172" s="8" t="s">
        <v>54</v>
      </c>
      <c r="D1172" s="8">
        <v>10001</v>
      </c>
      <c r="E1172" s="8" t="s">
        <v>153</v>
      </c>
      <c r="F1172" s="8" t="s">
        <v>29</v>
      </c>
      <c r="G1172" s="36">
        <f>VLOOKUP(E1172,Flipkart!$A$1:$B$296,2,0)</f>
        <v>0</v>
      </c>
      <c r="H1172" s="36">
        <f t="shared" ca="1" si="18"/>
        <v>0.02</v>
      </c>
      <c r="I1172" s="36" t="str">
        <f>_xlfn.XLOOKUP(E1172,'Product List'!$B$2:$B$299,'Product List'!$A$2:$A$299)</f>
        <v>LG G2</v>
      </c>
      <c r="J1172" s="36"/>
      <c r="K1172" s="36"/>
      <c r="L1172" s="36"/>
      <c r="M1172" s="36"/>
      <c r="N1172" s="36"/>
    </row>
    <row r="1173" spans="1:14">
      <c r="A1173" s="8" t="s">
        <v>1114</v>
      </c>
      <c r="B1173" s="19">
        <v>42297</v>
      </c>
      <c r="C1173" s="8" t="s">
        <v>33</v>
      </c>
      <c r="D1173" s="8">
        <v>10014</v>
      </c>
      <c r="E1173" s="8" t="s">
        <v>65</v>
      </c>
      <c r="F1173" s="8" t="s">
        <v>50</v>
      </c>
      <c r="G1173" s="36">
        <f>VLOOKUP(E1173,Flipkart!$A$1:$B$296,2,0)</f>
        <v>0</v>
      </c>
      <c r="H1173" s="36">
        <f t="shared" ca="1" si="18"/>
        <v>0.05</v>
      </c>
      <c r="I1173" s="36" t="str">
        <f>_xlfn.XLOOKUP(E1173,'Product List'!$B$2:$B$299,'Product List'!$A$2:$A$299)</f>
        <v>Xerox 1963</v>
      </c>
      <c r="J1173" s="36"/>
      <c r="K1173" s="36"/>
      <c r="L1173" s="36"/>
      <c r="M1173" s="36"/>
      <c r="N1173" s="36"/>
    </row>
    <row r="1174" spans="1:14">
      <c r="A1174" s="8" t="s">
        <v>1115</v>
      </c>
      <c r="B1174" s="19">
        <v>42297</v>
      </c>
      <c r="C1174" s="8" t="s">
        <v>66</v>
      </c>
      <c r="D1174" s="8">
        <v>10009</v>
      </c>
      <c r="E1174" s="8" t="s">
        <v>926</v>
      </c>
      <c r="F1174" s="8" t="s">
        <v>32</v>
      </c>
      <c r="G1174" s="36">
        <f>VLOOKUP(E1174,Flipkart!$A$1:$B$296,2,0)</f>
        <v>0</v>
      </c>
      <c r="H1174" s="36">
        <f t="shared" ca="1" si="18"/>
        <v>0.02</v>
      </c>
      <c r="I1174" s="36" t="str">
        <f>_xlfn.XLOOKUP(E1174,'Product List'!$B$2:$B$299,'Product List'!$A$2:$A$299)</f>
        <v>Newell 33</v>
      </c>
      <c r="J1174" s="36"/>
      <c r="K1174" s="36"/>
      <c r="L1174" s="36"/>
      <c r="M1174" s="36"/>
      <c r="N1174" s="36"/>
    </row>
    <row r="1175" spans="1:14">
      <c r="A1175" s="8" t="s">
        <v>1114</v>
      </c>
      <c r="B1175" s="19">
        <v>42297</v>
      </c>
      <c r="C1175" s="8" t="s">
        <v>46</v>
      </c>
      <c r="D1175" s="8">
        <v>10012</v>
      </c>
      <c r="E1175" s="8" t="s">
        <v>300</v>
      </c>
      <c r="F1175" s="8" t="s">
        <v>29</v>
      </c>
      <c r="G1175" s="36">
        <f>VLOOKUP(E1175,Flipkart!$A$1:$B$296,2,0)</f>
        <v>0.04</v>
      </c>
      <c r="H1175" s="36">
        <f t="shared" ca="1" si="18"/>
        <v>0.03</v>
      </c>
      <c r="I1175" s="36" t="str">
        <f>_xlfn.XLOOKUP(E1175,'Product List'!$B$2:$B$299,'Product List'!$A$2:$A$299)</f>
        <v>Xerox 1892</v>
      </c>
      <c r="J1175" s="36"/>
      <c r="K1175" s="36"/>
      <c r="L1175" s="36"/>
      <c r="M1175" s="36"/>
      <c r="N1175" s="36"/>
    </row>
    <row r="1176" spans="1:14">
      <c r="A1176" s="8" t="s">
        <v>1116</v>
      </c>
      <c r="B1176" s="19">
        <v>42299</v>
      </c>
      <c r="C1176" s="8" t="s">
        <v>36</v>
      </c>
      <c r="D1176" s="8">
        <v>10001</v>
      </c>
      <c r="E1176" s="8" t="s">
        <v>592</v>
      </c>
      <c r="F1176" s="8" t="s">
        <v>40</v>
      </c>
      <c r="G1176" s="36">
        <f>VLOOKUP(E1176,Flipkart!$A$1:$B$296,2,0)</f>
        <v>0</v>
      </c>
      <c r="H1176" s="36">
        <f t="shared" ca="1" si="18"/>
        <v>0.05</v>
      </c>
      <c r="I1176" s="36" t="str">
        <f>_xlfn.XLOOKUP(E1176,'Product List'!$B$2:$B$299,'Product List'!$A$2:$A$299)</f>
        <v>Avery 5</v>
      </c>
      <c r="J1176" s="36"/>
      <c r="K1176" s="36"/>
      <c r="L1176" s="36"/>
      <c r="M1176" s="36"/>
      <c r="N1176" s="36"/>
    </row>
    <row r="1177" spans="1:14">
      <c r="A1177" s="8" t="s">
        <v>1116</v>
      </c>
      <c r="B1177" s="19">
        <v>42299</v>
      </c>
      <c r="C1177" s="8" t="s">
        <v>44</v>
      </c>
      <c r="D1177" s="8">
        <v>10010</v>
      </c>
      <c r="E1177" s="8" t="s">
        <v>515</v>
      </c>
      <c r="F1177" s="8" t="s">
        <v>29</v>
      </c>
      <c r="G1177" s="36">
        <f>VLOOKUP(E1177,Flipkart!$A$1:$B$296,2,0)</f>
        <v>0.05</v>
      </c>
      <c r="H1177" s="36">
        <f t="shared" ca="1" si="18"/>
        <v>0.01</v>
      </c>
      <c r="I1177" s="36" t="str">
        <f>_xlfn.XLOOKUP(E1177,'Product List'!$B$2:$B$299,'Product List'!$A$2:$A$299)</f>
        <v>Staple holder</v>
      </c>
      <c r="J1177" s="36"/>
      <c r="K1177" s="36"/>
      <c r="L1177" s="36"/>
      <c r="M1177" s="36"/>
      <c r="N1177" s="36"/>
    </row>
    <row r="1178" spans="1:14">
      <c r="A1178" s="8" t="s">
        <v>1117</v>
      </c>
      <c r="B1178" s="19">
        <v>42300</v>
      </c>
      <c r="C1178" s="8" t="s">
        <v>54</v>
      </c>
      <c r="D1178" s="8">
        <v>10014</v>
      </c>
      <c r="E1178" s="8" t="s">
        <v>275</v>
      </c>
      <c r="F1178" s="8" t="s">
        <v>32</v>
      </c>
      <c r="G1178" s="36">
        <f>VLOOKUP(E1178,Flipkart!$A$1:$B$296,2,0)</f>
        <v>0</v>
      </c>
      <c r="H1178" s="36">
        <f t="shared" ca="1" si="18"/>
        <v>0</v>
      </c>
      <c r="I1178" s="36" t="str">
        <f>_xlfn.XLOOKUP(E1178,'Product List'!$B$2:$B$299,'Product List'!$A$2:$A$299)</f>
        <v>Xerox 218</v>
      </c>
      <c r="J1178" s="36"/>
      <c r="K1178" s="36"/>
      <c r="L1178" s="36"/>
      <c r="M1178" s="36"/>
      <c r="N1178" s="36"/>
    </row>
    <row r="1179" spans="1:14">
      <c r="A1179" s="8" t="s">
        <v>1118</v>
      </c>
      <c r="B1179" s="19">
        <v>42300</v>
      </c>
      <c r="C1179" s="8" t="s">
        <v>46</v>
      </c>
      <c r="D1179" s="8">
        <v>10004</v>
      </c>
      <c r="E1179" s="8" t="s">
        <v>286</v>
      </c>
      <c r="F1179" s="8" t="s">
        <v>32</v>
      </c>
      <c r="G1179" s="36">
        <f>VLOOKUP(E1179,Flipkart!$A$1:$B$296,2,0)</f>
        <v>0.05</v>
      </c>
      <c r="H1179" s="36">
        <f t="shared" ca="1" si="18"/>
        <v>0.05</v>
      </c>
      <c r="I1179" s="36" t="str">
        <f>_xlfn.XLOOKUP(E1179,'Product List'!$B$2:$B$299,'Product List'!$A$2:$A$299)</f>
        <v>Avery 479</v>
      </c>
      <c r="J1179" s="36"/>
      <c r="K1179" s="36"/>
      <c r="L1179" s="36"/>
      <c r="M1179" s="36"/>
      <c r="N1179" s="36"/>
    </row>
    <row r="1180" spans="1:14">
      <c r="A1180" s="8" t="s">
        <v>1119</v>
      </c>
      <c r="B1180" s="19">
        <v>42302</v>
      </c>
      <c r="C1180" s="8" t="s">
        <v>33</v>
      </c>
      <c r="D1180" s="8">
        <v>10015</v>
      </c>
      <c r="E1180" s="8" t="s">
        <v>476</v>
      </c>
      <c r="F1180" s="8" t="s">
        <v>35</v>
      </c>
      <c r="G1180" s="36">
        <f>VLOOKUP(E1180,Flipkart!$A$1:$B$296,2,0)</f>
        <v>0.04</v>
      </c>
      <c r="H1180" s="36">
        <f t="shared" ca="1" si="18"/>
        <v>0.04</v>
      </c>
      <c r="I1180" s="36" t="str">
        <f>_xlfn.XLOOKUP(E1180,'Product List'!$B$2:$B$299,'Product List'!$A$2:$A$299)</f>
        <v>Xerox 200</v>
      </c>
      <c r="J1180" s="36"/>
      <c r="K1180" s="36"/>
      <c r="L1180" s="36"/>
      <c r="M1180" s="36"/>
      <c r="N1180" s="36"/>
    </row>
    <row r="1181" spans="1:14">
      <c r="A1181" s="8" t="s">
        <v>1120</v>
      </c>
      <c r="B1181" s="19">
        <v>42302</v>
      </c>
      <c r="C1181" s="8" t="s">
        <v>33</v>
      </c>
      <c r="D1181" s="8">
        <v>10009</v>
      </c>
      <c r="E1181" s="8" t="s">
        <v>162</v>
      </c>
      <c r="F1181" s="8" t="s">
        <v>32</v>
      </c>
      <c r="G1181" s="36">
        <f>VLOOKUP(E1181,Flipkart!$A$1:$B$296,2,0)</f>
        <v>0.02</v>
      </c>
      <c r="H1181" s="36">
        <f t="shared" ca="1" si="18"/>
        <v>0.02</v>
      </c>
      <c r="I1181" s="36" t="str">
        <f>_xlfn.XLOOKUP(E1181,'Product List'!$B$2:$B$299,'Product List'!$A$2:$A$299)</f>
        <v>Avery 483</v>
      </c>
      <c r="J1181" s="36"/>
      <c r="K1181" s="36"/>
      <c r="L1181" s="36"/>
      <c r="M1181" s="36"/>
      <c r="N1181" s="36"/>
    </row>
    <row r="1182" spans="1:14">
      <c r="A1182" s="8" t="s">
        <v>1120</v>
      </c>
      <c r="B1182" s="19">
        <v>42302</v>
      </c>
      <c r="C1182" s="8" t="s">
        <v>51</v>
      </c>
      <c r="D1182" s="8">
        <v>10005</v>
      </c>
      <c r="E1182" s="8" t="s">
        <v>154</v>
      </c>
      <c r="F1182" s="8" t="s">
        <v>40</v>
      </c>
      <c r="G1182" s="36">
        <f>VLOOKUP(E1182,Flipkart!$A$1:$B$296,2,0)</f>
        <v>0.03</v>
      </c>
      <c r="H1182" s="36">
        <f t="shared" ca="1" si="18"/>
        <v>0.01</v>
      </c>
      <c r="I1182" s="36" t="str">
        <f>_xlfn.XLOOKUP(E1182,'Product List'!$B$2:$B$299,'Product List'!$A$2:$A$299)</f>
        <v>Xerox 228</v>
      </c>
      <c r="J1182" s="36"/>
      <c r="K1182" s="36"/>
      <c r="L1182" s="36"/>
      <c r="M1182" s="36"/>
      <c r="N1182" s="36"/>
    </row>
    <row r="1183" spans="1:14">
      <c r="A1183" s="8" t="s">
        <v>1120</v>
      </c>
      <c r="B1183" s="19">
        <v>42302</v>
      </c>
      <c r="C1183" s="8" t="s">
        <v>46</v>
      </c>
      <c r="D1183" s="8">
        <v>10012</v>
      </c>
      <c r="E1183" s="8" t="s">
        <v>100</v>
      </c>
      <c r="F1183" s="8" t="s">
        <v>43</v>
      </c>
      <c r="G1183" s="36">
        <f>VLOOKUP(E1183,Flipkart!$A$1:$B$296,2,0)</f>
        <v>0.02</v>
      </c>
      <c r="H1183" s="36">
        <f t="shared" ca="1" si="18"/>
        <v>0.05</v>
      </c>
      <c r="I1183" s="36" t="str">
        <f>_xlfn.XLOOKUP(E1183,'Product List'!$B$2:$B$299,'Product List'!$A$2:$A$299)</f>
        <v>Xerox 1893</v>
      </c>
      <c r="J1183" s="36"/>
      <c r="K1183" s="36"/>
      <c r="L1183" s="36"/>
      <c r="M1183" s="36"/>
      <c r="N1183" s="36"/>
    </row>
    <row r="1184" spans="1:14">
      <c r="A1184" s="8" t="s">
        <v>1121</v>
      </c>
      <c r="B1184" s="19">
        <v>42302</v>
      </c>
      <c r="C1184" s="8" t="s">
        <v>54</v>
      </c>
      <c r="D1184" s="8">
        <v>10001</v>
      </c>
      <c r="E1184" s="8" t="s">
        <v>361</v>
      </c>
      <c r="F1184" s="8" t="s">
        <v>43</v>
      </c>
      <c r="G1184" s="36">
        <f>VLOOKUP(E1184,Flipkart!$A$1:$B$296,2,0)</f>
        <v>0.01</v>
      </c>
      <c r="H1184" s="36">
        <f t="shared" ca="1" si="18"/>
        <v>0</v>
      </c>
      <c r="I1184" s="36" t="str">
        <f>_xlfn.XLOOKUP(E1184,'Product List'!$B$2:$B$299,'Product List'!$A$2:$A$299)</f>
        <v>Avery 518</v>
      </c>
      <c r="J1184" s="36"/>
      <c r="K1184" s="36"/>
      <c r="L1184" s="36"/>
      <c r="M1184" s="36"/>
      <c r="N1184" s="36"/>
    </row>
    <row r="1185" spans="1:14">
      <c r="A1185" s="8" t="s">
        <v>1122</v>
      </c>
      <c r="B1185" s="19">
        <v>42303</v>
      </c>
      <c r="C1185" s="8" t="s">
        <v>33</v>
      </c>
      <c r="D1185" s="8">
        <v>10004</v>
      </c>
      <c r="E1185" s="8" t="s">
        <v>778</v>
      </c>
      <c r="F1185" s="8" t="s">
        <v>32</v>
      </c>
      <c r="G1185" s="36">
        <f>VLOOKUP(E1185,Flipkart!$A$1:$B$296,2,0)</f>
        <v>0.05</v>
      </c>
      <c r="H1185" s="36">
        <f t="shared" ca="1" si="18"/>
        <v>0.02</v>
      </c>
      <c r="I1185" s="36" t="str">
        <f>_xlfn.XLOOKUP(E1185,'Product List'!$B$2:$B$299,'Product List'!$A$2:$A$299)</f>
        <v>Xerox 197</v>
      </c>
      <c r="J1185" s="36"/>
      <c r="K1185" s="36"/>
      <c r="L1185" s="36"/>
      <c r="M1185" s="36"/>
      <c r="N1185" s="36"/>
    </row>
    <row r="1186" spans="1:14">
      <c r="A1186" s="8" t="s">
        <v>1123</v>
      </c>
      <c r="B1186" s="19">
        <v>42303</v>
      </c>
      <c r="C1186" s="8" t="s">
        <v>46</v>
      </c>
      <c r="D1186" s="8">
        <v>10002</v>
      </c>
      <c r="E1186" s="8" t="s">
        <v>130</v>
      </c>
      <c r="F1186" s="8" t="s">
        <v>50</v>
      </c>
      <c r="G1186" s="36">
        <f>VLOOKUP(E1186,Flipkart!$A$1:$B$296,2,0)</f>
        <v>0</v>
      </c>
      <c r="H1186" s="36">
        <f t="shared" ca="1" si="18"/>
        <v>0.03</v>
      </c>
      <c r="I1186" s="36" t="str">
        <f>_xlfn.XLOOKUP(E1186,'Product List'!$B$2:$B$299,'Product List'!$A$2:$A$299)</f>
        <v>Xerox 212</v>
      </c>
      <c r="J1186" s="36"/>
      <c r="K1186" s="36"/>
      <c r="L1186" s="36"/>
      <c r="M1186" s="36"/>
      <c r="N1186" s="36"/>
    </row>
    <row r="1187" spans="1:14">
      <c r="A1187" s="8" t="s">
        <v>1122</v>
      </c>
      <c r="B1187" s="19">
        <v>42303</v>
      </c>
      <c r="C1187" s="8" t="s">
        <v>54</v>
      </c>
      <c r="D1187" s="8">
        <v>10001</v>
      </c>
      <c r="E1187" s="8" t="s">
        <v>141</v>
      </c>
      <c r="F1187" s="8" t="s">
        <v>40</v>
      </c>
      <c r="G1187" s="36">
        <f>VLOOKUP(E1187,Flipkart!$A$1:$B$296,2,0)</f>
        <v>0.03</v>
      </c>
      <c r="H1187" s="36">
        <f t="shared" ca="1" si="18"/>
        <v>0.03</v>
      </c>
      <c r="I1187" s="36" t="str">
        <f>_xlfn.XLOOKUP(E1187,'Product List'!$B$2:$B$299,'Product List'!$A$2:$A$299)</f>
        <v>Xerox 1994</v>
      </c>
      <c r="J1187" s="36"/>
      <c r="K1187" s="36"/>
      <c r="L1187" s="36"/>
      <c r="M1187" s="36"/>
      <c r="N1187" s="36"/>
    </row>
    <row r="1188" spans="1:14">
      <c r="A1188" s="8" t="s">
        <v>1123</v>
      </c>
      <c r="B1188" s="19">
        <v>42303</v>
      </c>
      <c r="C1188" s="8" t="s">
        <v>36</v>
      </c>
      <c r="D1188" s="8">
        <v>10008</v>
      </c>
      <c r="E1188" s="8" t="s">
        <v>684</v>
      </c>
      <c r="F1188" s="8" t="s">
        <v>50</v>
      </c>
      <c r="G1188" s="36">
        <f>VLOOKUP(E1188,Flipkart!$A$1:$B$296,2,0)</f>
        <v>0.03</v>
      </c>
      <c r="H1188" s="36">
        <f t="shared" ca="1" si="18"/>
        <v>0.03</v>
      </c>
      <c r="I1188" s="36" t="str">
        <f>_xlfn.XLOOKUP(E1188,'Product List'!$B$2:$B$299,'Product List'!$A$2:$A$299)</f>
        <v>Xerox 1988</v>
      </c>
      <c r="J1188" s="36"/>
      <c r="K1188" s="36"/>
      <c r="L1188" s="36"/>
      <c r="M1188" s="36"/>
      <c r="N1188" s="36"/>
    </row>
    <row r="1189" spans="1:14">
      <c r="A1189" s="8" t="s">
        <v>1122</v>
      </c>
      <c r="B1189" s="19">
        <v>42303</v>
      </c>
      <c r="C1189" s="8" t="s">
        <v>44</v>
      </c>
      <c r="D1189" s="8">
        <v>10005</v>
      </c>
      <c r="E1189" s="8" t="s">
        <v>238</v>
      </c>
      <c r="F1189" s="8" t="s">
        <v>40</v>
      </c>
      <c r="G1189" s="36">
        <f>VLOOKUP(E1189,Flipkart!$A$1:$B$296,2,0)</f>
        <v>0.01</v>
      </c>
      <c r="H1189" s="36">
        <f t="shared" ca="1" si="18"/>
        <v>0.05</v>
      </c>
      <c r="I1189" s="36" t="str">
        <f>_xlfn.XLOOKUP(E1189,'Product List'!$B$2:$B$299,'Product List'!$A$2:$A$299)</f>
        <v>Xerox 202</v>
      </c>
      <c r="J1189" s="36"/>
      <c r="K1189" s="36"/>
      <c r="L1189" s="36"/>
      <c r="M1189" s="36"/>
      <c r="N1189" s="36"/>
    </row>
    <row r="1190" spans="1:14">
      <c r="A1190" s="8" t="s">
        <v>1124</v>
      </c>
      <c r="B1190" s="19">
        <v>42304</v>
      </c>
      <c r="C1190" s="8" t="s">
        <v>46</v>
      </c>
      <c r="D1190" s="8">
        <v>10007</v>
      </c>
      <c r="E1190" s="8" t="s">
        <v>776</v>
      </c>
      <c r="F1190" s="8" t="s">
        <v>40</v>
      </c>
      <c r="G1190" s="36">
        <f>VLOOKUP(E1190,Flipkart!$A$1:$B$296,2,0)</f>
        <v>0.03</v>
      </c>
      <c r="H1190" s="36">
        <f t="shared" ca="1" si="18"/>
        <v>0.01</v>
      </c>
      <c r="I1190" s="36" t="str">
        <f>_xlfn.XLOOKUP(E1190,'Product List'!$B$2:$B$299,'Product List'!$A$2:$A$299)</f>
        <v>Newell 347</v>
      </c>
      <c r="J1190" s="36"/>
      <c r="K1190" s="36"/>
      <c r="L1190" s="36"/>
      <c r="M1190" s="36"/>
      <c r="N1190" s="36"/>
    </row>
    <row r="1191" spans="1:14">
      <c r="A1191" s="8" t="s">
        <v>1125</v>
      </c>
      <c r="B1191" s="19">
        <v>42304</v>
      </c>
      <c r="C1191" s="8" t="s">
        <v>46</v>
      </c>
      <c r="D1191" s="8">
        <v>10012</v>
      </c>
      <c r="E1191" s="8" t="s">
        <v>578</v>
      </c>
      <c r="F1191" s="8" t="s">
        <v>32</v>
      </c>
      <c r="G1191" s="36">
        <f>VLOOKUP(E1191,Flipkart!$A$1:$B$296,2,0)</f>
        <v>0.04</v>
      </c>
      <c r="H1191" s="36">
        <f t="shared" ca="1" si="18"/>
        <v>0.05</v>
      </c>
      <c r="I1191" s="36" t="str">
        <f>_xlfn.XLOOKUP(E1191,'Product List'!$B$2:$B$299,'Product List'!$A$2:$A$299)</f>
        <v>Xerox 1948</v>
      </c>
      <c r="J1191" s="36"/>
      <c r="K1191" s="36"/>
      <c r="L1191" s="36"/>
      <c r="M1191" s="36"/>
      <c r="N1191" s="36"/>
    </row>
    <row r="1192" spans="1:14">
      <c r="A1192" s="8" t="s">
        <v>1126</v>
      </c>
      <c r="B1192" s="19">
        <v>42305</v>
      </c>
      <c r="C1192" s="8" t="s">
        <v>54</v>
      </c>
      <c r="D1192" s="8">
        <v>10015</v>
      </c>
      <c r="E1192" s="8" t="s">
        <v>672</v>
      </c>
      <c r="F1192" s="8" t="s">
        <v>32</v>
      </c>
      <c r="G1192" s="36">
        <f>VLOOKUP(E1192,Flipkart!$A$1:$B$296,2,0)</f>
        <v>0</v>
      </c>
      <c r="H1192" s="36">
        <f t="shared" ca="1" si="18"/>
        <v>0.02</v>
      </c>
      <c r="I1192" s="36" t="str">
        <f>_xlfn.XLOOKUP(E1192,'Product List'!$B$2:$B$299,'Product List'!$A$2:$A$299)</f>
        <v>Newell 319</v>
      </c>
      <c r="J1192" s="36"/>
      <c r="K1192" s="36"/>
      <c r="L1192" s="36"/>
      <c r="M1192" s="36"/>
      <c r="N1192" s="36"/>
    </row>
    <row r="1193" spans="1:14">
      <c r="A1193" s="8" t="s">
        <v>1127</v>
      </c>
      <c r="B1193" s="19">
        <v>42307</v>
      </c>
      <c r="C1193" s="8" t="s">
        <v>33</v>
      </c>
      <c r="D1193" s="8">
        <v>10004</v>
      </c>
      <c r="E1193" s="8" t="s">
        <v>522</v>
      </c>
      <c r="F1193" s="8" t="s">
        <v>29</v>
      </c>
      <c r="G1193" s="36">
        <f>VLOOKUP(E1193,Flipkart!$A$1:$B$296,2,0)</f>
        <v>0.01</v>
      </c>
      <c r="H1193" s="36">
        <f t="shared" ca="1" si="18"/>
        <v>0.01</v>
      </c>
      <c r="I1193" s="36" t="str">
        <f>_xlfn.XLOOKUP(E1193,'Product List'!$B$2:$B$299,'Product List'!$A$2:$A$299)</f>
        <v>HTC One</v>
      </c>
      <c r="J1193" s="36"/>
      <c r="K1193" s="36"/>
      <c r="L1193" s="36"/>
      <c r="M1193" s="36"/>
      <c r="N1193" s="36"/>
    </row>
    <row r="1194" spans="1:14">
      <c r="A1194" s="8" t="s">
        <v>1127</v>
      </c>
      <c r="B1194" s="19">
        <v>42307</v>
      </c>
      <c r="C1194" s="8" t="s">
        <v>36</v>
      </c>
      <c r="D1194" s="8">
        <v>10002</v>
      </c>
      <c r="E1194" s="8" t="s">
        <v>84</v>
      </c>
      <c r="F1194" s="8" t="s">
        <v>40</v>
      </c>
      <c r="G1194" s="36">
        <f>VLOOKUP(E1194,Flipkart!$A$1:$B$296,2,0)</f>
        <v>0.01</v>
      </c>
      <c r="H1194" s="36">
        <f t="shared" ca="1" si="18"/>
        <v>0.02</v>
      </c>
      <c r="I1194" s="36" t="str">
        <f>_xlfn.XLOOKUP(E1194,'Product List'!$B$2:$B$299,'Product List'!$A$2:$A$299)</f>
        <v>Xerox 1979</v>
      </c>
      <c r="J1194" s="36"/>
      <c r="K1194" s="36"/>
      <c r="L1194" s="36"/>
      <c r="M1194" s="36"/>
      <c r="N1194" s="36"/>
    </row>
    <row r="1195" spans="1:14">
      <c r="A1195" s="8" t="s">
        <v>1128</v>
      </c>
      <c r="B1195" s="19">
        <v>42309</v>
      </c>
      <c r="C1195" s="8" t="s">
        <v>44</v>
      </c>
      <c r="D1195" s="8">
        <v>10002</v>
      </c>
      <c r="E1195" s="8" t="s">
        <v>750</v>
      </c>
      <c r="F1195" s="8" t="s">
        <v>29</v>
      </c>
      <c r="G1195" s="36">
        <f>VLOOKUP(E1195,Flipkart!$A$1:$B$296,2,0)</f>
        <v>0.05</v>
      </c>
      <c r="H1195" s="36">
        <f t="shared" ca="1" si="18"/>
        <v>0.04</v>
      </c>
      <c r="I1195" s="36" t="str">
        <f>_xlfn.XLOOKUP(E1195,'Product List'!$B$2:$B$299,'Product List'!$A$2:$A$299)</f>
        <v>Xerox 1897</v>
      </c>
      <c r="J1195" s="36"/>
      <c r="K1195" s="36"/>
      <c r="L1195" s="36"/>
      <c r="M1195" s="36"/>
      <c r="N1195" s="36"/>
    </row>
    <row r="1196" spans="1:14">
      <c r="A1196" s="8" t="s">
        <v>1129</v>
      </c>
      <c r="B1196" s="19">
        <v>42309</v>
      </c>
      <c r="C1196" s="8" t="s">
        <v>33</v>
      </c>
      <c r="D1196" s="8">
        <v>10001</v>
      </c>
      <c r="E1196" s="8" t="s">
        <v>586</v>
      </c>
      <c r="F1196" s="8" t="s">
        <v>32</v>
      </c>
      <c r="G1196" s="36">
        <f>VLOOKUP(E1196,Flipkart!$A$1:$B$296,2,0)</f>
        <v>0.04</v>
      </c>
      <c r="H1196" s="36">
        <f t="shared" ca="1" si="18"/>
        <v>0.05</v>
      </c>
      <c r="I1196" s="36" t="str">
        <f>_xlfn.XLOOKUP(E1196,'Product List'!$B$2:$B$299,'Product List'!$A$2:$A$299)</f>
        <v>Xerox 222</v>
      </c>
      <c r="J1196" s="36"/>
      <c r="K1196" s="36"/>
      <c r="L1196" s="36"/>
      <c r="M1196" s="36"/>
      <c r="N1196" s="36"/>
    </row>
    <row r="1197" spans="1:14">
      <c r="A1197" s="8" t="s">
        <v>1128</v>
      </c>
      <c r="B1197" s="19">
        <v>42309</v>
      </c>
      <c r="C1197" s="8" t="s">
        <v>44</v>
      </c>
      <c r="D1197" s="8">
        <v>10006</v>
      </c>
      <c r="E1197" s="8" t="s">
        <v>318</v>
      </c>
      <c r="F1197" s="8" t="s">
        <v>50</v>
      </c>
      <c r="G1197" s="36">
        <f>VLOOKUP(E1197,Flipkart!$A$1:$B$296,2,0)</f>
        <v>0.02</v>
      </c>
      <c r="H1197" s="36">
        <f t="shared" ca="1" si="18"/>
        <v>0.05</v>
      </c>
      <c r="I1197" s="36" t="str">
        <f>_xlfn.XLOOKUP(E1197,'Product List'!$B$2:$B$299,'Product List'!$A$2:$A$299)</f>
        <v>Newell 331</v>
      </c>
      <c r="J1197" s="36"/>
      <c r="K1197" s="36"/>
      <c r="L1197" s="36"/>
      <c r="M1197" s="36"/>
      <c r="N1197" s="36"/>
    </row>
    <row r="1198" spans="1:14">
      <c r="A1198" s="8" t="s">
        <v>1130</v>
      </c>
      <c r="B1198" s="19">
        <v>42310</v>
      </c>
      <c r="C1198" s="8" t="s">
        <v>46</v>
      </c>
      <c r="D1198" s="8">
        <v>10005</v>
      </c>
      <c r="E1198" s="8" t="s">
        <v>684</v>
      </c>
      <c r="F1198" s="8" t="s">
        <v>40</v>
      </c>
      <c r="G1198" s="36">
        <f>VLOOKUP(E1198,Flipkart!$A$1:$B$296,2,0)</f>
        <v>0.03</v>
      </c>
      <c r="H1198" s="36">
        <f t="shared" ca="1" si="18"/>
        <v>0.03</v>
      </c>
      <c r="I1198" s="36" t="str">
        <f>_xlfn.XLOOKUP(E1198,'Product List'!$B$2:$B$299,'Product List'!$A$2:$A$299)</f>
        <v>Xerox 1988</v>
      </c>
      <c r="J1198" s="36"/>
      <c r="K1198" s="36"/>
      <c r="L1198" s="36"/>
      <c r="M1198" s="36"/>
      <c r="N1198" s="36"/>
    </row>
    <row r="1199" spans="1:14">
      <c r="A1199" s="8" t="s">
        <v>1131</v>
      </c>
      <c r="B1199" s="19">
        <v>42312</v>
      </c>
      <c r="C1199" s="8" t="s">
        <v>36</v>
      </c>
      <c r="D1199" s="8">
        <v>10003</v>
      </c>
      <c r="E1199" s="8" t="s">
        <v>149</v>
      </c>
      <c r="F1199" s="8" t="s">
        <v>43</v>
      </c>
      <c r="G1199" s="36">
        <f>VLOOKUP(E1199,Flipkart!$A$1:$B$296,2,0)</f>
        <v>0.05</v>
      </c>
      <c r="H1199" s="36">
        <f t="shared" ca="1" si="18"/>
        <v>0.02</v>
      </c>
      <c r="I1199" s="36" t="str">
        <f>_xlfn.XLOOKUP(E1199,'Product List'!$B$2:$B$299,'Product List'!$A$2:$A$299)</f>
        <v>Xerox 1992</v>
      </c>
      <c r="J1199" s="36"/>
      <c r="K1199" s="36"/>
      <c r="L1199" s="36"/>
      <c r="M1199" s="36"/>
      <c r="N1199" s="36"/>
    </row>
    <row r="1200" spans="1:14">
      <c r="A1200" s="8" t="s">
        <v>1132</v>
      </c>
      <c r="B1200" s="19">
        <v>42314</v>
      </c>
      <c r="C1200" s="8" t="s">
        <v>44</v>
      </c>
      <c r="D1200" s="8">
        <v>10002</v>
      </c>
      <c r="E1200" s="8" t="s">
        <v>84</v>
      </c>
      <c r="F1200" s="8" t="s">
        <v>29</v>
      </c>
      <c r="G1200" s="36">
        <f>VLOOKUP(E1200,Flipkart!$A$1:$B$296,2,0)</f>
        <v>0.01</v>
      </c>
      <c r="H1200" s="36">
        <f t="shared" ca="1" si="18"/>
        <v>0.01</v>
      </c>
      <c r="I1200" s="36" t="str">
        <f>_xlfn.XLOOKUP(E1200,'Product List'!$B$2:$B$299,'Product List'!$A$2:$A$299)</f>
        <v>Xerox 1979</v>
      </c>
      <c r="J1200" s="36"/>
      <c r="K1200" s="36"/>
      <c r="L1200" s="36"/>
      <c r="M1200" s="36"/>
      <c r="N1200" s="36"/>
    </row>
    <row r="1201" spans="1:14">
      <c r="A1201" s="8" t="s">
        <v>1133</v>
      </c>
      <c r="B1201" s="19">
        <v>42314</v>
      </c>
      <c r="C1201" s="8" t="s">
        <v>54</v>
      </c>
      <c r="D1201" s="8">
        <v>10011</v>
      </c>
      <c r="E1201" s="8" t="s">
        <v>158</v>
      </c>
      <c r="F1201" s="8" t="s">
        <v>32</v>
      </c>
      <c r="G1201" s="36">
        <f>VLOOKUP(E1201,Flipkart!$A$1:$B$296,2,0)</f>
        <v>0.05</v>
      </c>
      <c r="H1201" s="36">
        <f t="shared" ca="1" si="18"/>
        <v>0.05</v>
      </c>
      <c r="I1201" s="36" t="str">
        <f>_xlfn.XLOOKUP(E1201,'Product List'!$B$2:$B$299,'Product List'!$A$2:$A$299)</f>
        <v>Vtech CS6719</v>
      </c>
      <c r="J1201" s="36"/>
      <c r="K1201" s="36"/>
      <c r="L1201" s="36"/>
      <c r="M1201" s="36"/>
      <c r="N1201" s="36"/>
    </row>
    <row r="1202" spans="1:14">
      <c r="A1202" s="8" t="s">
        <v>1134</v>
      </c>
      <c r="B1202" s="19">
        <v>42316</v>
      </c>
      <c r="C1202" s="8" t="s">
        <v>51</v>
      </c>
      <c r="D1202" s="8">
        <v>10002</v>
      </c>
      <c r="E1202" s="8" t="s">
        <v>65</v>
      </c>
      <c r="F1202" s="8" t="s">
        <v>35</v>
      </c>
      <c r="G1202" s="36">
        <f>VLOOKUP(E1202,Flipkart!$A$1:$B$296,2,0)</f>
        <v>0</v>
      </c>
      <c r="H1202" s="36">
        <f t="shared" ca="1" si="18"/>
        <v>0</v>
      </c>
      <c r="I1202" s="36" t="str">
        <f>_xlfn.XLOOKUP(E1202,'Product List'!$B$2:$B$299,'Product List'!$A$2:$A$299)</f>
        <v>Xerox 1963</v>
      </c>
      <c r="J1202" s="36"/>
      <c r="K1202" s="36"/>
      <c r="L1202" s="36"/>
      <c r="M1202" s="36"/>
      <c r="N1202" s="36"/>
    </row>
    <row r="1203" spans="1:14">
      <c r="A1203" s="8" t="s">
        <v>1135</v>
      </c>
      <c r="B1203" s="19">
        <v>42317</v>
      </c>
      <c r="C1203" s="8" t="s">
        <v>33</v>
      </c>
      <c r="D1203" s="8">
        <v>10009</v>
      </c>
      <c r="E1203" s="8" t="s">
        <v>368</v>
      </c>
      <c r="F1203" s="8" t="s">
        <v>35</v>
      </c>
      <c r="G1203" s="36">
        <f>VLOOKUP(E1203,Flipkart!$A$1:$B$296,2,0)</f>
        <v>0</v>
      </c>
      <c r="H1203" s="36">
        <f t="shared" ca="1" si="18"/>
        <v>0</v>
      </c>
      <c r="I1203" s="36" t="str">
        <f>_xlfn.XLOOKUP(E1203,'Product List'!$B$2:$B$299,'Product List'!$A$2:$A$299)</f>
        <v>Xerox 1978</v>
      </c>
      <c r="J1203" s="36"/>
      <c r="K1203" s="36"/>
      <c r="L1203" s="36"/>
      <c r="M1203" s="36"/>
      <c r="N1203" s="36"/>
    </row>
    <row r="1204" spans="1:14">
      <c r="A1204" s="8" t="s">
        <v>1136</v>
      </c>
      <c r="B1204" s="19">
        <v>42317</v>
      </c>
      <c r="C1204" s="8" t="s">
        <v>44</v>
      </c>
      <c r="D1204" s="8">
        <v>10004</v>
      </c>
      <c r="E1204" s="8" t="s">
        <v>80</v>
      </c>
      <c r="F1204" s="8" t="s">
        <v>40</v>
      </c>
      <c r="G1204" s="36">
        <f>VLOOKUP(E1204,Flipkart!$A$1:$B$296,2,0)</f>
        <v>0.01</v>
      </c>
      <c r="H1204" s="36">
        <f t="shared" ca="1" si="18"/>
        <v>0</v>
      </c>
      <c r="I1204" s="36" t="str">
        <f>_xlfn.XLOOKUP(E1204,'Product List'!$B$2:$B$299,'Product List'!$A$2:$A$299)</f>
        <v>Xerox 192</v>
      </c>
      <c r="J1204" s="36"/>
      <c r="K1204" s="36"/>
      <c r="L1204" s="36"/>
      <c r="M1204" s="36"/>
      <c r="N1204" s="36"/>
    </row>
    <row r="1205" spans="1:14">
      <c r="A1205" s="8" t="s">
        <v>1137</v>
      </c>
      <c r="B1205" s="19">
        <v>42317</v>
      </c>
      <c r="C1205" s="8" t="s">
        <v>46</v>
      </c>
      <c r="D1205" s="8">
        <v>10004</v>
      </c>
      <c r="E1205" s="8" t="s">
        <v>49</v>
      </c>
      <c r="F1205" s="8" t="s">
        <v>29</v>
      </c>
      <c r="G1205" s="36">
        <f>VLOOKUP(E1205,Flipkart!$A$1:$B$296,2,0)</f>
        <v>0.04</v>
      </c>
      <c r="H1205" s="36">
        <f t="shared" ca="1" si="18"/>
        <v>0.01</v>
      </c>
      <c r="I1205" s="36" t="str">
        <f>_xlfn.XLOOKUP(E1205,'Product List'!$B$2:$B$299,'Product List'!$A$2:$A$299)</f>
        <v>Avery 477</v>
      </c>
      <c r="J1205" s="36"/>
      <c r="K1205" s="36"/>
      <c r="L1205" s="36"/>
      <c r="M1205" s="36"/>
      <c r="N1205" s="36"/>
    </row>
    <row r="1206" spans="1:14">
      <c r="A1206" s="8" t="s">
        <v>1138</v>
      </c>
      <c r="B1206" s="19">
        <v>42319</v>
      </c>
      <c r="C1206" s="8" t="s">
        <v>33</v>
      </c>
      <c r="D1206" s="8">
        <v>10006</v>
      </c>
      <c r="E1206" s="8" t="s">
        <v>147</v>
      </c>
      <c r="F1206" s="8" t="s">
        <v>29</v>
      </c>
      <c r="G1206" s="36">
        <f>VLOOKUP(E1206,Flipkart!$A$1:$B$296,2,0)</f>
        <v>0.03</v>
      </c>
      <c r="H1206" s="36">
        <f t="shared" ca="1" si="18"/>
        <v>0.05</v>
      </c>
      <c r="I1206" s="36" t="str">
        <f>_xlfn.XLOOKUP(E1206,'Product List'!$B$2:$B$299,'Product List'!$A$2:$A$299)</f>
        <v>Xerox 1936</v>
      </c>
      <c r="J1206" s="36"/>
      <c r="K1206" s="36"/>
      <c r="L1206" s="36"/>
      <c r="M1206" s="36"/>
      <c r="N1206" s="36"/>
    </row>
    <row r="1207" spans="1:14">
      <c r="A1207" s="8" t="s">
        <v>1138</v>
      </c>
      <c r="B1207" s="19">
        <v>42319</v>
      </c>
      <c r="C1207" s="8" t="s">
        <v>36</v>
      </c>
      <c r="D1207" s="8">
        <v>10007</v>
      </c>
      <c r="E1207" s="8" t="s">
        <v>695</v>
      </c>
      <c r="F1207" s="8" t="s">
        <v>32</v>
      </c>
      <c r="G1207" s="36">
        <f>VLOOKUP(E1207,Flipkart!$A$1:$B$296,2,0)</f>
        <v>0</v>
      </c>
      <c r="H1207" s="36">
        <f t="shared" ca="1" si="18"/>
        <v>0.03</v>
      </c>
      <c r="I1207" s="36" t="str">
        <f>_xlfn.XLOOKUP(E1207,'Product List'!$B$2:$B$299,'Product List'!$A$2:$A$299)</f>
        <v>Newell 318</v>
      </c>
      <c r="J1207" s="36"/>
      <c r="K1207" s="36"/>
      <c r="L1207" s="36"/>
      <c r="M1207" s="36"/>
      <c r="N1207" s="36"/>
    </row>
    <row r="1208" spans="1:14">
      <c r="A1208" s="8" t="s">
        <v>1138</v>
      </c>
      <c r="B1208" s="19">
        <v>42319</v>
      </c>
      <c r="C1208" s="8" t="s">
        <v>54</v>
      </c>
      <c r="D1208" s="8">
        <v>10005</v>
      </c>
      <c r="E1208" s="8" t="s">
        <v>158</v>
      </c>
      <c r="F1208" s="8" t="s">
        <v>43</v>
      </c>
      <c r="G1208" s="36">
        <f>VLOOKUP(E1208,Flipkart!$A$1:$B$296,2,0)</f>
        <v>0.05</v>
      </c>
      <c r="H1208" s="36">
        <f t="shared" ca="1" si="18"/>
        <v>0.03</v>
      </c>
      <c r="I1208" s="36" t="str">
        <f>_xlfn.XLOOKUP(E1208,'Product List'!$B$2:$B$299,'Product List'!$A$2:$A$299)</f>
        <v>Vtech CS6719</v>
      </c>
      <c r="J1208" s="36"/>
      <c r="K1208" s="36"/>
      <c r="L1208" s="36"/>
      <c r="M1208" s="36"/>
      <c r="N1208" s="36"/>
    </row>
    <row r="1209" spans="1:14">
      <c r="A1209" s="8" t="s">
        <v>1139</v>
      </c>
      <c r="B1209" s="19">
        <v>42321</v>
      </c>
      <c r="C1209" s="8" t="s">
        <v>44</v>
      </c>
      <c r="D1209" s="8">
        <v>10007</v>
      </c>
      <c r="E1209" s="8" t="s">
        <v>289</v>
      </c>
      <c r="F1209" s="8" t="s">
        <v>35</v>
      </c>
      <c r="G1209" s="36">
        <f>VLOOKUP(E1209,Flipkart!$A$1:$B$296,2,0)</f>
        <v>0.03</v>
      </c>
      <c r="H1209" s="36">
        <f t="shared" ca="1" si="18"/>
        <v>0.03</v>
      </c>
      <c r="I1209" s="36" t="str">
        <f>_xlfn.XLOOKUP(E1209,'Product List'!$B$2:$B$299,'Product List'!$A$2:$A$299)</f>
        <v>Newell 348</v>
      </c>
      <c r="J1209" s="36"/>
      <c r="K1209" s="36"/>
      <c r="L1209" s="36"/>
      <c r="M1209" s="36"/>
      <c r="N1209" s="36"/>
    </row>
    <row r="1210" spans="1:14">
      <c r="A1210" s="8" t="s">
        <v>1140</v>
      </c>
      <c r="B1210" s="19">
        <v>42321</v>
      </c>
      <c r="C1210" s="8" t="s">
        <v>33</v>
      </c>
      <c r="D1210" s="8">
        <v>10008</v>
      </c>
      <c r="E1210" s="8" t="s">
        <v>226</v>
      </c>
      <c r="F1210" s="8" t="s">
        <v>32</v>
      </c>
      <c r="G1210" s="36">
        <f>VLOOKUP(E1210,Flipkart!$A$1:$B$296,2,0)</f>
        <v>0.05</v>
      </c>
      <c r="H1210" s="36">
        <f t="shared" ca="1" si="18"/>
        <v>0.05</v>
      </c>
      <c r="I1210" s="36" t="str">
        <f>_xlfn.XLOOKUP(E1210,'Product List'!$B$2:$B$299,'Product List'!$A$2:$A$299)</f>
        <v>Avery 517</v>
      </c>
      <c r="J1210" s="36"/>
      <c r="K1210" s="36"/>
      <c r="L1210" s="36"/>
      <c r="M1210" s="36"/>
      <c r="N1210" s="36"/>
    </row>
    <row r="1211" spans="1:14">
      <c r="A1211" s="8" t="s">
        <v>1141</v>
      </c>
      <c r="B1211" s="19">
        <v>42323</v>
      </c>
      <c r="C1211" s="8" t="s">
        <v>66</v>
      </c>
      <c r="D1211" s="8">
        <v>10008</v>
      </c>
      <c r="E1211" s="8" t="s">
        <v>750</v>
      </c>
      <c r="F1211" s="8" t="s">
        <v>32</v>
      </c>
      <c r="G1211" s="36">
        <f>VLOOKUP(E1211,Flipkart!$A$1:$B$296,2,0)</f>
        <v>0.05</v>
      </c>
      <c r="H1211" s="36">
        <f t="shared" ca="1" si="18"/>
        <v>0.04</v>
      </c>
      <c r="I1211" s="36" t="str">
        <f>_xlfn.XLOOKUP(E1211,'Product List'!$B$2:$B$299,'Product List'!$A$2:$A$299)</f>
        <v>Xerox 1897</v>
      </c>
      <c r="J1211" s="36"/>
      <c r="K1211" s="36"/>
      <c r="L1211" s="36"/>
      <c r="M1211" s="36"/>
      <c r="N1211" s="36"/>
    </row>
    <row r="1212" spans="1:14">
      <c r="A1212" s="8" t="s">
        <v>1142</v>
      </c>
      <c r="B1212" s="19">
        <v>42324</v>
      </c>
      <c r="C1212" s="8" t="s">
        <v>66</v>
      </c>
      <c r="D1212" s="8">
        <v>10013</v>
      </c>
      <c r="E1212" s="8" t="s">
        <v>659</v>
      </c>
      <c r="F1212" s="8" t="s">
        <v>35</v>
      </c>
      <c r="G1212" s="36">
        <f>VLOOKUP(E1212,Flipkart!$A$1:$B$296,2,0)</f>
        <v>0.02</v>
      </c>
      <c r="H1212" s="36">
        <f t="shared" ca="1" si="18"/>
        <v>0.02</v>
      </c>
      <c r="I1212" s="36" t="str">
        <f>_xlfn.XLOOKUP(E1212,'Product List'!$B$2:$B$299,'Product List'!$A$2:$A$299)</f>
        <v>Newell 312</v>
      </c>
      <c r="J1212" s="36"/>
      <c r="K1212" s="36"/>
      <c r="L1212" s="36"/>
      <c r="M1212" s="36"/>
      <c r="N1212" s="36"/>
    </row>
    <row r="1213" spans="1:14">
      <c r="A1213" s="8" t="s">
        <v>1143</v>
      </c>
      <c r="B1213" s="19">
        <v>42324</v>
      </c>
      <c r="C1213" s="8" t="s">
        <v>44</v>
      </c>
      <c r="D1213" s="8">
        <v>10004</v>
      </c>
      <c r="E1213" s="8" t="s">
        <v>28</v>
      </c>
      <c r="F1213" s="8" t="s">
        <v>40</v>
      </c>
      <c r="G1213" s="36">
        <f>VLOOKUP(E1213,Flipkart!$A$1:$B$296,2,0)</f>
        <v>0</v>
      </c>
      <c r="H1213" s="36">
        <f t="shared" ca="1" si="18"/>
        <v>0.05</v>
      </c>
      <c r="I1213" s="36" t="str">
        <f>_xlfn.XLOOKUP(E1213,'Product List'!$B$2:$B$299,'Product List'!$A$2:$A$299)</f>
        <v>Xerox 1951</v>
      </c>
      <c r="J1213" s="36"/>
      <c r="K1213" s="36"/>
      <c r="L1213" s="36"/>
      <c r="M1213" s="36"/>
      <c r="N1213" s="36"/>
    </row>
    <row r="1214" spans="1:14">
      <c r="A1214" s="8" t="s">
        <v>1144</v>
      </c>
      <c r="B1214" s="19">
        <v>42325</v>
      </c>
      <c r="C1214" s="8" t="s">
        <v>44</v>
      </c>
      <c r="D1214" s="8">
        <v>10002</v>
      </c>
      <c r="E1214" s="8" t="s">
        <v>300</v>
      </c>
      <c r="F1214" s="8" t="s">
        <v>35</v>
      </c>
      <c r="G1214" s="36">
        <f>VLOOKUP(E1214,Flipkart!$A$1:$B$296,2,0)</f>
        <v>0.04</v>
      </c>
      <c r="H1214" s="36">
        <f t="shared" ca="1" si="18"/>
        <v>0.04</v>
      </c>
      <c r="I1214" s="36" t="str">
        <f>_xlfn.XLOOKUP(E1214,'Product List'!$B$2:$B$299,'Product List'!$A$2:$A$299)</f>
        <v>Xerox 1892</v>
      </c>
      <c r="J1214" s="36"/>
      <c r="K1214" s="36"/>
      <c r="L1214" s="36"/>
      <c r="M1214" s="36"/>
      <c r="N1214" s="36"/>
    </row>
    <row r="1215" spans="1:14">
      <c r="A1215" s="8" t="s">
        <v>1145</v>
      </c>
      <c r="B1215" s="19">
        <v>42327</v>
      </c>
      <c r="C1215" s="8" t="s">
        <v>36</v>
      </c>
      <c r="D1215" s="8">
        <v>10005</v>
      </c>
      <c r="E1215" s="8" t="s">
        <v>322</v>
      </c>
      <c r="F1215" s="8" t="s">
        <v>43</v>
      </c>
      <c r="G1215" s="36">
        <f>VLOOKUP(E1215,Flipkart!$A$1:$B$296,2,0)</f>
        <v>0.05</v>
      </c>
      <c r="H1215" s="36">
        <f t="shared" ca="1" si="18"/>
        <v>0.05</v>
      </c>
      <c r="I1215" s="36" t="str">
        <f>_xlfn.XLOOKUP(E1215,'Product List'!$B$2:$B$299,'Product List'!$A$2:$A$299)</f>
        <v>Xerox 1966</v>
      </c>
      <c r="J1215" s="36"/>
      <c r="K1215" s="36"/>
      <c r="L1215" s="36"/>
      <c r="M1215" s="36"/>
      <c r="N1215" s="36"/>
    </row>
    <row r="1216" spans="1:14">
      <c r="A1216" s="8" t="s">
        <v>1146</v>
      </c>
      <c r="B1216" s="19">
        <v>42331</v>
      </c>
      <c r="C1216" s="8" t="s">
        <v>36</v>
      </c>
      <c r="D1216" s="8">
        <v>10005</v>
      </c>
      <c r="E1216" s="8" t="s">
        <v>455</v>
      </c>
      <c r="F1216" s="8" t="s">
        <v>43</v>
      </c>
      <c r="G1216" s="36">
        <f>VLOOKUP(E1216,Flipkart!$A$1:$B$296,2,0)</f>
        <v>0</v>
      </c>
      <c r="H1216" s="36">
        <f t="shared" ca="1" si="18"/>
        <v>0.05</v>
      </c>
      <c r="I1216" s="36" t="str">
        <f>_xlfn.XLOOKUP(E1216,'Product List'!$B$2:$B$299,'Product List'!$A$2:$A$299)</f>
        <v>Newell 307</v>
      </c>
      <c r="J1216" s="36"/>
      <c r="K1216" s="36"/>
      <c r="L1216" s="36"/>
      <c r="M1216" s="36"/>
      <c r="N1216" s="36"/>
    </row>
    <row r="1217" spans="1:14">
      <c r="A1217" s="8" t="s">
        <v>1146</v>
      </c>
      <c r="B1217" s="19">
        <v>42331</v>
      </c>
      <c r="C1217" s="8" t="s">
        <v>46</v>
      </c>
      <c r="D1217" s="8">
        <v>10005</v>
      </c>
      <c r="E1217" s="8" t="s">
        <v>257</v>
      </c>
      <c r="F1217" s="8" t="s">
        <v>40</v>
      </c>
      <c r="G1217" s="36">
        <f>VLOOKUP(E1217,Flipkart!$A$1:$B$296,2,0)</f>
        <v>0</v>
      </c>
      <c r="H1217" s="36">
        <f t="shared" ca="1" si="18"/>
        <v>0.01</v>
      </c>
      <c r="I1217" s="36" t="str">
        <f>_xlfn.XLOOKUP(E1217,'Product List'!$B$2:$B$299,'Product List'!$A$2:$A$299)</f>
        <v>Xerox 1977</v>
      </c>
      <c r="J1217" s="36"/>
      <c r="K1217" s="36"/>
      <c r="L1217" s="36"/>
      <c r="M1217" s="36"/>
      <c r="N1217" s="36"/>
    </row>
    <row r="1218" spans="1:14">
      <c r="A1218" s="8" t="s">
        <v>1146</v>
      </c>
      <c r="B1218" s="19">
        <v>42331</v>
      </c>
      <c r="C1218" s="8" t="s">
        <v>46</v>
      </c>
      <c r="D1218" s="8">
        <v>10013</v>
      </c>
      <c r="E1218" s="8" t="s">
        <v>501</v>
      </c>
      <c r="F1218" s="8" t="s">
        <v>50</v>
      </c>
      <c r="G1218" s="36">
        <f>VLOOKUP(E1218,Flipkart!$A$1:$B$296,2,0)</f>
        <v>0</v>
      </c>
      <c r="H1218" s="36">
        <f t="shared" ca="1" si="18"/>
        <v>0</v>
      </c>
      <c r="I1218" s="36" t="str">
        <f>_xlfn.XLOOKUP(E1218,'Product List'!$B$2:$B$299,'Product List'!$A$2:$A$299)</f>
        <v>Avery 500</v>
      </c>
      <c r="J1218" s="36"/>
      <c r="K1218" s="36"/>
      <c r="L1218" s="36"/>
      <c r="M1218" s="36"/>
      <c r="N1218" s="36"/>
    </row>
    <row r="1219" spans="1:14">
      <c r="A1219" s="8" t="s">
        <v>1147</v>
      </c>
      <c r="B1219" s="19">
        <v>42334</v>
      </c>
      <c r="C1219" s="8" t="s">
        <v>66</v>
      </c>
      <c r="D1219" s="8">
        <v>10012</v>
      </c>
      <c r="E1219" s="8" t="s">
        <v>188</v>
      </c>
      <c r="F1219" s="8" t="s">
        <v>43</v>
      </c>
      <c r="G1219" s="36">
        <f>VLOOKUP(E1219,Flipkart!$A$1:$B$296,2,0)</f>
        <v>0.03</v>
      </c>
      <c r="H1219" s="36">
        <f t="shared" ca="1" si="18"/>
        <v>0.04</v>
      </c>
      <c r="I1219" s="36" t="str">
        <f>_xlfn.XLOOKUP(E1219,'Product List'!$B$2:$B$299,'Product List'!$A$2:$A$299)</f>
        <v>Xerox 1953</v>
      </c>
      <c r="J1219" s="36"/>
      <c r="K1219" s="36"/>
      <c r="L1219" s="36"/>
      <c r="M1219" s="36"/>
      <c r="N1219" s="36"/>
    </row>
    <row r="1220" spans="1:14">
      <c r="A1220" s="8" t="s">
        <v>1148</v>
      </c>
      <c r="B1220" s="19">
        <v>42335</v>
      </c>
      <c r="C1220" s="8" t="s">
        <v>33</v>
      </c>
      <c r="D1220" s="8">
        <v>10014</v>
      </c>
      <c r="E1220" s="8" t="s">
        <v>1149</v>
      </c>
      <c r="F1220" s="8" t="s">
        <v>32</v>
      </c>
      <c r="G1220" s="36">
        <f>VLOOKUP(E1220,Flipkart!$A$1:$B$296,2,0)</f>
        <v>0.02</v>
      </c>
      <c r="H1220" s="36">
        <f t="shared" ref="H1220:H1274" ca="1" si="19">VLOOKUP(E1220,INDIRECT(F1220&amp;"!$A$1:$B$296"),2,0)</f>
        <v>0.03</v>
      </c>
      <c r="I1220" s="36" t="str">
        <f>_xlfn.XLOOKUP(E1220,'Product List'!$B$2:$B$299,'Product List'!$A$2:$A$299)</f>
        <v>Xerox 1982</v>
      </c>
      <c r="J1220" s="36"/>
      <c r="K1220" s="36"/>
      <c r="L1220" s="36"/>
      <c r="M1220" s="36"/>
      <c r="N1220" s="36"/>
    </row>
    <row r="1221" spans="1:14">
      <c r="A1221" s="8" t="s">
        <v>1148</v>
      </c>
      <c r="B1221" s="19">
        <v>42335</v>
      </c>
      <c r="C1221" s="8" t="s">
        <v>33</v>
      </c>
      <c r="D1221" s="8">
        <v>10002</v>
      </c>
      <c r="E1221" s="8" t="s">
        <v>137</v>
      </c>
      <c r="F1221" s="8" t="s">
        <v>29</v>
      </c>
      <c r="G1221" s="36">
        <f>VLOOKUP(E1221,Flipkart!$A$1:$B$296,2,0)</f>
        <v>0</v>
      </c>
      <c r="H1221" s="36">
        <f t="shared" ca="1" si="19"/>
        <v>0.04</v>
      </c>
      <c r="I1221" s="36" t="str">
        <f>_xlfn.XLOOKUP(E1221,'Product List'!$B$2:$B$299,'Product List'!$A$2:$A$299)</f>
        <v>Newell 35</v>
      </c>
      <c r="J1221" s="36"/>
      <c r="K1221" s="36"/>
      <c r="L1221" s="36"/>
      <c r="M1221" s="36"/>
      <c r="N1221" s="36"/>
    </row>
    <row r="1222" spans="1:14">
      <c r="A1222" s="8" t="s">
        <v>1148</v>
      </c>
      <c r="B1222" s="19">
        <v>42335</v>
      </c>
      <c r="C1222" s="8" t="s">
        <v>33</v>
      </c>
      <c r="D1222" s="8">
        <v>10007</v>
      </c>
      <c r="E1222" s="8" t="s">
        <v>263</v>
      </c>
      <c r="F1222" s="8" t="s">
        <v>43</v>
      </c>
      <c r="G1222" s="36">
        <f>VLOOKUP(E1222,Flipkart!$A$1:$B$296,2,0)</f>
        <v>0.03</v>
      </c>
      <c r="H1222" s="36">
        <f t="shared" ca="1" si="19"/>
        <v>0.04</v>
      </c>
      <c r="I1222" s="36" t="str">
        <f>_xlfn.XLOOKUP(E1222,'Product List'!$B$2:$B$299,'Product List'!$A$2:$A$299)</f>
        <v>Xerox 1976</v>
      </c>
      <c r="J1222" s="36"/>
      <c r="K1222" s="36"/>
      <c r="L1222" s="36"/>
      <c r="M1222" s="36"/>
      <c r="N1222" s="36"/>
    </row>
    <row r="1223" spans="1:14">
      <c r="A1223" s="8" t="s">
        <v>1150</v>
      </c>
      <c r="B1223" s="19">
        <v>42335</v>
      </c>
      <c r="C1223" s="8" t="s">
        <v>27</v>
      </c>
      <c r="D1223" s="8">
        <v>10011</v>
      </c>
      <c r="E1223" s="8" t="s">
        <v>445</v>
      </c>
      <c r="F1223" s="8" t="s">
        <v>50</v>
      </c>
      <c r="G1223" s="36">
        <f>VLOOKUP(E1223,Flipkart!$A$1:$B$296,2,0)</f>
        <v>0.01</v>
      </c>
      <c r="H1223" s="36">
        <f t="shared" ca="1" si="19"/>
        <v>0.01</v>
      </c>
      <c r="I1223" s="36" t="str">
        <f>_xlfn.XLOOKUP(E1223,'Product List'!$B$2:$B$299,'Product List'!$A$2:$A$299)</f>
        <v>Xerox 1882</v>
      </c>
      <c r="J1223" s="36"/>
      <c r="K1223" s="36"/>
      <c r="L1223" s="36"/>
      <c r="M1223" s="36"/>
      <c r="N1223" s="36"/>
    </row>
    <row r="1224" spans="1:14">
      <c r="A1224" s="8" t="s">
        <v>1151</v>
      </c>
      <c r="B1224" s="19">
        <v>42336</v>
      </c>
      <c r="C1224" s="8" t="s">
        <v>46</v>
      </c>
      <c r="D1224" s="8">
        <v>10003</v>
      </c>
      <c r="E1224" s="8" t="s">
        <v>128</v>
      </c>
      <c r="F1224" s="8" t="s">
        <v>29</v>
      </c>
      <c r="G1224" s="36">
        <f>VLOOKUP(E1224,Flipkart!$A$1:$B$296,2,0)</f>
        <v>0.04</v>
      </c>
      <c r="H1224" s="36">
        <f t="shared" ca="1" si="19"/>
        <v>0.01</v>
      </c>
      <c r="I1224" s="36" t="str">
        <f>_xlfn.XLOOKUP(E1224,'Product List'!$B$2:$B$299,'Product List'!$A$2:$A$299)</f>
        <v>Xerox 19</v>
      </c>
      <c r="J1224" s="36"/>
      <c r="K1224" s="36"/>
      <c r="L1224" s="36"/>
      <c r="M1224" s="36"/>
      <c r="N1224" s="36"/>
    </row>
    <row r="1225" spans="1:14">
      <c r="A1225" s="8" t="s">
        <v>1152</v>
      </c>
      <c r="B1225" s="19">
        <v>42336</v>
      </c>
      <c r="C1225" s="8" t="s">
        <v>44</v>
      </c>
      <c r="D1225" s="8">
        <v>10008</v>
      </c>
      <c r="E1225" s="8" t="s">
        <v>65</v>
      </c>
      <c r="F1225" s="8" t="s">
        <v>40</v>
      </c>
      <c r="G1225" s="36">
        <f>VLOOKUP(E1225,Flipkart!$A$1:$B$296,2,0)</f>
        <v>0</v>
      </c>
      <c r="H1225" s="36">
        <f t="shared" ca="1" si="19"/>
        <v>0</v>
      </c>
      <c r="I1225" s="36" t="str">
        <f>_xlfn.XLOOKUP(E1225,'Product List'!$B$2:$B$299,'Product List'!$A$2:$A$299)</f>
        <v>Xerox 1963</v>
      </c>
      <c r="J1225" s="36"/>
      <c r="K1225" s="36"/>
      <c r="L1225" s="36"/>
      <c r="M1225" s="36"/>
      <c r="N1225" s="36"/>
    </row>
    <row r="1226" spans="1:14">
      <c r="A1226" s="8" t="s">
        <v>1152</v>
      </c>
      <c r="B1226" s="19">
        <v>42336</v>
      </c>
      <c r="C1226" s="8" t="s">
        <v>66</v>
      </c>
      <c r="D1226" s="8">
        <v>10001</v>
      </c>
      <c r="E1226" s="8" t="s">
        <v>160</v>
      </c>
      <c r="F1226" s="8" t="s">
        <v>40</v>
      </c>
      <c r="G1226" s="36">
        <f>VLOOKUP(E1226,Flipkart!$A$1:$B$296,2,0)</f>
        <v>0.05</v>
      </c>
      <c r="H1226" s="36">
        <f t="shared" ca="1" si="19"/>
        <v>0.01</v>
      </c>
      <c r="I1226" s="36" t="str">
        <f>_xlfn.XLOOKUP(E1226,'Product List'!$B$2:$B$299,'Product List'!$A$2:$A$299)</f>
        <v>Newell 34</v>
      </c>
      <c r="J1226" s="36"/>
      <c r="K1226" s="36"/>
      <c r="L1226" s="36"/>
      <c r="M1226" s="36"/>
      <c r="N1226" s="36"/>
    </row>
    <row r="1227" spans="1:14">
      <c r="A1227" s="8" t="s">
        <v>1153</v>
      </c>
      <c r="B1227" s="19">
        <v>42338</v>
      </c>
      <c r="C1227" s="8" t="s">
        <v>51</v>
      </c>
      <c r="D1227" s="8">
        <v>10009</v>
      </c>
      <c r="E1227" s="8" t="s">
        <v>311</v>
      </c>
      <c r="F1227" s="8" t="s">
        <v>29</v>
      </c>
      <c r="G1227" s="36">
        <f>VLOOKUP(E1227,Flipkart!$A$1:$B$296,2,0)</f>
        <v>0</v>
      </c>
      <c r="H1227" s="36">
        <f t="shared" ca="1" si="19"/>
        <v>0</v>
      </c>
      <c r="I1227" s="36" t="str">
        <f>_xlfn.XLOOKUP(E1227,'Product List'!$B$2:$B$299,'Product List'!$A$2:$A$299)</f>
        <v>Xerox 1923</v>
      </c>
      <c r="J1227" s="36"/>
      <c r="K1227" s="36"/>
      <c r="L1227" s="36"/>
      <c r="M1227" s="36"/>
      <c r="N1227" s="36"/>
    </row>
    <row r="1228" spans="1:14">
      <c r="A1228" s="8" t="s">
        <v>1154</v>
      </c>
      <c r="B1228" s="19">
        <v>42340</v>
      </c>
      <c r="C1228" s="8" t="s">
        <v>36</v>
      </c>
      <c r="D1228" s="8">
        <v>10001</v>
      </c>
      <c r="E1228" s="8" t="s">
        <v>84</v>
      </c>
      <c r="F1228" s="8" t="s">
        <v>50</v>
      </c>
      <c r="G1228" s="36">
        <f>VLOOKUP(E1228,Flipkart!$A$1:$B$296,2,0)</f>
        <v>0.01</v>
      </c>
      <c r="H1228" s="36">
        <f t="shared" ca="1" si="19"/>
        <v>0.01</v>
      </c>
      <c r="I1228" s="36" t="str">
        <f>_xlfn.XLOOKUP(E1228,'Product List'!$B$2:$B$299,'Product List'!$A$2:$A$299)</f>
        <v>Xerox 1979</v>
      </c>
      <c r="J1228" s="36"/>
      <c r="K1228" s="36"/>
      <c r="L1228" s="36"/>
      <c r="M1228" s="36"/>
      <c r="N1228" s="36"/>
    </row>
    <row r="1229" spans="1:14">
      <c r="A1229" s="8" t="s">
        <v>1155</v>
      </c>
      <c r="B1229" s="19">
        <v>42341</v>
      </c>
      <c r="C1229" s="8" t="s">
        <v>44</v>
      </c>
      <c r="D1229" s="8">
        <v>10012</v>
      </c>
      <c r="E1229" s="8" t="s">
        <v>716</v>
      </c>
      <c r="F1229" s="8" t="s">
        <v>50</v>
      </c>
      <c r="G1229" s="36">
        <f>VLOOKUP(E1229,Flipkart!$A$1:$B$296,2,0)</f>
        <v>0.01</v>
      </c>
      <c r="H1229" s="36">
        <f t="shared" ca="1" si="19"/>
        <v>0.01</v>
      </c>
      <c r="I1229" s="36" t="str">
        <f>_xlfn.XLOOKUP(E1229,'Product List'!$B$2:$B$299,'Product List'!$A$2:$A$299)</f>
        <v>Xerox 1954</v>
      </c>
      <c r="J1229" s="36"/>
      <c r="K1229" s="36"/>
      <c r="L1229" s="36"/>
      <c r="M1229" s="36"/>
      <c r="N1229" s="36"/>
    </row>
    <row r="1230" spans="1:14">
      <c r="A1230" s="8" t="s">
        <v>1155</v>
      </c>
      <c r="B1230" s="19">
        <v>42341</v>
      </c>
      <c r="C1230" s="8" t="s">
        <v>51</v>
      </c>
      <c r="D1230" s="8">
        <v>10005</v>
      </c>
      <c r="E1230" s="8" t="s">
        <v>93</v>
      </c>
      <c r="F1230" s="8" t="s">
        <v>32</v>
      </c>
      <c r="G1230" s="36">
        <f>VLOOKUP(E1230,Flipkart!$A$1:$B$296,2,0)</f>
        <v>0.04</v>
      </c>
      <c r="H1230" s="36">
        <f t="shared" ca="1" si="19"/>
        <v>0</v>
      </c>
      <c r="I1230" s="36" t="str">
        <f>_xlfn.XLOOKUP(E1230,'Product List'!$B$2:$B$299,'Product List'!$A$2:$A$299)</f>
        <v>Xerox 1943</v>
      </c>
      <c r="J1230" s="36"/>
      <c r="K1230" s="36"/>
      <c r="L1230" s="36"/>
      <c r="M1230" s="36"/>
      <c r="N1230" s="36"/>
    </row>
    <row r="1231" spans="1:14">
      <c r="A1231" s="8" t="s">
        <v>1156</v>
      </c>
      <c r="B1231" s="19">
        <v>42342</v>
      </c>
      <c r="C1231" s="8" t="s">
        <v>27</v>
      </c>
      <c r="D1231" s="8">
        <v>10006</v>
      </c>
      <c r="E1231" s="8" t="s">
        <v>462</v>
      </c>
      <c r="F1231" s="8" t="s">
        <v>40</v>
      </c>
      <c r="G1231" s="36">
        <f>VLOOKUP(E1231,Flipkart!$A$1:$B$296,2,0)</f>
        <v>0.04</v>
      </c>
      <c r="H1231" s="36">
        <f t="shared" ca="1" si="19"/>
        <v>0.02</v>
      </c>
      <c r="I1231" s="36" t="str">
        <f>_xlfn.XLOOKUP(E1231,'Product List'!$B$2:$B$299,'Product List'!$A$2:$A$299)</f>
        <v>Newell 322</v>
      </c>
      <c r="J1231" s="36"/>
      <c r="K1231" s="36"/>
      <c r="L1231" s="36"/>
      <c r="M1231" s="36"/>
      <c r="N1231" s="36"/>
    </row>
    <row r="1232" spans="1:14">
      <c r="A1232" s="8" t="s">
        <v>1157</v>
      </c>
      <c r="B1232" s="19">
        <v>42342</v>
      </c>
      <c r="C1232" s="8" t="s">
        <v>51</v>
      </c>
      <c r="D1232" s="8">
        <v>10013</v>
      </c>
      <c r="E1232" s="8" t="s">
        <v>321</v>
      </c>
      <c r="F1232" s="8" t="s">
        <v>50</v>
      </c>
      <c r="G1232" s="36">
        <f>VLOOKUP(E1232,Flipkart!$A$1:$B$296,2,0)</f>
        <v>0</v>
      </c>
      <c r="H1232" s="36">
        <f t="shared" ca="1" si="19"/>
        <v>0</v>
      </c>
      <c r="I1232" s="36" t="str">
        <f>_xlfn.XLOOKUP(E1232,'Product List'!$B$2:$B$299,'Product List'!$A$2:$A$299)</f>
        <v>Xerox 1938</v>
      </c>
      <c r="J1232" s="36"/>
      <c r="K1232" s="36"/>
      <c r="L1232" s="36"/>
      <c r="M1232" s="36"/>
      <c r="N1232" s="36"/>
    </row>
    <row r="1233" spans="1:14">
      <c r="A1233" s="8" t="s">
        <v>1157</v>
      </c>
      <c r="B1233" s="19">
        <v>42342</v>
      </c>
      <c r="C1233" s="8" t="s">
        <v>66</v>
      </c>
      <c r="D1233" s="8">
        <v>10004</v>
      </c>
      <c r="E1233" s="8" t="s">
        <v>776</v>
      </c>
      <c r="F1233" s="8" t="s">
        <v>29</v>
      </c>
      <c r="G1233" s="36">
        <f>VLOOKUP(E1233,Flipkart!$A$1:$B$296,2,0)</f>
        <v>0.03</v>
      </c>
      <c r="H1233" s="36">
        <f t="shared" ca="1" si="19"/>
        <v>0.05</v>
      </c>
      <c r="I1233" s="36" t="str">
        <f>_xlfn.XLOOKUP(E1233,'Product List'!$B$2:$B$299,'Product List'!$A$2:$A$299)</f>
        <v>Newell 347</v>
      </c>
      <c r="J1233" s="36"/>
      <c r="K1233" s="36"/>
      <c r="L1233" s="36"/>
      <c r="M1233" s="36"/>
      <c r="N1233" s="36"/>
    </row>
    <row r="1234" spans="1:14">
      <c r="A1234" s="8" t="s">
        <v>1157</v>
      </c>
      <c r="B1234" s="19">
        <v>42342</v>
      </c>
      <c r="C1234" s="8" t="s">
        <v>33</v>
      </c>
      <c r="D1234" s="8">
        <v>10007</v>
      </c>
      <c r="E1234" s="8" t="s">
        <v>231</v>
      </c>
      <c r="F1234" s="8" t="s">
        <v>40</v>
      </c>
      <c r="G1234" s="36">
        <f>VLOOKUP(E1234,Flipkart!$A$1:$B$296,2,0)</f>
        <v>0.01</v>
      </c>
      <c r="H1234" s="36">
        <f t="shared" ca="1" si="19"/>
        <v>0</v>
      </c>
      <c r="I1234" s="36" t="str">
        <f>_xlfn.XLOOKUP(E1234,'Product List'!$B$2:$B$299,'Product List'!$A$2:$A$299)</f>
        <v>Newell 350</v>
      </c>
      <c r="J1234" s="36"/>
      <c r="K1234" s="36"/>
      <c r="L1234" s="36"/>
      <c r="M1234" s="36"/>
      <c r="N1234" s="36"/>
    </row>
    <row r="1235" spans="1:14">
      <c r="A1235" s="8" t="s">
        <v>1158</v>
      </c>
      <c r="B1235" s="19">
        <v>42343</v>
      </c>
      <c r="C1235" s="8" t="s">
        <v>66</v>
      </c>
      <c r="D1235" s="8">
        <v>10007</v>
      </c>
      <c r="E1235" s="8" t="s">
        <v>453</v>
      </c>
      <c r="F1235" s="8" t="s">
        <v>29</v>
      </c>
      <c r="G1235" s="36">
        <f>VLOOKUP(E1235,Flipkart!$A$1:$B$296,2,0)</f>
        <v>0</v>
      </c>
      <c r="H1235" s="36">
        <f t="shared" ca="1" si="19"/>
        <v>0.04</v>
      </c>
      <c r="I1235" s="36" t="str">
        <f>_xlfn.XLOOKUP(E1235,'Product List'!$B$2:$B$299,'Product List'!$A$2:$A$299)</f>
        <v>Xerox 231</v>
      </c>
      <c r="J1235" s="36"/>
      <c r="K1235" s="36"/>
      <c r="L1235" s="36"/>
      <c r="M1235" s="36"/>
      <c r="N1235" s="36"/>
    </row>
    <row r="1236" spans="1:14">
      <c r="A1236" s="8" t="s">
        <v>1159</v>
      </c>
      <c r="B1236" s="19">
        <v>42343</v>
      </c>
      <c r="C1236" s="8" t="s">
        <v>27</v>
      </c>
      <c r="D1236" s="8">
        <v>10010</v>
      </c>
      <c r="E1236" s="8" t="s">
        <v>778</v>
      </c>
      <c r="F1236" s="8" t="s">
        <v>43</v>
      </c>
      <c r="G1236" s="36">
        <f>VLOOKUP(E1236,Flipkart!$A$1:$B$296,2,0)</f>
        <v>0.05</v>
      </c>
      <c r="H1236" s="36">
        <f t="shared" ca="1" si="19"/>
        <v>0.05</v>
      </c>
      <c r="I1236" s="36" t="str">
        <f>_xlfn.XLOOKUP(E1236,'Product List'!$B$2:$B$299,'Product List'!$A$2:$A$299)</f>
        <v>Xerox 197</v>
      </c>
      <c r="J1236" s="36"/>
      <c r="K1236" s="36"/>
      <c r="L1236" s="36"/>
      <c r="M1236" s="36"/>
      <c r="N1236" s="36"/>
    </row>
    <row r="1237" spans="1:14">
      <c r="A1237" s="8" t="s">
        <v>1158</v>
      </c>
      <c r="B1237" s="19">
        <v>42343</v>
      </c>
      <c r="C1237" s="8" t="s">
        <v>54</v>
      </c>
      <c r="D1237" s="8">
        <v>10010</v>
      </c>
      <c r="E1237" s="8" t="s">
        <v>687</v>
      </c>
      <c r="F1237" s="8" t="s">
        <v>50</v>
      </c>
      <c r="G1237" s="36">
        <f>VLOOKUP(E1237,Flipkart!$A$1:$B$296,2,0)</f>
        <v>0.04</v>
      </c>
      <c r="H1237" s="36">
        <f t="shared" ca="1" si="19"/>
        <v>0</v>
      </c>
      <c r="I1237" s="36" t="str">
        <f>_xlfn.XLOOKUP(E1237,'Product List'!$B$2:$B$299,'Product List'!$A$2:$A$299)</f>
        <v>Xerox 1924</v>
      </c>
      <c r="J1237" s="36"/>
      <c r="K1237" s="36"/>
      <c r="L1237" s="36"/>
      <c r="M1237" s="36"/>
      <c r="N1237" s="36"/>
    </row>
    <row r="1238" spans="1:14">
      <c r="A1238" s="8" t="s">
        <v>1160</v>
      </c>
      <c r="B1238" s="19">
        <v>42343</v>
      </c>
      <c r="C1238" s="8" t="s">
        <v>51</v>
      </c>
      <c r="D1238" s="8">
        <v>10008</v>
      </c>
      <c r="E1238" s="8" t="s">
        <v>882</v>
      </c>
      <c r="F1238" s="8" t="s">
        <v>32</v>
      </c>
      <c r="G1238" s="36">
        <f>VLOOKUP(E1238,Flipkart!$A$1:$B$296,2,0)</f>
        <v>0.02</v>
      </c>
      <c r="H1238" s="36">
        <f t="shared" ca="1" si="19"/>
        <v>0.05</v>
      </c>
      <c r="I1238" s="36" t="str">
        <f>_xlfn.XLOOKUP(E1238,'Product List'!$B$2:$B$299,'Product List'!$A$2:$A$299)</f>
        <v>Xerox 1935</v>
      </c>
      <c r="J1238" s="36"/>
      <c r="K1238" s="36"/>
      <c r="L1238" s="36"/>
      <c r="M1238" s="36"/>
      <c r="N1238" s="36"/>
    </row>
    <row r="1239" spans="1:14">
      <c r="A1239" s="8" t="s">
        <v>1161</v>
      </c>
      <c r="B1239" s="19">
        <v>42345</v>
      </c>
      <c r="C1239" s="8" t="s">
        <v>36</v>
      </c>
      <c r="D1239" s="8">
        <v>10011</v>
      </c>
      <c r="E1239" s="8" t="s">
        <v>303</v>
      </c>
      <c r="F1239" s="8" t="s">
        <v>43</v>
      </c>
      <c r="G1239" s="36">
        <f>VLOOKUP(E1239,Flipkart!$A$1:$B$296,2,0)</f>
        <v>0.01</v>
      </c>
      <c r="H1239" s="36">
        <f t="shared" ca="1" si="19"/>
        <v>0</v>
      </c>
      <c r="I1239" s="36" t="str">
        <f>_xlfn.XLOOKUP(E1239,'Product List'!$B$2:$B$299,'Product List'!$A$2:$A$299)</f>
        <v>Xerox 1885</v>
      </c>
      <c r="J1239" s="36"/>
      <c r="K1239" s="36"/>
      <c r="L1239" s="36"/>
      <c r="M1239" s="36"/>
      <c r="N1239" s="36"/>
    </row>
    <row r="1240" spans="1:14">
      <c r="A1240" s="8" t="s">
        <v>1162</v>
      </c>
      <c r="B1240" s="19">
        <v>42345</v>
      </c>
      <c r="C1240" s="8" t="s">
        <v>66</v>
      </c>
      <c r="D1240" s="8">
        <v>10006</v>
      </c>
      <c r="E1240" s="8" t="s">
        <v>622</v>
      </c>
      <c r="F1240" s="8" t="s">
        <v>32</v>
      </c>
      <c r="G1240" s="36">
        <f>VLOOKUP(E1240,Flipkart!$A$1:$B$296,2,0)</f>
        <v>0.01</v>
      </c>
      <c r="H1240" s="36">
        <f t="shared" ca="1" si="19"/>
        <v>0</v>
      </c>
      <c r="I1240" s="36" t="str">
        <f>_xlfn.XLOOKUP(E1240,'Product List'!$B$2:$B$299,'Product List'!$A$2:$A$299)</f>
        <v>Xerox 1995</v>
      </c>
      <c r="J1240" s="36"/>
      <c r="K1240" s="36"/>
      <c r="L1240" s="36"/>
      <c r="M1240" s="36"/>
      <c r="N1240" s="36"/>
    </row>
    <row r="1241" spans="1:14">
      <c r="A1241" s="8" t="s">
        <v>1163</v>
      </c>
      <c r="B1241" s="19">
        <v>42345</v>
      </c>
      <c r="C1241" s="8" t="s">
        <v>46</v>
      </c>
      <c r="D1241" s="8">
        <v>10002</v>
      </c>
      <c r="E1241" s="8" t="s">
        <v>356</v>
      </c>
      <c r="F1241" s="8" t="s">
        <v>40</v>
      </c>
      <c r="G1241" s="36">
        <f>VLOOKUP(E1241,Flipkart!$A$1:$B$296,2,0)</f>
        <v>0.04</v>
      </c>
      <c r="H1241" s="36">
        <f t="shared" ca="1" si="19"/>
        <v>0.02</v>
      </c>
      <c r="I1241" s="36" t="str">
        <f>_xlfn.XLOOKUP(E1241,'Product List'!$B$2:$B$299,'Product List'!$A$2:$A$299)</f>
        <v>Newell 32</v>
      </c>
      <c r="J1241" s="36"/>
      <c r="K1241" s="36"/>
      <c r="L1241" s="36"/>
      <c r="M1241" s="36"/>
      <c r="N1241" s="36"/>
    </row>
    <row r="1242" spans="1:14">
      <c r="A1242" s="8" t="s">
        <v>1162</v>
      </c>
      <c r="B1242" s="19">
        <v>42345</v>
      </c>
      <c r="C1242" s="8" t="s">
        <v>27</v>
      </c>
      <c r="D1242" s="8">
        <v>10003</v>
      </c>
      <c r="E1242" s="8" t="s">
        <v>227</v>
      </c>
      <c r="F1242" s="8" t="s">
        <v>35</v>
      </c>
      <c r="G1242" s="36">
        <f>VLOOKUP(E1242,Flipkart!$A$1:$B$296,2,0)</f>
        <v>0.02</v>
      </c>
      <c r="H1242" s="36">
        <f t="shared" ca="1" si="19"/>
        <v>0.02</v>
      </c>
      <c r="I1242" s="36" t="str">
        <f>_xlfn.XLOOKUP(E1242,'Product List'!$B$2:$B$299,'Product List'!$A$2:$A$299)</f>
        <v>Xerox 21</v>
      </c>
      <c r="J1242" s="36"/>
      <c r="K1242" s="36"/>
      <c r="L1242" s="36"/>
      <c r="M1242" s="36"/>
      <c r="N1242" s="36"/>
    </row>
    <row r="1243" spans="1:14">
      <c r="A1243" s="8" t="s">
        <v>1163</v>
      </c>
      <c r="B1243" s="19">
        <v>42345</v>
      </c>
      <c r="C1243" s="8" t="s">
        <v>46</v>
      </c>
      <c r="D1243" s="8">
        <v>10004</v>
      </c>
      <c r="E1243" s="8" t="s">
        <v>153</v>
      </c>
      <c r="F1243" s="8" t="s">
        <v>40</v>
      </c>
      <c r="G1243" s="36">
        <f>VLOOKUP(E1243,Flipkart!$A$1:$B$296,2,0)</f>
        <v>0</v>
      </c>
      <c r="H1243" s="36">
        <f t="shared" ca="1" si="19"/>
        <v>0</v>
      </c>
      <c r="I1243" s="36" t="str">
        <f>_xlfn.XLOOKUP(E1243,'Product List'!$B$2:$B$299,'Product List'!$A$2:$A$299)</f>
        <v>LG G2</v>
      </c>
      <c r="J1243" s="36"/>
      <c r="K1243" s="36"/>
      <c r="L1243" s="36"/>
      <c r="M1243" s="36"/>
      <c r="N1243" s="36"/>
    </row>
    <row r="1244" spans="1:14">
      <c r="A1244" s="8" t="s">
        <v>1164</v>
      </c>
      <c r="B1244" s="19">
        <v>42345</v>
      </c>
      <c r="C1244" s="8" t="s">
        <v>33</v>
      </c>
      <c r="D1244" s="8">
        <v>10009</v>
      </c>
      <c r="E1244" s="8" t="s">
        <v>284</v>
      </c>
      <c r="F1244" s="8" t="s">
        <v>29</v>
      </c>
      <c r="G1244" s="36">
        <f>VLOOKUP(E1244,Flipkart!$A$1:$B$296,2,0)</f>
        <v>0.04</v>
      </c>
      <c r="H1244" s="36">
        <f t="shared" ca="1" si="19"/>
        <v>0.03</v>
      </c>
      <c r="I1244" s="36" t="str">
        <f>_xlfn.XLOOKUP(E1244,'Product List'!$B$2:$B$299,'Product List'!$A$2:$A$299)</f>
        <v>Xerox 1986</v>
      </c>
      <c r="J1244" s="36"/>
      <c r="K1244" s="36"/>
      <c r="L1244" s="36"/>
      <c r="M1244" s="36"/>
      <c r="N1244" s="36"/>
    </row>
    <row r="1245" spans="1:14">
      <c r="A1245" s="8" t="s">
        <v>1165</v>
      </c>
      <c r="B1245" s="19">
        <v>42347</v>
      </c>
      <c r="C1245" s="8" t="s">
        <v>27</v>
      </c>
      <c r="D1245" s="8">
        <v>10004</v>
      </c>
      <c r="E1245" s="8" t="s">
        <v>133</v>
      </c>
      <c r="F1245" s="8" t="s">
        <v>32</v>
      </c>
      <c r="G1245" s="36">
        <f>VLOOKUP(E1245,Flipkart!$A$1:$B$296,2,0)</f>
        <v>0.02</v>
      </c>
      <c r="H1245" s="36">
        <f t="shared" ca="1" si="19"/>
        <v>0</v>
      </c>
      <c r="I1245" s="36" t="str">
        <f>_xlfn.XLOOKUP(E1245,'Product List'!$B$2:$B$299,'Product List'!$A$2:$A$299)</f>
        <v>Xerox 213</v>
      </c>
      <c r="J1245" s="36"/>
      <c r="K1245" s="36"/>
      <c r="L1245" s="36"/>
      <c r="M1245" s="36"/>
      <c r="N1245" s="36"/>
    </row>
    <row r="1246" spans="1:14">
      <c r="A1246" s="8" t="s">
        <v>1166</v>
      </c>
      <c r="B1246" s="19">
        <v>42348</v>
      </c>
      <c r="C1246" s="8" t="s">
        <v>33</v>
      </c>
      <c r="D1246" s="8">
        <v>10013</v>
      </c>
      <c r="E1246" s="8" t="s">
        <v>497</v>
      </c>
      <c r="F1246" s="8" t="s">
        <v>50</v>
      </c>
      <c r="G1246" s="36">
        <f>VLOOKUP(E1246,Flipkart!$A$1:$B$296,2,0)</f>
        <v>0.04</v>
      </c>
      <c r="H1246" s="36">
        <f t="shared" ca="1" si="19"/>
        <v>0.04</v>
      </c>
      <c r="I1246" s="36" t="str">
        <f>_xlfn.XLOOKUP(E1246,'Product List'!$B$2:$B$299,'Product List'!$A$2:$A$299)</f>
        <v>Xerox 232</v>
      </c>
      <c r="J1246" s="36"/>
      <c r="K1246" s="36"/>
      <c r="L1246" s="36"/>
      <c r="M1246" s="36"/>
      <c r="N1246" s="36"/>
    </row>
    <row r="1247" spans="1:14">
      <c r="A1247" s="8" t="s">
        <v>1167</v>
      </c>
      <c r="B1247" s="19">
        <v>42348</v>
      </c>
      <c r="C1247" s="8" t="s">
        <v>44</v>
      </c>
      <c r="D1247" s="8">
        <v>10011</v>
      </c>
      <c r="E1247" s="8" t="s">
        <v>434</v>
      </c>
      <c r="F1247" s="8" t="s">
        <v>29</v>
      </c>
      <c r="G1247" s="36">
        <f>VLOOKUP(E1247,Flipkart!$A$1:$B$296,2,0)</f>
        <v>0.04</v>
      </c>
      <c r="H1247" s="36">
        <f t="shared" ca="1" si="19"/>
        <v>0.04</v>
      </c>
      <c r="I1247" s="36" t="str">
        <f>_xlfn.XLOOKUP(E1247,'Product List'!$B$2:$B$299,'Product List'!$A$2:$A$299)</f>
        <v>Xerox 1952</v>
      </c>
      <c r="J1247" s="36"/>
      <c r="K1247" s="36"/>
      <c r="L1247" s="36"/>
      <c r="M1247" s="36"/>
      <c r="N1247" s="36"/>
    </row>
    <row r="1248" spans="1:14">
      <c r="A1248" s="8" t="s">
        <v>1167</v>
      </c>
      <c r="B1248" s="19">
        <v>42348</v>
      </c>
      <c r="C1248" s="8" t="s">
        <v>33</v>
      </c>
      <c r="D1248" s="8">
        <v>10004</v>
      </c>
      <c r="E1248" s="8" t="s">
        <v>362</v>
      </c>
      <c r="F1248" s="8" t="s">
        <v>32</v>
      </c>
      <c r="G1248" s="36">
        <f>VLOOKUP(E1248,Flipkart!$A$1:$B$296,2,0)</f>
        <v>0</v>
      </c>
      <c r="H1248" s="36">
        <f t="shared" ca="1" si="19"/>
        <v>0</v>
      </c>
      <c r="I1248" s="36" t="str">
        <f>_xlfn.XLOOKUP(E1248,'Product List'!$B$2:$B$299,'Product List'!$A$2:$A$299)</f>
        <v>Avery 499</v>
      </c>
      <c r="J1248" s="36"/>
      <c r="K1248" s="36"/>
      <c r="L1248" s="36"/>
      <c r="M1248" s="36"/>
      <c r="N1248" s="36"/>
    </row>
    <row r="1249" spans="1:14">
      <c r="A1249" s="8" t="s">
        <v>1168</v>
      </c>
      <c r="B1249" s="19">
        <v>42349</v>
      </c>
      <c r="C1249" s="8" t="s">
        <v>44</v>
      </c>
      <c r="D1249" s="8">
        <v>10004</v>
      </c>
      <c r="E1249" s="8" t="s">
        <v>83</v>
      </c>
      <c r="F1249" s="8" t="s">
        <v>40</v>
      </c>
      <c r="G1249" s="36">
        <f>VLOOKUP(E1249,Flipkart!$A$1:$B$296,2,0)</f>
        <v>0.05</v>
      </c>
      <c r="H1249" s="36">
        <f t="shared" ca="1" si="19"/>
        <v>0.01</v>
      </c>
      <c r="I1249" s="36" t="str">
        <f>_xlfn.XLOOKUP(E1249,'Product List'!$B$2:$B$299,'Product List'!$A$2:$A$299)</f>
        <v>Xerox 211</v>
      </c>
      <c r="J1249" s="36"/>
      <c r="K1249" s="36"/>
      <c r="L1249" s="36"/>
      <c r="M1249" s="36"/>
      <c r="N1249" s="36"/>
    </row>
    <row r="1250" spans="1:14">
      <c r="A1250" s="8" t="s">
        <v>1169</v>
      </c>
      <c r="B1250" s="19">
        <v>42349</v>
      </c>
      <c r="C1250" s="8" t="s">
        <v>36</v>
      </c>
      <c r="D1250" s="8">
        <v>10005</v>
      </c>
      <c r="E1250" s="8" t="s">
        <v>565</v>
      </c>
      <c r="F1250" s="8" t="s">
        <v>35</v>
      </c>
      <c r="G1250" s="36">
        <f>VLOOKUP(E1250,Flipkart!$A$1:$B$296,2,0)</f>
        <v>0.04</v>
      </c>
      <c r="H1250" s="36">
        <f t="shared" ca="1" si="19"/>
        <v>0.04</v>
      </c>
      <c r="I1250" s="36" t="str">
        <f>_xlfn.XLOOKUP(E1250,'Product List'!$B$2:$B$299,'Product List'!$A$2:$A$299)</f>
        <v>Xerox 1944</v>
      </c>
      <c r="J1250" s="36"/>
      <c r="K1250" s="36"/>
      <c r="L1250" s="36"/>
      <c r="M1250" s="36"/>
      <c r="N1250" s="36"/>
    </row>
    <row r="1251" spans="1:14">
      <c r="A1251" s="8" t="s">
        <v>1168</v>
      </c>
      <c r="B1251" s="19">
        <v>42349</v>
      </c>
      <c r="C1251" s="8" t="s">
        <v>66</v>
      </c>
      <c r="D1251" s="8">
        <v>10003</v>
      </c>
      <c r="E1251" s="8" t="s">
        <v>341</v>
      </c>
      <c r="F1251" s="8" t="s">
        <v>32</v>
      </c>
      <c r="G1251" s="36">
        <f>VLOOKUP(E1251,Flipkart!$A$1:$B$296,2,0)</f>
        <v>0.02</v>
      </c>
      <c r="H1251" s="36">
        <f t="shared" ca="1" si="19"/>
        <v>0.05</v>
      </c>
      <c r="I1251" s="36" t="str">
        <f>_xlfn.XLOOKUP(E1251,'Product List'!$B$2:$B$299,'Product List'!$A$2:$A$299)</f>
        <v>Newell 342</v>
      </c>
      <c r="J1251" s="36"/>
      <c r="K1251" s="36"/>
      <c r="L1251" s="36"/>
      <c r="M1251" s="36"/>
      <c r="N1251" s="36"/>
    </row>
    <row r="1252" spans="1:14">
      <c r="A1252" s="8" t="s">
        <v>1170</v>
      </c>
      <c r="B1252" s="19">
        <v>42352</v>
      </c>
      <c r="C1252" s="8" t="s">
        <v>54</v>
      </c>
      <c r="D1252" s="8">
        <v>10001</v>
      </c>
      <c r="E1252" s="8" t="s">
        <v>785</v>
      </c>
      <c r="F1252" s="8" t="s">
        <v>35</v>
      </c>
      <c r="G1252" s="36">
        <f>VLOOKUP(E1252,Flipkart!$A$1:$B$296,2,0)</f>
        <v>0.03</v>
      </c>
      <c r="H1252" s="36">
        <f t="shared" ca="1" si="19"/>
        <v>0.03</v>
      </c>
      <c r="I1252" s="36" t="str">
        <f>_xlfn.XLOOKUP(E1252,'Product List'!$B$2:$B$299,'Product List'!$A$2:$A$299)</f>
        <v>Xerox 1901</v>
      </c>
      <c r="J1252" s="36"/>
      <c r="K1252" s="36"/>
      <c r="L1252" s="36"/>
      <c r="M1252" s="36"/>
      <c r="N1252" s="36"/>
    </row>
    <row r="1253" spans="1:14">
      <c r="A1253" s="8" t="s">
        <v>1171</v>
      </c>
      <c r="B1253" s="19">
        <v>42352</v>
      </c>
      <c r="C1253" s="8" t="s">
        <v>54</v>
      </c>
      <c r="D1253" s="8">
        <v>10012</v>
      </c>
      <c r="E1253" s="8" t="s">
        <v>62</v>
      </c>
      <c r="F1253" s="8" t="s">
        <v>35</v>
      </c>
      <c r="G1253" s="36">
        <f>VLOOKUP(E1253,Flipkart!$A$1:$B$296,2,0)</f>
        <v>0.05</v>
      </c>
      <c r="H1253" s="36">
        <f t="shared" ca="1" si="19"/>
        <v>0.05</v>
      </c>
      <c r="I1253" s="36" t="str">
        <f>_xlfn.XLOOKUP(E1253,'Product List'!$B$2:$B$299,'Product List'!$A$2:$A$299)</f>
        <v>Newell 308</v>
      </c>
      <c r="J1253" s="36"/>
      <c r="K1253" s="36"/>
      <c r="L1253" s="36"/>
      <c r="M1253" s="36"/>
      <c r="N1253" s="36"/>
    </row>
    <row r="1254" spans="1:14">
      <c r="A1254" s="8" t="s">
        <v>1172</v>
      </c>
      <c r="B1254" s="19">
        <v>42352</v>
      </c>
      <c r="C1254" s="8" t="s">
        <v>27</v>
      </c>
      <c r="D1254" s="8">
        <v>10008</v>
      </c>
      <c r="E1254" s="8" t="s">
        <v>479</v>
      </c>
      <c r="F1254" s="8" t="s">
        <v>40</v>
      </c>
      <c r="G1254" s="36">
        <f>VLOOKUP(E1254,Flipkart!$A$1:$B$296,2,0)</f>
        <v>0.01</v>
      </c>
      <c r="H1254" s="36">
        <f t="shared" ca="1" si="19"/>
        <v>0.04</v>
      </c>
      <c r="I1254" s="36" t="str">
        <f>_xlfn.XLOOKUP(E1254,'Product List'!$B$2:$B$299,'Product List'!$A$2:$A$299)</f>
        <v>Xerox 23</v>
      </c>
      <c r="J1254" s="36"/>
      <c r="K1254" s="36"/>
      <c r="L1254" s="36"/>
      <c r="M1254" s="36"/>
      <c r="N1254" s="36"/>
    </row>
    <row r="1255" spans="1:14">
      <c r="A1255" s="8" t="s">
        <v>1173</v>
      </c>
      <c r="B1255" s="19">
        <v>42354</v>
      </c>
      <c r="C1255" s="8" t="s">
        <v>33</v>
      </c>
      <c r="D1255" s="8">
        <v>10013</v>
      </c>
      <c r="E1255" s="8" t="s">
        <v>541</v>
      </c>
      <c r="F1255" s="8" t="s">
        <v>50</v>
      </c>
      <c r="G1255" s="36">
        <f>VLOOKUP(E1255,Flipkart!$A$1:$B$296,2,0)</f>
        <v>0</v>
      </c>
      <c r="H1255" s="36">
        <f t="shared" ca="1" si="19"/>
        <v>0.05</v>
      </c>
      <c r="I1255" s="36" t="str">
        <f>_xlfn.XLOOKUP(E1255,'Product List'!$B$2:$B$299,'Product List'!$A$2:$A$299)</f>
        <v>Xerox 221</v>
      </c>
      <c r="J1255" s="36"/>
      <c r="K1255" s="36"/>
      <c r="L1255" s="36"/>
      <c r="M1255" s="36"/>
      <c r="N1255" s="36"/>
    </row>
    <row r="1256" spans="1:14">
      <c r="A1256" s="8" t="s">
        <v>1174</v>
      </c>
      <c r="B1256" s="19">
        <v>42354</v>
      </c>
      <c r="C1256" s="8" t="s">
        <v>33</v>
      </c>
      <c r="D1256" s="8">
        <v>10013</v>
      </c>
      <c r="E1256" s="8" t="s">
        <v>854</v>
      </c>
      <c r="F1256" s="8" t="s">
        <v>40</v>
      </c>
      <c r="G1256" s="36">
        <f>VLOOKUP(E1256,Flipkart!$A$1:$B$296,2,0)</f>
        <v>0.03</v>
      </c>
      <c r="H1256" s="36">
        <f t="shared" ca="1" si="19"/>
        <v>0</v>
      </c>
      <c r="I1256" s="36" t="str">
        <f>_xlfn.XLOOKUP(E1256,'Product List'!$B$2:$B$299,'Product List'!$A$2:$A$299)</f>
        <v>Newell 341</v>
      </c>
      <c r="J1256" s="36"/>
      <c r="K1256" s="36"/>
      <c r="L1256" s="36"/>
      <c r="M1256" s="36"/>
      <c r="N1256" s="36"/>
    </row>
    <row r="1257" spans="1:14">
      <c r="A1257" s="8" t="s">
        <v>1175</v>
      </c>
      <c r="B1257" s="19">
        <v>42355</v>
      </c>
      <c r="C1257" s="8" t="s">
        <v>46</v>
      </c>
      <c r="D1257" s="8">
        <v>10012</v>
      </c>
      <c r="E1257" s="8" t="s">
        <v>324</v>
      </c>
      <c r="F1257" s="8" t="s">
        <v>35</v>
      </c>
      <c r="G1257" s="36">
        <f>VLOOKUP(E1257,Flipkart!$A$1:$B$296,2,0)</f>
        <v>0.04</v>
      </c>
      <c r="H1257" s="36">
        <f t="shared" ca="1" si="19"/>
        <v>0.04</v>
      </c>
      <c r="I1257" s="36" t="str">
        <f>_xlfn.XLOOKUP(E1257,'Product List'!$B$2:$B$299,'Product List'!$A$2:$A$299)</f>
        <v>Newell 31</v>
      </c>
      <c r="J1257" s="36"/>
      <c r="K1257" s="36"/>
      <c r="L1257" s="36"/>
      <c r="M1257" s="36"/>
      <c r="N1257" s="36"/>
    </row>
    <row r="1258" spans="1:14">
      <c r="A1258" s="8" t="s">
        <v>1176</v>
      </c>
      <c r="B1258" s="19">
        <v>42357</v>
      </c>
      <c r="C1258" s="8" t="s">
        <v>44</v>
      </c>
      <c r="D1258" s="8">
        <v>10014</v>
      </c>
      <c r="E1258" s="8" t="s">
        <v>158</v>
      </c>
      <c r="F1258" s="8" t="s">
        <v>50</v>
      </c>
      <c r="G1258" s="36">
        <f>VLOOKUP(E1258,Flipkart!$A$1:$B$296,2,0)</f>
        <v>0.05</v>
      </c>
      <c r="H1258" s="36">
        <f t="shared" ca="1" si="19"/>
        <v>0.03</v>
      </c>
      <c r="I1258" s="36" t="str">
        <f>_xlfn.XLOOKUP(E1258,'Product List'!$B$2:$B$299,'Product List'!$A$2:$A$299)</f>
        <v>Vtech CS6719</v>
      </c>
      <c r="J1258" s="36"/>
      <c r="K1258" s="36"/>
      <c r="L1258" s="36"/>
      <c r="M1258" s="36"/>
      <c r="N1258" s="36"/>
    </row>
    <row r="1259" spans="1:14">
      <c r="A1259" s="8" t="s">
        <v>1177</v>
      </c>
      <c r="B1259" s="19">
        <v>42360</v>
      </c>
      <c r="C1259" s="8" t="s">
        <v>51</v>
      </c>
      <c r="D1259" s="8">
        <v>10005</v>
      </c>
      <c r="E1259" s="8" t="s">
        <v>474</v>
      </c>
      <c r="F1259" s="8" t="s">
        <v>35</v>
      </c>
      <c r="G1259" s="36">
        <f>VLOOKUP(E1259,Flipkart!$A$1:$B$296,2,0)</f>
        <v>0.03</v>
      </c>
      <c r="H1259" s="36">
        <f t="shared" ca="1" si="19"/>
        <v>0.03</v>
      </c>
      <c r="I1259" s="36" t="str">
        <f>_xlfn.XLOOKUP(E1259,'Product List'!$B$2:$B$299,'Product List'!$A$2:$A$299)</f>
        <v>Ideal Clamps</v>
      </c>
      <c r="J1259" s="36"/>
      <c r="K1259" s="36"/>
      <c r="L1259" s="36"/>
      <c r="M1259" s="36"/>
      <c r="N1259" s="36"/>
    </row>
    <row r="1260" spans="1:14">
      <c r="A1260" s="8" t="s">
        <v>1178</v>
      </c>
      <c r="B1260" s="19">
        <v>42360</v>
      </c>
      <c r="C1260" s="8" t="s">
        <v>44</v>
      </c>
      <c r="D1260" s="8">
        <v>10005</v>
      </c>
      <c r="E1260" s="8" t="s">
        <v>184</v>
      </c>
      <c r="F1260" s="8" t="s">
        <v>35</v>
      </c>
      <c r="G1260" s="36">
        <f>VLOOKUP(E1260,Flipkart!$A$1:$B$296,2,0)</f>
        <v>0.03</v>
      </c>
      <c r="H1260" s="36">
        <f t="shared" ca="1" si="19"/>
        <v>0.03</v>
      </c>
      <c r="I1260" s="36" t="str">
        <f>_xlfn.XLOOKUP(E1260,'Product List'!$B$2:$B$299,'Product List'!$A$2:$A$299)</f>
        <v>Xerox 1983</v>
      </c>
      <c r="J1260" s="36"/>
      <c r="K1260" s="36"/>
      <c r="L1260" s="36"/>
      <c r="M1260" s="36"/>
      <c r="N1260" s="36"/>
    </row>
    <row r="1261" spans="1:14">
      <c r="A1261" s="8" t="s">
        <v>1179</v>
      </c>
      <c r="B1261" s="19">
        <v>42361</v>
      </c>
      <c r="C1261" s="8" t="s">
        <v>33</v>
      </c>
      <c r="D1261" s="8">
        <v>10009</v>
      </c>
      <c r="E1261" s="8" t="s">
        <v>584</v>
      </c>
      <c r="F1261" s="8" t="s">
        <v>32</v>
      </c>
      <c r="G1261" s="36">
        <f>VLOOKUP(E1261,Flipkart!$A$1:$B$296,2,0)</f>
        <v>0.02</v>
      </c>
      <c r="H1261" s="36">
        <f t="shared" ca="1" si="19"/>
        <v>0.01</v>
      </c>
      <c r="I1261" s="36" t="str">
        <f>_xlfn.XLOOKUP(E1261,'Product List'!$B$2:$B$299,'Product List'!$A$2:$A$299)</f>
        <v>Xerox 1894</v>
      </c>
      <c r="J1261" s="36"/>
      <c r="K1261" s="36"/>
      <c r="L1261" s="36"/>
      <c r="M1261" s="36"/>
      <c r="N1261" s="36"/>
    </row>
    <row r="1262" spans="1:14">
      <c r="A1262" s="8" t="s">
        <v>1179</v>
      </c>
      <c r="B1262" s="19">
        <v>42361</v>
      </c>
      <c r="C1262" s="8" t="s">
        <v>46</v>
      </c>
      <c r="D1262" s="8">
        <v>10010</v>
      </c>
      <c r="E1262" s="8" t="s">
        <v>348</v>
      </c>
      <c r="F1262" s="8" t="s">
        <v>40</v>
      </c>
      <c r="G1262" s="36">
        <f>VLOOKUP(E1262,Flipkart!$A$1:$B$296,2,0)</f>
        <v>0.02</v>
      </c>
      <c r="H1262" s="36">
        <f t="shared" ca="1" si="19"/>
        <v>0.01</v>
      </c>
      <c r="I1262" s="36" t="str">
        <f>_xlfn.XLOOKUP(E1262,'Product List'!$B$2:$B$299,'Product List'!$A$2:$A$299)</f>
        <v>Avery 512</v>
      </c>
      <c r="J1262" s="36"/>
      <c r="K1262" s="36"/>
      <c r="L1262" s="36"/>
      <c r="M1262" s="36"/>
      <c r="N1262" s="36"/>
    </row>
    <row r="1263" spans="1:14">
      <c r="A1263" s="8" t="s">
        <v>1179</v>
      </c>
      <c r="B1263" s="19">
        <v>42361</v>
      </c>
      <c r="C1263" s="8" t="s">
        <v>36</v>
      </c>
      <c r="D1263" s="8">
        <v>10010</v>
      </c>
      <c r="E1263" s="8" t="s">
        <v>539</v>
      </c>
      <c r="F1263" s="8" t="s">
        <v>35</v>
      </c>
      <c r="G1263" s="36">
        <f>VLOOKUP(E1263,Flipkart!$A$1:$B$296,2,0)</f>
        <v>0</v>
      </c>
      <c r="H1263" s="36">
        <f t="shared" ca="1" si="19"/>
        <v>0</v>
      </c>
      <c r="I1263" s="36" t="str">
        <f>_xlfn.XLOOKUP(E1263,'Product List'!$B$2:$B$299,'Product List'!$A$2:$A$299)</f>
        <v>Xerox 220</v>
      </c>
      <c r="J1263" s="36"/>
      <c r="K1263" s="36"/>
      <c r="L1263" s="36"/>
      <c r="M1263" s="36"/>
      <c r="N1263" s="36"/>
    </row>
    <row r="1264" spans="1:14">
      <c r="A1264" s="8" t="s">
        <v>1180</v>
      </c>
      <c r="B1264" s="19">
        <v>42365</v>
      </c>
      <c r="C1264" s="8" t="s">
        <v>44</v>
      </c>
      <c r="D1264" s="8">
        <v>10010</v>
      </c>
      <c r="E1264" s="8" t="s">
        <v>712</v>
      </c>
      <c r="F1264" s="8" t="s">
        <v>29</v>
      </c>
      <c r="G1264" s="36">
        <f>VLOOKUP(E1264,Flipkart!$A$1:$B$296,2,0)</f>
        <v>0.05</v>
      </c>
      <c r="H1264" s="36">
        <f t="shared" ca="1" si="19"/>
        <v>0.03</v>
      </c>
      <c r="I1264" s="36" t="str">
        <f>_xlfn.XLOOKUP(E1264,'Product List'!$B$2:$B$299,'Product List'!$A$2:$A$299)</f>
        <v>Xerox 1929</v>
      </c>
      <c r="J1264" s="36"/>
      <c r="K1264" s="36"/>
      <c r="L1264" s="36"/>
      <c r="M1264" s="36"/>
      <c r="N1264" s="36"/>
    </row>
    <row r="1265" spans="1:14">
      <c r="A1265" s="8" t="s">
        <v>1181</v>
      </c>
      <c r="B1265" s="19">
        <v>42365</v>
      </c>
      <c r="C1265" s="8" t="s">
        <v>33</v>
      </c>
      <c r="D1265" s="8">
        <v>10004</v>
      </c>
      <c r="E1265" s="8" t="s">
        <v>37</v>
      </c>
      <c r="F1265" s="8" t="s">
        <v>40</v>
      </c>
      <c r="G1265" s="36">
        <f>VLOOKUP(E1265,Flipkart!$A$1:$B$296,2,0)</f>
        <v>0.03</v>
      </c>
      <c r="H1265" s="36">
        <f t="shared" ca="1" si="19"/>
        <v>0.05</v>
      </c>
      <c r="I1265" s="36" t="str">
        <f>_xlfn.XLOOKUP(E1265,'Product List'!$B$2:$B$299,'Product List'!$A$2:$A$299)</f>
        <v>Avery 508</v>
      </c>
      <c r="J1265" s="36"/>
      <c r="K1265" s="36"/>
      <c r="L1265" s="36"/>
      <c r="M1265" s="36"/>
      <c r="N1265" s="36"/>
    </row>
    <row r="1266" spans="1:14">
      <c r="A1266" s="8" t="s">
        <v>1182</v>
      </c>
      <c r="B1266" s="19">
        <v>42366</v>
      </c>
      <c r="C1266" s="8" t="s">
        <v>46</v>
      </c>
      <c r="D1266" s="8">
        <v>10015</v>
      </c>
      <c r="E1266" s="8" t="s">
        <v>97</v>
      </c>
      <c r="F1266" s="8" t="s">
        <v>29</v>
      </c>
      <c r="G1266" s="36">
        <f>VLOOKUP(E1266,Flipkart!$A$1:$B$296,2,0)</f>
        <v>0.04</v>
      </c>
      <c r="H1266" s="36">
        <f t="shared" ca="1" si="19"/>
        <v>0.04</v>
      </c>
      <c r="I1266" s="36" t="str">
        <f>_xlfn.XLOOKUP(E1266,'Product List'!$B$2:$B$299,'Product List'!$A$2:$A$299)</f>
        <v>Xerox 204</v>
      </c>
      <c r="J1266" s="36"/>
      <c r="K1266" s="36"/>
      <c r="L1266" s="36"/>
      <c r="M1266" s="36"/>
      <c r="N1266" s="36"/>
    </row>
    <row r="1267" spans="1:14">
      <c r="A1267" s="8" t="s">
        <v>1183</v>
      </c>
      <c r="B1267" s="19">
        <v>42366</v>
      </c>
      <c r="C1267" s="8" t="s">
        <v>46</v>
      </c>
      <c r="D1267" s="8">
        <v>10005</v>
      </c>
      <c r="E1267" s="8" t="s">
        <v>716</v>
      </c>
      <c r="F1267" s="8" t="s">
        <v>43</v>
      </c>
      <c r="G1267" s="36">
        <f>VLOOKUP(E1267,Flipkart!$A$1:$B$296,2,0)</f>
        <v>0.01</v>
      </c>
      <c r="H1267" s="36">
        <f t="shared" ca="1" si="19"/>
        <v>0.03</v>
      </c>
      <c r="I1267" s="36" t="str">
        <f>_xlfn.XLOOKUP(E1267,'Product List'!$B$2:$B$299,'Product List'!$A$2:$A$299)</f>
        <v>Xerox 1954</v>
      </c>
      <c r="J1267" s="36"/>
      <c r="K1267" s="36"/>
      <c r="L1267" s="36"/>
      <c r="M1267" s="36"/>
      <c r="N1267" s="36"/>
    </row>
    <row r="1268" spans="1:14">
      <c r="A1268" s="8" t="s">
        <v>1184</v>
      </c>
      <c r="B1268" s="19">
        <v>42366</v>
      </c>
      <c r="C1268" s="8" t="s">
        <v>66</v>
      </c>
      <c r="D1268" s="8">
        <v>10013</v>
      </c>
      <c r="E1268" s="8" t="s">
        <v>90</v>
      </c>
      <c r="F1268" s="8" t="s">
        <v>32</v>
      </c>
      <c r="G1268" s="36">
        <f>VLOOKUP(E1268,Flipkart!$A$1:$B$296,2,0)</f>
        <v>0</v>
      </c>
      <c r="H1268" s="36">
        <f t="shared" ca="1" si="19"/>
        <v>0.01</v>
      </c>
      <c r="I1268" s="36" t="str">
        <f>_xlfn.XLOOKUP(E1268,'Product List'!$B$2:$B$299,'Product List'!$A$2:$A$299)</f>
        <v>Xerox 1974</v>
      </c>
      <c r="J1268" s="36"/>
      <c r="K1268" s="36"/>
      <c r="L1268" s="36"/>
      <c r="M1268" s="36"/>
      <c r="N1268" s="36"/>
    </row>
    <row r="1269" spans="1:14">
      <c r="A1269" s="8" t="s">
        <v>1184</v>
      </c>
      <c r="B1269" s="19">
        <v>42366</v>
      </c>
      <c r="C1269" s="8" t="s">
        <v>33</v>
      </c>
      <c r="D1269" s="8">
        <v>10010</v>
      </c>
      <c r="E1269" s="8" t="s">
        <v>610</v>
      </c>
      <c r="F1269" s="8" t="s">
        <v>29</v>
      </c>
      <c r="G1269" s="36">
        <f>VLOOKUP(E1269,Flipkart!$A$1:$B$296,2,0)</f>
        <v>0</v>
      </c>
      <c r="H1269" s="36">
        <f t="shared" ca="1" si="19"/>
        <v>0.01</v>
      </c>
      <c r="I1269" s="36" t="str">
        <f>_xlfn.XLOOKUP(E1269,'Product List'!$B$2:$B$299,'Product List'!$A$2:$A$299)</f>
        <v>Newell 311</v>
      </c>
      <c r="J1269" s="36"/>
      <c r="K1269" s="36"/>
      <c r="L1269" s="36"/>
      <c r="M1269" s="36"/>
      <c r="N1269" s="36"/>
    </row>
    <row r="1270" spans="1:14">
      <c r="A1270" s="8" t="s">
        <v>1182</v>
      </c>
      <c r="B1270" s="19">
        <v>42366</v>
      </c>
      <c r="C1270" s="8" t="s">
        <v>44</v>
      </c>
      <c r="D1270" s="8">
        <v>10007</v>
      </c>
      <c r="E1270" s="8" t="s">
        <v>263</v>
      </c>
      <c r="F1270" s="8" t="s">
        <v>40</v>
      </c>
      <c r="G1270" s="36">
        <f>VLOOKUP(E1270,Flipkart!$A$1:$B$296,2,0)</f>
        <v>0.03</v>
      </c>
      <c r="H1270" s="36">
        <f t="shared" ca="1" si="19"/>
        <v>0.04</v>
      </c>
      <c r="I1270" s="36" t="str">
        <f>_xlfn.XLOOKUP(E1270,'Product List'!$B$2:$B$299,'Product List'!$A$2:$A$299)</f>
        <v>Xerox 1976</v>
      </c>
      <c r="J1270" s="36"/>
      <c r="K1270" s="36"/>
      <c r="L1270" s="36"/>
      <c r="M1270" s="36"/>
      <c r="N1270" s="36"/>
    </row>
    <row r="1271" spans="1:14">
      <c r="A1271" s="8" t="s">
        <v>1185</v>
      </c>
      <c r="B1271" s="19">
        <v>42367</v>
      </c>
      <c r="C1271" s="8" t="s">
        <v>46</v>
      </c>
      <c r="D1271" s="8">
        <v>10001</v>
      </c>
      <c r="E1271" s="8" t="s">
        <v>114</v>
      </c>
      <c r="F1271" s="8" t="s">
        <v>40</v>
      </c>
      <c r="G1271" s="36">
        <f>VLOOKUP(E1271,Flipkart!$A$1:$B$296,2,0)</f>
        <v>0.03</v>
      </c>
      <c r="H1271" s="36">
        <f t="shared" ca="1" si="19"/>
        <v>0.03</v>
      </c>
      <c r="I1271" s="36" t="str">
        <f>_xlfn.XLOOKUP(E1271,'Product List'!$B$2:$B$299,'Product List'!$A$2:$A$299)</f>
        <v>Xerox 1910</v>
      </c>
      <c r="J1271" s="36"/>
      <c r="K1271" s="36"/>
      <c r="L1271" s="36"/>
      <c r="M1271" s="36"/>
      <c r="N1271" s="36"/>
    </row>
    <row r="1272" spans="1:14">
      <c r="A1272" s="8" t="s">
        <v>1186</v>
      </c>
      <c r="B1272" s="19">
        <v>42367</v>
      </c>
      <c r="C1272" s="8" t="s">
        <v>66</v>
      </c>
      <c r="D1272" s="8">
        <v>10006</v>
      </c>
      <c r="E1272" s="8" t="s">
        <v>231</v>
      </c>
      <c r="F1272" s="8" t="s">
        <v>50</v>
      </c>
      <c r="G1272" s="36">
        <f>VLOOKUP(E1272,Flipkart!$A$1:$B$296,2,0)</f>
        <v>0.01</v>
      </c>
      <c r="H1272" s="36">
        <f t="shared" ca="1" si="19"/>
        <v>0.05</v>
      </c>
      <c r="I1272" s="36" t="str">
        <f>_xlfn.XLOOKUP(E1272,'Product List'!$B$2:$B$299,'Product List'!$A$2:$A$299)</f>
        <v>Newell 350</v>
      </c>
      <c r="J1272" s="36"/>
      <c r="K1272" s="36"/>
      <c r="L1272" s="36"/>
      <c r="M1272" s="36"/>
      <c r="N1272" s="36"/>
    </row>
    <row r="1273" spans="1:14">
      <c r="A1273" s="8" t="s">
        <v>1187</v>
      </c>
      <c r="B1273" s="19">
        <v>42367</v>
      </c>
      <c r="C1273" s="8" t="s">
        <v>33</v>
      </c>
      <c r="D1273" s="8">
        <v>10002</v>
      </c>
      <c r="E1273" s="8" t="s">
        <v>355</v>
      </c>
      <c r="F1273" s="8" t="s">
        <v>29</v>
      </c>
      <c r="G1273" s="36">
        <f>VLOOKUP(E1273,Flipkart!$A$1:$B$296,2,0)</f>
        <v>0.01</v>
      </c>
      <c r="H1273" s="36">
        <f t="shared" ca="1" si="19"/>
        <v>0.01</v>
      </c>
      <c r="I1273" s="36" t="str">
        <f>_xlfn.XLOOKUP(E1273,'Product List'!$B$2:$B$299,'Product List'!$A$2:$A$299)</f>
        <v>Avery 51</v>
      </c>
      <c r="J1273" s="36"/>
      <c r="K1273" s="36"/>
      <c r="L1273" s="36"/>
      <c r="M1273" s="36"/>
      <c r="N1273" s="36"/>
    </row>
    <row r="1274" spans="1:14">
      <c r="A1274" s="9" t="s">
        <v>1187</v>
      </c>
      <c r="B1274" s="20">
        <v>42367</v>
      </c>
      <c r="C1274" s="9" t="s">
        <v>33</v>
      </c>
      <c r="D1274" s="9">
        <v>10009</v>
      </c>
      <c r="E1274" s="9" t="s">
        <v>859</v>
      </c>
      <c r="F1274" s="8" t="s">
        <v>32</v>
      </c>
      <c r="G1274" s="36">
        <f>VLOOKUP(E1274,Flipkart!$A$1:$B$296,2,0)</f>
        <v>0</v>
      </c>
      <c r="H1274" s="36">
        <f t="shared" ca="1" si="19"/>
        <v>0.05</v>
      </c>
      <c r="I1274" s="36" t="str">
        <f>_xlfn.XLOOKUP(E1274,'Product List'!$B$2:$B$299,'Product List'!$A$2:$A$299)</f>
        <v>Xerox 1970</v>
      </c>
      <c r="J1274" s="36"/>
      <c r="K1274" s="36"/>
      <c r="L1274" s="36"/>
      <c r="M1274" s="36"/>
      <c r="N1274" s="36"/>
    </row>
    <row r="1048576" spans="10:10">
      <c r="J1048576" s="4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09254-E979-4AC2-BBBA-BC61A9351794}">
  <sheetPr>
    <tabColor rgb="FF7030A0"/>
  </sheetPr>
  <dimension ref="A1:C296"/>
  <sheetViews>
    <sheetView topLeftCell="A274" workbookViewId="0">
      <selection activeCell="E9" sqref="E9"/>
    </sheetView>
  </sheetViews>
  <sheetFormatPr defaultRowHeight="14.45"/>
  <cols>
    <col min="1" max="2" width="16.7109375" bestFit="1" customWidth="1"/>
  </cols>
  <sheetData>
    <row r="1" spans="1:3" ht="15.6">
      <c r="A1" s="13" t="s">
        <v>1704</v>
      </c>
      <c r="B1" s="13" t="s">
        <v>1705</v>
      </c>
      <c r="C1" s="3"/>
    </row>
    <row r="2" spans="1:3">
      <c r="A2" s="14" t="s">
        <v>28</v>
      </c>
      <c r="B2" s="14">
        <v>0</v>
      </c>
      <c r="C2" s="45"/>
    </row>
    <row r="3" spans="1:3">
      <c r="A3" s="15" t="s">
        <v>31</v>
      </c>
      <c r="B3" s="15">
        <v>0.01</v>
      </c>
      <c r="C3" s="45"/>
    </row>
    <row r="4" spans="1:3">
      <c r="A4" s="14" t="s">
        <v>34</v>
      </c>
      <c r="B4" s="14">
        <v>0.04</v>
      </c>
      <c r="C4" s="45"/>
    </row>
    <row r="5" spans="1:3">
      <c r="A5" s="15" t="s">
        <v>37</v>
      </c>
      <c r="B5" s="15">
        <v>0.03</v>
      </c>
      <c r="C5" s="45"/>
    </row>
    <row r="6" spans="1:3">
      <c r="A6" s="14" t="s">
        <v>39</v>
      </c>
      <c r="B6" s="14">
        <v>0.05</v>
      </c>
      <c r="C6" s="45"/>
    </row>
    <row r="7" spans="1:3">
      <c r="A7" s="15" t="s">
        <v>42</v>
      </c>
      <c r="B7" s="15">
        <v>0.04</v>
      </c>
      <c r="C7" s="45"/>
    </row>
    <row r="8" spans="1:3">
      <c r="A8" s="14" t="s">
        <v>45</v>
      </c>
      <c r="B8" s="14">
        <v>0.04</v>
      </c>
      <c r="C8" s="45"/>
    </row>
    <row r="9" spans="1:3">
      <c r="A9" s="15" t="s">
        <v>47</v>
      </c>
      <c r="B9" s="15">
        <v>0.03</v>
      </c>
      <c r="C9" s="45"/>
    </row>
    <row r="10" spans="1:3">
      <c r="A10" s="14" t="s">
        <v>49</v>
      </c>
      <c r="B10" s="14">
        <v>0.04</v>
      </c>
      <c r="C10" s="45"/>
    </row>
    <row r="11" spans="1:3">
      <c r="A11" s="15" t="s">
        <v>52</v>
      </c>
      <c r="B11" s="15">
        <v>0.01</v>
      </c>
      <c r="C11" s="45"/>
    </row>
    <row r="12" spans="1:3">
      <c r="A12" s="14" t="s">
        <v>55</v>
      </c>
      <c r="B12" s="14">
        <v>0.02</v>
      </c>
      <c r="C12" s="45"/>
    </row>
    <row r="13" spans="1:3">
      <c r="A13" s="15" t="s">
        <v>57</v>
      </c>
      <c r="B13" s="15">
        <v>0.01</v>
      </c>
      <c r="C13" s="45"/>
    </row>
    <row r="14" spans="1:3">
      <c r="A14" s="14" t="s">
        <v>58</v>
      </c>
      <c r="B14" s="14">
        <v>0.05</v>
      </c>
      <c r="C14" s="45"/>
    </row>
    <row r="15" spans="1:3">
      <c r="A15" s="15" t="s">
        <v>60</v>
      </c>
      <c r="B15" s="15">
        <v>0.03</v>
      </c>
      <c r="C15" s="45"/>
    </row>
    <row r="16" spans="1:3">
      <c r="A16" s="14" t="s">
        <v>62</v>
      </c>
      <c r="B16" s="14">
        <v>0.05</v>
      </c>
      <c r="C16" s="45"/>
    </row>
    <row r="17" spans="1:2">
      <c r="A17" s="15" t="s">
        <v>64</v>
      </c>
      <c r="B17" s="15">
        <v>0.04</v>
      </c>
    </row>
    <row r="18" spans="1:2">
      <c r="A18" s="14" t="s">
        <v>65</v>
      </c>
      <c r="B18" s="14">
        <v>0</v>
      </c>
    </row>
    <row r="19" spans="1:2">
      <c r="A19" s="15" t="s">
        <v>67</v>
      </c>
      <c r="B19" s="15">
        <v>0</v>
      </c>
    </row>
    <row r="20" spans="1:2">
      <c r="A20" s="14" t="s">
        <v>69</v>
      </c>
      <c r="B20" s="14">
        <v>0.05</v>
      </c>
    </row>
    <row r="21" spans="1:2">
      <c r="A21" s="15" t="s">
        <v>71</v>
      </c>
      <c r="B21" s="15">
        <v>0.04</v>
      </c>
    </row>
    <row r="22" spans="1:2">
      <c r="A22" s="14" t="s">
        <v>73</v>
      </c>
      <c r="B22" s="14">
        <v>0.04</v>
      </c>
    </row>
    <row r="23" spans="1:2">
      <c r="A23" s="15" t="s">
        <v>74</v>
      </c>
      <c r="B23" s="15">
        <v>0.03</v>
      </c>
    </row>
    <row r="24" spans="1:2">
      <c r="A24" s="14" t="s">
        <v>76</v>
      </c>
      <c r="B24" s="14">
        <v>0.05</v>
      </c>
    </row>
    <row r="25" spans="1:2">
      <c r="A25" s="15" t="s">
        <v>78</v>
      </c>
      <c r="B25" s="15">
        <v>0.02</v>
      </c>
    </row>
    <row r="26" spans="1:2">
      <c r="A26" s="14" t="s">
        <v>80</v>
      </c>
      <c r="B26" s="14">
        <v>0.01</v>
      </c>
    </row>
    <row r="27" spans="1:2">
      <c r="A27" s="15" t="s">
        <v>82</v>
      </c>
      <c r="B27" s="15">
        <v>0.02</v>
      </c>
    </row>
    <row r="28" spans="1:2">
      <c r="A28" s="14" t="s">
        <v>83</v>
      </c>
      <c r="B28" s="14">
        <v>0.05</v>
      </c>
    </row>
    <row r="29" spans="1:2">
      <c r="A29" s="15" t="s">
        <v>84</v>
      </c>
      <c r="B29" s="15">
        <v>0.01</v>
      </c>
    </row>
    <row r="30" spans="1:2">
      <c r="A30" s="14" t="s">
        <v>86</v>
      </c>
      <c r="B30" s="14">
        <v>0</v>
      </c>
    </row>
    <row r="31" spans="1:2">
      <c r="A31" s="15" t="s">
        <v>88</v>
      </c>
      <c r="B31" s="15">
        <v>0</v>
      </c>
    </row>
    <row r="32" spans="1:2">
      <c r="A32" s="14" t="s">
        <v>90</v>
      </c>
      <c r="B32" s="14">
        <v>0</v>
      </c>
    </row>
    <row r="33" spans="1:2">
      <c r="A33" s="15" t="s">
        <v>91</v>
      </c>
      <c r="B33" s="15">
        <v>0.05</v>
      </c>
    </row>
    <row r="34" spans="1:2">
      <c r="A34" s="14" t="s">
        <v>93</v>
      </c>
      <c r="B34" s="14">
        <v>0.04</v>
      </c>
    </row>
    <row r="35" spans="1:2">
      <c r="A35" s="15" t="s">
        <v>94</v>
      </c>
      <c r="B35" s="15">
        <v>0.03</v>
      </c>
    </row>
    <row r="36" spans="1:2">
      <c r="A36" s="14" t="s">
        <v>97</v>
      </c>
      <c r="B36" s="14">
        <v>0.04</v>
      </c>
    </row>
    <row r="37" spans="1:2">
      <c r="A37" s="15" t="s">
        <v>98</v>
      </c>
      <c r="B37" s="15">
        <v>0.04</v>
      </c>
    </row>
    <row r="38" spans="1:2">
      <c r="A38" s="14" t="s">
        <v>100</v>
      </c>
      <c r="B38" s="14">
        <v>0.02</v>
      </c>
    </row>
    <row r="39" spans="1:2">
      <c r="A39" s="15" t="s">
        <v>102</v>
      </c>
      <c r="B39" s="15">
        <v>0.02</v>
      </c>
    </row>
    <row r="40" spans="1:2">
      <c r="A40" s="14" t="s">
        <v>103</v>
      </c>
      <c r="B40" s="14">
        <v>0.04</v>
      </c>
    </row>
    <row r="41" spans="1:2">
      <c r="A41" s="15" t="s">
        <v>105</v>
      </c>
      <c r="B41" s="15">
        <v>0.05</v>
      </c>
    </row>
    <row r="42" spans="1:2">
      <c r="A42" s="14" t="s">
        <v>107</v>
      </c>
      <c r="B42" s="14">
        <v>0</v>
      </c>
    </row>
    <row r="43" spans="1:2">
      <c r="A43" s="15" t="s">
        <v>110</v>
      </c>
      <c r="B43" s="15">
        <v>0.04</v>
      </c>
    </row>
    <row r="44" spans="1:2">
      <c r="A44" s="14" t="s">
        <v>112</v>
      </c>
      <c r="B44" s="14">
        <v>0.04</v>
      </c>
    </row>
    <row r="45" spans="1:2">
      <c r="A45" s="15" t="s">
        <v>114</v>
      </c>
      <c r="B45" s="15">
        <v>0.03</v>
      </c>
    </row>
    <row r="46" spans="1:2">
      <c r="A46" s="14" t="s">
        <v>116</v>
      </c>
      <c r="B46" s="14">
        <v>0.02</v>
      </c>
    </row>
    <row r="47" spans="1:2">
      <c r="A47" s="15" t="s">
        <v>118</v>
      </c>
      <c r="B47" s="15">
        <v>0.01</v>
      </c>
    </row>
    <row r="48" spans="1:2">
      <c r="A48" s="14" t="s">
        <v>120</v>
      </c>
      <c r="B48" s="14">
        <v>0</v>
      </c>
    </row>
    <row r="49" spans="1:2">
      <c r="A49" s="15" t="s">
        <v>122</v>
      </c>
      <c r="B49" s="15">
        <v>0.01</v>
      </c>
    </row>
    <row r="50" spans="1:2">
      <c r="A50" s="14" t="s">
        <v>123</v>
      </c>
      <c r="B50" s="14">
        <v>0.01</v>
      </c>
    </row>
    <row r="51" spans="1:2">
      <c r="A51" s="15" t="s">
        <v>125</v>
      </c>
      <c r="B51" s="15">
        <v>0.01</v>
      </c>
    </row>
    <row r="52" spans="1:2">
      <c r="A52" s="14" t="s">
        <v>126</v>
      </c>
      <c r="B52" s="14">
        <v>0.05</v>
      </c>
    </row>
    <row r="53" spans="1:2">
      <c r="A53" s="15" t="s">
        <v>128</v>
      </c>
      <c r="B53" s="15">
        <v>0.04</v>
      </c>
    </row>
    <row r="54" spans="1:2">
      <c r="A54" s="14" t="s">
        <v>130</v>
      </c>
      <c r="B54" s="14">
        <v>0</v>
      </c>
    </row>
    <row r="55" spans="1:2">
      <c r="A55" s="15" t="s">
        <v>131</v>
      </c>
      <c r="B55" s="15">
        <v>0.01</v>
      </c>
    </row>
    <row r="56" spans="1:2">
      <c r="A56" s="14" t="s">
        <v>133</v>
      </c>
      <c r="B56" s="14">
        <v>0.02</v>
      </c>
    </row>
    <row r="57" spans="1:2">
      <c r="A57" s="15" t="s">
        <v>135</v>
      </c>
      <c r="B57" s="15">
        <v>0.04</v>
      </c>
    </row>
    <row r="58" spans="1:2">
      <c r="A58" s="14" t="s">
        <v>137</v>
      </c>
      <c r="B58" s="14">
        <v>0</v>
      </c>
    </row>
    <row r="59" spans="1:2">
      <c r="A59" s="15" t="s">
        <v>140</v>
      </c>
      <c r="B59" s="15">
        <v>0.02</v>
      </c>
    </row>
    <row r="60" spans="1:2">
      <c r="A60" s="14" t="s">
        <v>141</v>
      </c>
      <c r="B60" s="14">
        <v>0.03</v>
      </c>
    </row>
    <row r="61" spans="1:2">
      <c r="A61" s="15" t="s">
        <v>143</v>
      </c>
      <c r="B61" s="15">
        <v>0.04</v>
      </c>
    </row>
    <row r="62" spans="1:2">
      <c r="A62" s="14" t="s">
        <v>145</v>
      </c>
      <c r="B62" s="14">
        <v>0</v>
      </c>
    </row>
    <row r="63" spans="1:2">
      <c r="A63" s="15" t="s">
        <v>147</v>
      </c>
      <c r="B63" s="15">
        <v>0.03</v>
      </c>
    </row>
    <row r="64" spans="1:2">
      <c r="A64" s="14" t="s">
        <v>149</v>
      </c>
      <c r="B64" s="14">
        <v>0.05</v>
      </c>
    </row>
    <row r="65" spans="1:2">
      <c r="A65" s="15" t="s">
        <v>151</v>
      </c>
      <c r="B65" s="15">
        <v>0.01</v>
      </c>
    </row>
    <row r="66" spans="1:2">
      <c r="A66" s="14" t="s">
        <v>153</v>
      </c>
      <c r="B66" s="14">
        <v>0</v>
      </c>
    </row>
    <row r="67" spans="1:2">
      <c r="A67" s="15" t="s">
        <v>154</v>
      </c>
      <c r="B67" s="15">
        <v>0.03</v>
      </c>
    </row>
    <row r="68" spans="1:2">
      <c r="A68" s="14" t="s">
        <v>156</v>
      </c>
      <c r="B68" s="14">
        <v>0.04</v>
      </c>
    </row>
    <row r="69" spans="1:2">
      <c r="A69" s="15" t="s">
        <v>158</v>
      </c>
      <c r="B69" s="15">
        <v>0.05</v>
      </c>
    </row>
    <row r="70" spans="1:2">
      <c r="A70" s="14" t="s">
        <v>160</v>
      </c>
      <c r="B70" s="14">
        <v>0.05</v>
      </c>
    </row>
    <row r="71" spans="1:2">
      <c r="A71" s="15" t="s">
        <v>162</v>
      </c>
      <c r="B71" s="15">
        <v>0.02</v>
      </c>
    </row>
    <row r="72" spans="1:2">
      <c r="A72" s="14" t="s">
        <v>164</v>
      </c>
      <c r="B72" s="14">
        <v>0.03</v>
      </c>
    </row>
    <row r="73" spans="1:2">
      <c r="A73" s="15" t="s">
        <v>166</v>
      </c>
      <c r="B73" s="15">
        <v>0.05</v>
      </c>
    </row>
    <row r="74" spans="1:2">
      <c r="A74" s="14" t="s">
        <v>168</v>
      </c>
      <c r="B74" s="14">
        <v>0.03</v>
      </c>
    </row>
    <row r="75" spans="1:2">
      <c r="A75" s="15" t="s">
        <v>170</v>
      </c>
      <c r="B75" s="15">
        <v>0.05</v>
      </c>
    </row>
    <row r="76" spans="1:2">
      <c r="A76" s="14" t="s">
        <v>172</v>
      </c>
      <c r="B76" s="14">
        <v>0.04</v>
      </c>
    </row>
    <row r="77" spans="1:2">
      <c r="A77" s="15" t="s">
        <v>174</v>
      </c>
      <c r="B77" s="15">
        <v>0</v>
      </c>
    </row>
    <row r="78" spans="1:2">
      <c r="A78" s="14" t="s">
        <v>176</v>
      </c>
      <c r="B78" s="14">
        <v>0</v>
      </c>
    </row>
    <row r="79" spans="1:2">
      <c r="A79" s="15" t="s">
        <v>178</v>
      </c>
      <c r="B79" s="15">
        <v>0.03</v>
      </c>
    </row>
    <row r="80" spans="1:2">
      <c r="A80" s="14" t="s">
        <v>180</v>
      </c>
      <c r="B80" s="14">
        <v>0.04</v>
      </c>
    </row>
    <row r="81" spans="1:2">
      <c r="A81" s="15" t="s">
        <v>182</v>
      </c>
      <c r="B81" s="15">
        <v>0.04</v>
      </c>
    </row>
    <row r="82" spans="1:2">
      <c r="A82" s="14" t="s">
        <v>184</v>
      </c>
      <c r="B82" s="14">
        <v>0.03</v>
      </c>
    </row>
    <row r="83" spans="1:2">
      <c r="A83" s="15" t="s">
        <v>186</v>
      </c>
      <c r="B83" s="15">
        <v>0</v>
      </c>
    </row>
    <row r="84" spans="1:2">
      <c r="A84" s="14" t="s">
        <v>188</v>
      </c>
      <c r="B84" s="14">
        <v>0.03</v>
      </c>
    </row>
    <row r="85" spans="1:2">
      <c r="A85" s="15" t="s">
        <v>190</v>
      </c>
      <c r="B85" s="15">
        <v>0.02</v>
      </c>
    </row>
    <row r="86" spans="1:2">
      <c r="A86" s="14" t="s">
        <v>195</v>
      </c>
      <c r="B86" s="14">
        <v>0.02</v>
      </c>
    </row>
    <row r="87" spans="1:2">
      <c r="A87" s="15" t="s">
        <v>200</v>
      </c>
      <c r="B87" s="15">
        <v>0.04</v>
      </c>
    </row>
    <row r="88" spans="1:2">
      <c r="A88" s="14" t="s">
        <v>203</v>
      </c>
      <c r="B88" s="14">
        <v>0.02</v>
      </c>
    </row>
    <row r="89" spans="1:2">
      <c r="A89" s="15" t="s">
        <v>205</v>
      </c>
      <c r="B89" s="15">
        <v>0.02</v>
      </c>
    </row>
    <row r="90" spans="1:2">
      <c r="A90" s="14" t="s">
        <v>206</v>
      </c>
      <c r="B90" s="14">
        <v>0</v>
      </c>
    </row>
    <row r="91" spans="1:2">
      <c r="A91" s="15" t="s">
        <v>208</v>
      </c>
      <c r="B91" s="15">
        <v>0</v>
      </c>
    </row>
    <row r="92" spans="1:2">
      <c r="A92" s="14" t="s">
        <v>211</v>
      </c>
      <c r="B92" s="14">
        <v>0.03</v>
      </c>
    </row>
    <row r="93" spans="1:2">
      <c r="A93" s="15" t="s">
        <v>213</v>
      </c>
      <c r="B93" s="15">
        <v>0.04</v>
      </c>
    </row>
    <row r="94" spans="1:2">
      <c r="A94" s="14" t="s">
        <v>216</v>
      </c>
      <c r="B94" s="14">
        <v>0</v>
      </c>
    </row>
    <row r="95" spans="1:2">
      <c r="A95" s="15" t="s">
        <v>218</v>
      </c>
      <c r="B95" s="15">
        <v>0.05</v>
      </c>
    </row>
    <row r="96" spans="1:2">
      <c r="A96" s="14" t="s">
        <v>221</v>
      </c>
      <c r="B96" s="14">
        <v>0.03</v>
      </c>
    </row>
    <row r="97" spans="1:2">
      <c r="A97" s="15" t="s">
        <v>223</v>
      </c>
      <c r="B97" s="15">
        <v>0</v>
      </c>
    </row>
    <row r="98" spans="1:2">
      <c r="A98" s="14" t="s">
        <v>226</v>
      </c>
      <c r="B98" s="14">
        <v>0.05</v>
      </c>
    </row>
    <row r="99" spans="1:2">
      <c r="A99" s="15" t="s">
        <v>227</v>
      </c>
      <c r="B99" s="15">
        <v>0.02</v>
      </c>
    </row>
    <row r="100" spans="1:2">
      <c r="A100" s="14" t="s">
        <v>231</v>
      </c>
      <c r="B100" s="14">
        <v>0.01</v>
      </c>
    </row>
    <row r="101" spans="1:2">
      <c r="A101" s="15" t="s">
        <v>232</v>
      </c>
      <c r="B101" s="15">
        <v>0.05</v>
      </c>
    </row>
    <row r="102" spans="1:2">
      <c r="A102" s="14" t="s">
        <v>236</v>
      </c>
      <c r="B102" s="14">
        <v>0.03</v>
      </c>
    </row>
    <row r="103" spans="1:2">
      <c r="A103" s="15" t="s">
        <v>238</v>
      </c>
      <c r="B103" s="15">
        <v>0.01</v>
      </c>
    </row>
    <row r="104" spans="1:2">
      <c r="A104" s="14" t="s">
        <v>240</v>
      </c>
      <c r="B104" s="14">
        <v>0.05</v>
      </c>
    </row>
    <row r="105" spans="1:2">
      <c r="A105" s="15" t="s">
        <v>241</v>
      </c>
      <c r="B105" s="15">
        <v>0.02</v>
      </c>
    </row>
    <row r="106" spans="1:2">
      <c r="A106" s="14" t="s">
        <v>245</v>
      </c>
      <c r="B106" s="14">
        <v>0.04</v>
      </c>
    </row>
    <row r="107" spans="1:2">
      <c r="A107" s="15" t="s">
        <v>247</v>
      </c>
      <c r="B107" s="15">
        <v>0.01</v>
      </c>
    </row>
    <row r="108" spans="1:2">
      <c r="A108" s="14" t="s">
        <v>249</v>
      </c>
      <c r="B108" s="14">
        <v>0</v>
      </c>
    </row>
    <row r="109" spans="1:2">
      <c r="A109" s="15" t="s">
        <v>250</v>
      </c>
      <c r="B109" s="15">
        <v>0.03</v>
      </c>
    </row>
    <row r="110" spans="1:2">
      <c r="A110" s="14" t="s">
        <v>252</v>
      </c>
      <c r="B110" s="14">
        <v>0</v>
      </c>
    </row>
    <row r="111" spans="1:2">
      <c r="A111" s="15" t="s">
        <v>254</v>
      </c>
      <c r="B111" s="15">
        <v>0.04</v>
      </c>
    </row>
    <row r="112" spans="1:2">
      <c r="A112" s="14" t="s">
        <v>256</v>
      </c>
      <c r="B112" s="14">
        <v>0.04</v>
      </c>
    </row>
    <row r="113" spans="1:2">
      <c r="A113" s="15" t="s">
        <v>257</v>
      </c>
      <c r="B113" s="15">
        <v>0</v>
      </c>
    </row>
    <row r="114" spans="1:2">
      <c r="A114" s="14" t="s">
        <v>259</v>
      </c>
      <c r="B114" s="14">
        <v>0.03</v>
      </c>
    </row>
    <row r="115" spans="1:2">
      <c r="A115" s="15" t="s">
        <v>263</v>
      </c>
      <c r="B115" s="15">
        <v>0.03</v>
      </c>
    </row>
    <row r="116" spans="1:2">
      <c r="A116" s="14" t="s">
        <v>265</v>
      </c>
      <c r="B116" s="14">
        <v>0.03</v>
      </c>
    </row>
    <row r="117" spans="1:2">
      <c r="A117" s="15" t="s">
        <v>268</v>
      </c>
      <c r="B117" s="15">
        <v>0.01</v>
      </c>
    </row>
    <row r="118" spans="1:2">
      <c r="A118" s="14" t="s">
        <v>269</v>
      </c>
      <c r="B118" s="14">
        <v>0.03</v>
      </c>
    </row>
    <row r="119" spans="1:2">
      <c r="A119" s="15" t="s">
        <v>275</v>
      </c>
      <c r="B119" s="15">
        <v>0</v>
      </c>
    </row>
    <row r="120" spans="1:2">
      <c r="A120" s="14" t="s">
        <v>277</v>
      </c>
      <c r="B120" s="14">
        <v>0.01</v>
      </c>
    </row>
    <row r="121" spans="1:2">
      <c r="A121" s="15" t="s">
        <v>281</v>
      </c>
      <c r="B121" s="15">
        <v>0.03</v>
      </c>
    </row>
    <row r="122" spans="1:2">
      <c r="A122" s="14" t="s">
        <v>284</v>
      </c>
      <c r="B122" s="14">
        <v>0.04</v>
      </c>
    </row>
    <row r="123" spans="1:2">
      <c r="A123" s="15" t="s">
        <v>285</v>
      </c>
      <c r="B123" s="15">
        <v>0.05</v>
      </c>
    </row>
    <row r="124" spans="1:2">
      <c r="A124" s="14" t="s">
        <v>286</v>
      </c>
      <c r="B124" s="14">
        <v>0.05</v>
      </c>
    </row>
    <row r="125" spans="1:2">
      <c r="A125" s="15" t="s">
        <v>289</v>
      </c>
      <c r="B125" s="15">
        <v>0.03</v>
      </c>
    </row>
    <row r="126" spans="1:2">
      <c r="A126" s="14" t="s">
        <v>291</v>
      </c>
      <c r="B126" s="14">
        <v>0.03</v>
      </c>
    </row>
    <row r="127" spans="1:2">
      <c r="A127" s="15" t="s">
        <v>295</v>
      </c>
      <c r="B127" s="15">
        <v>0.05</v>
      </c>
    </row>
    <row r="128" spans="1:2">
      <c r="A128" s="14" t="s">
        <v>296</v>
      </c>
      <c r="B128" s="14">
        <v>0.01</v>
      </c>
    </row>
    <row r="129" spans="1:2">
      <c r="A129" s="15" t="s">
        <v>298</v>
      </c>
      <c r="B129" s="15">
        <v>0.04</v>
      </c>
    </row>
    <row r="130" spans="1:2">
      <c r="A130" s="14" t="s">
        <v>299</v>
      </c>
      <c r="B130" s="14">
        <v>0.04</v>
      </c>
    </row>
    <row r="131" spans="1:2">
      <c r="A131" s="15" t="s">
        <v>300</v>
      </c>
      <c r="B131" s="15">
        <v>0.04</v>
      </c>
    </row>
    <row r="132" spans="1:2">
      <c r="A132" s="14" t="s">
        <v>302</v>
      </c>
      <c r="B132" s="14">
        <v>0.03</v>
      </c>
    </row>
    <row r="133" spans="1:2">
      <c r="A133" s="15" t="s">
        <v>303</v>
      </c>
      <c r="B133" s="15">
        <v>0.01</v>
      </c>
    </row>
    <row r="134" spans="1:2">
      <c r="A134" s="14" t="s">
        <v>305</v>
      </c>
      <c r="B134" s="14">
        <v>0</v>
      </c>
    </row>
    <row r="135" spans="1:2">
      <c r="A135" s="15" t="s">
        <v>307</v>
      </c>
      <c r="B135" s="15">
        <v>0.04</v>
      </c>
    </row>
    <row r="136" spans="1:2">
      <c r="A136" s="14" t="s">
        <v>309</v>
      </c>
      <c r="B136" s="14">
        <v>0.01</v>
      </c>
    </row>
    <row r="137" spans="1:2">
      <c r="A137" s="15" t="s">
        <v>311</v>
      </c>
      <c r="B137" s="15">
        <v>0</v>
      </c>
    </row>
    <row r="138" spans="1:2">
      <c r="A138" s="14" t="s">
        <v>312</v>
      </c>
      <c r="B138" s="14">
        <v>0.01</v>
      </c>
    </row>
    <row r="139" spans="1:2">
      <c r="A139" s="15" t="s">
        <v>315</v>
      </c>
      <c r="B139" s="15">
        <v>0.04</v>
      </c>
    </row>
    <row r="140" spans="1:2">
      <c r="A140" s="14" t="s">
        <v>316</v>
      </c>
      <c r="B140" s="14">
        <v>0.03</v>
      </c>
    </row>
    <row r="141" spans="1:2">
      <c r="A141" s="15" t="s">
        <v>318</v>
      </c>
      <c r="B141" s="15">
        <v>0.02</v>
      </c>
    </row>
    <row r="142" spans="1:2">
      <c r="A142" s="14" t="s">
        <v>320</v>
      </c>
      <c r="B142" s="14">
        <v>0.01</v>
      </c>
    </row>
    <row r="143" spans="1:2">
      <c r="A143" s="15" t="s">
        <v>321</v>
      </c>
      <c r="B143" s="15">
        <v>0</v>
      </c>
    </row>
    <row r="144" spans="1:2">
      <c r="A144" s="14" t="s">
        <v>322</v>
      </c>
      <c r="B144" s="14">
        <v>0.05</v>
      </c>
    </row>
    <row r="145" spans="1:2">
      <c r="A145" s="15" t="s">
        <v>324</v>
      </c>
      <c r="B145" s="15">
        <v>0.04</v>
      </c>
    </row>
    <row r="146" spans="1:2">
      <c r="A146" s="14" t="s">
        <v>327</v>
      </c>
      <c r="B146" s="14">
        <v>0.04</v>
      </c>
    </row>
    <row r="147" spans="1:2">
      <c r="A147" s="15" t="s">
        <v>329</v>
      </c>
      <c r="B147" s="15">
        <v>0</v>
      </c>
    </row>
    <row r="148" spans="1:2">
      <c r="A148" s="14" t="s">
        <v>330</v>
      </c>
      <c r="B148" s="14">
        <v>0.05</v>
      </c>
    </row>
    <row r="149" spans="1:2">
      <c r="A149" s="15" t="s">
        <v>333</v>
      </c>
      <c r="B149" s="15">
        <v>0.05</v>
      </c>
    </row>
    <row r="150" spans="1:2">
      <c r="A150" s="14" t="s">
        <v>335</v>
      </c>
      <c r="B150" s="14">
        <v>0.04</v>
      </c>
    </row>
    <row r="151" spans="1:2">
      <c r="A151" s="15" t="s">
        <v>337</v>
      </c>
      <c r="B151" s="15">
        <v>0.04</v>
      </c>
    </row>
    <row r="152" spans="1:2">
      <c r="A152" s="14" t="s">
        <v>339</v>
      </c>
      <c r="B152" s="14">
        <v>0.02</v>
      </c>
    </row>
    <row r="153" spans="1:2">
      <c r="A153" s="15" t="s">
        <v>341</v>
      </c>
      <c r="B153" s="15">
        <v>0.02</v>
      </c>
    </row>
    <row r="154" spans="1:2">
      <c r="A154" s="14" t="s">
        <v>343</v>
      </c>
      <c r="B154" s="14">
        <v>0.01</v>
      </c>
    </row>
    <row r="155" spans="1:2">
      <c r="A155" s="15" t="s">
        <v>345</v>
      </c>
      <c r="B155" s="15">
        <v>0.04</v>
      </c>
    </row>
    <row r="156" spans="1:2">
      <c r="A156" s="14" t="s">
        <v>347</v>
      </c>
      <c r="B156" s="14">
        <v>0.04</v>
      </c>
    </row>
    <row r="157" spans="1:2">
      <c r="A157" s="15" t="s">
        <v>348</v>
      </c>
      <c r="B157" s="15">
        <v>0.02</v>
      </c>
    </row>
    <row r="158" spans="1:2">
      <c r="A158" s="14" t="s">
        <v>352</v>
      </c>
      <c r="B158" s="14">
        <v>0</v>
      </c>
    </row>
    <row r="159" spans="1:2">
      <c r="A159" s="15" t="s">
        <v>355</v>
      </c>
      <c r="B159" s="15">
        <v>0.01</v>
      </c>
    </row>
    <row r="160" spans="1:2">
      <c r="A160" s="14" t="s">
        <v>356</v>
      </c>
      <c r="B160" s="14">
        <v>0.04</v>
      </c>
    </row>
    <row r="161" spans="1:2">
      <c r="A161" s="15" t="s">
        <v>358</v>
      </c>
      <c r="B161" s="15">
        <v>0</v>
      </c>
    </row>
    <row r="162" spans="1:2">
      <c r="A162" s="14" t="s">
        <v>361</v>
      </c>
      <c r="B162" s="14">
        <v>0.01</v>
      </c>
    </row>
    <row r="163" spans="1:2">
      <c r="A163" s="15" t="s">
        <v>362</v>
      </c>
      <c r="B163" s="15">
        <v>0</v>
      </c>
    </row>
    <row r="164" spans="1:2">
      <c r="A164" s="14" t="s">
        <v>364</v>
      </c>
      <c r="B164" s="14">
        <v>0.02</v>
      </c>
    </row>
    <row r="165" spans="1:2">
      <c r="A165" s="15" t="s">
        <v>367</v>
      </c>
      <c r="B165" s="15">
        <v>0.04</v>
      </c>
    </row>
    <row r="166" spans="1:2">
      <c r="A166" s="14" t="s">
        <v>368</v>
      </c>
      <c r="B166" s="14">
        <v>0</v>
      </c>
    </row>
    <row r="167" spans="1:2">
      <c r="A167" s="15" t="s">
        <v>370</v>
      </c>
      <c r="B167" s="15">
        <v>0.05</v>
      </c>
    </row>
    <row r="168" spans="1:2">
      <c r="A168" s="14" t="s">
        <v>371</v>
      </c>
      <c r="B168" s="14">
        <v>0.04</v>
      </c>
    </row>
    <row r="169" spans="1:2">
      <c r="A169" s="16" t="s">
        <v>375</v>
      </c>
      <c r="B169" s="16">
        <v>0.02</v>
      </c>
    </row>
    <row r="170" spans="1:2">
      <c r="A170" s="14" t="s">
        <v>377</v>
      </c>
      <c r="B170" s="14">
        <v>0</v>
      </c>
    </row>
    <row r="171" spans="1:2">
      <c r="A171" s="15" t="s">
        <v>379</v>
      </c>
      <c r="B171" s="15">
        <v>0.01</v>
      </c>
    </row>
    <row r="172" spans="1:2">
      <c r="A172" s="14" t="s">
        <v>381</v>
      </c>
      <c r="B172" s="14">
        <v>0.04</v>
      </c>
    </row>
    <row r="173" spans="1:2">
      <c r="A173" s="15" t="s">
        <v>388</v>
      </c>
      <c r="B173" s="15">
        <v>0.03</v>
      </c>
    </row>
    <row r="174" spans="1:2">
      <c r="A174" s="14" t="s">
        <v>390</v>
      </c>
      <c r="B174" s="14">
        <v>0.05</v>
      </c>
    </row>
    <row r="175" spans="1:2">
      <c r="A175" s="15" t="s">
        <v>391</v>
      </c>
      <c r="B175" s="15">
        <v>0.04</v>
      </c>
    </row>
    <row r="176" spans="1:2">
      <c r="A176" s="14" t="s">
        <v>394</v>
      </c>
      <c r="B176" s="14">
        <v>0.04</v>
      </c>
    </row>
    <row r="177" spans="1:2">
      <c r="A177" s="15" t="s">
        <v>395</v>
      </c>
      <c r="B177" s="15">
        <v>0.03</v>
      </c>
    </row>
    <row r="178" spans="1:2">
      <c r="A178" s="14" t="s">
        <v>403</v>
      </c>
      <c r="B178" s="14">
        <v>0.04</v>
      </c>
    </row>
    <row r="179" spans="1:2">
      <c r="A179" s="15" t="s">
        <v>406</v>
      </c>
      <c r="B179" s="15">
        <v>0.01</v>
      </c>
    </row>
    <row r="180" spans="1:2">
      <c r="A180" s="14" t="s">
        <v>408</v>
      </c>
      <c r="B180" s="14">
        <v>0.02</v>
      </c>
    </row>
    <row r="181" spans="1:2">
      <c r="A181" s="15" t="s">
        <v>412</v>
      </c>
      <c r="B181" s="15">
        <v>0.01</v>
      </c>
    </row>
    <row r="182" spans="1:2">
      <c r="A182" s="14" t="s">
        <v>414</v>
      </c>
      <c r="B182" s="14">
        <v>0.05</v>
      </c>
    </row>
    <row r="183" spans="1:2">
      <c r="A183" s="15" t="s">
        <v>416</v>
      </c>
      <c r="B183" s="15">
        <v>0.03</v>
      </c>
    </row>
    <row r="184" spans="1:2">
      <c r="A184" s="14" t="s">
        <v>420</v>
      </c>
      <c r="B184" s="14">
        <v>0.05</v>
      </c>
    </row>
    <row r="185" spans="1:2">
      <c r="A185" s="15" t="s">
        <v>423</v>
      </c>
      <c r="B185" s="15">
        <v>0.04</v>
      </c>
    </row>
    <row r="186" spans="1:2">
      <c r="A186" s="14" t="s">
        <v>425</v>
      </c>
      <c r="B186" s="14">
        <v>0</v>
      </c>
    </row>
    <row r="187" spans="1:2">
      <c r="A187" s="15" t="s">
        <v>428</v>
      </c>
      <c r="B187" s="15">
        <v>0</v>
      </c>
    </row>
    <row r="188" spans="1:2">
      <c r="A188" s="14" t="s">
        <v>429</v>
      </c>
      <c r="B188" s="14">
        <v>0.05</v>
      </c>
    </row>
    <row r="189" spans="1:2">
      <c r="A189" s="15" t="s">
        <v>432</v>
      </c>
      <c r="B189" s="15">
        <v>0.04</v>
      </c>
    </row>
    <row r="190" spans="1:2">
      <c r="A190" s="14" t="s">
        <v>434</v>
      </c>
      <c r="B190" s="14">
        <v>0.04</v>
      </c>
    </row>
    <row r="191" spans="1:2">
      <c r="A191" s="15" t="s">
        <v>436</v>
      </c>
      <c r="B191" s="15">
        <v>0.03</v>
      </c>
    </row>
    <row r="192" spans="1:2">
      <c r="A192" s="14" t="s">
        <v>439</v>
      </c>
      <c r="B192" s="14">
        <v>0.05</v>
      </c>
    </row>
    <row r="193" spans="1:2">
      <c r="A193" s="15" t="s">
        <v>443</v>
      </c>
      <c r="B193" s="15">
        <v>0.02</v>
      </c>
    </row>
    <row r="194" spans="1:2">
      <c r="A194" s="14" t="s">
        <v>445</v>
      </c>
      <c r="B194" s="14">
        <v>0.01</v>
      </c>
    </row>
    <row r="195" spans="1:2">
      <c r="A195" s="15" t="s">
        <v>446</v>
      </c>
      <c r="B195" s="15">
        <v>0.02</v>
      </c>
    </row>
    <row r="196" spans="1:2">
      <c r="A196" s="14" t="s">
        <v>449</v>
      </c>
      <c r="B196" s="14">
        <v>0.05</v>
      </c>
    </row>
    <row r="197" spans="1:2">
      <c r="A197" s="15" t="s">
        <v>451</v>
      </c>
      <c r="B197" s="15">
        <v>0.01</v>
      </c>
    </row>
    <row r="198" spans="1:2">
      <c r="A198" s="14" t="s">
        <v>453</v>
      </c>
      <c r="B198" s="14">
        <v>0</v>
      </c>
    </row>
    <row r="199" spans="1:2">
      <c r="A199" s="14" t="s">
        <v>455</v>
      </c>
      <c r="B199" s="14">
        <v>0</v>
      </c>
    </row>
    <row r="200" spans="1:2">
      <c r="A200" s="15" t="s">
        <v>459</v>
      </c>
      <c r="B200" s="15">
        <v>0.01</v>
      </c>
    </row>
    <row r="201" spans="1:2">
      <c r="A201" s="14" t="s">
        <v>462</v>
      </c>
      <c r="B201" s="14">
        <v>0.04</v>
      </c>
    </row>
    <row r="202" spans="1:2">
      <c r="A202" s="15" t="s">
        <v>464</v>
      </c>
      <c r="B202" s="15">
        <v>0.03</v>
      </c>
    </row>
    <row r="203" spans="1:2">
      <c r="A203" s="14" t="s">
        <v>467</v>
      </c>
      <c r="B203" s="14">
        <v>0.05</v>
      </c>
    </row>
    <row r="204" spans="1:2">
      <c r="A204" s="15" t="s">
        <v>470</v>
      </c>
      <c r="B204" s="15">
        <v>0.04</v>
      </c>
    </row>
    <row r="205" spans="1:2">
      <c r="A205" s="14" t="s">
        <v>472</v>
      </c>
      <c r="B205" s="14">
        <v>0.04</v>
      </c>
    </row>
    <row r="206" spans="1:2">
      <c r="A206" s="15" t="s">
        <v>474</v>
      </c>
      <c r="B206" s="15">
        <v>0.03</v>
      </c>
    </row>
    <row r="207" spans="1:2">
      <c r="A207" s="14" t="s">
        <v>476</v>
      </c>
      <c r="B207" s="14">
        <v>0.04</v>
      </c>
    </row>
    <row r="208" spans="1:2">
      <c r="A208" s="15" t="s">
        <v>479</v>
      </c>
      <c r="B208" s="15">
        <v>0.01</v>
      </c>
    </row>
    <row r="209" spans="1:2">
      <c r="A209" s="14" t="s">
        <v>481</v>
      </c>
      <c r="B209" s="14">
        <v>0.02</v>
      </c>
    </row>
    <row r="210" spans="1:2">
      <c r="A210" s="15" t="s">
        <v>485</v>
      </c>
      <c r="B210" s="15">
        <v>0.01</v>
      </c>
    </row>
    <row r="211" spans="1:2">
      <c r="A211" s="14" t="s">
        <v>487</v>
      </c>
      <c r="B211" s="14">
        <v>0.05</v>
      </c>
    </row>
    <row r="212" spans="1:2">
      <c r="A212" s="15" t="s">
        <v>493</v>
      </c>
      <c r="B212" s="15">
        <v>0.03</v>
      </c>
    </row>
    <row r="213" spans="1:2">
      <c r="A213" s="14" t="s">
        <v>496</v>
      </c>
      <c r="B213" s="14">
        <v>0.05</v>
      </c>
    </row>
    <row r="214" spans="1:2">
      <c r="A214" s="15" t="s">
        <v>497</v>
      </c>
      <c r="B214" s="15">
        <v>0.04</v>
      </c>
    </row>
    <row r="215" spans="1:2">
      <c r="A215" s="14" t="s">
        <v>501</v>
      </c>
      <c r="B215" s="14">
        <v>0</v>
      </c>
    </row>
    <row r="216" spans="1:2">
      <c r="A216" s="15" t="s">
        <v>502</v>
      </c>
      <c r="B216" s="15">
        <v>0</v>
      </c>
    </row>
    <row r="217" spans="1:2">
      <c r="A217" s="14" t="s">
        <v>505</v>
      </c>
      <c r="B217" s="14">
        <v>0.05</v>
      </c>
    </row>
    <row r="218" spans="1:2">
      <c r="A218" s="15" t="s">
        <v>507</v>
      </c>
      <c r="B218" s="15">
        <v>0.04</v>
      </c>
    </row>
    <row r="219" spans="1:2">
      <c r="A219" s="14" t="s">
        <v>510</v>
      </c>
      <c r="B219" s="14">
        <v>0.04</v>
      </c>
    </row>
    <row r="220" spans="1:2">
      <c r="A220" s="15" t="s">
        <v>511</v>
      </c>
      <c r="B220" s="15">
        <v>0.03</v>
      </c>
    </row>
    <row r="221" spans="1:2">
      <c r="A221" s="14" t="s">
        <v>515</v>
      </c>
      <c r="B221" s="14">
        <v>0.05</v>
      </c>
    </row>
    <row r="222" spans="1:2">
      <c r="A222" s="15" t="s">
        <v>518</v>
      </c>
      <c r="B222" s="15">
        <v>0.02</v>
      </c>
    </row>
    <row r="223" spans="1:2">
      <c r="A223" s="14" t="s">
        <v>522</v>
      </c>
      <c r="B223" s="14">
        <v>0.01</v>
      </c>
    </row>
    <row r="224" spans="1:2">
      <c r="A224" s="15" t="s">
        <v>524</v>
      </c>
      <c r="B224" s="15">
        <v>0.02</v>
      </c>
    </row>
    <row r="225" spans="1:2">
      <c r="A225" s="14" t="s">
        <v>532</v>
      </c>
      <c r="B225" s="14">
        <v>0.05</v>
      </c>
    </row>
    <row r="226" spans="1:2">
      <c r="A226" s="15" t="s">
        <v>535</v>
      </c>
      <c r="B226" s="15">
        <v>0.01</v>
      </c>
    </row>
    <row r="227" spans="1:2">
      <c r="A227" s="14" t="s">
        <v>537</v>
      </c>
      <c r="B227" s="14">
        <v>0</v>
      </c>
    </row>
    <row r="228" spans="1:2">
      <c r="A228" s="15" t="s">
        <v>539</v>
      </c>
      <c r="B228" s="15">
        <v>0</v>
      </c>
    </row>
    <row r="229" spans="1:2">
      <c r="A229" s="14" t="s">
        <v>541</v>
      </c>
      <c r="B229" s="14">
        <v>0</v>
      </c>
    </row>
    <row r="230" spans="1:2">
      <c r="A230" s="15" t="s">
        <v>545</v>
      </c>
      <c r="B230" s="15">
        <v>0.05</v>
      </c>
    </row>
    <row r="231" spans="1:2">
      <c r="A231" s="14" t="s">
        <v>555</v>
      </c>
      <c r="B231" s="14">
        <v>0.04</v>
      </c>
    </row>
    <row r="232" spans="1:2">
      <c r="A232" s="15" t="s">
        <v>558</v>
      </c>
      <c r="B232" s="15">
        <v>0.03</v>
      </c>
    </row>
    <row r="233" spans="1:2">
      <c r="A233" s="14" t="s">
        <v>565</v>
      </c>
      <c r="B233" s="14">
        <v>0.04</v>
      </c>
    </row>
    <row r="234" spans="1:2">
      <c r="A234" s="15" t="s">
        <v>578</v>
      </c>
      <c r="B234" s="15">
        <v>0.04</v>
      </c>
    </row>
    <row r="235" spans="1:2">
      <c r="A235" s="14" t="s">
        <v>583</v>
      </c>
      <c r="B235" s="14">
        <v>0.02</v>
      </c>
    </row>
    <row r="236" spans="1:2">
      <c r="A236" s="15" t="s">
        <v>584</v>
      </c>
      <c r="B236" s="15">
        <v>0.02</v>
      </c>
    </row>
    <row r="237" spans="1:2">
      <c r="A237" s="14" t="s">
        <v>586</v>
      </c>
      <c r="B237" s="14">
        <v>0.04</v>
      </c>
    </row>
    <row r="238" spans="1:2">
      <c r="A238" s="15" t="s">
        <v>588</v>
      </c>
      <c r="B238" s="15">
        <v>0.05</v>
      </c>
    </row>
    <row r="239" spans="1:2">
      <c r="A239" s="14" t="s">
        <v>592</v>
      </c>
      <c r="B239" s="14">
        <v>0</v>
      </c>
    </row>
    <row r="240" spans="1:2">
      <c r="A240" s="15" t="s">
        <v>594</v>
      </c>
      <c r="B240" s="15">
        <v>0.04</v>
      </c>
    </row>
    <row r="241" spans="1:2">
      <c r="A241" s="14" t="s">
        <v>597</v>
      </c>
      <c r="B241" s="14">
        <v>0.04</v>
      </c>
    </row>
    <row r="242" spans="1:2">
      <c r="A242" s="15" t="s">
        <v>600</v>
      </c>
      <c r="B242" s="15">
        <v>0.03</v>
      </c>
    </row>
    <row r="243" spans="1:2">
      <c r="A243" s="14" t="s">
        <v>603</v>
      </c>
      <c r="B243" s="14">
        <v>0.02</v>
      </c>
    </row>
    <row r="244" spans="1:2">
      <c r="A244" s="15" t="s">
        <v>605</v>
      </c>
      <c r="B244" s="15">
        <v>0.01</v>
      </c>
    </row>
    <row r="245" spans="1:2">
      <c r="A245" s="14" t="s">
        <v>610</v>
      </c>
      <c r="B245" s="14">
        <v>0</v>
      </c>
    </row>
    <row r="246" spans="1:2">
      <c r="A246" s="15" t="s">
        <v>613</v>
      </c>
      <c r="B246" s="15">
        <v>0.01</v>
      </c>
    </row>
    <row r="247" spans="1:2">
      <c r="A247" s="14" t="s">
        <v>617</v>
      </c>
      <c r="B247" s="14">
        <v>0.01</v>
      </c>
    </row>
    <row r="248" spans="1:2">
      <c r="A248" s="15" t="s">
        <v>622</v>
      </c>
      <c r="B248" s="15">
        <v>0.01</v>
      </c>
    </row>
    <row r="249" spans="1:2">
      <c r="A249" s="14" t="s">
        <v>640</v>
      </c>
      <c r="B249" s="14">
        <v>0.05</v>
      </c>
    </row>
    <row r="250" spans="1:2">
      <c r="A250" s="15" t="s">
        <v>642</v>
      </c>
      <c r="B250" s="15">
        <v>0.04</v>
      </c>
    </row>
    <row r="251" spans="1:2">
      <c r="A251" s="14" t="s">
        <v>649</v>
      </c>
      <c r="B251" s="14">
        <v>0</v>
      </c>
    </row>
    <row r="252" spans="1:2">
      <c r="A252" s="15" t="s">
        <v>654</v>
      </c>
      <c r="B252" s="15">
        <v>0.01</v>
      </c>
    </row>
    <row r="253" spans="1:2">
      <c r="A253" s="14" t="s">
        <v>659</v>
      </c>
      <c r="B253" s="14">
        <v>0.02</v>
      </c>
    </row>
    <row r="254" spans="1:2">
      <c r="A254" s="15" t="s">
        <v>670</v>
      </c>
      <c r="B254" s="15">
        <v>0.04</v>
      </c>
    </row>
    <row r="255" spans="1:2">
      <c r="A255" s="14" t="s">
        <v>672</v>
      </c>
      <c r="B255" s="14">
        <v>0</v>
      </c>
    </row>
    <row r="256" spans="1:2">
      <c r="A256" s="15" t="s">
        <v>674</v>
      </c>
      <c r="B256" s="15">
        <v>0.02</v>
      </c>
    </row>
    <row r="257" spans="1:2">
      <c r="A257" s="14" t="s">
        <v>684</v>
      </c>
      <c r="B257" s="14">
        <v>0.03</v>
      </c>
    </row>
    <row r="258" spans="1:2">
      <c r="A258" s="15" t="s">
        <v>687</v>
      </c>
      <c r="B258" s="15">
        <v>0.04</v>
      </c>
    </row>
    <row r="259" spans="1:2">
      <c r="A259" s="14" t="s">
        <v>695</v>
      </c>
      <c r="B259" s="14">
        <v>0</v>
      </c>
    </row>
    <row r="260" spans="1:2">
      <c r="A260" s="15" t="s">
        <v>710</v>
      </c>
      <c r="B260" s="15">
        <v>0.03</v>
      </c>
    </row>
    <row r="261" spans="1:2">
      <c r="A261" s="14" t="s">
        <v>712</v>
      </c>
      <c r="B261" s="14">
        <v>0.05</v>
      </c>
    </row>
    <row r="262" spans="1:2">
      <c r="A262" s="15" t="s">
        <v>716</v>
      </c>
      <c r="B262" s="15">
        <v>0.01</v>
      </c>
    </row>
    <row r="263" spans="1:2">
      <c r="A263" s="14" t="s">
        <v>729</v>
      </c>
      <c r="B263" s="14">
        <v>0</v>
      </c>
    </row>
    <row r="264" spans="1:2">
      <c r="A264" s="15" t="s">
        <v>736</v>
      </c>
      <c r="B264" s="15">
        <v>0.03</v>
      </c>
    </row>
    <row r="265" spans="1:2">
      <c r="A265" s="14" t="s">
        <v>743</v>
      </c>
      <c r="B265" s="14">
        <v>0.04</v>
      </c>
    </row>
    <row r="266" spans="1:2">
      <c r="A266" s="15" t="s">
        <v>745</v>
      </c>
      <c r="B266" s="15">
        <v>0.05</v>
      </c>
    </row>
    <row r="267" spans="1:2">
      <c r="A267" s="14" t="s">
        <v>750</v>
      </c>
      <c r="B267" s="14">
        <v>0.05</v>
      </c>
    </row>
    <row r="268" spans="1:2">
      <c r="A268" s="15" t="s">
        <v>760</v>
      </c>
      <c r="B268" s="15">
        <v>0.02</v>
      </c>
    </row>
    <row r="269" spans="1:2">
      <c r="A269" s="14" t="s">
        <v>776</v>
      </c>
      <c r="B269" s="14">
        <v>0.03</v>
      </c>
    </row>
    <row r="270" spans="1:2">
      <c r="A270" s="15" t="s">
        <v>778</v>
      </c>
      <c r="B270" s="15">
        <v>0.05</v>
      </c>
    </row>
    <row r="271" spans="1:2">
      <c r="A271" s="14" t="s">
        <v>785</v>
      </c>
      <c r="B271" s="14">
        <v>0.03</v>
      </c>
    </row>
    <row r="272" spans="1:2">
      <c r="A272" s="15" t="s">
        <v>795</v>
      </c>
      <c r="B272" s="15">
        <v>0.05</v>
      </c>
    </row>
    <row r="273" spans="1:2">
      <c r="A273" s="14" t="s">
        <v>810</v>
      </c>
      <c r="B273" s="14">
        <v>0.04</v>
      </c>
    </row>
    <row r="274" spans="1:2">
      <c r="A274" s="15" t="s">
        <v>830</v>
      </c>
      <c r="B274" s="15">
        <v>0</v>
      </c>
    </row>
    <row r="275" spans="1:2">
      <c r="A275" s="14" t="s">
        <v>840</v>
      </c>
      <c r="B275" s="14">
        <v>0</v>
      </c>
    </row>
    <row r="276" spans="1:2">
      <c r="A276" s="15" t="s">
        <v>842</v>
      </c>
      <c r="B276" s="15">
        <v>0.03</v>
      </c>
    </row>
    <row r="277" spans="1:2">
      <c r="A277" s="14" t="s">
        <v>847</v>
      </c>
      <c r="B277" s="14">
        <v>0.04</v>
      </c>
    </row>
    <row r="278" spans="1:2">
      <c r="A278" s="15" t="s">
        <v>850</v>
      </c>
      <c r="B278" s="15">
        <v>0.04</v>
      </c>
    </row>
    <row r="279" spans="1:2">
      <c r="A279" s="14" t="s">
        <v>854</v>
      </c>
      <c r="B279" s="14">
        <v>0.03</v>
      </c>
    </row>
    <row r="280" spans="1:2">
      <c r="A280" s="15" t="s">
        <v>859</v>
      </c>
      <c r="B280" s="15">
        <v>0</v>
      </c>
    </row>
    <row r="281" spans="1:2">
      <c r="A281" s="14" t="s">
        <v>861</v>
      </c>
      <c r="B281" s="14">
        <v>0.03</v>
      </c>
    </row>
    <row r="282" spans="1:2">
      <c r="A282" s="15" t="s">
        <v>877</v>
      </c>
      <c r="B282" s="15">
        <v>0.02</v>
      </c>
    </row>
    <row r="283" spans="1:2">
      <c r="A283" s="14" t="s">
        <v>882</v>
      </c>
      <c r="B283" s="14">
        <v>0.02</v>
      </c>
    </row>
    <row r="284" spans="1:2">
      <c r="A284" s="15" t="s">
        <v>892</v>
      </c>
      <c r="B284" s="15">
        <v>0.04</v>
      </c>
    </row>
    <row r="285" spans="1:2">
      <c r="A285" s="14" t="s">
        <v>909</v>
      </c>
      <c r="B285" s="14">
        <v>0.02</v>
      </c>
    </row>
    <row r="286" spans="1:2">
      <c r="A286" s="15" t="s">
        <v>911</v>
      </c>
      <c r="B286" s="15">
        <v>0.02</v>
      </c>
    </row>
    <row r="287" spans="1:2">
      <c r="A287" s="14" t="s">
        <v>924</v>
      </c>
      <c r="B287" s="14">
        <v>0</v>
      </c>
    </row>
    <row r="288" spans="1:2">
      <c r="A288" s="15" t="s">
        <v>926</v>
      </c>
      <c r="B288" s="15">
        <v>0</v>
      </c>
    </row>
    <row r="289" spans="1:2">
      <c r="A289" s="14" t="s">
        <v>930</v>
      </c>
      <c r="B289" s="14">
        <v>0.03</v>
      </c>
    </row>
    <row r="290" spans="1:2">
      <c r="A290" s="15" t="s">
        <v>932</v>
      </c>
      <c r="B290" s="15">
        <v>0.04</v>
      </c>
    </row>
    <row r="291" spans="1:2">
      <c r="A291" s="14" t="s">
        <v>1003</v>
      </c>
      <c r="B291" s="14">
        <v>0</v>
      </c>
    </row>
    <row r="292" spans="1:2">
      <c r="A292" s="15" t="s">
        <v>1013</v>
      </c>
      <c r="B292" s="15">
        <v>0.05</v>
      </c>
    </row>
    <row r="293" spans="1:2">
      <c r="A293" s="14" t="s">
        <v>1026</v>
      </c>
      <c r="B293" s="14">
        <v>0.03</v>
      </c>
    </row>
    <row r="294" spans="1:2">
      <c r="A294" s="15" t="s">
        <v>1048</v>
      </c>
      <c r="B294" s="15">
        <v>0</v>
      </c>
    </row>
    <row r="295" spans="1:2">
      <c r="A295" s="14" t="s">
        <v>1087</v>
      </c>
      <c r="B295" s="14">
        <v>0.05</v>
      </c>
    </row>
    <row r="296" spans="1:2">
      <c r="A296" s="15" t="s">
        <v>1149</v>
      </c>
      <c r="B296" s="15">
        <v>0.02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AB78C-A015-42AE-B852-68EEADEE285B}">
  <sheetPr>
    <tabColor theme="5"/>
  </sheetPr>
  <dimension ref="A1:B296"/>
  <sheetViews>
    <sheetView workbookViewId="0">
      <selection activeCell="F9" sqref="F9"/>
    </sheetView>
  </sheetViews>
  <sheetFormatPr defaultRowHeight="14.45"/>
  <cols>
    <col min="1" max="2" width="16.7109375" bestFit="1" customWidth="1"/>
  </cols>
  <sheetData>
    <row r="1" spans="1:2" ht="15.6">
      <c r="A1" s="13" t="s">
        <v>1704</v>
      </c>
      <c r="B1" s="13" t="s">
        <v>1705</v>
      </c>
    </row>
    <row r="2" spans="1:2">
      <c r="A2" s="14" t="s">
        <v>28</v>
      </c>
      <c r="B2" s="14">
        <v>0.02</v>
      </c>
    </row>
    <row r="3" spans="1:2">
      <c r="A3" s="15" t="s">
        <v>31</v>
      </c>
      <c r="B3" s="15">
        <v>0.05</v>
      </c>
    </row>
    <row r="4" spans="1:2">
      <c r="A4" s="14" t="s">
        <v>34</v>
      </c>
      <c r="B4" s="14">
        <v>0.02</v>
      </c>
    </row>
    <row r="5" spans="1:2">
      <c r="A5" s="15" t="s">
        <v>37</v>
      </c>
      <c r="B5" s="15">
        <v>0.04</v>
      </c>
    </row>
    <row r="6" spans="1:2">
      <c r="A6" s="14" t="s">
        <v>39</v>
      </c>
      <c r="B6" s="14">
        <v>0.03</v>
      </c>
    </row>
    <row r="7" spans="1:2">
      <c r="A7" s="15" t="s">
        <v>42</v>
      </c>
      <c r="B7" s="15">
        <v>0.05</v>
      </c>
    </row>
    <row r="8" spans="1:2">
      <c r="A8" s="14" t="s">
        <v>45</v>
      </c>
      <c r="B8" s="14">
        <v>0.01</v>
      </c>
    </row>
    <row r="9" spans="1:2">
      <c r="A9" s="15" t="s">
        <v>47</v>
      </c>
      <c r="B9" s="15">
        <v>0.05</v>
      </c>
    </row>
    <row r="10" spans="1:2">
      <c r="A10" s="14" t="s">
        <v>49</v>
      </c>
      <c r="B10" s="14">
        <v>0.04</v>
      </c>
    </row>
    <row r="11" spans="1:2">
      <c r="A11" s="15" t="s">
        <v>52</v>
      </c>
      <c r="B11" s="15">
        <v>0.04</v>
      </c>
    </row>
    <row r="12" spans="1:2">
      <c r="A12" s="14" t="s">
        <v>55</v>
      </c>
      <c r="B12" s="14">
        <v>0</v>
      </c>
    </row>
    <row r="13" spans="1:2">
      <c r="A13" s="15" t="s">
        <v>57</v>
      </c>
      <c r="B13" s="15">
        <v>0.02</v>
      </c>
    </row>
    <row r="14" spans="1:2">
      <c r="A14" s="14" t="s">
        <v>58</v>
      </c>
      <c r="B14" s="14">
        <v>0.02</v>
      </c>
    </row>
    <row r="15" spans="1:2">
      <c r="A15" s="15" t="s">
        <v>60</v>
      </c>
      <c r="B15" s="15">
        <v>0.03</v>
      </c>
    </row>
    <row r="16" spans="1:2">
      <c r="A16" s="14" t="s">
        <v>62</v>
      </c>
      <c r="B16" s="14">
        <v>0.01</v>
      </c>
    </row>
    <row r="17" spans="1:2">
      <c r="A17" s="15" t="s">
        <v>64</v>
      </c>
      <c r="B17" s="15">
        <v>0.01</v>
      </c>
    </row>
    <row r="18" spans="1:2">
      <c r="A18" s="14" t="s">
        <v>65</v>
      </c>
      <c r="B18" s="14">
        <v>0.05</v>
      </c>
    </row>
    <row r="19" spans="1:2">
      <c r="A19" s="15" t="s">
        <v>67</v>
      </c>
      <c r="B19" s="15">
        <v>0.02</v>
      </c>
    </row>
    <row r="20" spans="1:2">
      <c r="A20" s="14" t="s">
        <v>69</v>
      </c>
      <c r="B20" s="14">
        <v>0.01</v>
      </c>
    </row>
    <row r="21" spans="1:2">
      <c r="A21" s="15" t="s">
        <v>71</v>
      </c>
      <c r="B21" s="15">
        <v>0.05</v>
      </c>
    </row>
    <row r="22" spans="1:2">
      <c r="A22" s="14" t="s">
        <v>73</v>
      </c>
      <c r="B22" s="14">
        <v>0.02</v>
      </c>
    </row>
    <row r="23" spans="1:2">
      <c r="A23" s="15" t="s">
        <v>74</v>
      </c>
      <c r="B23" s="15">
        <v>0.04</v>
      </c>
    </row>
    <row r="24" spans="1:2">
      <c r="A24" s="14" t="s">
        <v>76</v>
      </c>
      <c r="B24" s="14">
        <v>0.02</v>
      </c>
    </row>
    <row r="25" spans="1:2">
      <c r="A25" s="15" t="s">
        <v>78</v>
      </c>
      <c r="B25" s="15">
        <v>0.01</v>
      </c>
    </row>
    <row r="26" spans="1:2">
      <c r="A26" s="14" t="s">
        <v>80</v>
      </c>
      <c r="B26" s="14">
        <v>0.01</v>
      </c>
    </row>
    <row r="27" spans="1:2">
      <c r="A27" s="15" t="s">
        <v>82</v>
      </c>
      <c r="B27" s="15">
        <v>0.03</v>
      </c>
    </row>
    <row r="28" spans="1:2">
      <c r="A28" s="14" t="s">
        <v>83</v>
      </c>
      <c r="B28" s="14">
        <v>0.03</v>
      </c>
    </row>
    <row r="29" spans="1:2">
      <c r="A29" s="15" t="s">
        <v>84</v>
      </c>
      <c r="B29" s="15">
        <v>0.01</v>
      </c>
    </row>
    <row r="30" spans="1:2">
      <c r="A30" s="14" t="s">
        <v>86</v>
      </c>
      <c r="B30" s="14">
        <v>0.04</v>
      </c>
    </row>
    <row r="31" spans="1:2">
      <c r="A31" s="15" t="s">
        <v>88</v>
      </c>
      <c r="B31" s="15">
        <v>0</v>
      </c>
    </row>
    <row r="32" spans="1:2">
      <c r="A32" s="14" t="s">
        <v>90</v>
      </c>
      <c r="B32" s="14">
        <v>0.01</v>
      </c>
    </row>
    <row r="33" spans="1:2">
      <c r="A33" s="15" t="s">
        <v>91</v>
      </c>
      <c r="B33" s="15">
        <v>0.01</v>
      </c>
    </row>
    <row r="34" spans="1:2">
      <c r="A34" s="14" t="s">
        <v>93</v>
      </c>
      <c r="B34" s="14">
        <v>0.05</v>
      </c>
    </row>
    <row r="35" spans="1:2">
      <c r="A35" s="15" t="s">
        <v>94</v>
      </c>
      <c r="B35" s="15">
        <v>0.03</v>
      </c>
    </row>
    <row r="36" spans="1:2">
      <c r="A36" s="14" t="s">
        <v>97</v>
      </c>
      <c r="B36" s="14">
        <v>0</v>
      </c>
    </row>
    <row r="37" spans="1:2">
      <c r="A37" s="15" t="s">
        <v>98</v>
      </c>
      <c r="B37" s="15">
        <v>0.02</v>
      </c>
    </row>
    <row r="38" spans="1:2">
      <c r="A38" s="14" t="s">
        <v>100</v>
      </c>
      <c r="B38" s="14">
        <v>0.03</v>
      </c>
    </row>
    <row r="39" spans="1:2">
      <c r="A39" s="15" t="s">
        <v>102</v>
      </c>
      <c r="B39" s="15">
        <v>0</v>
      </c>
    </row>
    <row r="40" spans="1:2">
      <c r="A40" s="14" t="s">
        <v>103</v>
      </c>
      <c r="B40" s="14">
        <v>0.01</v>
      </c>
    </row>
    <row r="41" spans="1:2">
      <c r="A41" s="15" t="s">
        <v>105</v>
      </c>
      <c r="B41" s="15">
        <v>0.01</v>
      </c>
    </row>
    <row r="42" spans="1:2">
      <c r="A42" s="14" t="s">
        <v>107</v>
      </c>
      <c r="B42" s="14">
        <v>0.04</v>
      </c>
    </row>
    <row r="43" spans="1:2">
      <c r="A43" s="15" t="s">
        <v>110</v>
      </c>
      <c r="B43" s="15">
        <v>0.04</v>
      </c>
    </row>
    <row r="44" spans="1:2">
      <c r="A44" s="14" t="s">
        <v>112</v>
      </c>
      <c r="B44" s="14">
        <v>0.03</v>
      </c>
    </row>
    <row r="45" spans="1:2">
      <c r="A45" s="15" t="s">
        <v>114</v>
      </c>
      <c r="B45" s="15">
        <v>0.04</v>
      </c>
    </row>
    <row r="46" spans="1:2">
      <c r="A46" s="14" t="s">
        <v>116</v>
      </c>
      <c r="B46" s="14">
        <v>0.04</v>
      </c>
    </row>
    <row r="47" spans="1:2">
      <c r="A47" s="15" t="s">
        <v>118</v>
      </c>
      <c r="B47" s="15">
        <v>0</v>
      </c>
    </row>
    <row r="48" spans="1:2">
      <c r="A48" s="14" t="s">
        <v>120</v>
      </c>
      <c r="B48" s="14">
        <v>0.04</v>
      </c>
    </row>
    <row r="49" spans="1:2">
      <c r="A49" s="15" t="s">
        <v>122</v>
      </c>
      <c r="B49" s="15">
        <v>0.04</v>
      </c>
    </row>
    <row r="50" spans="1:2">
      <c r="A50" s="14" t="s">
        <v>123</v>
      </c>
      <c r="B50" s="14">
        <v>0.01</v>
      </c>
    </row>
    <row r="51" spans="1:2">
      <c r="A51" s="15" t="s">
        <v>125</v>
      </c>
      <c r="B51" s="15">
        <v>0.03</v>
      </c>
    </row>
    <row r="52" spans="1:2">
      <c r="A52" s="14" t="s">
        <v>126</v>
      </c>
      <c r="B52" s="14">
        <v>0.01</v>
      </c>
    </row>
    <row r="53" spans="1:2">
      <c r="A53" s="15" t="s">
        <v>128</v>
      </c>
      <c r="B53" s="15">
        <v>0.05</v>
      </c>
    </row>
    <row r="54" spans="1:2">
      <c r="A54" s="14" t="s">
        <v>130</v>
      </c>
      <c r="B54" s="14">
        <v>0.03</v>
      </c>
    </row>
    <row r="55" spans="1:2">
      <c r="A55" s="15" t="s">
        <v>131</v>
      </c>
      <c r="B55" s="15">
        <v>0.01</v>
      </c>
    </row>
    <row r="56" spans="1:2">
      <c r="A56" s="14" t="s">
        <v>133</v>
      </c>
      <c r="B56" s="14">
        <v>0.03</v>
      </c>
    </row>
    <row r="57" spans="1:2">
      <c r="A57" s="15" t="s">
        <v>135</v>
      </c>
      <c r="B57" s="15">
        <v>0.05</v>
      </c>
    </row>
    <row r="58" spans="1:2">
      <c r="A58" s="14" t="s">
        <v>137</v>
      </c>
      <c r="B58" s="14">
        <v>0.03</v>
      </c>
    </row>
    <row r="59" spans="1:2">
      <c r="A59" s="15" t="s">
        <v>140</v>
      </c>
      <c r="B59" s="15">
        <v>0.04</v>
      </c>
    </row>
    <row r="60" spans="1:2">
      <c r="A60" s="14" t="s">
        <v>141</v>
      </c>
      <c r="B60" s="14">
        <v>0.03</v>
      </c>
    </row>
    <row r="61" spans="1:2">
      <c r="A61" s="15" t="s">
        <v>143</v>
      </c>
      <c r="B61" s="15">
        <v>0.05</v>
      </c>
    </row>
    <row r="62" spans="1:2">
      <c r="A62" s="14" t="s">
        <v>145</v>
      </c>
      <c r="B62" s="14">
        <v>0</v>
      </c>
    </row>
    <row r="63" spans="1:2">
      <c r="A63" s="15" t="s">
        <v>147</v>
      </c>
      <c r="B63" s="15">
        <v>0</v>
      </c>
    </row>
    <row r="64" spans="1:2">
      <c r="A64" s="14" t="s">
        <v>149</v>
      </c>
      <c r="B64" s="14">
        <v>0</v>
      </c>
    </row>
    <row r="65" spans="1:2">
      <c r="A65" s="15" t="s">
        <v>151</v>
      </c>
      <c r="B65" s="15">
        <v>0.05</v>
      </c>
    </row>
    <row r="66" spans="1:2">
      <c r="A66" s="14" t="s">
        <v>153</v>
      </c>
      <c r="B66" s="14">
        <v>0</v>
      </c>
    </row>
    <row r="67" spans="1:2">
      <c r="A67" s="15" t="s">
        <v>154</v>
      </c>
      <c r="B67" s="15">
        <v>0</v>
      </c>
    </row>
    <row r="68" spans="1:2">
      <c r="A68" s="14" t="s">
        <v>156</v>
      </c>
      <c r="B68" s="14">
        <v>0.01</v>
      </c>
    </row>
    <row r="69" spans="1:2">
      <c r="A69" s="15" t="s">
        <v>158</v>
      </c>
      <c r="B69" s="15">
        <v>0.03</v>
      </c>
    </row>
    <row r="70" spans="1:2">
      <c r="A70" s="14" t="s">
        <v>160</v>
      </c>
      <c r="B70" s="14">
        <v>0.01</v>
      </c>
    </row>
    <row r="71" spans="1:2">
      <c r="A71" s="15" t="s">
        <v>162</v>
      </c>
      <c r="B71" s="15">
        <v>0.04</v>
      </c>
    </row>
    <row r="72" spans="1:2">
      <c r="A72" s="14" t="s">
        <v>164</v>
      </c>
      <c r="B72" s="14">
        <v>0.05</v>
      </c>
    </row>
    <row r="73" spans="1:2">
      <c r="A73" s="15" t="s">
        <v>166</v>
      </c>
      <c r="B73" s="15">
        <v>0.03</v>
      </c>
    </row>
    <row r="74" spans="1:2">
      <c r="A74" s="14" t="s">
        <v>168</v>
      </c>
      <c r="B74" s="14">
        <v>0.04</v>
      </c>
    </row>
    <row r="75" spans="1:2">
      <c r="A75" s="15" t="s">
        <v>170</v>
      </c>
      <c r="B75" s="15">
        <v>0.05</v>
      </c>
    </row>
    <row r="76" spans="1:2">
      <c r="A76" s="14" t="s">
        <v>172</v>
      </c>
      <c r="B76" s="14">
        <v>0.05</v>
      </c>
    </row>
    <row r="77" spans="1:2">
      <c r="A77" s="15" t="s">
        <v>174</v>
      </c>
      <c r="B77" s="15">
        <v>0.01</v>
      </c>
    </row>
    <row r="78" spans="1:2">
      <c r="A78" s="14" t="s">
        <v>176</v>
      </c>
      <c r="B78" s="14">
        <v>0.02</v>
      </c>
    </row>
    <row r="79" spans="1:2">
      <c r="A79" s="15" t="s">
        <v>178</v>
      </c>
      <c r="B79" s="15">
        <v>0.01</v>
      </c>
    </row>
    <row r="80" spans="1:2">
      <c r="A80" s="14" t="s">
        <v>180</v>
      </c>
      <c r="B80" s="14">
        <v>0.01</v>
      </c>
    </row>
    <row r="81" spans="1:2">
      <c r="A81" s="15" t="s">
        <v>182</v>
      </c>
      <c r="B81" s="15">
        <v>0.05</v>
      </c>
    </row>
    <row r="82" spans="1:2">
      <c r="A82" s="14" t="s">
        <v>184</v>
      </c>
      <c r="B82" s="14">
        <v>0.05</v>
      </c>
    </row>
    <row r="83" spans="1:2">
      <c r="A83" s="15" t="s">
        <v>186</v>
      </c>
      <c r="B83" s="15">
        <v>0.04</v>
      </c>
    </row>
    <row r="84" spans="1:2">
      <c r="A84" s="14" t="s">
        <v>188</v>
      </c>
      <c r="B84" s="14">
        <v>0</v>
      </c>
    </row>
    <row r="85" spans="1:2">
      <c r="A85" s="15" t="s">
        <v>190</v>
      </c>
      <c r="B85" s="15">
        <v>0.02</v>
      </c>
    </row>
    <row r="86" spans="1:2">
      <c r="A86" s="14" t="s">
        <v>195</v>
      </c>
      <c r="B86" s="14">
        <v>0.04</v>
      </c>
    </row>
    <row r="87" spans="1:2">
      <c r="A87" s="15" t="s">
        <v>200</v>
      </c>
      <c r="B87" s="15">
        <v>0.04</v>
      </c>
    </row>
    <row r="88" spans="1:2">
      <c r="A88" s="14" t="s">
        <v>203</v>
      </c>
      <c r="B88" s="14">
        <v>0.05</v>
      </c>
    </row>
    <row r="89" spans="1:2">
      <c r="A89" s="15" t="s">
        <v>205</v>
      </c>
      <c r="B89" s="15">
        <v>0.03</v>
      </c>
    </row>
    <row r="90" spans="1:2">
      <c r="A90" s="14" t="s">
        <v>206</v>
      </c>
      <c r="B90" s="14">
        <v>0</v>
      </c>
    </row>
    <row r="91" spans="1:2">
      <c r="A91" s="15" t="s">
        <v>208</v>
      </c>
      <c r="B91" s="15">
        <v>0.01</v>
      </c>
    </row>
    <row r="92" spans="1:2">
      <c r="A92" s="14" t="s">
        <v>211</v>
      </c>
      <c r="B92" s="14">
        <v>0.03</v>
      </c>
    </row>
    <row r="93" spans="1:2">
      <c r="A93" s="15" t="s">
        <v>213</v>
      </c>
      <c r="B93" s="15">
        <v>0.02</v>
      </c>
    </row>
    <row r="94" spans="1:2">
      <c r="A94" s="14" t="s">
        <v>216</v>
      </c>
      <c r="B94" s="14">
        <v>0.01</v>
      </c>
    </row>
    <row r="95" spans="1:2">
      <c r="A95" s="15" t="s">
        <v>218</v>
      </c>
      <c r="B95" s="15">
        <v>0.03</v>
      </c>
    </row>
    <row r="96" spans="1:2">
      <c r="A96" s="14" t="s">
        <v>221</v>
      </c>
      <c r="B96" s="14">
        <v>0.01</v>
      </c>
    </row>
    <row r="97" spans="1:2">
      <c r="A97" s="15" t="s">
        <v>223</v>
      </c>
      <c r="B97" s="15">
        <v>0.02</v>
      </c>
    </row>
    <row r="98" spans="1:2">
      <c r="A98" s="14" t="s">
        <v>226</v>
      </c>
      <c r="B98" s="14">
        <v>0.01</v>
      </c>
    </row>
    <row r="99" spans="1:2">
      <c r="A99" s="15" t="s">
        <v>227</v>
      </c>
      <c r="B99" s="15">
        <v>0.01</v>
      </c>
    </row>
    <row r="100" spans="1:2">
      <c r="A100" s="14" t="s">
        <v>231</v>
      </c>
      <c r="B100" s="14">
        <v>0.05</v>
      </c>
    </row>
    <row r="101" spans="1:2">
      <c r="A101" s="15" t="s">
        <v>232</v>
      </c>
      <c r="B101" s="15">
        <v>0</v>
      </c>
    </row>
    <row r="102" spans="1:2">
      <c r="A102" s="14" t="s">
        <v>236</v>
      </c>
      <c r="B102" s="14">
        <v>0.03</v>
      </c>
    </row>
    <row r="103" spans="1:2">
      <c r="A103" s="15" t="s">
        <v>238</v>
      </c>
      <c r="B103" s="15">
        <v>0.01</v>
      </c>
    </row>
    <row r="104" spans="1:2">
      <c r="A104" s="14" t="s">
        <v>240</v>
      </c>
      <c r="B104" s="14">
        <v>0.04</v>
      </c>
    </row>
    <row r="105" spans="1:2">
      <c r="A105" s="15" t="s">
        <v>241</v>
      </c>
      <c r="B105" s="15">
        <v>0.04</v>
      </c>
    </row>
    <row r="106" spans="1:2">
      <c r="A106" s="14" t="s">
        <v>245</v>
      </c>
      <c r="B106" s="14">
        <v>0.05</v>
      </c>
    </row>
    <row r="107" spans="1:2">
      <c r="A107" s="15" t="s">
        <v>247</v>
      </c>
      <c r="B107" s="15">
        <v>0.05</v>
      </c>
    </row>
    <row r="108" spans="1:2">
      <c r="A108" s="14" t="s">
        <v>249</v>
      </c>
      <c r="B108" s="14">
        <v>0.03</v>
      </c>
    </row>
    <row r="109" spans="1:2">
      <c r="A109" s="15" t="s">
        <v>250</v>
      </c>
      <c r="B109" s="15">
        <v>0</v>
      </c>
    </row>
    <row r="110" spans="1:2">
      <c r="A110" s="14" t="s">
        <v>252</v>
      </c>
      <c r="B110" s="14">
        <v>0.05</v>
      </c>
    </row>
    <row r="111" spans="1:2">
      <c r="A111" s="15" t="s">
        <v>254</v>
      </c>
      <c r="B111" s="15">
        <v>0.05</v>
      </c>
    </row>
    <row r="112" spans="1:2">
      <c r="A112" s="14" t="s">
        <v>256</v>
      </c>
      <c r="B112" s="14">
        <v>0</v>
      </c>
    </row>
    <row r="113" spans="1:2">
      <c r="A113" s="15" t="s">
        <v>257</v>
      </c>
      <c r="B113" s="15">
        <v>0</v>
      </c>
    </row>
    <row r="114" spans="1:2">
      <c r="A114" s="14" t="s">
        <v>259</v>
      </c>
      <c r="B114" s="14">
        <v>0.02</v>
      </c>
    </row>
    <row r="115" spans="1:2">
      <c r="A115" s="15" t="s">
        <v>263</v>
      </c>
      <c r="B115" s="15">
        <v>0.04</v>
      </c>
    </row>
    <row r="116" spans="1:2">
      <c r="A116" s="14" t="s">
        <v>265</v>
      </c>
      <c r="B116" s="14">
        <v>0</v>
      </c>
    </row>
    <row r="117" spans="1:2">
      <c r="A117" s="15" t="s">
        <v>268</v>
      </c>
      <c r="B117" s="15">
        <v>0.03</v>
      </c>
    </row>
    <row r="118" spans="1:2">
      <c r="A118" s="14" t="s">
        <v>269</v>
      </c>
      <c r="B118" s="14">
        <v>0.03</v>
      </c>
    </row>
    <row r="119" spans="1:2">
      <c r="A119" s="15" t="s">
        <v>275</v>
      </c>
      <c r="B119" s="15">
        <v>0</v>
      </c>
    </row>
    <row r="120" spans="1:2">
      <c r="A120" s="14" t="s">
        <v>277</v>
      </c>
      <c r="B120" s="14">
        <v>0.05</v>
      </c>
    </row>
    <row r="121" spans="1:2">
      <c r="A121" s="15" t="s">
        <v>281</v>
      </c>
      <c r="B121" s="15">
        <v>0.04</v>
      </c>
    </row>
    <row r="122" spans="1:2">
      <c r="A122" s="14" t="s">
        <v>284</v>
      </c>
      <c r="B122" s="14">
        <v>0.01</v>
      </c>
    </row>
    <row r="123" spans="1:2">
      <c r="A123" s="15" t="s">
        <v>285</v>
      </c>
      <c r="B123" s="15">
        <v>0.05</v>
      </c>
    </row>
    <row r="124" spans="1:2">
      <c r="A124" s="14" t="s">
        <v>286</v>
      </c>
      <c r="B124" s="14">
        <v>0.01</v>
      </c>
    </row>
    <row r="125" spans="1:2">
      <c r="A125" s="15" t="s">
        <v>289</v>
      </c>
      <c r="B125" s="15">
        <v>0.04</v>
      </c>
    </row>
    <row r="126" spans="1:2">
      <c r="A126" s="14" t="s">
        <v>291</v>
      </c>
      <c r="B126" s="14">
        <v>0.01</v>
      </c>
    </row>
    <row r="127" spans="1:2">
      <c r="A127" s="15" t="s">
        <v>295</v>
      </c>
      <c r="B127" s="15">
        <v>0.05</v>
      </c>
    </row>
    <row r="128" spans="1:2">
      <c r="A128" s="14" t="s">
        <v>296</v>
      </c>
      <c r="B128" s="14">
        <v>0.03</v>
      </c>
    </row>
    <row r="129" spans="1:2">
      <c r="A129" s="15" t="s">
        <v>298</v>
      </c>
      <c r="B129" s="15">
        <v>0.05</v>
      </c>
    </row>
    <row r="130" spans="1:2">
      <c r="A130" s="14" t="s">
        <v>299</v>
      </c>
      <c r="B130" s="14">
        <v>0.03</v>
      </c>
    </row>
    <row r="131" spans="1:2">
      <c r="A131" s="15" t="s">
        <v>300</v>
      </c>
      <c r="B131" s="15">
        <v>0.02</v>
      </c>
    </row>
    <row r="132" spans="1:2">
      <c r="A132" s="14" t="s">
        <v>302</v>
      </c>
      <c r="B132" s="14">
        <v>0.04</v>
      </c>
    </row>
    <row r="133" spans="1:2">
      <c r="A133" s="15" t="s">
        <v>303</v>
      </c>
      <c r="B133" s="15">
        <v>0.02</v>
      </c>
    </row>
    <row r="134" spans="1:2">
      <c r="A134" s="14" t="s">
        <v>305</v>
      </c>
      <c r="B134" s="14">
        <v>0.04</v>
      </c>
    </row>
    <row r="135" spans="1:2">
      <c r="A135" s="15" t="s">
        <v>307</v>
      </c>
      <c r="B135" s="15">
        <v>0.03</v>
      </c>
    </row>
    <row r="136" spans="1:2">
      <c r="A136" s="14" t="s">
        <v>309</v>
      </c>
      <c r="B136" s="14">
        <v>0.04</v>
      </c>
    </row>
    <row r="137" spans="1:2">
      <c r="A137" s="15" t="s">
        <v>311</v>
      </c>
      <c r="B137" s="15">
        <v>0.03</v>
      </c>
    </row>
    <row r="138" spans="1:2">
      <c r="A138" s="14" t="s">
        <v>312</v>
      </c>
      <c r="B138" s="14">
        <v>0</v>
      </c>
    </row>
    <row r="139" spans="1:2">
      <c r="A139" s="15" t="s">
        <v>315</v>
      </c>
      <c r="B139" s="15">
        <v>0.05</v>
      </c>
    </row>
    <row r="140" spans="1:2">
      <c r="A140" s="14" t="s">
        <v>316</v>
      </c>
      <c r="B140" s="14">
        <v>0</v>
      </c>
    </row>
    <row r="141" spans="1:2">
      <c r="A141" s="15" t="s">
        <v>318</v>
      </c>
      <c r="B141" s="15">
        <v>0.05</v>
      </c>
    </row>
    <row r="142" spans="1:2">
      <c r="A142" s="14" t="s">
        <v>320</v>
      </c>
      <c r="B142" s="14">
        <v>0.04</v>
      </c>
    </row>
    <row r="143" spans="1:2">
      <c r="A143" s="15" t="s">
        <v>321</v>
      </c>
      <c r="B143" s="15">
        <v>0</v>
      </c>
    </row>
    <row r="144" spans="1:2">
      <c r="A144" s="14" t="s">
        <v>322</v>
      </c>
      <c r="B144" s="14">
        <v>0.01</v>
      </c>
    </row>
    <row r="145" spans="1:2">
      <c r="A145" s="15" t="s">
        <v>324</v>
      </c>
      <c r="B145" s="15">
        <v>0.05</v>
      </c>
    </row>
    <row r="146" spans="1:2">
      <c r="A146" s="14" t="s">
        <v>327</v>
      </c>
      <c r="B146" s="14">
        <v>0.01</v>
      </c>
    </row>
    <row r="147" spans="1:2">
      <c r="A147" s="15" t="s">
        <v>329</v>
      </c>
      <c r="B147" s="15">
        <v>0.01</v>
      </c>
    </row>
    <row r="148" spans="1:2">
      <c r="A148" s="14" t="s">
        <v>330</v>
      </c>
      <c r="B148" s="14">
        <v>0.02</v>
      </c>
    </row>
    <row r="149" spans="1:2">
      <c r="A149" s="15" t="s">
        <v>333</v>
      </c>
      <c r="B149" s="15">
        <v>0.01</v>
      </c>
    </row>
    <row r="150" spans="1:2">
      <c r="A150" s="14" t="s">
        <v>335</v>
      </c>
      <c r="B150" s="14">
        <v>0</v>
      </c>
    </row>
    <row r="151" spans="1:2">
      <c r="A151" s="15" t="s">
        <v>337</v>
      </c>
      <c r="B151" s="15">
        <v>0.05</v>
      </c>
    </row>
    <row r="152" spans="1:2">
      <c r="A152" s="14" t="s">
        <v>339</v>
      </c>
      <c r="B152" s="14">
        <v>0</v>
      </c>
    </row>
    <row r="153" spans="1:2">
      <c r="A153" s="15" t="s">
        <v>341</v>
      </c>
      <c r="B153" s="15">
        <v>0.01</v>
      </c>
    </row>
    <row r="154" spans="1:2">
      <c r="A154" s="14" t="s">
        <v>343</v>
      </c>
      <c r="B154" s="14">
        <v>0.05</v>
      </c>
    </row>
    <row r="155" spans="1:2">
      <c r="A155" s="15" t="s">
        <v>345</v>
      </c>
      <c r="B155" s="15">
        <v>0.04</v>
      </c>
    </row>
    <row r="156" spans="1:2">
      <c r="A156" s="14" t="s">
        <v>347</v>
      </c>
      <c r="B156" s="14">
        <v>0</v>
      </c>
    </row>
    <row r="157" spans="1:2">
      <c r="A157" s="15" t="s">
        <v>348</v>
      </c>
      <c r="B157" s="15">
        <v>0.01</v>
      </c>
    </row>
    <row r="158" spans="1:2">
      <c r="A158" s="14" t="s">
        <v>352</v>
      </c>
      <c r="B158" s="14">
        <v>0.02</v>
      </c>
    </row>
    <row r="159" spans="1:2">
      <c r="A159" s="15" t="s">
        <v>355</v>
      </c>
      <c r="B159" s="15">
        <v>0.05</v>
      </c>
    </row>
    <row r="160" spans="1:2">
      <c r="A160" s="14" t="s">
        <v>356</v>
      </c>
      <c r="B160" s="14">
        <v>0.02</v>
      </c>
    </row>
    <row r="161" spans="1:2">
      <c r="A161" s="15" t="s">
        <v>358</v>
      </c>
      <c r="B161" s="15">
        <v>0.02</v>
      </c>
    </row>
    <row r="162" spans="1:2">
      <c r="A162" s="14" t="s">
        <v>361</v>
      </c>
      <c r="B162" s="14">
        <v>0.05</v>
      </c>
    </row>
    <row r="163" spans="1:2">
      <c r="A163" s="15" t="s">
        <v>362</v>
      </c>
      <c r="B163" s="15">
        <v>0.01</v>
      </c>
    </row>
    <row r="164" spans="1:2">
      <c r="A164" s="14" t="s">
        <v>364</v>
      </c>
      <c r="B164" s="14">
        <v>0.05</v>
      </c>
    </row>
    <row r="165" spans="1:2">
      <c r="A165" s="15" t="s">
        <v>367</v>
      </c>
      <c r="B165" s="15">
        <v>0.04</v>
      </c>
    </row>
    <row r="166" spans="1:2">
      <c r="A166" s="14" t="s">
        <v>368</v>
      </c>
      <c r="B166" s="14">
        <v>0.03</v>
      </c>
    </row>
    <row r="167" spans="1:2">
      <c r="A167" s="15" t="s">
        <v>370</v>
      </c>
      <c r="B167" s="15">
        <v>0.04</v>
      </c>
    </row>
    <row r="168" spans="1:2">
      <c r="A168" s="14" t="s">
        <v>371</v>
      </c>
      <c r="B168" s="14">
        <v>0</v>
      </c>
    </row>
    <row r="169" spans="1:2">
      <c r="A169" s="16" t="s">
        <v>375</v>
      </c>
      <c r="B169" s="16">
        <v>0.05</v>
      </c>
    </row>
    <row r="170" spans="1:2">
      <c r="A170" s="14" t="s">
        <v>377</v>
      </c>
      <c r="B170" s="14">
        <v>0.02</v>
      </c>
    </row>
    <row r="171" spans="1:2">
      <c r="A171" s="15" t="s">
        <v>379</v>
      </c>
      <c r="B171" s="15">
        <v>0.05</v>
      </c>
    </row>
    <row r="172" spans="1:2">
      <c r="A172" s="14" t="s">
        <v>381</v>
      </c>
      <c r="B172" s="14">
        <v>0.02</v>
      </c>
    </row>
    <row r="173" spans="1:2">
      <c r="A173" s="15" t="s">
        <v>388</v>
      </c>
      <c r="B173" s="15">
        <v>0.04</v>
      </c>
    </row>
    <row r="174" spans="1:2">
      <c r="A174" s="14" t="s">
        <v>390</v>
      </c>
      <c r="B174" s="14">
        <v>0.03</v>
      </c>
    </row>
    <row r="175" spans="1:2">
      <c r="A175" s="15" t="s">
        <v>391</v>
      </c>
      <c r="B175" s="15">
        <v>0.05</v>
      </c>
    </row>
    <row r="176" spans="1:2">
      <c r="A176" s="14" t="s">
        <v>394</v>
      </c>
      <c r="B176" s="14">
        <v>0.01</v>
      </c>
    </row>
    <row r="177" spans="1:2">
      <c r="A177" s="15" t="s">
        <v>395</v>
      </c>
      <c r="B177" s="15">
        <v>0.05</v>
      </c>
    </row>
    <row r="178" spans="1:2">
      <c r="A178" s="14" t="s">
        <v>403</v>
      </c>
      <c r="B178" s="14">
        <v>0.04</v>
      </c>
    </row>
    <row r="179" spans="1:2">
      <c r="A179" s="15" t="s">
        <v>406</v>
      </c>
      <c r="B179" s="15">
        <v>0.04</v>
      </c>
    </row>
    <row r="180" spans="1:2">
      <c r="A180" s="14" t="s">
        <v>408</v>
      </c>
      <c r="B180" s="14">
        <v>0</v>
      </c>
    </row>
    <row r="181" spans="1:2">
      <c r="A181" s="15" t="s">
        <v>412</v>
      </c>
      <c r="B181" s="15">
        <v>0.02</v>
      </c>
    </row>
    <row r="182" spans="1:2">
      <c r="A182" s="14" t="s">
        <v>414</v>
      </c>
      <c r="B182" s="14">
        <v>0.02</v>
      </c>
    </row>
    <row r="183" spans="1:2">
      <c r="A183" s="15" t="s">
        <v>416</v>
      </c>
      <c r="B183" s="15">
        <v>0.03</v>
      </c>
    </row>
    <row r="184" spans="1:2">
      <c r="A184" s="14" t="s">
        <v>420</v>
      </c>
      <c r="B184" s="14">
        <v>0.01</v>
      </c>
    </row>
    <row r="185" spans="1:2">
      <c r="A185" s="15" t="s">
        <v>423</v>
      </c>
      <c r="B185" s="15">
        <v>0.01</v>
      </c>
    </row>
    <row r="186" spans="1:2">
      <c r="A186" s="14" t="s">
        <v>425</v>
      </c>
      <c r="B186" s="14">
        <v>0.05</v>
      </c>
    </row>
    <row r="187" spans="1:2">
      <c r="A187" s="15" t="s">
        <v>428</v>
      </c>
      <c r="B187" s="15">
        <v>0.02</v>
      </c>
    </row>
    <row r="188" spans="1:2">
      <c r="A188" s="14" t="s">
        <v>429</v>
      </c>
      <c r="B188" s="14">
        <v>0.01</v>
      </c>
    </row>
    <row r="189" spans="1:2">
      <c r="A189" s="15" t="s">
        <v>432</v>
      </c>
      <c r="B189" s="15">
        <v>0.05</v>
      </c>
    </row>
    <row r="190" spans="1:2">
      <c r="A190" s="14" t="s">
        <v>434</v>
      </c>
      <c r="B190" s="14">
        <v>0.02</v>
      </c>
    </row>
    <row r="191" spans="1:2">
      <c r="A191" s="15" t="s">
        <v>436</v>
      </c>
      <c r="B191" s="15">
        <v>0.04</v>
      </c>
    </row>
    <row r="192" spans="1:2">
      <c r="A192" s="14" t="s">
        <v>439</v>
      </c>
      <c r="B192" s="14">
        <v>0.02</v>
      </c>
    </row>
    <row r="193" spans="1:2">
      <c r="A193" s="15" t="s">
        <v>443</v>
      </c>
      <c r="B193" s="15">
        <v>0.01</v>
      </c>
    </row>
    <row r="194" spans="1:2">
      <c r="A194" s="14" t="s">
        <v>445</v>
      </c>
      <c r="B194" s="14">
        <v>0.01</v>
      </c>
    </row>
    <row r="195" spans="1:2">
      <c r="A195" s="15" t="s">
        <v>446</v>
      </c>
      <c r="B195" s="15">
        <v>0.03</v>
      </c>
    </row>
    <row r="196" spans="1:2">
      <c r="A196" s="14" t="s">
        <v>449</v>
      </c>
      <c r="B196" s="14">
        <v>0.03</v>
      </c>
    </row>
    <row r="197" spans="1:2">
      <c r="A197" s="15" t="s">
        <v>451</v>
      </c>
      <c r="B197" s="15">
        <v>0.01</v>
      </c>
    </row>
    <row r="198" spans="1:2">
      <c r="A198" s="14" t="s">
        <v>453</v>
      </c>
      <c r="B198" s="14">
        <v>0.04</v>
      </c>
    </row>
    <row r="199" spans="1:2">
      <c r="A199" s="15" t="s">
        <v>455</v>
      </c>
      <c r="B199" s="15">
        <v>0</v>
      </c>
    </row>
    <row r="200" spans="1:2">
      <c r="A200" s="14" t="s">
        <v>459</v>
      </c>
      <c r="B200" s="14">
        <v>0.01</v>
      </c>
    </row>
    <row r="201" spans="1:2">
      <c r="A201" s="15" t="s">
        <v>462</v>
      </c>
      <c r="B201" s="15">
        <v>0.01</v>
      </c>
    </row>
    <row r="202" spans="1:2">
      <c r="A202" s="14" t="s">
        <v>464</v>
      </c>
      <c r="B202" s="14">
        <v>0.05</v>
      </c>
    </row>
    <row r="203" spans="1:2">
      <c r="A203" s="15" t="s">
        <v>467</v>
      </c>
      <c r="B203" s="15">
        <v>0.03</v>
      </c>
    </row>
    <row r="204" spans="1:2">
      <c r="A204" s="14" t="s">
        <v>470</v>
      </c>
      <c r="B204" s="14">
        <v>0</v>
      </c>
    </row>
    <row r="205" spans="1:2">
      <c r="A205" s="15" t="s">
        <v>472</v>
      </c>
      <c r="B205" s="15">
        <v>0.02</v>
      </c>
    </row>
    <row r="206" spans="1:2">
      <c r="A206" s="14" t="s">
        <v>474</v>
      </c>
      <c r="B206" s="14">
        <v>0.03</v>
      </c>
    </row>
    <row r="207" spans="1:2">
      <c r="A207" s="15" t="s">
        <v>476</v>
      </c>
      <c r="B207" s="15">
        <v>0</v>
      </c>
    </row>
    <row r="208" spans="1:2">
      <c r="A208" s="14" t="s">
        <v>479</v>
      </c>
      <c r="B208" s="14">
        <v>0.01</v>
      </c>
    </row>
    <row r="209" spans="1:2">
      <c r="A209" s="15" t="s">
        <v>481</v>
      </c>
      <c r="B209" s="15">
        <v>0.01</v>
      </c>
    </row>
    <row r="210" spans="1:2">
      <c r="A210" s="14" t="s">
        <v>485</v>
      </c>
      <c r="B210" s="14">
        <v>0.04</v>
      </c>
    </row>
    <row r="211" spans="1:2">
      <c r="A211" s="15" t="s">
        <v>487</v>
      </c>
      <c r="B211" s="15">
        <v>0.04</v>
      </c>
    </row>
    <row r="212" spans="1:2">
      <c r="A212" s="14" t="s">
        <v>493</v>
      </c>
      <c r="B212" s="14">
        <v>0.03</v>
      </c>
    </row>
    <row r="213" spans="1:2">
      <c r="A213" s="15" t="s">
        <v>496</v>
      </c>
      <c r="B213" s="15">
        <v>0.04</v>
      </c>
    </row>
    <row r="214" spans="1:2">
      <c r="A214" s="14" t="s">
        <v>497</v>
      </c>
      <c r="B214" s="14">
        <v>0.04</v>
      </c>
    </row>
    <row r="215" spans="1:2">
      <c r="A215" s="15" t="s">
        <v>501</v>
      </c>
      <c r="B215" s="15">
        <v>0</v>
      </c>
    </row>
    <row r="216" spans="1:2">
      <c r="A216" s="14" t="s">
        <v>502</v>
      </c>
      <c r="B216" s="14">
        <v>0.04</v>
      </c>
    </row>
    <row r="217" spans="1:2">
      <c r="A217" s="15" t="s">
        <v>505</v>
      </c>
      <c r="B217" s="15">
        <v>0.04</v>
      </c>
    </row>
    <row r="218" spans="1:2">
      <c r="A218" s="14" t="s">
        <v>507</v>
      </c>
      <c r="B218" s="14">
        <v>0.01</v>
      </c>
    </row>
    <row r="219" spans="1:2">
      <c r="A219" s="15" t="s">
        <v>510</v>
      </c>
      <c r="B219" s="15">
        <v>0.03</v>
      </c>
    </row>
    <row r="220" spans="1:2">
      <c r="A220" s="14" t="s">
        <v>511</v>
      </c>
      <c r="B220" s="14">
        <v>0.01</v>
      </c>
    </row>
    <row r="221" spans="1:2">
      <c r="A221" s="15" t="s">
        <v>515</v>
      </c>
      <c r="B221" s="15">
        <v>0.05</v>
      </c>
    </row>
    <row r="222" spans="1:2">
      <c r="A222" s="14" t="s">
        <v>518</v>
      </c>
      <c r="B222" s="14">
        <v>0.03</v>
      </c>
    </row>
    <row r="223" spans="1:2">
      <c r="A223" s="15" t="s">
        <v>522</v>
      </c>
      <c r="B223" s="15">
        <v>0.01</v>
      </c>
    </row>
    <row r="224" spans="1:2">
      <c r="A224" s="14" t="s">
        <v>524</v>
      </c>
      <c r="B224" s="14">
        <v>0.03</v>
      </c>
    </row>
    <row r="225" spans="1:2">
      <c r="A225" s="15" t="s">
        <v>532</v>
      </c>
      <c r="B225" s="15">
        <v>0.05</v>
      </c>
    </row>
    <row r="226" spans="1:2">
      <c r="A226" s="14" t="s">
        <v>535</v>
      </c>
      <c r="B226" s="14">
        <v>0.03</v>
      </c>
    </row>
    <row r="227" spans="1:2">
      <c r="A227" s="15" t="s">
        <v>537</v>
      </c>
      <c r="B227" s="15">
        <v>0.04</v>
      </c>
    </row>
    <row r="228" spans="1:2">
      <c r="A228" s="14" t="s">
        <v>539</v>
      </c>
      <c r="B228" s="14">
        <v>0.03</v>
      </c>
    </row>
    <row r="229" spans="1:2">
      <c r="A229" s="15" t="s">
        <v>541</v>
      </c>
      <c r="B229" s="15">
        <v>0.05</v>
      </c>
    </row>
    <row r="230" spans="1:2">
      <c r="A230" s="14" t="s">
        <v>545</v>
      </c>
      <c r="B230" s="14">
        <v>0</v>
      </c>
    </row>
    <row r="231" spans="1:2">
      <c r="A231" s="15" t="s">
        <v>555</v>
      </c>
      <c r="B231" s="15">
        <v>0</v>
      </c>
    </row>
    <row r="232" spans="1:2">
      <c r="A232" s="14" t="s">
        <v>558</v>
      </c>
      <c r="B232" s="14">
        <v>0</v>
      </c>
    </row>
    <row r="233" spans="1:2">
      <c r="A233" s="15" t="s">
        <v>565</v>
      </c>
      <c r="B233" s="15">
        <v>0.05</v>
      </c>
    </row>
    <row r="234" spans="1:2">
      <c r="A234" s="14" t="s">
        <v>578</v>
      </c>
      <c r="B234" s="14">
        <v>0</v>
      </c>
    </row>
    <row r="235" spans="1:2">
      <c r="A235" s="15" t="s">
        <v>583</v>
      </c>
      <c r="B235" s="15">
        <v>0</v>
      </c>
    </row>
    <row r="236" spans="1:2">
      <c r="A236" s="14" t="s">
        <v>584</v>
      </c>
      <c r="B236" s="14">
        <v>0.01</v>
      </c>
    </row>
    <row r="237" spans="1:2">
      <c r="A237" s="15" t="s">
        <v>586</v>
      </c>
      <c r="B237" s="15">
        <v>0.03</v>
      </c>
    </row>
    <row r="238" spans="1:2">
      <c r="A238" s="14" t="s">
        <v>588</v>
      </c>
      <c r="B238" s="14">
        <v>0.01</v>
      </c>
    </row>
    <row r="239" spans="1:2">
      <c r="A239" s="15" t="s">
        <v>592</v>
      </c>
      <c r="B239" s="15">
        <v>0.04</v>
      </c>
    </row>
    <row r="240" spans="1:2">
      <c r="A240" s="14" t="s">
        <v>594</v>
      </c>
      <c r="B240" s="14">
        <v>0.05</v>
      </c>
    </row>
    <row r="241" spans="1:2">
      <c r="A241" s="15" t="s">
        <v>597</v>
      </c>
      <c r="B241" s="15">
        <v>0.03</v>
      </c>
    </row>
    <row r="242" spans="1:2">
      <c r="A242" s="14" t="s">
        <v>600</v>
      </c>
      <c r="B242" s="14">
        <v>0.04</v>
      </c>
    </row>
    <row r="243" spans="1:2">
      <c r="A243" s="15" t="s">
        <v>603</v>
      </c>
      <c r="B243" s="15">
        <v>0.05</v>
      </c>
    </row>
    <row r="244" spans="1:2">
      <c r="A244" s="14" t="s">
        <v>605</v>
      </c>
      <c r="B244" s="14">
        <v>0.05</v>
      </c>
    </row>
    <row r="245" spans="1:2">
      <c r="A245" s="15" t="s">
        <v>610</v>
      </c>
      <c r="B245" s="15">
        <v>0.01</v>
      </c>
    </row>
    <row r="246" spans="1:2">
      <c r="A246" s="14" t="s">
        <v>613</v>
      </c>
      <c r="B246" s="14">
        <v>0.02</v>
      </c>
    </row>
    <row r="247" spans="1:2">
      <c r="A247" s="15" t="s">
        <v>617</v>
      </c>
      <c r="B247" s="15">
        <v>0.01</v>
      </c>
    </row>
    <row r="248" spans="1:2">
      <c r="A248" s="14" t="s">
        <v>622</v>
      </c>
      <c r="B248" s="14">
        <v>0.01</v>
      </c>
    </row>
    <row r="249" spans="1:2">
      <c r="A249" s="15" t="s">
        <v>640</v>
      </c>
      <c r="B249" s="15">
        <v>0.05</v>
      </c>
    </row>
    <row r="250" spans="1:2">
      <c r="A250" s="14" t="s">
        <v>642</v>
      </c>
      <c r="B250" s="14">
        <v>0.05</v>
      </c>
    </row>
    <row r="251" spans="1:2">
      <c r="A251" s="15" t="s">
        <v>649</v>
      </c>
      <c r="B251" s="15">
        <v>0.04</v>
      </c>
    </row>
    <row r="252" spans="1:2">
      <c r="A252" s="14" t="s">
        <v>654</v>
      </c>
      <c r="B252" s="14">
        <v>0</v>
      </c>
    </row>
    <row r="253" spans="1:2">
      <c r="A253" s="15" t="s">
        <v>659</v>
      </c>
      <c r="B253" s="15">
        <v>0.02</v>
      </c>
    </row>
    <row r="254" spans="1:2">
      <c r="A254" s="14" t="s">
        <v>670</v>
      </c>
      <c r="B254" s="14">
        <v>0.04</v>
      </c>
    </row>
    <row r="255" spans="1:2">
      <c r="A255" s="15" t="s">
        <v>672</v>
      </c>
      <c r="B255" s="15">
        <v>0.04</v>
      </c>
    </row>
    <row r="256" spans="1:2">
      <c r="A256" s="14" t="s">
        <v>674</v>
      </c>
      <c r="B256" s="14">
        <v>0.05</v>
      </c>
    </row>
    <row r="257" spans="1:2">
      <c r="A257" s="15" t="s">
        <v>684</v>
      </c>
      <c r="B257" s="15">
        <v>0.03</v>
      </c>
    </row>
    <row r="258" spans="1:2">
      <c r="A258" s="14" t="s">
        <v>687</v>
      </c>
      <c r="B258" s="14">
        <v>0</v>
      </c>
    </row>
    <row r="259" spans="1:2">
      <c r="A259" s="15" t="s">
        <v>695</v>
      </c>
      <c r="B259" s="15">
        <v>0.01</v>
      </c>
    </row>
    <row r="260" spans="1:2">
      <c r="A260" s="14" t="s">
        <v>710</v>
      </c>
      <c r="B260" s="14">
        <v>0.03</v>
      </c>
    </row>
    <row r="261" spans="1:2">
      <c r="A261" s="15" t="s">
        <v>712</v>
      </c>
      <c r="B261" s="15">
        <v>0.02</v>
      </c>
    </row>
    <row r="262" spans="1:2">
      <c r="A262" s="14" t="s">
        <v>716</v>
      </c>
      <c r="B262" s="14">
        <v>0.01</v>
      </c>
    </row>
    <row r="263" spans="1:2">
      <c r="A263" s="15" t="s">
        <v>729</v>
      </c>
      <c r="B263" s="15">
        <v>0.03</v>
      </c>
    </row>
    <row r="264" spans="1:2">
      <c r="A264" s="14" t="s">
        <v>736</v>
      </c>
      <c r="B264" s="14">
        <v>0.01</v>
      </c>
    </row>
    <row r="265" spans="1:2">
      <c r="A265" s="15" t="s">
        <v>743</v>
      </c>
      <c r="B265" s="15">
        <v>0.02</v>
      </c>
    </row>
    <row r="266" spans="1:2">
      <c r="A266" s="14" t="s">
        <v>745</v>
      </c>
      <c r="B266" s="14">
        <v>0.01</v>
      </c>
    </row>
    <row r="267" spans="1:2">
      <c r="A267" s="15" t="s">
        <v>750</v>
      </c>
      <c r="B267" s="15">
        <v>0.01</v>
      </c>
    </row>
    <row r="268" spans="1:2">
      <c r="A268" s="14" t="s">
        <v>760</v>
      </c>
      <c r="B268" s="14">
        <v>0.05</v>
      </c>
    </row>
    <row r="269" spans="1:2">
      <c r="A269" s="15" t="s">
        <v>776</v>
      </c>
      <c r="B269" s="15">
        <v>0</v>
      </c>
    </row>
    <row r="270" spans="1:2">
      <c r="A270" s="14" t="s">
        <v>778</v>
      </c>
      <c r="B270" s="14">
        <v>0.03</v>
      </c>
    </row>
    <row r="271" spans="1:2">
      <c r="A271" s="15" t="s">
        <v>785</v>
      </c>
      <c r="B271" s="15">
        <v>0.01</v>
      </c>
    </row>
    <row r="272" spans="1:2">
      <c r="A272" s="14" t="s">
        <v>795</v>
      </c>
      <c r="B272" s="14">
        <v>0.04</v>
      </c>
    </row>
    <row r="273" spans="1:2">
      <c r="A273" s="15" t="s">
        <v>810</v>
      </c>
      <c r="B273" s="15">
        <v>0.04</v>
      </c>
    </row>
    <row r="274" spans="1:2">
      <c r="A274" s="14" t="s">
        <v>830</v>
      </c>
      <c r="B274" s="14">
        <v>0.05</v>
      </c>
    </row>
    <row r="275" spans="1:2">
      <c r="A275" s="15" t="s">
        <v>840</v>
      </c>
      <c r="B275" s="15">
        <v>0.05</v>
      </c>
    </row>
    <row r="276" spans="1:2">
      <c r="A276" s="14" t="s">
        <v>842</v>
      </c>
      <c r="B276" s="14">
        <v>0.03</v>
      </c>
    </row>
    <row r="277" spans="1:2">
      <c r="A277" s="15" t="s">
        <v>847</v>
      </c>
      <c r="B277" s="15">
        <v>0</v>
      </c>
    </row>
    <row r="278" spans="1:2">
      <c r="A278" s="14" t="s">
        <v>850</v>
      </c>
      <c r="B278" s="14">
        <v>0.05</v>
      </c>
    </row>
    <row r="279" spans="1:2">
      <c r="A279" s="15" t="s">
        <v>854</v>
      </c>
      <c r="B279" s="15">
        <v>0.05</v>
      </c>
    </row>
    <row r="280" spans="1:2">
      <c r="A280" s="14" t="s">
        <v>859</v>
      </c>
      <c r="B280" s="14">
        <v>0</v>
      </c>
    </row>
    <row r="281" spans="1:2">
      <c r="A281" s="15" t="s">
        <v>861</v>
      </c>
      <c r="B281" s="15">
        <v>0</v>
      </c>
    </row>
    <row r="282" spans="1:2">
      <c r="A282" s="14" t="s">
        <v>877</v>
      </c>
      <c r="B282" s="14">
        <v>0.02</v>
      </c>
    </row>
    <row r="283" spans="1:2">
      <c r="A283" s="15" t="s">
        <v>882</v>
      </c>
      <c r="B283" s="15">
        <v>0.04</v>
      </c>
    </row>
    <row r="284" spans="1:2">
      <c r="A284" s="14" t="s">
        <v>892</v>
      </c>
      <c r="B284" s="14">
        <v>0</v>
      </c>
    </row>
    <row r="285" spans="1:2">
      <c r="A285" s="15" t="s">
        <v>909</v>
      </c>
      <c r="B285" s="15">
        <v>0.03</v>
      </c>
    </row>
    <row r="286" spans="1:2">
      <c r="A286" s="14" t="s">
        <v>911</v>
      </c>
      <c r="B286" s="14">
        <v>0.03</v>
      </c>
    </row>
    <row r="287" spans="1:2">
      <c r="A287" s="15" t="s">
        <v>924</v>
      </c>
      <c r="B287" s="15">
        <v>0</v>
      </c>
    </row>
    <row r="288" spans="1:2">
      <c r="A288" s="14" t="s">
        <v>926</v>
      </c>
      <c r="B288" s="14">
        <v>0.05</v>
      </c>
    </row>
    <row r="289" spans="1:2">
      <c r="A289" s="15" t="s">
        <v>930</v>
      </c>
      <c r="B289" s="15">
        <v>0.04</v>
      </c>
    </row>
    <row r="290" spans="1:2">
      <c r="A290" s="14" t="s">
        <v>932</v>
      </c>
      <c r="B290" s="14">
        <v>0.01</v>
      </c>
    </row>
    <row r="291" spans="1:2">
      <c r="A291" s="15" t="s">
        <v>1003</v>
      </c>
      <c r="B291" s="15">
        <v>0.05</v>
      </c>
    </row>
    <row r="292" spans="1:2">
      <c r="A292" s="14" t="s">
        <v>1013</v>
      </c>
      <c r="B292" s="14">
        <v>0.01</v>
      </c>
    </row>
    <row r="293" spans="1:2">
      <c r="A293" s="15" t="s">
        <v>1026</v>
      </c>
      <c r="B293" s="15">
        <v>0.04</v>
      </c>
    </row>
    <row r="294" spans="1:2">
      <c r="A294" s="14" t="s">
        <v>1048</v>
      </c>
      <c r="B294" s="14">
        <v>0.01</v>
      </c>
    </row>
    <row r="295" spans="1:2">
      <c r="A295" s="15" t="s">
        <v>1087</v>
      </c>
      <c r="B295" s="15">
        <v>0.05</v>
      </c>
    </row>
    <row r="296" spans="1:2">
      <c r="A296" s="14" t="s">
        <v>1149</v>
      </c>
      <c r="B296" s="14">
        <v>0.03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AAA8F-8144-4365-A815-16D6949C1143}">
  <sheetPr>
    <tabColor rgb="FFFFC000"/>
  </sheetPr>
  <dimension ref="A1:B296"/>
  <sheetViews>
    <sheetView workbookViewId="0"/>
  </sheetViews>
  <sheetFormatPr defaultRowHeight="14.45"/>
  <cols>
    <col min="1" max="2" width="16.7109375" bestFit="1" customWidth="1"/>
  </cols>
  <sheetData>
    <row r="1" spans="1:2" ht="15.6">
      <c r="A1" s="13" t="s">
        <v>1704</v>
      </c>
      <c r="B1" s="13" t="s">
        <v>1705</v>
      </c>
    </row>
    <row r="2" spans="1:2">
      <c r="A2" s="14" t="s">
        <v>28</v>
      </c>
      <c r="B2" s="14">
        <v>0.05</v>
      </c>
    </row>
    <row r="3" spans="1:2">
      <c r="A3" s="15" t="s">
        <v>31</v>
      </c>
      <c r="B3" s="15">
        <v>0</v>
      </c>
    </row>
    <row r="4" spans="1:2">
      <c r="A4" s="14" t="s">
        <v>34</v>
      </c>
      <c r="B4" s="14">
        <v>0.05</v>
      </c>
    </row>
    <row r="5" spans="1:2">
      <c r="A5" s="15" t="s">
        <v>37</v>
      </c>
      <c r="B5" s="15">
        <v>0.01</v>
      </c>
    </row>
    <row r="6" spans="1:2">
      <c r="A6" s="14" t="s">
        <v>39</v>
      </c>
      <c r="B6" s="14">
        <v>0.05</v>
      </c>
    </row>
    <row r="7" spans="1:2">
      <c r="A7" s="15" t="s">
        <v>42</v>
      </c>
      <c r="B7" s="15">
        <v>0</v>
      </c>
    </row>
    <row r="8" spans="1:2">
      <c r="A8" s="14" t="s">
        <v>45</v>
      </c>
      <c r="B8" s="14">
        <v>0.01</v>
      </c>
    </row>
    <row r="9" spans="1:2">
      <c r="A9" s="15" t="s">
        <v>47</v>
      </c>
      <c r="B9" s="15">
        <v>0</v>
      </c>
    </row>
    <row r="10" spans="1:2">
      <c r="A10" s="14" t="s">
        <v>49</v>
      </c>
      <c r="B10" s="14">
        <v>0</v>
      </c>
    </row>
    <row r="11" spans="1:2">
      <c r="A11" s="15" t="s">
        <v>52</v>
      </c>
      <c r="B11" s="15">
        <v>0.04</v>
      </c>
    </row>
    <row r="12" spans="1:2">
      <c r="A12" s="14" t="s">
        <v>55</v>
      </c>
      <c r="B12" s="14">
        <v>0.05</v>
      </c>
    </row>
    <row r="13" spans="1:2">
      <c r="A13" s="15" t="s">
        <v>57</v>
      </c>
      <c r="B13" s="15">
        <v>0.02</v>
      </c>
    </row>
    <row r="14" spans="1:2">
      <c r="A14" s="14" t="s">
        <v>58</v>
      </c>
      <c r="B14" s="14">
        <v>0.05</v>
      </c>
    </row>
    <row r="15" spans="1:2">
      <c r="A15" s="15" t="s">
        <v>60</v>
      </c>
      <c r="B15" s="15">
        <v>0.04</v>
      </c>
    </row>
    <row r="16" spans="1:2">
      <c r="A16" s="14" t="s">
        <v>62</v>
      </c>
      <c r="B16" s="14">
        <v>0.01</v>
      </c>
    </row>
    <row r="17" spans="1:2">
      <c r="A17" s="15" t="s">
        <v>64</v>
      </c>
      <c r="B17" s="15">
        <v>0.05</v>
      </c>
    </row>
    <row r="18" spans="1:2">
      <c r="A18" s="14" t="s">
        <v>65</v>
      </c>
      <c r="B18" s="14">
        <v>0.05</v>
      </c>
    </row>
    <row r="19" spans="1:2">
      <c r="A19" s="15" t="s">
        <v>67</v>
      </c>
      <c r="B19" s="15">
        <v>0.03</v>
      </c>
    </row>
    <row r="20" spans="1:2">
      <c r="A20" s="14" t="s">
        <v>69</v>
      </c>
      <c r="B20" s="14">
        <v>0.03</v>
      </c>
    </row>
    <row r="21" spans="1:2">
      <c r="A21" s="15" t="s">
        <v>71</v>
      </c>
      <c r="B21" s="15">
        <v>0.02</v>
      </c>
    </row>
    <row r="22" spans="1:2">
      <c r="A22" s="14" t="s">
        <v>73</v>
      </c>
      <c r="B22" s="14">
        <v>0.03</v>
      </c>
    </row>
    <row r="23" spans="1:2">
      <c r="A23" s="15" t="s">
        <v>74</v>
      </c>
      <c r="B23" s="15">
        <v>0.04</v>
      </c>
    </row>
    <row r="24" spans="1:2">
      <c r="A24" s="14" t="s">
        <v>76</v>
      </c>
      <c r="B24" s="14">
        <v>0</v>
      </c>
    </row>
    <row r="25" spans="1:2">
      <c r="A25" s="15" t="s">
        <v>78</v>
      </c>
      <c r="B25" s="15">
        <v>0</v>
      </c>
    </row>
    <row r="26" spans="1:2">
      <c r="A26" s="14" t="s">
        <v>80</v>
      </c>
      <c r="B26" s="14">
        <v>0</v>
      </c>
    </row>
    <row r="27" spans="1:2">
      <c r="A27" s="15" t="s">
        <v>82</v>
      </c>
      <c r="B27" s="15">
        <v>0.01</v>
      </c>
    </row>
    <row r="28" spans="1:2">
      <c r="A28" s="14" t="s">
        <v>83</v>
      </c>
      <c r="B28" s="14">
        <v>0.02</v>
      </c>
    </row>
    <row r="29" spans="1:2">
      <c r="A29" s="15" t="s">
        <v>84</v>
      </c>
      <c r="B29" s="15">
        <v>0</v>
      </c>
    </row>
    <row r="30" spans="1:2">
      <c r="A30" s="14" t="s">
        <v>86</v>
      </c>
      <c r="B30" s="14">
        <v>0.04</v>
      </c>
    </row>
    <row r="31" spans="1:2">
      <c r="A31" s="15" t="s">
        <v>88</v>
      </c>
      <c r="B31" s="15">
        <v>0.05</v>
      </c>
    </row>
    <row r="32" spans="1:2">
      <c r="A32" s="14" t="s">
        <v>90</v>
      </c>
      <c r="B32" s="14">
        <v>0.01</v>
      </c>
    </row>
    <row r="33" spans="1:2">
      <c r="A33" s="15" t="s">
        <v>91</v>
      </c>
      <c r="B33" s="15">
        <v>0.05</v>
      </c>
    </row>
    <row r="34" spans="1:2">
      <c r="A34" s="14" t="s">
        <v>93</v>
      </c>
      <c r="B34" s="14">
        <v>0.04</v>
      </c>
    </row>
    <row r="35" spans="1:2">
      <c r="A35" s="15" t="s">
        <v>94</v>
      </c>
      <c r="B35" s="15">
        <v>0.04</v>
      </c>
    </row>
    <row r="36" spans="1:2">
      <c r="A36" s="14" t="s">
        <v>97</v>
      </c>
      <c r="B36" s="14">
        <v>0.01</v>
      </c>
    </row>
    <row r="37" spans="1:2">
      <c r="A37" s="15" t="s">
        <v>98</v>
      </c>
      <c r="B37" s="15">
        <v>0.04</v>
      </c>
    </row>
    <row r="38" spans="1:2">
      <c r="A38" s="14" t="s">
        <v>100</v>
      </c>
      <c r="B38" s="14">
        <v>0.05</v>
      </c>
    </row>
    <row r="39" spans="1:2">
      <c r="A39" s="15" t="s">
        <v>102</v>
      </c>
      <c r="B39" s="15">
        <v>0.02</v>
      </c>
    </row>
    <row r="40" spans="1:2">
      <c r="A40" s="14" t="s">
        <v>103</v>
      </c>
      <c r="B40" s="14">
        <v>0</v>
      </c>
    </row>
    <row r="41" spans="1:2">
      <c r="A41" s="15" t="s">
        <v>105</v>
      </c>
      <c r="B41" s="15">
        <v>0.05</v>
      </c>
    </row>
    <row r="42" spans="1:2">
      <c r="A42" s="14" t="s">
        <v>107</v>
      </c>
      <c r="B42" s="14">
        <v>0.04</v>
      </c>
    </row>
    <row r="43" spans="1:2">
      <c r="A43" s="15" t="s">
        <v>110</v>
      </c>
      <c r="B43" s="15">
        <v>0</v>
      </c>
    </row>
    <row r="44" spans="1:2">
      <c r="A44" s="14" t="s">
        <v>112</v>
      </c>
      <c r="B44" s="14">
        <v>0.05</v>
      </c>
    </row>
    <row r="45" spans="1:2">
      <c r="A45" s="15" t="s">
        <v>114</v>
      </c>
      <c r="B45" s="15">
        <v>0.01</v>
      </c>
    </row>
    <row r="46" spans="1:2">
      <c r="A46" s="14" t="s">
        <v>116</v>
      </c>
      <c r="B46" s="14">
        <v>0.02</v>
      </c>
    </row>
    <row r="47" spans="1:2">
      <c r="A47" s="15" t="s">
        <v>118</v>
      </c>
      <c r="B47" s="15">
        <v>0.05</v>
      </c>
    </row>
    <row r="48" spans="1:2">
      <c r="A48" s="14" t="s">
        <v>120</v>
      </c>
      <c r="B48" s="14">
        <v>0.05</v>
      </c>
    </row>
    <row r="49" spans="1:2">
      <c r="A49" s="15" t="s">
        <v>122</v>
      </c>
      <c r="B49" s="15">
        <v>0.04</v>
      </c>
    </row>
    <row r="50" spans="1:2">
      <c r="A50" s="14" t="s">
        <v>123</v>
      </c>
      <c r="B50" s="14">
        <v>0.02</v>
      </c>
    </row>
    <row r="51" spans="1:2">
      <c r="A51" s="15" t="s">
        <v>125</v>
      </c>
      <c r="B51" s="15">
        <v>0.02</v>
      </c>
    </row>
    <row r="52" spans="1:2">
      <c r="A52" s="14" t="s">
        <v>126</v>
      </c>
      <c r="B52" s="14">
        <v>0</v>
      </c>
    </row>
    <row r="53" spans="1:2">
      <c r="A53" s="15" t="s">
        <v>128</v>
      </c>
      <c r="B53" s="15">
        <v>0.02</v>
      </c>
    </row>
    <row r="54" spans="1:2">
      <c r="A54" s="14" t="s">
        <v>130</v>
      </c>
      <c r="B54" s="14">
        <v>0</v>
      </c>
    </row>
    <row r="55" spans="1:2">
      <c r="A55" s="15" t="s">
        <v>131</v>
      </c>
      <c r="B55" s="15">
        <v>0.01</v>
      </c>
    </row>
    <row r="56" spans="1:2">
      <c r="A56" s="14" t="s">
        <v>133</v>
      </c>
      <c r="B56" s="14">
        <v>0.03</v>
      </c>
    </row>
    <row r="57" spans="1:2">
      <c r="A57" s="15" t="s">
        <v>135</v>
      </c>
      <c r="B57" s="15">
        <v>0</v>
      </c>
    </row>
    <row r="58" spans="1:2">
      <c r="A58" s="14" t="s">
        <v>137</v>
      </c>
      <c r="B58" s="14">
        <v>0.05</v>
      </c>
    </row>
    <row r="59" spans="1:2">
      <c r="A59" s="15" t="s">
        <v>140</v>
      </c>
      <c r="B59" s="15">
        <v>0.05</v>
      </c>
    </row>
    <row r="60" spans="1:2">
      <c r="A60" s="14" t="s">
        <v>141</v>
      </c>
      <c r="B60" s="14">
        <v>0.04</v>
      </c>
    </row>
    <row r="61" spans="1:2">
      <c r="A61" s="15" t="s">
        <v>143</v>
      </c>
      <c r="B61" s="15">
        <v>0.02</v>
      </c>
    </row>
    <row r="62" spans="1:2">
      <c r="A62" s="14" t="s">
        <v>145</v>
      </c>
      <c r="B62" s="14">
        <v>0.04</v>
      </c>
    </row>
    <row r="63" spans="1:2">
      <c r="A63" s="15" t="s">
        <v>147</v>
      </c>
      <c r="B63" s="15">
        <v>0.02</v>
      </c>
    </row>
    <row r="64" spans="1:2">
      <c r="A64" s="14" t="s">
        <v>149</v>
      </c>
      <c r="B64" s="14">
        <v>0.02</v>
      </c>
    </row>
    <row r="65" spans="1:2">
      <c r="A65" s="15" t="s">
        <v>151</v>
      </c>
      <c r="B65" s="15">
        <v>0.02</v>
      </c>
    </row>
    <row r="66" spans="1:2">
      <c r="A66" s="14" t="s">
        <v>153</v>
      </c>
      <c r="B66" s="14">
        <v>0.01</v>
      </c>
    </row>
    <row r="67" spans="1:2">
      <c r="A67" s="15" t="s">
        <v>154</v>
      </c>
      <c r="B67" s="15">
        <v>0.04</v>
      </c>
    </row>
    <row r="68" spans="1:2">
      <c r="A68" s="14" t="s">
        <v>156</v>
      </c>
      <c r="B68" s="14">
        <v>0.04</v>
      </c>
    </row>
    <row r="69" spans="1:2">
      <c r="A69" s="15" t="s">
        <v>158</v>
      </c>
      <c r="B69" s="15">
        <v>0.03</v>
      </c>
    </row>
    <row r="70" spans="1:2">
      <c r="A70" s="14" t="s">
        <v>160</v>
      </c>
      <c r="B70" s="14">
        <v>0.02</v>
      </c>
    </row>
    <row r="71" spans="1:2">
      <c r="A71" s="15" t="s">
        <v>162</v>
      </c>
      <c r="B71" s="15">
        <v>0</v>
      </c>
    </row>
    <row r="72" spans="1:2">
      <c r="A72" s="14" t="s">
        <v>164</v>
      </c>
      <c r="B72" s="14">
        <v>0.05</v>
      </c>
    </row>
    <row r="73" spans="1:2">
      <c r="A73" s="15" t="s">
        <v>166</v>
      </c>
      <c r="B73" s="15">
        <v>0.01</v>
      </c>
    </row>
    <row r="74" spans="1:2">
      <c r="A74" s="14" t="s">
        <v>168</v>
      </c>
      <c r="B74" s="14">
        <v>0.04</v>
      </c>
    </row>
    <row r="75" spans="1:2">
      <c r="A75" s="15" t="s">
        <v>170</v>
      </c>
      <c r="B75" s="15">
        <v>0.04</v>
      </c>
    </row>
    <row r="76" spans="1:2">
      <c r="A76" s="14" t="s">
        <v>172</v>
      </c>
      <c r="B76" s="14">
        <v>0.01</v>
      </c>
    </row>
    <row r="77" spans="1:2">
      <c r="A77" s="15" t="s">
        <v>174</v>
      </c>
      <c r="B77" s="15">
        <v>0.02</v>
      </c>
    </row>
    <row r="78" spans="1:2">
      <c r="A78" s="14" t="s">
        <v>176</v>
      </c>
      <c r="B78" s="14">
        <v>0.04</v>
      </c>
    </row>
    <row r="79" spans="1:2">
      <c r="A79" s="15" t="s">
        <v>178</v>
      </c>
      <c r="B79" s="15">
        <v>0.02</v>
      </c>
    </row>
    <row r="80" spans="1:2">
      <c r="A80" s="14" t="s">
        <v>180</v>
      </c>
      <c r="B80" s="14">
        <v>0.01</v>
      </c>
    </row>
    <row r="81" spans="1:2">
      <c r="A81" s="15" t="s">
        <v>182</v>
      </c>
      <c r="B81" s="15">
        <v>0.02</v>
      </c>
    </row>
    <row r="82" spans="1:2">
      <c r="A82" s="14" t="s">
        <v>184</v>
      </c>
      <c r="B82" s="14">
        <v>0.04</v>
      </c>
    </row>
    <row r="83" spans="1:2">
      <c r="A83" s="15" t="s">
        <v>186</v>
      </c>
      <c r="B83" s="15">
        <v>0.01</v>
      </c>
    </row>
    <row r="84" spans="1:2">
      <c r="A84" s="14" t="s">
        <v>188</v>
      </c>
      <c r="B84" s="14">
        <v>0.04</v>
      </c>
    </row>
    <row r="85" spans="1:2">
      <c r="A85" s="15" t="s">
        <v>190</v>
      </c>
      <c r="B85" s="15">
        <v>0.04</v>
      </c>
    </row>
    <row r="86" spans="1:2">
      <c r="A86" s="14" t="s">
        <v>195</v>
      </c>
      <c r="B86" s="14">
        <v>0.05</v>
      </c>
    </row>
    <row r="87" spans="1:2">
      <c r="A87" s="15" t="s">
        <v>200</v>
      </c>
      <c r="B87" s="15">
        <v>0.01</v>
      </c>
    </row>
    <row r="88" spans="1:2">
      <c r="A88" s="14" t="s">
        <v>203</v>
      </c>
      <c r="B88" s="14">
        <v>0</v>
      </c>
    </row>
    <row r="89" spans="1:2">
      <c r="A89" s="15" t="s">
        <v>205</v>
      </c>
      <c r="B89" s="15">
        <v>0.01</v>
      </c>
    </row>
    <row r="90" spans="1:2">
      <c r="A90" s="14" t="s">
        <v>206</v>
      </c>
      <c r="B90" s="14">
        <v>0</v>
      </c>
    </row>
    <row r="91" spans="1:2">
      <c r="A91" s="15" t="s">
        <v>208</v>
      </c>
      <c r="B91" s="15">
        <v>0.03</v>
      </c>
    </row>
    <row r="92" spans="1:2">
      <c r="A92" s="14" t="s">
        <v>211</v>
      </c>
      <c r="B92" s="14">
        <v>0</v>
      </c>
    </row>
    <row r="93" spans="1:2">
      <c r="A93" s="15" t="s">
        <v>213</v>
      </c>
      <c r="B93" s="15">
        <v>0.04</v>
      </c>
    </row>
    <row r="94" spans="1:2">
      <c r="A94" s="14" t="s">
        <v>216</v>
      </c>
      <c r="B94" s="14">
        <v>0.03</v>
      </c>
    </row>
    <row r="95" spans="1:2">
      <c r="A95" s="15" t="s">
        <v>218</v>
      </c>
      <c r="B95" s="15">
        <v>0.04</v>
      </c>
    </row>
    <row r="96" spans="1:2">
      <c r="A96" s="14" t="s">
        <v>221</v>
      </c>
      <c r="B96" s="14">
        <v>0.05</v>
      </c>
    </row>
    <row r="97" spans="1:2">
      <c r="A97" s="15" t="s">
        <v>223</v>
      </c>
      <c r="B97" s="15">
        <v>0.01</v>
      </c>
    </row>
    <row r="98" spans="1:2">
      <c r="A98" s="14" t="s">
        <v>226</v>
      </c>
      <c r="B98" s="14">
        <v>0</v>
      </c>
    </row>
    <row r="99" spans="1:2">
      <c r="A99" s="15" t="s">
        <v>227</v>
      </c>
      <c r="B99" s="15">
        <v>0</v>
      </c>
    </row>
    <row r="100" spans="1:2">
      <c r="A100" s="14" t="s">
        <v>231</v>
      </c>
      <c r="B100" s="14">
        <v>0</v>
      </c>
    </row>
    <row r="101" spans="1:2">
      <c r="A101" s="15" t="s">
        <v>232</v>
      </c>
      <c r="B101" s="15">
        <v>0.01</v>
      </c>
    </row>
    <row r="102" spans="1:2">
      <c r="A102" s="14" t="s">
        <v>236</v>
      </c>
      <c r="B102" s="14">
        <v>0.05</v>
      </c>
    </row>
    <row r="103" spans="1:2">
      <c r="A103" s="15" t="s">
        <v>238</v>
      </c>
      <c r="B103" s="15">
        <v>0.02</v>
      </c>
    </row>
    <row r="104" spans="1:2">
      <c r="A104" s="14" t="s">
        <v>240</v>
      </c>
      <c r="B104" s="14">
        <v>0.03</v>
      </c>
    </row>
    <row r="105" spans="1:2">
      <c r="A105" s="15" t="s">
        <v>241</v>
      </c>
      <c r="B105" s="15">
        <v>0.05</v>
      </c>
    </row>
    <row r="106" spans="1:2">
      <c r="A106" s="14" t="s">
        <v>245</v>
      </c>
      <c r="B106" s="14">
        <v>0.01</v>
      </c>
    </row>
    <row r="107" spans="1:2">
      <c r="A107" s="15" t="s">
        <v>247</v>
      </c>
      <c r="B107" s="15">
        <v>0.04</v>
      </c>
    </row>
    <row r="108" spans="1:2">
      <c r="A108" s="14" t="s">
        <v>249</v>
      </c>
      <c r="B108" s="14">
        <v>0.05</v>
      </c>
    </row>
    <row r="109" spans="1:2">
      <c r="A109" s="15" t="s">
        <v>250</v>
      </c>
      <c r="B109" s="15">
        <v>0.02</v>
      </c>
    </row>
    <row r="110" spans="1:2">
      <c r="A110" s="14" t="s">
        <v>252</v>
      </c>
      <c r="B110" s="14">
        <v>0</v>
      </c>
    </row>
    <row r="111" spans="1:2">
      <c r="A111" s="15" t="s">
        <v>254</v>
      </c>
      <c r="B111" s="15">
        <v>0.02</v>
      </c>
    </row>
    <row r="112" spans="1:2">
      <c r="A112" s="14" t="s">
        <v>256</v>
      </c>
      <c r="B112" s="14">
        <v>0.04</v>
      </c>
    </row>
    <row r="113" spans="1:2">
      <c r="A113" s="15" t="s">
        <v>257</v>
      </c>
      <c r="B113" s="15">
        <v>0.04</v>
      </c>
    </row>
    <row r="114" spans="1:2">
      <c r="A114" s="14" t="s">
        <v>259</v>
      </c>
      <c r="B114" s="14">
        <v>0.05</v>
      </c>
    </row>
    <row r="115" spans="1:2">
      <c r="A115" s="15" t="s">
        <v>263</v>
      </c>
      <c r="B115" s="15">
        <v>0.04</v>
      </c>
    </row>
    <row r="116" spans="1:2">
      <c r="A116" s="14" t="s">
        <v>265</v>
      </c>
      <c r="B116" s="14">
        <v>0.05</v>
      </c>
    </row>
    <row r="117" spans="1:2">
      <c r="A117" s="15" t="s">
        <v>268</v>
      </c>
      <c r="B117" s="15">
        <v>0.05</v>
      </c>
    </row>
    <row r="118" spans="1:2">
      <c r="A118" s="14" t="s">
        <v>269</v>
      </c>
      <c r="B118" s="14">
        <v>0.04</v>
      </c>
    </row>
    <row r="119" spans="1:2">
      <c r="A119" s="15" t="s">
        <v>275</v>
      </c>
      <c r="B119" s="15">
        <v>0.05</v>
      </c>
    </row>
    <row r="120" spans="1:2">
      <c r="A120" s="14" t="s">
        <v>277</v>
      </c>
      <c r="B120" s="14">
        <v>0.02</v>
      </c>
    </row>
    <row r="121" spans="1:2">
      <c r="A121" s="15" t="s">
        <v>281</v>
      </c>
      <c r="B121" s="15">
        <v>0</v>
      </c>
    </row>
    <row r="122" spans="1:2">
      <c r="A122" s="14" t="s">
        <v>284</v>
      </c>
      <c r="B122" s="14">
        <v>0.04</v>
      </c>
    </row>
    <row r="123" spans="1:2">
      <c r="A123" s="15" t="s">
        <v>285</v>
      </c>
      <c r="B123" s="15">
        <v>0</v>
      </c>
    </row>
    <row r="124" spans="1:2">
      <c r="A124" s="14" t="s">
        <v>286</v>
      </c>
      <c r="B124" s="14">
        <v>0.04</v>
      </c>
    </row>
    <row r="125" spans="1:2">
      <c r="A125" s="15" t="s">
        <v>289</v>
      </c>
      <c r="B125" s="15">
        <v>0.04</v>
      </c>
    </row>
    <row r="126" spans="1:2">
      <c r="A126" s="14" t="s">
        <v>291</v>
      </c>
      <c r="B126" s="14">
        <v>0.01</v>
      </c>
    </row>
    <row r="127" spans="1:2">
      <c r="A127" s="15" t="s">
        <v>295</v>
      </c>
      <c r="B127" s="15">
        <v>0</v>
      </c>
    </row>
    <row r="128" spans="1:2">
      <c r="A128" s="14" t="s">
        <v>296</v>
      </c>
      <c r="B128" s="14">
        <v>0.01</v>
      </c>
    </row>
    <row r="129" spans="1:2">
      <c r="A129" s="15" t="s">
        <v>298</v>
      </c>
      <c r="B129" s="15">
        <v>0.03</v>
      </c>
    </row>
    <row r="130" spans="1:2">
      <c r="A130" s="14" t="s">
        <v>299</v>
      </c>
      <c r="B130" s="14">
        <v>0.04</v>
      </c>
    </row>
    <row r="131" spans="1:2">
      <c r="A131" s="15" t="s">
        <v>300</v>
      </c>
      <c r="B131" s="15">
        <v>0.03</v>
      </c>
    </row>
    <row r="132" spans="1:2">
      <c r="A132" s="14" t="s">
        <v>302</v>
      </c>
      <c r="B132" s="14">
        <v>0.02</v>
      </c>
    </row>
    <row r="133" spans="1:2">
      <c r="A133" s="15" t="s">
        <v>303</v>
      </c>
      <c r="B133" s="15">
        <v>0</v>
      </c>
    </row>
    <row r="134" spans="1:2">
      <c r="A134" s="14" t="s">
        <v>305</v>
      </c>
      <c r="B134" s="14">
        <v>0</v>
      </c>
    </row>
    <row r="135" spans="1:2">
      <c r="A135" s="15" t="s">
        <v>307</v>
      </c>
      <c r="B135" s="15">
        <v>0.05</v>
      </c>
    </row>
    <row r="136" spans="1:2">
      <c r="A136" s="14" t="s">
        <v>309</v>
      </c>
      <c r="B136" s="14">
        <v>0.02</v>
      </c>
    </row>
    <row r="137" spans="1:2">
      <c r="A137" s="15" t="s">
        <v>311</v>
      </c>
      <c r="B137" s="15">
        <v>0</v>
      </c>
    </row>
    <row r="138" spans="1:2">
      <c r="A138" s="14" t="s">
        <v>312</v>
      </c>
      <c r="B138" s="14">
        <v>0.01</v>
      </c>
    </row>
    <row r="139" spans="1:2">
      <c r="A139" s="15" t="s">
        <v>315</v>
      </c>
      <c r="B139" s="15">
        <v>0.02</v>
      </c>
    </row>
    <row r="140" spans="1:2">
      <c r="A140" s="14" t="s">
        <v>316</v>
      </c>
      <c r="B140" s="14">
        <v>0.04</v>
      </c>
    </row>
    <row r="141" spans="1:2">
      <c r="A141" s="15" t="s">
        <v>318</v>
      </c>
      <c r="B141" s="15">
        <v>0.02</v>
      </c>
    </row>
    <row r="142" spans="1:2">
      <c r="A142" s="14" t="s">
        <v>320</v>
      </c>
      <c r="B142" s="14">
        <v>0.05</v>
      </c>
    </row>
    <row r="143" spans="1:2">
      <c r="A143" s="15" t="s">
        <v>321</v>
      </c>
      <c r="B143" s="15">
        <v>0.02</v>
      </c>
    </row>
    <row r="144" spans="1:2">
      <c r="A144" s="14" t="s">
        <v>322</v>
      </c>
      <c r="B144" s="14">
        <v>0.05</v>
      </c>
    </row>
    <row r="145" spans="1:2">
      <c r="A145" s="15" t="s">
        <v>324</v>
      </c>
      <c r="B145" s="15">
        <v>0.02</v>
      </c>
    </row>
    <row r="146" spans="1:2">
      <c r="A146" s="14" t="s">
        <v>327</v>
      </c>
      <c r="B146" s="14">
        <v>0.05</v>
      </c>
    </row>
    <row r="147" spans="1:2">
      <c r="A147" s="15" t="s">
        <v>329</v>
      </c>
      <c r="B147" s="15">
        <v>0.04</v>
      </c>
    </row>
    <row r="148" spans="1:2">
      <c r="A148" s="14" t="s">
        <v>330</v>
      </c>
      <c r="B148" s="14">
        <v>0.01</v>
      </c>
    </row>
    <row r="149" spans="1:2">
      <c r="A149" s="15" t="s">
        <v>333</v>
      </c>
      <c r="B149" s="15">
        <v>0.05</v>
      </c>
    </row>
    <row r="150" spans="1:2">
      <c r="A150" s="14" t="s">
        <v>335</v>
      </c>
      <c r="B150" s="14">
        <v>0</v>
      </c>
    </row>
    <row r="151" spans="1:2">
      <c r="A151" s="15" t="s">
        <v>337</v>
      </c>
      <c r="B151" s="15">
        <v>0.01</v>
      </c>
    </row>
    <row r="152" spans="1:2">
      <c r="A152" s="14" t="s">
        <v>339</v>
      </c>
      <c r="B152" s="14">
        <v>0</v>
      </c>
    </row>
    <row r="153" spans="1:2">
      <c r="A153" s="15" t="s">
        <v>341</v>
      </c>
      <c r="B153" s="15">
        <v>0.01</v>
      </c>
    </row>
    <row r="154" spans="1:2">
      <c r="A154" s="14" t="s">
        <v>343</v>
      </c>
      <c r="B154" s="14">
        <v>0.01</v>
      </c>
    </row>
    <row r="155" spans="1:2">
      <c r="A155" s="15" t="s">
        <v>345</v>
      </c>
      <c r="B155" s="15">
        <v>0</v>
      </c>
    </row>
    <row r="156" spans="1:2">
      <c r="A156" s="14" t="s">
        <v>347</v>
      </c>
      <c r="B156" s="14">
        <v>0.04</v>
      </c>
    </row>
    <row r="157" spans="1:2">
      <c r="A157" s="15" t="s">
        <v>348</v>
      </c>
      <c r="B157" s="15">
        <v>0.03</v>
      </c>
    </row>
    <row r="158" spans="1:2">
      <c r="A158" s="14" t="s">
        <v>352</v>
      </c>
      <c r="B158" s="14">
        <v>0.05</v>
      </c>
    </row>
    <row r="159" spans="1:2">
      <c r="A159" s="15" t="s">
        <v>355</v>
      </c>
      <c r="B159" s="15">
        <v>0.02</v>
      </c>
    </row>
    <row r="160" spans="1:2">
      <c r="A160" s="14" t="s">
        <v>356</v>
      </c>
      <c r="B160" s="14">
        <v>0.03</v>
      </c>
    </row>
    <row r="161" spans="1:2">
      <c r="A161" s="15" t="s">
        <v>358</v>
      </c>
      <c r="B161" s="15">
        <v>0.04</v>
      </c>
    </row>
    <row r="162" spans="1:2">
      <c r="A162" s="14" t="s">
        <v>361</v>
      </c>
      <c r="B162" s="14">
        <v>0</v>
      </c>
    </row>
    <row r="163" spans="1:2">
      <c r="A163" s="15" t="s">
        <v>362</v>
      </c>
      <c r="B163" s="15">
        <v>0.03</v>
      </c>
    </row>
    <row r="164" spans="1:2">
      <c r="A164" s="14" t="s">
        <v>364</v>
      </c>
      <c r="B164" s="14">
        <v>0.04</v>
      </c>
    </row>
    <row r="165" spans="1:2">
      <c r="A165" s="15" t="s">
        <v>367</v>
      </c>
      <c r="B165" s="15">
        <v>0.03</v>
      </c>
    </row>
    <row r="166" spans="1:2">
      <c r="A166" s="14" t="s">
        <v>368</v>
      </c>
      <c r="B166" s="14">
        <v>0</v>
      </c>
    </row>
    <row r="167" spans="1:2">
      <c r="A167" s="15" t="s">
        <v>370</v>
      </c>
      <c r="B167" s="15">
        <v>0</v>
      </c>
    </row>
    <row r="168" spans="1:2">
      <c r="A168" s="14" t="s">
        <v>371</v>
      </c>
      <c r="B168" s="14">
        <v>0.04</v>
      </c>
    </row>
    <row r="169" spans="1:2">
      <c r="A169" s="16" t="s">
        <v>375</v>
      </c>
      <c r="B169" s="16">
        <v>0.05</v>
      </c>
    </row>
    <row r="170" spans="1:2">
      <c r="A170" s="14" t="s">
        <v>377</v>
      </c>
      <c r="B170" s="14">
        <v>0.05</v>
      </c>
    </row>
    <row r="171" spans="1:2">
      <c r="A171" s="15" t="s">
        <v>379</v>
      </c>
      <c r="B171" s="15">
        <v>0</v>
      </c>
    </row>
    <row r="172" spans="1:2">
      <c r="A172" s="14" t="s">
        <v>381</v>
      </c>
      <c r="B172" s="14">
        <v>0.05</v>
      </c>
    </row>
    <row r="173" spans="1:2">
      <c r="A173" s="15" t="s">
        <v>388</v>
      </c>
      <c r="B173" s="15">
        <v>0.01</v>
      </c>
    </row>
    <row r="174" spans="1:2">
      <c r="A174" s="14" t="s">
        <v>390</v>
      </c>
      <c r="B174" s="14">
        <v>0.05</v>
      </c>
    </row>
    <row r="175" spans="1:2">
      <c r="A175" s="15" t="s">
        <v>391</v>
      </c>
      <c r="B175" s="15">
        <v>0</v>
      </c>
    </row>
    <row r="176" spans="1:2">
      <c r="A176" s="14" t="s">
        <v>394</v>
      </c>
      <c r="B176" s="14">
        <v>0.01</v>
      </c>
    </row>
    <row r="177" spans="1:2">
      <c r="A177" s="15" t="s">
        <v>395</v>
      </c>
      <c r="B177" s="15">
        <v>0</v>
      </c>
    </row>
    <row r="178" spans="1:2">
      <c r="A178" s="14" t="s">
        <v>403</v>
      </c>
      <c r="B178" s="14">
        <v>0</v>
      </c>
    </row>
    <row r="179" spans="1:2">
      <c r="A179" s="15" t="s">
        <v>406</v>
      </c>
      <c r="B179" s="15">
        <v>0.04</v>
      </c>
    </row>
    <row r="180" spans="1:2">
      <c r="A180" s="14" t="s">
        <v>408</v>
      </c>
      <c r="B180" s="14">
        <v>0.05</v>
      </c>
    </row>
    <row r="181" spans="1:2">
      <c r="A181" s="15" t="s">
        <v>412</v>
      </c>
      <c r="B181" s="15">
        <v>0.02</v>
      </c>
    </row>
    <row r="182" spans="1:2">
      <c r="A182" s="14" t="s">
        <v>414</v>
      </c>
      <c r="B182" s="14">
        <v>0.05</v>
      </c>
    </row>
    <row r="183" spans="1:2">
      <c r="A183" s="15" t="s">
        <v>416</v>
      </c>
      <c r="B183" s="15">
        <v>0.04</v>
      </c>
    </row>
    <row r="184" spans="1:2">
      <c r="A184" s="14" t="s">
        <v>420</v>
      </c>
      <c r="B184" s="14">
        <v>0.01</v>
      </c>
    </row>
    <row r="185" spans="1:2">
      <c r="A185" s="15" t="s">
        <v>423</v>
      </c>
      <c r="B185" s="15">
        <v>0.05</v>
      </c>
    </row>
    <row r="186" spans="1:2">
      <c r="A186" s="14" t="s">
        <v>425</v>
      </c>
      <c r="B186" s="14">
        <v>0.05</v>
      </c>
    </row>
    <row r="187" spans="1:2">
      <c r="A187" s="15" t="s">
        <v>428</v>
      </c>
      <c r="B187" s="15">
        <v>0.03</v>
      </c>
    </row>
    <row r="188" spans="1:2">
      <c r="A188" s="14" t="s">
        <v>429</v>
      </c>
      <c r="B188" s="14">
        <v>0.03</v>
      </c>
    </row>
    <row r="189" spans="1:2">
      <c r="A189" s="15" t="s">
        <v>432</v>
      </c>
      <c r="B189" s="15">
        <v>0.02</v>
      </c>
    </row>
    <row r="190" spans="1:2">
      <c r="A190" s="14" t="s">
        <v>434</v>
      </c>
      <c r="B190" s="14">
        <v>0.03</v>
      </c>
    </row>
    <row r="191" spans="1:2">
      <c r="A191" s="15" t="s">
        <v>436</v>
      </c>
      <c r="B191" s="15">
        <v>0.04</v>
      </c>
    </row>
    <row r="192" spans="1:2">
      <c r="A192" s="14" t="s">
        <v>439</v>
      </c>
      <c r="B192" s="14">
        <v>0</v>
      </c>
    </row>
    <row r="193" spans="1:2">
      <c r="A193" s="15" t="s">
        <v>443</v>
      </c>
      <c r="B193" s="15">
        <v>0</v>
      </c>
    </row>
    <row r="194" spans="1:2">
      <c r="A194" s="14" t="s">
        <v>445</v>
      </c>
      <c r="B194" s="14">
        <v>0</v>
      </c>
    </row>
    <row r="195" spans="1:2">
      <c r="A195" s="15" t="s">
        <v>446</v>
      </c>
      <c r="B195" s="15">
        <v>0.01</v>
      </c>
    </row>
    <row r="196" spans="1:2">
      <c r="A196" s="14" t="s">
        <v>449</v>
      </c>
      <c r="B196" s="14">
        <v>0.02</v>
      </c>
    </row>
    <row r="197" spans="1:2">
      <c r="A197" s="15" t="s">
        <v>451</v>
      </c>
      <c r="B197" s="15">
        <v>0</v>
      </c>
    </row>
    <row r="198" spans="1:2">
      <c r="A198" s="14" t="s">
        <v>453</v>
      </c>
      <c r="B198" s="14">
        <v>0.04</v>
      </c>
    </row>
    <row r="199" spans="1:2">
      <c r="A199" s="15" t="s">
        <v>455</v>
      </c>
      <c r="B199" s="15">
        <v>0.05</v>
      </c>
    </row>
    <row r="200" spans="1:2">
      <c r="A200" s="14" t="s">
        <v>459</v>
      </c>
      <c r="B200" s="14">
        <v>0.01</v>
      </c>
    </row>
    <row r="201" spans="1:2">
      <c r="A201" s="15" t="s">
        <v>462</v>
      </c>
      <c r="B201" s="15">
        <v>0.05</v>
      </c>
    </row>
    <row r="202" spans="1:2">
      <c r="A202" s="14" t="s">
        <v>464</v>
      </c>
      <c r="B202" s="14">
        <v>0.04</v>
      </c>
    </row>
    <row r="203" spans="1:2">
      <c r="A203" s="15" t="s">
        <v>467</v>
      </c>
      <c r="B203" s="15">
        <v>0.04</v>
      </c>
    </row>
    <row r="204" spans="1:2">
      <c r="A204" s="14" t="s">
        <v>470</v>
      </c>
      <c r="B204" s="14">
        <v>0.01</v>
      </c>
    </row>
    <row r="205" spans="1:2">
      <c r="A205" s="15" t="s">
        <v>472</v>
      </c>
      <c r="B205" s="15">
        <v>0.04</v>
      </c>
    </row>
    <row r="206" spans="1:2">
      <c r="A206" s="14" t="s">
        <v>474</v>
      </c>
      <c r="B206" s="14">
        <v>0.05</v>
      </c>
    </row>
    <row r="207" spans="1:2">
      <c r="A207" s="15" t="s">
        <v>476</v>
      </c>
      <c r="B207" s="15">
        <v>0.02</v>
      </c>
    </row>
    <row r="208" spans="1:2">
      <c r="A208" s="14" t="s">
        <v>479</v>
      </c>
      <c r="B208" s="14">
        <v>0</v>
      </c>
    </row>
    <row r="209" spans="1:2">
      <c r="A209" s="15" t="s">
        <v>481</v>
      </c>
      <c r="B209" s="15">
        <v>0.05</v>
      </c>
    </row>
    <row r="210" spans="1:2">
      <c r="A210" s="14" t="s">
        <v>485</v>
      </c>
      <c r="B210" s="14">
        <v>0.04</v>
      </c>
    </row>
    <row r="211" spans="1:2">
      <c r="A211" s="15" t="s">
        <v>487</v>
      </c>
      <c r="B211" s="15">
        <v>0</v>
      </c>
    </row>
    <row r="212" spans="1:2">
      <c r="A212" s="14" t="s">
        <v>493</v>
      </c>
      <c r="B212" s="14">
        <v>0.05</v>
      </c>
    </row>
    <row r="213" spans="1:2">
      <c r="A213" s="15" t="s">
        <v>496</v>
      </c>
      <c r="B213" s="15">
        <v>0.01</v>
      </c>
    </row>
    <row r="214" spans="1:2">
      <c r="A214" s="14" t="s">
        <v>497</v>
      </c>
      <c r="B214" s="14">
        <v>0.02</v>
      </c>
    </row>
    <row r="215" spans="1:2">
      <c r="A215" s="15" t="s">
        <v>501</v>
      </c>
      <c r="B215" s="15">
        <v>0.05</v>
      </c>
    </row>
    <row r="216" spans="1:2">
      <c r="A216" s="14" t="s">
        <v>502</v>
      </c>
      <c r="B216" s="14">
        <v>0.05</v>
      </c>
    </row>
    <row r="217" spans="1:2">
      <c r="A217" s="15" t="s">
        <v>505</v>
      </c>
      <c r="B217" s="15">
        <v>0.04</v>
      </c>
    </row>
    <row r="218" spans="1:2">
      <c r="A218" s="14" t="s">
        <v>507</v>
      </c>
      <c r="B218" s="14">
        <v>0.02</v>
      </c>
    </row>
    <row r="219" spans="1:2">
      <c r="A219" s="15" t="s">
        <v>510</v>
      </c>
      <c r="B219" s="15">
        <v>0.02</v>
      </c>
    </row>
    <row r="220" spans="1:2">
      <c r="A220" s="14" t="s">
        <v>511</v>
      </c>
      <c r="B220" s="14">
        <v>0</v>
      </c>
    </row>
    <row r="221" spans="1:2">
      <c r="A221" s="15" t="s">
        <v>515</v>
      </c>
      <c r="B221" s="15">
        <v>0.02</v>
      </c>
    </row>
    <row r="222" spans="1:2">
      <c r="A222" s="14" t="s">
        <v>518</v>
      </c>
      <c r="B222" s="14">
        <v>0</v>
      </c>
    </row>
    <row r="223" spans="1:2">
      <c r="A223" s="15" t="s">
        <v>522</v>
      </c>
      <c r="B223" s="15">
        <v>0.01</v>
      </c>
    </row>
    <row r="224" spans="1:2">
      <c r="A224" s="14" t="s">
        <v>524</v>
      </c>
      <c r="B224" s="14">
        <v>0.03</v>
      </c>
    </row>
    <row r="225" spans="1:2">
      <c r="A225" s="15" t="s">
        <v>532</v>
      </c>
      <c r="B225" s="15">
        <v>0</v>
      </c>
    </row>
    <row r="226" spans="1:2">
      <c r="A226" s="14" t="s">
        <v>535</v>
      </c>
      <c r="B226" s="14">
        <v>0.05</v>
      </c>
    </row>
    <row r="227" spans="1:2">
      <c r="A227" s="15" t="s">
        <v>537</v>
      </c>
      <c r="B227" s="15">
        <v>0.05</v>
      </c>
    </row>
    <row r="228" spans="1:2">
      <c r="A228" s="14" t="s">
        <v>539</v>
      </c>
      <c r="B228" s="14">
        <v>0.04</v>
      </c>
    </row>
    <row r="229" spans="1:2">
      <c r="A229" s="15" t="s">
        <v>541</v>
      </c>
      <c r="B229" s="15">
        <v>0.02</v>
      </c>
    </row>
    <row r="230" spans="1:2">
      <c r="A230" s="14" t="s">
        <v>545</v>
      </c>
      <c r="B230" s="14">
        <v>0.04</v>
      </c>
    </row>
    <row r="231" spans="1:2">
      <c r="A231" s="15" t="s">
        <v>555</v>
      </c>
      <c r="B231" s="15">
        <v>0.02</v>
      </c>
    </row>
    <row r="232" spans="1:2">
      <c r="A232" s="14" t="s">
        <v>558</v>
      </c>
      <c r="B232" s="14">
        <v>0.02</v>
      </c>
    </row>
    <row r="233" spans="1:2">
      <c r="A233" s="15" t="s">
        <v>565</v>
      </c>
      <c r="B233" s="15">
        <v>0.02</v>
      </c>
    </row>
    <row r="234" spans="1:2">
      <c r="A234" s="14" t="s">
        <v>578</v>
      </c>
      <c r="B234" s="14">
        <v>0.01</v>
      </c>
    </row>
    <row r="235" spans="1:2">
      <c r="A235" s="15" t="s">
        <v>583</v>
      </c>
      <c r="B235" s="15">
        <v>0.04</v>
      </c>
    </row>
    <row r="236" spans="1:2">
      <c r="A236" s="14" t="s">
        <v>584</v>
      </c>
      <c r="B236" s="14">
        <v>0.04</v>
      </c>
    </row>
    <row r="237" spans="1:2">
      <c r="A237" s="15" t="s">
        <v>586</v>
      </c>
      <c r="B237" s="15">
        <v>0.03</v>
      </c>
    </row>
    <row r="238" spans="1:2">
      <c r="A238" s="14" t="s">
        <v>588</v>
      </c>
      <c r="B238" s="14">
        <v>0.02</v>
      </c>
    </row>
    <row r="239" spans="1:2">
      <c r="A239" s="15" t="s">
        <v>592</v>
      </c>
      <c r="B239" s="15">
        <v>0</v>
      </c>
    </row>
    <row r="240" spans="1:2">
      <c r="A240" s="14" t="s">
        <v>594</v>
      </c>
      <c r="B240" s="14">
        <v>0.05</v>
      </c>
    </row>
    <row r="241" spans="1:2">
      <c r="A241" s="15" t="s">
        <v>597</v>
      </c>
      <c r="B241" s="15">
        <v>0.01</v>
      </c>
    </row>
    <row r="242" spans="1:2">
      <c r="A242" s="14" t="s">
        <v>600</v>
      </c>
      <c r="B242" s="14">
        <v>0.04</v>
      </c>
    </row>
    <row r="243" spans="1:2">
      <c r="A243" s="15" t="s">
        <v>603</v>
      </c>
      <c r="B243" s="15">
        <v>0.04</v>
      </c>
    </row>
    <row r="244" spans="1:2">
      <c r="A244" s="14" t="s">
        <v>605</v>
      </c>
      <c r="B244" s="14">
        <v>0.01</v>
      </c>
    </row>
    <row r="245" spans="1:2">
      <c r="A245" s="15" t="s">
        <v>610</v>
      </c>
      <c r="B245" s="15">
        <v>0.02</v>
      </c>
    </row>
    <row r="246" spans="1:2">
      <c r="A246" s="14" t="s">
        <v>613</v>
      </c>
      <c r="B246" s="14">
        <v>0.04</v>
      </c>
    </row>
    <row r="247" spans="1:2">
      <c r="A247" s="15" t="s">
        <v>617</v>
      </c>
      <c r="B247" s="15">
        <v>0.02</v>
      </c>
    </row>
    <row r="248" spans="1:2">
      <c r="A248" s="14" t="s">
        <v>622</v>
      </c>
      <c r="B248" s="14">
        <v>0.01</v>
      </c>
    </row>
    <row r="249" spans="1:2">
      <c r="A249" s="15" t="s">
        <v>640</v>
      </c>
      <c r="B249" s="15">
        <v>0.02</v>
      </c>
    </row>
    <row r="250" spans="1:2">
      <c r="A250" s="14" t="s">
        <v>642</v>
      </c>
      <c r="B250" s="14">
        <v>0.04</v>
      </c>
    </row>
    <row r="251" spans="1:2">
      <c r="A251" s="15" t="s">
        <v>649</v>
      </c>
      <c r="B251" s="15">
        <v>0.01</v>
      </c>
    </row>
    <row r="252" spans="1:2">
      <c r="A252" s="14" t="s">
        <v>654</v>
      </c>
      <c r="B252" s="14">
        <v>0.04</v>
      </c>
    </row>
    <row r="253" spans="1:2">
      <c r="A253" s="15" t="s">
        <v>659</v>
      </c>
      <c r="B253" s="15">
        <v>0.04</v>
      </c>
    </row>
    <row r="254" spans="1:2">
      <c r="A254" s="14" t="s">
        <v>670</v>
      </c>
      <c r="B254" s="14">
        <v>0.05</v>
      </c>
    </row>
    <row r="255" spans="1:2">
      <c r="A255" s="15" t="s">
        <v>672</v>
      </c>
      <c r="B255" s="15">
        <v>0.01</v>
      </c>
    </row>
    <row r="256" spans="1:2">
      <c r="A256" s="14" t="s">
        <v>674</v>
      </c>
      <c r="B256" s="14">
        <v>0</v>
      </c>
    </row>
    <row r="257" spans="1:2">
      <c r="A257" s="15" t="s">
        <v>684</v>
      </c>
      <c r="B257" s="15">
        <v>0.01</v>
      </c>
    </row>
    <row r="258" spans="1:2">
      <c r="A258" s="14" t="s">
        <v>687</v>
      </c>
      <c r="B258" s="14">
        <v>0</v>
      </c>
    </row>
    <row r="259" spans="1:2">
      <c r="A259" s="15" t="s">
        <v>695</v>
      </c>
      <c r="B259" s="15">
        <v>0.03</v>
      </c>
    </row>
    <row r="260" spans="1:2">
      <c r="A260" s="14" t="s">
        <v>710</v>
      </c>
      <c r="B260" s="14">
        <v>0</v>
      </c>
    </row>
    <row r="261" spans="1:2">
      <c r="A261" s="15" t="s">
        <v>712</v>
      </c>
      <c r="B261" s="15">
        <v>0.04</v>
      </c>
    </row>
    <row r="262" spans="1:2">
      <c r="A262" s="14" t="s">
        <v>716</v>
      </c>
      <c r="B262" s="14">
        <v>0.03</v>
      </c>
    </row>
    <row r="263" spans="1:2">
      <c r="A263" s="15" t="s">
        <v>729</v>
      </c>
      <c r="B263" s="15">
        <v>0.04</v>
      </c>
    </row>
    <row r="264" spans="1:2">
      <c r="A264" s="14" t="s">
        <v>736</v>
      </c>
      <c r="B264" s="14">
        <v>0.05</v>
      </c>
    </row>
    <row r="265" spans="1:2">
      <c r="A265" s="15" t="s">
        <v>743</v>
      </c>
      <c r="B265" s="15">
        <v>0.01</v>
      </c>
    </row>
    <row r="266" spans="1:2">
      <c r="A266" s="14" t="s">
        <v>745</v>
      </c>
      <c r="B266" s="14">
        <v>0</v>
      </c>
    </row>
    <row r="267" spans="1:2">
      <c r="A267" s="15" t="s">
        <v>750</v>
      </c>
      <c r="B267" s="15">
        <v>0</v>
      </c>
    </row>
    <row r="268" spans="1:2">
      <c r="A268" s="14" t="s">
        <v>760</v>
      </c>
      <c r="B268" s="14">
        <v>0</v>
      </c>
    </row>
    <row r="269" spans="1:2">
      <c r="A269" s="15" t="s">
        <v>776</v>
      </c>
      <c r="B269" s="15">
        <v>0.01</v>
      </c>
    </row>
    <row r="270" spans="1:2">
      <c r="A270" s="14" t="s">
        <v>778</v>
      </c>
      <c r="B270" s="14">
        <v>0.05</v>
      </c>
    </row>
    <row r="271" spans="1:2">
      <c r="A271" s="15" t="s">
        <v>785</v>
      </c>
      <c r="B271" s="15">
        <v>0.02</v>
      </c>
    </row>
    <row r="272" spans="1:2">
      <c r="A272" s="14" t="s">
        <v>795</v>
      </c>
      <c r="B272" s="14">
        <v>0.03</v>
      </c>
    </row>
    <row r="273" spans="1:2">
      <c r="A273" s="15" t="s">
        <v>810</v>
      </c>
      <c r="B273" s="15">
        <v>0.05</v>
      </c>
    </row>
    <row r="274" spans="1:2">
      <c r="A274" s="14" t="s">
        <v>830</v>
      </c>
      <c r="B274" s="14">
        <v>0.01</v>
      </c>
    </row>
    <row r="275" spans="1:2">
      <c r="A275" s="15" t="s">
        <v>840</v>
      </c>
      <c r="B275" s="15">
        <v>0.04</v>
      </c>
    </row>
    <row r="276" spans="1:2">
      <c r="A276" s="14" t="s">
        <v>842</v>
      </c>
      <c r="B276" s="14">
        <v>0.05</v>
      </c>
    </row>
    <row r="277" spans="1:2">
      <c r="A277" s="15" t="s">
        <v>847</v>
      </c>
      <c r="B277" s="15">
        <v>0.02</v>
      </c>
    </row>
    <row r="278" spans="1:2">
      <c r="A278" s="14" t="s">
        <v>850</v>
      </c>
      <c r="B278" s="14">
        <v>0</v>
      </c>
    </row>
    <row r="279" spans="1:2">
      <c r="A279" s="15" t="s">
        <v>854</v>
      </c>
      <c r="B279" s="15">
        <v>0.02</v>
      </c>
    </row>
    <row r="280" spans="1:2">
      <c r="A280" s="14" t="s">
        <v>859</v>
      </c>
      <c r="B280" s="14">
        <v>0.04</v>
      </c>
    </row>
    <row r="281" spans="1:2">
      <c r="A281" s="15" t="s">
        <v>861</v>
      </c>
      <c r="B281" s="15">
        <v>0.04</v>
      </c>
    </row>
    <row r="282" spans="1:2">
      <c r="A282" s="14" t="s">
        <v>877</v>
      </c>
      <c r="B282" s="14">
        <v>0.05</v>
      </c>
    </row>
    <row r="283" spans="1:2">
      <c r="A283" s="15" t="s">
        <v>882</v>
      </c>
      <c r="B283" s="15">
        <v>0.04</v>
      </c>
    </row>
    <row r="284" spans="1:2">
      <c r="A284" s="14" t="s">
        <v>892</v>
      </c>
      <c r="B284" s="14">
        <v>0.05</v>
      </c>
    </row>
    <row r="285" spans="1:2">
      <c r="A285" s="15" t="s">
        <v>909</v>
      </c>
      <c r="B285" s="15">
        <v>0.05</v>
      </c>
    </row>
    <row r="286" spans="1:2">
      <c r="A286" s="14" t="s">
        <v>911</v>
      </c>
      <c r="B286" s="14">
        <v>0.04</v>
      </c>
    </row>
    <row r="287" spans="1:2">
      <c r="A287" s="15" t="s">
        <v>924</v>
      </c>
      <c r="B287" s="15">
        <v>0.05</v>
      </c>
    </row>
    <row r="288" spans="1:2">
      <c r="A288" s="14" t="s">
        <v>926</v>
      </c>
      <c r="B288" s="14">
        <v>0.02</v>
      </c>
    </row>
    <row r="289" spans="1:2">
      <c r="A289" s="15" t="s">
        <v>930</v>
      </c>
      <c r="B289" s="15">
        <v>0</v>
      </c>
    </row>
    <row r="290" spans="1:2">
      <c r="A290" s="14" t="s">
        <v>932</v>
      </c>
      <c r="B290" s="14">
        <v>0.04</v>
      </c>
    </row>
    <row r="291" spans="1:2">
      <c r="A291" s="15" t="s">
        <v>1003</v>
      </c>
      <c r="B291" s="15">
        <v>0</v>
      </c>
    </row>
    <row r="292" spans="1:2">
      <c r="A292" s="14" t="s">
        <v>1013</v>
      </c>
      <c r="B292" s="14">
        <v>0.04</v>
      </c>
    </row>
    <row r="293" spans="1:2">
      <c r="A293" s="15" t="s">
        <v>1026</v>
      </c>
      <c r="B293" s="15">
        <v>0.04</v>
      </c>
    </row>
    <row r="294" spans="1:2">
      <c r="A294" s="14" t="s">
        <v>1048</v>
      </c>
      <c r="B294" s="14">
        <v>0.01</v>
      </c>
    </row>
    <row r="295" spans="1:2">
      <c r="A295" s="15" t="s">
        <v>1087</v>
      </c>
      <c r="B295" s="15">
        <v>0</v>
      </c>
    </row>
    <row r="296" spans="1:2">
      <c r="A296" s="14" t="s">
        <v>1149</v>
      </c>
      <c r="B296" s="14">
        <v>0.01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7287-820E-4E38-9AB0-C30EF8B0777D}">
  <sheetPr>
    <tabColor theme="3" tint="-0.249977111117893"/>
  </sheetPr>
  <dimension ref="A1:B296"/>
  <sheetViews>
    <sheetView workbookViewId="0">
      <selection activeCell="E10" sqref="E10"/>
    </sheetView>
  </sheetViews>
  <sheetFormatPr defaultRowHeight="14.45"/>
  <cols>
    <col min="1" max="2" width="16.7109375" bestFit="1" customWidth="1"/>
  </cols>
  <sheetData>
    <row r="1" spans="1:2" ht="15.6">
      <c r="A1" s="13" t="s">
        <v>1704</v>
      </c>
      <c r="B1" s="13" t="s">
        <v>1705</v>
      </c>
    </row>
    <row r="2" spans="1:2">
      <c r="A2" s="14" t="s">
        <v>28</v>
      </c>
      <c r="B2" s="14">
        <v>0.02</v>
      </c>
    </row>
    <row r="3" spans="1:2">
      <c r="A3" s="15" t="s">
        <v>31</v>
      </c>
      <c r="B3" s="15">
        <v>0.05</v>
      </c>
    </row>
    <row r="4" spans="1:2">
      <c r="A4" s="14" t="s">
        <v>34</v>
      </c>
      <c r="B4" s="14">
        <v>0</v>
      </c>
    </row>
    <row r="5" spans="1:2">
      <c r="A5" s="15" t="s">
        <v>37</v>
      </c>
      <c r="B5" s="15">
        <v>0.01</v>
      </c>
    </row>
    <row r="6" spans="1:2">
      <c r="A6" s="14" t="s">
        <v>39</v>
      </c>
      <c r="B6" s="14">
        <v>0.03</v>
      </c>
    </row>
    <row r="7" spans="1:2">
      <c r="A7" s="15" t="s">
        <v>42</v>
      </c>
      <c r="B7" s="15">
        <v>0.02</v>
      </c>
    </row>
    <row r="8" spans="1:2">
      <c r="A8" s="14" t="s">
        <v>45</v>
      </c>
      <c r="B8" s="14">
        <v>0</v>
      </c>
    </row>
    <row r="9" spans="1:2">
      <c r="A9" s="15" t="s">
        <v>47</v>
      </c>
      <c r="B9" s="15">
        <v>0.05</v>
      </c>
    </row>
    <row r="10" spans="1:2">
      <c r="A10" s="14" t="s">
        <v>49</v>
      </c>
      <c r="B10" s="14">
        <v>0.05</v>
      </c>
    </row>
    <row r="11" spans="1:2">
      <c r="A11" s="15" t="s">
        <v>52</v>
      </c>
      <c r="B11" s="15">
        <v>0.02</v>
      </c>
    </row>
    <row r="12" spans="1:2">
      <c r="A12" s="14" t="s">
        <v>55</v>
      </c>
      <c r="B12" s="14">
        <v>0.02</v>
      </c>
    </row>
    <row r="13" spans="1:2">
      <c r="A13" s="15" t="s">
        <v>57</v>
      </c>
      <c r="B13" s="15">
        <v>0.02</v>
      </c>
    </row>
    <row r="14" spans="1:2">
      <c r="A14" s="14" t="s">
        <v>58</v>
      </c>
      <c r="B14" s="14">
        <v>0.02</v>
      </c>
    </row>
    <row r="15" spans="1:2">
      <c r="A15" s="15" t="s">
        <v>60</v>
      </c>
      <c r="B15" s="15">
        <v>0</v>
      </c>
    </row>
    <row r="16" spans="1:2">
      <c r="A16" s="14" t="s">
        <v>62</v>
      </c>
      <c r="B16" s="14">
        <v>0.02</v>
      </c>
    </row>
    <row r="17" spans="1:2">
      <c r="A17" s="15" t="s">
        <v>64</v>
      </c>
      <c r="B17" s="15">
        <v>0.02</v>
      </c>
    </row>
    <row r="18" spans="1:2">
      <c r="A18" s="14" t="s">
        <v>65</v>
      </c>
      <c r="B18" s="14">
        <v>0.03</v>
      </c>
    </row>
    <row r="19" spans="1:2">
      <c r="A19" s="15" t="s">
        <v>67</v>
      </c>
      <c r="B19" s="15">
        <v>0.01</v>
      </c>
    </row>
    <row r="20" spans="1:2">
      <c r="A20" s="14" t="s">
        <v>69</v>
      </c>
      <c r="B20" s="14">
        <v>0.02</v>
      </c>
    </row>
    <row r="21" spans="1:2">
      <c r="A21" s="15" t="s">
        <v>71</v>
      </c>
      <c r="B21" s="15">
        <v>0.02</v>
      </c>
    </row>
    <row r="22" spans="1:2">
      <c r="A22" s="14" t="s">
        <v>73</v>
      </c>
      <c r="B22" s="14">
        <v>0.01</v>
      </c>
    </row>
    <row r="23" spans="1:2">
      <c r="A23" s="15" t="s">
        <v>74</v>
      </c>
      <c r="B23" s="15">
        <v>0.01</v>
      </c>
    </row>
    <row r="24" spans="1:2">
      <c r="A24" s="14" t="s">
        <v>76</v>
      </c>
      <c r="B24" s="14">
        <v>0</v>
      </c>
    </row>
    <row r="25" spans="1:2">
      <c r="A25" s="15" t="s">
        <v>78</v>
      </c>
      <c r="B25" s="15">
        <v>0.03</v>
      </c>
    </row>
    <row r="26" spans="1:2">
      <c r="A26" s="14" t="s">
        <v>80</v>
      </c>
      <c r="B26" s="14">
        <v>0</v>
      </c>
    </row>
    <row r="27" spans="1:2">
      <c r="A27" s="15" t="s">
        <v>82</v>
      </c>
      <c r="B27" s="15">
        <v>0.01</v>
      </c>
    </row>
    <row r="28" spans="1:2">
      <c r="A28" s="14" t="s">
        <v>83</v>
      </c>
      <c r="B28" s="14">
        <v>0.02</v>
      </c>
    </row>
    <row r="29" spans="1:2">
      <c r="A29" s="15" t="s">
        <v>84</v>
      </c>
      <c r="B29" s="15">
        <v>0</v>
      </c>
    </row>
    <row r="30" spans="1:2">
      <c r="A30" s="14" t="s">
        <v>86</v>
      </c>
      <c r="B30" s="14">
        <v>0.03</v>
      </c>
    </row>
    <row r="31" spans="1:2">
      <c r="A31" s="15" t="s">
        <v>88</v>
      </c>
      <c r="B31" s="15">
        <v>0.05</v>
      </c>
    </row>
    <row r="32" spans="1:2">
      <c r="A32" s="14" t="s">
        <v>90</v>
      </c>
      <c r="B32" s="14">
        <v>0.01</v>
      </c>
    </row>
    <row r="33" spans="1:2">
      <c r="A33" s="15" t="s">
        <v>91</v>
      </c>
      <c r="B33" s="15">
        <v>0.05</v>
      </c>
    </row>
    <row r="34" spans="1:2">
      <c r="A34" s="14" t="s">
        <v>93</v>
      </c>
      <c r="B34" s="14">
        <v>0</v>
      </c>
    </row>
    <row r="35" spans="1:2">
      <c r="A35" s="15" t="s">
        <v>94</v>
      </c>
      <c r="B35" s="15">
        <v>0.04</v>
      </c>
    </row>
    <row r="36" spans="1:2">
      <c r="A36" s="14" t="s">
        <v>97</v>
      </c>
      <c r="B36" s="14">
        <v>0.05</v>
      </c>
    </row>
    <row r="37" spans="1:2">
      <c r="A37" s="15" t="s">
        <v>98</v>
      </c>
      <c r="B37" s="15">
        <v>0.04</v>
      </c>
    </row>
    <row r="38" spans="1:2">
      <c r="A38" s="14" t="s">
        <v>100</v>
      </c>
      <c r="B38" s="14">
        <v>0.03</v>
      </c>
    </row>
    <row r="39" spans="1:2">
      <c r="A39" s="15" t="s">
        <v>102</v>
      </c>
      <c r="B39" s="15">
        <v>0.05</v>
      </c>
    </row>
    <row r="40" spans="1:2">
      <c r="A40" s="14" t="s">
        <v>103</v>
      </c>
      <c r="B40" s="14">
        <v>0.01</v>
      </c>
    </row>
    <row r="41" spans="1:2">
      <c r="A41" s="15" t="s">
        <v>105</v>
      </c>
      <c r="B41" s="15">
        <v>0.01</v>
      </c>
    </row>
    <row r="42" spans="1:2">
      <c r="A42" s="14" t="s">
        <v>107</v>
      </c>
      <c r="B42" s="14">
        <v>0.02</v>
      </c>
    </row>
    <row r="43" spans="1:2">
      <c r="A43" s="15" t="s">
        <v>110</v>
      </c>
      <c r="B43" s="15">
        <v>0.03</v>
      </c>
    </row>
    <row r="44" spans="1:2">
      <c r="A44" s="14" t="s">
        <v>112</v>
      </c>
      <c r="B44" s="14">
        <v>0.03</v>
      </c>
    </row>
    <row r="45" spans="1:2">
      <c r="A45" s="15" t="s">
        <v>114</v>
      </c>
      <c r="B45" s="15">
        <v>0</v>
      </c>
    </row>
    <row r="46" spans="1:2">
      <c r="A46" s="14" t="s">
        <v>116</v>
      </c>
      <c r="B46" s="14">
        <v>0.05</v>
      </c>
    </row>
    <row r="47" spans="1:2">
      <c r="A47" s="15" t="s">
        <v>118</v>
      </c>
      <c r="B47" s="15">
        <v>0.01</v>
      </c>
    </row>
    <row r="48" spans="1:2">
      <c r="A48" s="14" t="s">
        <v>120</v>
      </c>
      <c r="B48" s="14">
        <v>0.05</v>
      </c>
    </row>
    <row r="49" spans="1:2">
      <c r="A49" s="15" t="s">
        <v>122</v>
      </c>
      <c r="B49" s="15">
        <v>0</v>
      </c>
    </row>
    <row r="50" spans="1:2">
      <c r="A50" s="14" t="s">
        <v>123</v>
      </c>
      <c r="B50" s="14">
        <v>0.04</v>
      </c>
    </row>
    <row r="51" spans="1:2">
      <c r="A51" s="15" t="s">
        <v>125</v>
      </c>
      <c r="B51" s="15">
        <v>0.04</v>
      </c>
    </row>
    <row r="52" spans="1:2">
      <c r="A52" s="14" t="s">
        <v>126</v>
      </c>
      <c r="B52" s="14">
        <v>0.01</v>
      </c>
    </row>
    <row r="53" spans="1:2">
      <c r="A53" s="15" t="s">
        <v>128</v>
      </c>
      <c r="B53" s="15">
        <v>0.05</v>
      </c>
    </row>
    <row r="54" spans="1:2">
      <c r="A54" s="14" t="s">
        <v>130</v>
      </c>
      <c r="B54" s="14">
        <v>0.01</v>
      </c>
    </row>
    <row r="55" spans="1:2">
      <c r="A55" s="15" t="s">
        <v>131</v>
      </c>
      <c r="B55" s="15">
        <v>0.03</v>
      </c>
    </row>
    <row r="56" spans="1:2">
      <c r="A56" s="14" t="s">
        <v>133</v>
      </c>
      <c r="B56" s="14">
        <v>0</v>
      </c>
    </row>
    <row r="57" spans="1:2">
      <c r="A57" s="15" t="s">
        <v>135</v>
      </c>
      <c r="B57" s="15">
        <v>0.02</v>
      </c>
    </row>
    <row r="58" spans="1:2">
      <c r="A58" s="14" t="s">
        <v>137</v>
      </c>
      <c r="B58" s="14">
        <v>0.05</v>
      </c>
    </row>
    <row r="59" spans="1:2">
      <c r="A59" s="15" t="s">
        <v>140</v>
      </c>
      <c r="B59" s="15">
        <v>0.04</v>
      </c>
    </row>
    <row r="60" spans="1:2">
      <c r="A60" s="14" t="s">
        <v>141</v>
      </c>
      <c r="B60" s="14">
        <v>0.05</v>
      </c>
    </row>
    <row r="61" spans="1:2">
      <c r="A61" s="15" t="s">
        <v>143</v>
      </c>
      <c r="B61" s="15">
        <v>0</v>
      </c>
    </row>
    <row r="62" spans="1:2">
      <c r="A62" s="14" t="s">
        <v>145</v>
      </c>
      <c r="B62" s="14">
        <v>0.05</v>
      </c>
    </row>
    <row r="63" spans="1:2">
      <c r="A63" s="15" t="s">
        <v>147</v>
      </c>
      <c r="B63" s="15">
        <v>0.03</v>
      </c>
    </row>
    <row r="64" spans="1:2">
      <c r="A64" s="14" t="s">
        <v>149</v>
      </c>
      <c r="B64" s="14">
        <v>0</v>
      </c>
    </row>
    <row r="65" spans="1:2">
      <c r="A65" s="15" t="s">
        <v>151</v>
      </c>
      <c r="B65" s="15">
        <v>0.03</v>
      </c>
    </row>
    <row r="66" spans="1:2">
      <c r="A66" s="14" t="s">
        <v>153</v>
      </c>
      <c r="B66" s="14">
        <v>0.05</v>
      </c>
    </row>
    <row r="67" spans="1:2">
      <c r="A67" s="15" t="s">
        <v>154</v>
      </c>
      <c r="B67" s="15">
        <v>0.01</v>
      </c>
    </row>
    <row r="68" spans="1:2">
      <c r="A68" s="14" t="s">
        <v>156</v>
      </c>
      <c r="B68" s="14">
        <v>0.01</v>
      </c>
    </row>
    <row r="69" spans="1:2">
      <c r="A69" s="15" t="s">
        <v>158</v>
      </c>
      <c r="B69" s="15">
        <v>0.05</v>
      </c>
    </row>
    <row r="70" spans="1:2">
      <c r="A70" s="14" t="s">
        <v>160</v>
      </c>
      <c r="B70" s="14">
        <v>0</v>
      </c>
    </row>
    <row r="71" spans="1:2">
      <c r="A71" s="15" t="s">
        <v>162</v>
      </c>
      <c r="B71" s="15">
        <v>0.02</v>
      </c>
    </row>
    <row r="72" spans="1:2">
      <c r="A72" s="14" t="s">
        <v>164</v>
      </c>
      <c r="B72" s="14">
        <v>0.03</v>
      </c>
    </row>
    <row r="73" spans="1:2">
      <c r="A73" s="15" t="s">
        <v>166</v>
      </c>
      <c r="B73" s="15">
        <v>0.05</v>
      </c>
    </row>
    <row r="74" spans="1:2">
      <c r="A74" s="14" t="s">
        <v>168</v>
      </c>
      <c r="B74" s="14">
        <v>0.04</v>
      </c>
    </row>
    <row r="75" spans="1:2">
      <c r="A75" s="15" t="s">
        <v>170</v>
      </c>
      <c r="B75" s="15">
        <v>0.04</v>
      </c>
    </row>
    <row r="76" spans="1:2">
      <c r="A76" s="14" t="s">
        <v>172</v>
      </c>
      <c r="B76" s="14">
        <v>0.05</v>
      </c>
    </row>
    <row r="77" spans="1:2">
      <c r="A77" s="15" t="s">
        <v>174</v>
      </c>
      <c r="B77" s="15">
        <v>0.02</v>
      </c>
    </row>
    <row r="78" spans="1:2">
      <c r="A78" s="14" t="s">
        <v>176</v>
      </c>
      <c r="B78" s="14">
        <v>0.02</v>
      </c>
    </row>
    <row r="79" spans="1:2">
      <c r="A79" s="15" t="s">
        <v>178</v>
      </c>
      <c r="B79" s="15">
        <v>0</v>
      </c>
    </row>
    <row r="80" spans="1:2">
      <c r="A80" s="14" t="s">
        <v>180</v>
      </c>
      <c r="B80" s="14">
        <v>0</v>
      </c>
    </row>
    <row r="81" spans="1:2">
      <c r="A81" s="15" t="s">
        <v>182</v>
      </c>
      <c r="B81" s="15">
        <v>0</v>
      </c>
    </row>
    <row r="82" spans="1:2">
      <c r="A82" s="14" t="s">
        <v>184</v>
      </c>
      <c r="B82" s="14">
        <v>0</v>
      </c>
    </row>
    <row r="83" spans="1:2">
      <c r="A83" s="15" t="s">
        <v>186</v>
      </c>
      <c r="B83" s="15">
        <v>0.01</v>
      </c>
    </row>
    <row r="84" spans="1:2">
      <c r="A84" s="14" t="s">
        <v>188</v>
      </c>
      <c r="B84" s="14">
        <v>0.02</v>
      </c>
    </row>
    <row r="85" spans="1:2">
      <c r="A85" s="15" t="s">
        <v>190</v>
      </c>
      <c r="B85" s="15">
        <v>0</v>
      </c>
    </row>
    <row r="86" spans="1:2">
      <c r="A86" s="14" t="s">
        <v>195</v>
      </c>
      <c r="B86" s="14">
        <v>0.02</v>
      </c>
    </row>
    <row r="87" spans="1:2">
      <c r="A87" s="15" t="s">
        <v>200</v>
      </c>
      <c r="B87" s="15">
        <v>0.02</v>
      </c>
    </row>
    <row r="88" spans="1:2">
      <c r="A88" s="14" t="s">
        <v>203</v>
      </c>
      <c r="B88" s="14">
        <v>0.04</v>
      </c>
    </row>
    <row r="89" spans="1:2">
      <c r="A89" s="15" t="s">
        <v>205</v>
      </c>
      <c r="B89" s="15">
        <v>0.04</v>
      </c>
    </row>
    <row r="90" spans="1:2">
      <c r="A90" s="14" t="s">
        <v>206</v>
      </c>
      <c r="B90" s="14">
        <v>0</v>
      </c>
    </row>
    <row r="91" spans="1:2">
      <c r="A91" s="15" t="s">
        <v>208</v>
      </c>
      <c r="B91" s="15">
        <v>0.03</v>
      </c>
    </row>
    <row r="92" spans="1:2">
      <c r="A92" s="14" t="s">
        <v>211</v>
      </c>
      <c r="B92" s="14">
        <v>0.05</v>
      </c>
    </row>
    <row r="93" spans="1:2">
      <c r="A93" s="15" t="s">
        <v>213</v>
      </c>
      <c r="B93" s="15">
        <v>0.03</v>
      </c>
    </row>
    <row r="94" spans="1:2">
      <c r="A94" s="14" t="s">
        <v>216</v>
      </c>
      <c r="B94" s="14">
        <v>0.05</v>
      </c>
    </row>
    <row r="95" spans="1:2">
      <c r="A95" s="15" t="s">
        <v>218</v>
      </c>
      <c r="B95" s="15">
        <v>0.04</v>
      </c>
    </row>
    <row r="96" spans="1:2">
      <c r="A96" s="14" t="s">
        <v>221</v>
      </c>
      <c r="B96" s="14">
        <v>0.05</v>
      </c>
    </row>
    <row r="97" spans="1:2">
      <c r="A97" s="15" t="s">
        <v>223</v>
      </c>
      <c r="B97" s="15">
        <v>0.05</v>
      </c>
    </row>
    <row r="98" spans="1:2">
      <c r="A98" s="14" t="s">
        <v>226</v>
      </c>
      <c r="B98" s="14">
        <v>0.05</v>
      </c>
    </row>
    <row r="99" spans="1:2">
      <c r="A99" s="15" t="s">
        <v>227</v>
      </c>
      <c r="B99" s="15">
        <v>0.04</v>
      </c>
    </row>
    <row r="100" spans="1:2">
      <c r="A100" s="14" t="s">
        <v>231</v>
      </c>
      <c r="B100" s="14">
        <v>0</v>
      </c>
    </row>
    <row r="101" spans="1:2">
      <c r="A101" s="15" t="s">
        <v>232</v>
      </c>
      <c r="B101" s="15">
        <v>0</v>
      </c>
    </row>
    <row r="102" spans="1:2">
      <c r="A102" s="14" t="s">
        <v>236</v>
      </c>
      <c r="B102" s="14">
        <v>0.02</v>
      </c>
    </row>
    <row r="103" spans="1:2">
      <c r="A103" s="15" t="s">
        <v>238</v>
      </c>
      <c r="B103" s="15">
        <v>0.02</v>
      </c>
    </row>
    <row r="104" spans="1:2">
      <c r="A104" s="14" t="s">
        <v>240</v>
      </c>
      <c r="B104" s="14">
        <v>0.03</v>
      </c>
    </row>
    <row r="105" spans="1:2">
      <c r="A105" s="15" t="s">
        <v>241</v>
      </c>
      <c r="B105" s="15">
        <v>0.03</v>
      </c>
    </row>
    <row r="106" spans="1:2">
      <c r="A106" s="14" t="s">
        <v>245</v>
      </c>
      <c r="B106" s="14">
        <v>0</v>
      </c>
    </row>
    <row r="107" spans="1:2">
      <c r="A107" s="15" t="s">
        <v>247</v>
      </c>
      <c r="B107" s="15">
        <v>0.02</v>
      </c>
    </row>
    <row r="108" spans="1:2">
      <c r="A108" s="14" t="s">
        <v>249</v>
      </c>
      <c r="B108" s="14">
        <v>0</v>
      </c>
    </row>
    <row r="109" spans="1:2">
      <c r="A109" s="15" t="s">
        <v>250</v>
      </c>
      <c r="B109" s="15">
        <v>0.02</v>
      </c>
    </row>
    <row r="110" spans="1:2">
      <c r="A110" s="14" t="s">
        <v>252</v>
      </c>
      <c r="B110" s="14">
        <v>0.01</v>
      </c>
    </row>
    <row r="111" spans="1:2">
      <c r="A111" s="15" t="s">
        <v>254</v>
      </c>
      <c r="B111" s="15">
        <v>0.02</v>
      </c>
    </row>
    <row r="112" spans="1:2">
      <c r="A112" s="14" t="s">
        <v>256</v>
      </c>
      <c r="B112" s="14">
        <v>0.05</v>
      </c>
    </row>
    <row r="113" spans="1:2">
      <c r="A113" s="15" t="s">
        <v>257</v>
      </c>
      <c r="B113" s="15">
        <v>0.02</v>
      </c>
    </row>
    <row r="114" spans="1:2">
      <c r="A114" s="14" t="s">
        <v>259</v>
      </c>
      <c r="B114" s="14">
        <v>0.02</v>
      </c>
    </row>
    <row r="115" spans="1:2">
      <c r="A115" s="15" t="s">
        <v>263</v>
      </c>
      <c r="B115" s="15">
        <v>0.05</v>
      </c>
    </row>
    <row r="116" spans="1:2">
      <c r="A116" s="14" t="s">
        <v>265</v>
      </c>
      <c r="B116" s="14">
        <v>0</v>
      </c>
    </row>
    <row r="117" spans="1:2">
      <c r="A117" s="15" t="s">
        <v>268</v>
      </c>
      <c r="B117" s="15">
        <v>0.02</v>
      </c>
    </row>
    <row r="118" spans="1:2">
      <c r="A118" s="14" t="s">
        <v>269</v>
      </c>
      <c r="B118" s="14">
        <v>0.03</v>
      </c>
    </row>
    <row r="119" spans="1:2">
      <c r="A119" s="15" t="s">
        <v>275</v>
      </c>
      <c r="B119" s="15">
        <v>0</v>
      </c>
    </row>
    <row r="120" spans="1:2">
      <c r="A120" s="14" t="s">
        <v>277</v>
      </c>
      <c r="B120" s="14">
        <v>0.02</v>
      </c>
    </row>
    <row r="121" spans="1:2">
      <c r="A121" s="15" t="s">
        <v>281</v>
      </c>
      <c r="B121" s="15">
        <v>0.01</v>
      </c>
    </row>
    <row r="122" spans="1:2">
      <c r="A122" s="14" t="s">
        <v>284</v>
      </c>
      <c r="B122" s="14">
        <v>0.02</v>
      </c>
    </row>
    <row r="123" spans="1:2">
      <c r="A123" s="15" t="s">
        <v>285</v>
      </c>
      <c r="B123" s="15">
        <v>0.03</v>
      </c>
    </row>
    <row r="124" spans="1:2">
      <c r="A124" s="14" t="s">
        <v>286</v>
      </c>
      <c r="B124" s="14">
        <v>0.05</v>
      </c>
    </row>
    <row r="125" spans="1:2">
      <c r="A125" s="15" t="s">
        <v>289</v>
      </c>
      <c r="B125" s="15">
        <v>0.05</v>
      </c>
    </row>
    <row r="126" spans="1:2">
      <c r="A126" s="14" t="s">
        <v>291</v>
      </c>
      <c r="B126" s="14">
        <v>0.03</v>
      </c>
    </row>
    <row r="127" spans="1:2">
      <c r="A127" s="15" t="s">
        <v>295</v>
      </c>
      <c r="B127" s="15">
        <v>0.01</v>
      </c>
    </row>
    <row r="128" spans="1:2">
      <c r="A128" s="14" t="s">
        <v>296</v>
      </c>
      <c r="B128" s="14">
        <v>0.03</v>
      </c>
    </row>
    <row r="129" spans="1:2">
      <c r="A129" s="15" t="s">
        <v>298</v>
      </c>
      <c r="B129" s="15">
        <v>0</v>
      </c>
    </row>
    <row r="130" spans="1:2">
      <c r="A130" s="14" t="s">
        <v>299</v>
      </c>
      <c r="B130" s="14">
        <v>0</v>
      </c>
    </row>
    <row r="131" spans="1:2">
      <c r="A131" s="15" t="s">
        <v>300</v>
      </c>
      <c r="B131" s="15">
        <v>0.05</v>
      </c>
    </row>
    <row r="132" spans="1:2">
      <c r="A132" s="14" t="s">
        <v>302</v>
      </c>
      <c r="B132" s="14">
        <v>0.05</v>
      </c>
    </row>
    <row r="133" spans="1:2">
      <c r="A133" s="15" t="s">
        <v>303</v>
      </c>
      <c r="B133" s="15">
        <v>0.04</v>
      </c>
    </row>
    <row r="134" spans="1:2">
      <c r="A134" s="14" t="s">
        <v>305</v>
      </c>
      <c r="B134" s="14">
        <v>0.05</v>
      </c>
    </row>
    <row r="135" spans="1:2">
      <c r="A135" s="15" t="s">
        <v>307</v>
      </c>
      <c r="B135" s="15">
        <v>0.02</v>
      </c>
    </row>
    <row r="136" spans="1:2">
      <c r="A136" s="14" t="s">
        <v>309</v>
      </c>
      <c r="B136" s="14">
        <v>0.03</v>
      </c>
    </row>
    <row r="137" spans="1:2">
      <c r="A137" s="15" t="s">
        <v>311</v>
      </c>
      <c r="B137" s="15">
        <v>0.04</v>
      </c>
    </row>
    <row r="138" spans="1:2">
      <c r="A138" s="14" t="s">
        <v>312</v>
      </c>
      <c r="B138" s="14">
        <v>0.05</v>
      </c>
    </row>
    <row r="139" spans="1:2">
      <c r="A139" s="15" t="s">
        <v>315</v>
      </c>
      <c r="B139" s="15">
        <v>0</v>
      </c>
    </row>
    <row r="140" spans="1:2">
      <c r="A140" s="14" t="s">
        <v>316</v>
      </c>
      <c r="B140" s="14">
        <v>0</v>
      </c>
    </row>
    <row r="141" spans="1:2">
      <c r="A141" s="15" t="s">
        <v>318</v>
      </c>
      <c r="B141" s="15">
        <v>0.05</v>
      </c>
    </row>
    <row r="142" spans="1:2">
      <c r="A142" s="14" t="s">
        <v>320</v>
      </c>
      <c r="B142" s="14">
        <v>0.01</v>
      </c>
    </row>
    <row r="143" spans="1:2">
      <c r="A143" s="15" t="s">
        <v>321</v>
      </c>
      <c r="B143" s="15">
        <v>0.04</v>
      </c>
    </row>
    <row r="144" spans="1:2">
      <c r="A144" s="14" t="s">
        <v>322</v>
      </c>
      <c r="B144" s="14">
        <v>0</v>
      </c>
    </row>
    <row r="145" spans="1:2">
      <c r="A145" s="15" t="s">
        <v>324</v>
      </c>
      <c r="B145" s="15">
        <v>0</v>
      </c>
    </row>
    <row r="146" spans="1:2">
      <c r="A146" s="14" t="s">
        <v>327</v>
      </c>
      <c r="B146" s="14">
        <v>0.05</v>
      </c>
    </row>
    <row r="147" spans="1:2">
      <c r="A147" s="15" t="s">
        <v>329</v>
      </c>
      <c r="B147" s="15">
        <v>0.05</v>
      </c>
    </row>
    <row r="148" spans="1:2">
      <c r="A148" s="14" t="s">
        <v>330</v>
      </c>
      <c r="B148" s="14">
        <v>0.03</v>
      </c>
    </row>
    <row r="149" spans="1:2">
      <c r="A149" s="15" t="s">
        <v>333</v>
      </c>
      <c r="B149" s="15">
        <v>0</v>
      </c>
    </row>
    <row r="150" spans="1:2">
      <c r="A150" s="14" t="s">
        <v>335</v>
      </c>
      <c r="B150" s="14">
        <v>0.04</v>
      </c>
    </row>
    <row r="151" spans="1:2">
      <c r="A151" s="15" t="s">
        <v>337</v>
      </c>
      <c r="B151" s="15">
        <v>0</v>
      </c>
    </row>
    <row r="152" spans="1:2">
      <c r="A152" s="14" t="s">
        <v>339</v>
      </c>
      <c r="B152" s="14">
        <v>0.01</v>
      </c>
    </row>
    <row r="153" spans="1:2">
      <c r="A153" s="15" t="s">
        <v>341</v>
      </c>
      <c r="B153" s="15">
        <v>0.05</v>
      </c>
    </row>
    <row r="154" spans="1:2">
      <c r="A154" s="14" t="s">
        <v>343</v>
      </c>
      <c r="B154" s="14">
        <v>0.01</v>
      </c>
    </row>
    <row r="155" spans="1:2">
      <c r="A155" s="15" t="s">
        <v>345</v>
      </c>
      <c r="B155" s="15">
        <v>0.02</v>
      </c>
    </row>
    <row r="156" spans="1:2">
      <c r="A156" s="14" t="s">
        <v>347</v>
      </c>
      <c r="B156" s="14">
        <v>0.05</v>
      </c>
    </row>
    <row r="157" spans="1:2">
      <c r="A157" s="15" t="s">
        <v>348</v>
      </c>
      <c r="B157" s="15">
        <v>0</v>
      </c>
    </row>
    <row r="158" spans="1:2">
      <c r="A158" s="14" t="s">
        <v>352</v>
      </c>
      <c r="B158" s="14">
        <v>0.01</v>
      </c>
    </row>
    <row r="159" spans="1:2">
      <c r="A159" s="15" t="s">
        <v>355</v>
      </c>
      <c r="B159" s="15">
        <v>0.02</v>
      </c>
    </row>
    <row r="160" spans="1:2">
      <c r="A160" s="14" t="s">
        <v>356</v>
      </c>
      <c r="B160" s="14">
        <v>0.05</v>
      </c>
    </row>
    <row r="161" spans="1:2">
      <c r="A161" s="15" t="s">
        <v>358</v>
      </c>
      <c r="B161" s="15">
        <v>0.01</v>
      </c>
    </row>
    <row r="162" spans="1:2">
      <c r="A162" s="14" t="s">
        <v>361</v>
      </c>
      <c r="B162" s="14">
        <v>0.05</v>
      </c>
    </row>
    <row r="163" spans="1:2">
      <c r="A163" s="15" t="s">
        <v>362</v>
      </c>
      <c r="B163" s="15">
        <v>0</v>
      </c>
    </row>
    <row r="164" spans="1:2">
      <c r="A164" s="14" t="s">
        <v>364</v>
      </c>
      <c r="B164" s="14">
        <v>0.05</v>
      </c>
    </row>
    <row r="165" spans="1:2">
      <c r="A165" s="15" t="s">
        <v>367</v>
      </c>
      <c r="B165" s="15">
        <v>0.03</v>
      </c>
    </row>
    <row r="166" spans="1:2">
      <c r="A166" s="14" t="s">
        <v>368</v>
      </c>
      <c r="B166" s="14">
        <v>0.03</v>
      </c>
    </row>
    <row r="167" spans="1:2">
      <c r="A167" s="15" t="s">
        <v>370</v>
      </c>
      <c r="B167" s="15">
        <v>0.02</v>
      </c>
    </row>
    <row r="168" spans="1:2">
      <c r="A168" s="14" t="s">
        <v>371</v>
      </c>
      <c r="B168" s="14">
        <v>0.03</v>
      </c>
    </row>
    <row r="169" spans="1:2">
      <c r="A169" s="16" t="s">
        <v>375</v>
      </c>
      <c r="B169" s="16">
        <v>0.01</v>
      </c>
    </row>
    <row r="170" spans="1:2">
      <c r="A170" s="14" t="s">
        <v>377</v>
      </c>
      <c r="B170" s="14">
        <v>0.02</v>
      </c>
    </row>
    <row r="171" spans="1:2">
      <c r="A171" s="15" t="s">
        <v>379</v>
      </c>
      <c r="B171" s="15">
        <v>0.05</v>
      </c>
    </row>
    <row r="172" spans="1:2">
      <c r="A172" s="14" t="s">
        <v>381</v>
      </c>
      <c r="B172" s="14">
        <v>0</v>
      </c>
    </row>
    <row r="173" spans="1:2">
      <c r="A173" s="15" t="s">
        <v>388</v>
      </c>
      <c r="B173" s="15">
        <v>0.01</v>
      </c>
    </row>
    <row r="174" spans="1:2">
      <c r="A174" s="14" t="s">
        <v>390</v>
      </c>
      <c r="B174" s="14">
        <v>0.03</v>
      </c>
    </row>
    <row r="175" spans="1:2">
      <c r="A175" s="15" t="s">
        <v>391</v>
      </c>
      <c r="B175" s="15">
        <v>0.02</v>
      </c>
    </row>
    <row r="176" spans="1:2">
      <c r="A176" s="14" t="s">
        <v>394</v>
      </c>
      <c r="B176" s="14">
        <v>0</v>
      </c>
    </row>
    <row r="177" spans="1:2">
      <c r="A177" s="15" t="s">
        <v>395</v>
      </c>
      <c r="B177" s="15">
        <v>0.05</v>
      </c>
    </row>
    <row r="178" spans="1:2">
      <c r="A178" s="14" t="s">
        <v>403</v>
      </c>
      <c r="B178" s="14">
        <v>0.05</v>
      </c>
    </row>
    <row r="179" spans="1:2">
      <c r="A179" s="15" t="s">
        <v>406</v>
      </c>
      <c r="B179" s="15">
        <v>0.02</v>
      </c>
    </row>
    <row r="180" spans="1:2">
      <c r="A180" s="14" t="s">
        <v>408</v>
      </c>
      <c r="B180" s="14">
        <v>0.02</v>
      </c>
    </row>
    <row r="181" spans="1:2">
      <c r="A181" s="15" t="s">
        <v>412</v>
      </c>
      <c r="B181" s="15">
        <v>0.02</v>
      </c>
    </row>
    <row r="182" spans="1:2">
      <c r="A182" s="14" t="s">
        <v>414</v>
      </c>
      <c r="B182" s="14">
        <v>0.02</v>
      </c>
    </row>
    <row r="183" spans="1:2">
      <c r="A183" s="15" t="s">
        <v>416</v>
      </c>
      <c r="B183" s="15">
        <v>0</v>
      </c>
    </row>
    <row r="184" spans="1:2">
      <c r="A184" s="14" t="s">
        <v>420</v>
      </c>
      <c r="B184" s="14">
        <v>0.02</v>
      </c>
    </row>
    <row r="185" spans="1:2">
      <c r="A185" s="15" t="s">
        <v>423</v>
      </c>
      <c r="B185" s="15">
        <v>0.02</v>
      </c>
    </row>
    <row r="186" spans="1:2">
      <c r="A186" s="14" t="s">
        <v>425</v>
      </c>
      <c r="B186" s="14">
        <v>0.03</v>
      </c>
    </row>
    <row r="187" spans="1:2">
      <c r="A187" s="15" t="s">
        <v>428</v>
      </c>
      <c r="B187" s="15">
        <v>0.01</v>
      </c>
    </row>
    <row r="188" spans="1:2">
      <c r="A188" s="14" t="s">
        <v>429</v>
      </c>
      <c r="B188" s="14">
        <v>0.02</v>
      </c>
    </row>
    <row r="189" spans="1:2">
      <c r="A189" s="15" t="s">
        <v>432</v>
      </c>
      <c r="B189" s="15">
        <v>0.02</v>
      </c>
    </row>
    <row r="190" spans="1:2">
      <c r="A190" s="14" t="s">
        <v>434</v>
      </c>
      <c r="B190" s="14">
        <v>0.01</v>
      </c>
    </row>
    <row r="191" spans="1:2">
      <c r="A191" s="15" t="s">
        <v>436</v>
      </c>
      <c r="B191" s="15">
        <v>0.01</v>
      </c>
    </row>
    <row r="192" spans="1:2">
      <c r="A192" s="14" t="s">
        <v>439</v>
      </c>
      <c r="B192" s="14">
        <v>0</v>
      </c>
    </row>
    <row r="193" spans="1:2">
      <c r="A193" s="15" t="s">
        <v>443</v>
      </c>
      <c r="B193" s="15">
        <v>0.03</v>
      </c>
    </row>
    <row r="194" spans="1:2">
      <c r="A194" s="14" t="s">
        <v>445</v>
      </c>
      <c r="B194" s="14">
        <v>0</v>
      </c>
    </row>
    <row r="195" spans="1:2">
      <c r="A195" s="15" t="s">
        <v>446</v>
      </c>
      <c r="B195" s="15">
        <v>0.01</v>
      </c>
    </row>
    <row r="196" spans="1:2">
      <c r="A196" s="14" t="s">
        <v>449</v>
      </c>
      <c r="B196" s="14">
        <v>0.02</v>
      </c>
    </row>
    <row r="197" spans="1:2">
      <c r="A197" s="15" t="s">
        <v>451</v>
      </c>
      <c r="B197" s="15">
        <v>0</v>
      </c>
    </row>
    <row r="198" spans="1:2">
      <c r="A198" s="14" t="s">
        <v>453</v>
      </c>
      <c r="B198" s="14">
        <v>0.03</v>
      </c>
    </row>
    <row r="199" spans="1:2">
      <c r="A199" s="15" t="s">
        <v>455</v>
      </c>
      <c r="B199" s="15">
        <v>0.05</v>
      </c>
    </row>
    <row r="200" spans="1:2">
      <c r="A200" s="14" t="s">
        <v>459</v>
      </c>
      <c r="B200" s="14">
        <v>0.01</v>
      </c>
    </row>
    <row r="201" spans="1:2">
      <c r="A201" s="15" t="s">
        <v>462</v>
      </c>
      <c r="B201" s="15">
        <v>0.05</v>
      </c>
    </row>
    <row r="202" spans="1:2">
      <c r="A202" s="14" t="s">
        <v>464</v>
      </c>
      <c r="B202" s="14">
        <v>0</v>
      </c>
    </row>
    <row r="203" spans="1:2">
      <c r="A203" s="15" t="s">
        <v>467</v>
      </c>
      <c r="B203" s="15">
        <v>0.04</v>
      </c>
    </row>
    <row r="204" spans="1:2">
      <c r="A204" s="14" t="s">
        <v>470</v>
      </c>
      <c r="B204" s="14">
        <v>0.05</v>
      </c>
    </row>
    <row r="205" spans="1:2">
      <c r="A205" s="15" t="s">
        <v>472</v>
      </c>
      <c r="B205" s="15">
        <v>0.04</v>
      </c>
    </row>
    <row r="206" spans="1:2">
      <c r="A206" s="14" t="s">
        <v>474</v>
      </c>
      <c r="B206" s="14">
        <v>0.03</v>
      </c>
    </row>
    <row r="207" spans="1:2">
      <c r="A207" s="15" t="s">
        <v>476</v>
      </c>
      <c r="B207" s="15">
        <v>0.05</v>
      </c>
    </row>
    <row r="208" spans="1:2">
      <c r="A208" s="14" t="s">
        <v>479</v>
      </c>
      <c r="B208" s="14">
        <v>0.01</v>
      </c>
    </row>
    <row r="209" spans="1:2">
      <c r="A209" s="15" t="s">
        <v>481</v>
      </c>
      <c r="B209" s="15">
        <v>0.01</v>
      </c>
    </row>
    <row r="210" spans="1:2">
      <c r="A210" s="14" t="s">
        <v>485</v>
      </c>
      <c r="B210" s="14">
        <v>0.02</v>
      </c>
    </row>
    <row r="211" spans="1:2">
      <c r="A211" s="15" t="s">
        <v>487</v>
      </c>
      <c r="B211" s="15">
        <v>0.03</v>
      </c>
    </row>
    <row r="212" spans="1:2">
      <c r="A212" s="14" t="s">
        <v>493</v>
      </c>
      <c r="B212" s="14">
        <v>0.03</v>
      </c>
    </row>
    <row r="213" spans="1:2">
      <c r="A213" s="15" t="s">
        <v>496</v>
      </c>
      <c r="B213" s="15">
        <v>0</v>
      </c>
    </row>
    <row r="214" spans="1:2">
      <c r="A214" s="14" t="s">
        <v>497</v>
      </c>
      <c r="B214" s="14">
        <v>0.05</v>
      </c>
    </row>
    <row r="215" spans="1:2">
      <c r="A215" s="15" t="s">
        <v>501</v>
      </c>
      <c r="B215" s="15">
        <v>0.01</v>
      </c>
    </row>
    <row r="216" spans="1:2">
      <c r="A216" s="14" t="s">
        <v>502</v>
      </c>
      <c r="B216" s="14">
        <v>0.05</v>
      </c>
    </row>
    <row r="217" spans="1:2">
      <c r="A217" s="15" t="s">
        <v>505</v>
      </c>
      <c r="B217" s="15">
        <v>0</v>
      </c>
    </row>
    <row r="218" spans="1:2">
      <c r="A218" s="14" t="s">
        <v>507</v>
      </c>
      <c r="B218" s="14">
        <v>0.04</v>
      </c>
    </row>
    <row r="219" spans="1:2">
      <c r="A219" s="15" t="s">
        <v>510</v>
      </c>
      <c r="B219" s="15">
        <v>0.04</v>
      </c>
    </row>
    <row r="220" spans="1:2">
      <c r="A220" s="14" t="s">
        <v>511</v>
      </c>
      <c r="B220" s="14">
        <v>0.01</v>
      </c>
    </row>
    <row r="221" spans="1:2">
      <c r="A221" s="15" t="s">
        <v>515</v>
      </c>
      <c r="B221" s="15">
        <v>0.05</v>
      </c>
    </row>
    <row r="222" spans="1:2">
      <c r="A222" s="14" t="s">
        <v>518</v>
      </c>
      <c r="B222" s="14">
        <v>0.01</v>
      </c>
    </row>
    <row r="223" spans="1:2">
      <c r="A223" s="15" t="s">
        <v>522</v>
      </c>
      <c r="B223" s="15">
        <v>0.03</v>
      </c>
    </row>
    <row r="224" spans="1:2">
      <c r="A224" s="14" t="s">
        <v>524</v>
      </c>
      <c r="B224" s="14">
        <v>0</v>
      </c>
    </row>
    <row r="225" spans="1:2">
      <c r="A225" s="15" t="s">
        <v>532</v>
      </c>
      <c r="B225" s="15">
        <v>0.02</v>
      </c>
    </row>
    <row r="226" spans="1:2">
      <c r="A226" s="14" t="s">
        <v>535</v>
      </c>
      <c r="B226" s="14">
        <v>0.05</v>
      </c>
    </row>
    <row r="227" spans="1:2">
      <c r="A227" s="15" t="s">
        <v>537</v>
      </c>
      <c r="B227" s="15">
        <v>0.04</v>
      </c>
    </row>
    <row r="228" spans="1:2">
      <c r="A228" s="14" t="s">
        <v>539</v>
      </c>
      <c r="B228" s="14">
        <v>0.05</v>
      </c>
    </row>
    <row r="229" spans="1:2">
      <c r="A229" s="15" t="s">
        <v>541</v>
      </c>
      <c r="B229" s="15">
        <v>0</v>
      </c>
    </row>
    <row r="230" spans="1:2">
      <c r="A230" s="14" t="s">
        <v>545</v>
      </c>
      <c r="B230" s="14">
        <v>0.05</v>
      </c>
    </row>
    <row r="231" spans="1:2">
      <c r="A231" s="15" t="s">
        <v>555</v>
      </c>
      <c r="B231" s="15">
        <v>0.03</v>
      </c>
    </row>
    <row r="232" spans="1:2">
      <c r="A232" s="14" t="s">
        <v>558</v>
      </c>
      <c r="B232" s="14">
        <v>0</v>
      </c>
    </row>
    <row r="233" spans="1:2">
      <c r="A233" s="15" t="s">
        <v>565</v>
      </c>
      <c r="B233" s="15">
        <v>0.03</v>
      </c>
    </row>
    <row r="234" spans="1:2">
      <c r="A234" s="14" t="s">
        <v>578</v>
      </c>
      <c r="B234" s="14">
        <v>0.05</v>
      </c>
    </row>
    <row r="235" spans="1:2">
      <c r="A235" s="15" t="s">
        <v>583</v>
      </c>
      <c r="B235" s="15">
        <v>0.01</v>
      </c>
    </row>
    <row r="236" spans="1:2">
      <c r="A236" s="14" t="s">
        <v>584</v>
      </c>
      <c r="B236" s="14">
        <v>0.01</v>
      </c>
    </row>
    <row r="237" spans="1:2">
      <c r="A237" s="15" t="s">
        <v>586</v>
      </c>
      <c r="B237" s="15">
        <v>0.05</v>
      </c>
    </row>
    <row r="238" spans="1:2">
      <c r="A238" s="14" t="s">
        <v>588</v>
      </c>
      <c r="B238" s="14">
        <v>0</v>
      </c>
    </row>
    <row r="239" spans="1:2">
      <c r="A239" s="15" t="s">
        <v>592</v>
      </c>
      <c r="B239" s="15">
        <v>0.02</v>
      </c>
    </row>
    <row r="240" spans="1:2">
      <c r="A240" s="14" t="s">
        <v>594</v>
      </c>
      <c r="B240" s="14">
        <v>0.03</v>
      </c>
    </row>
    <row r="241" spans="1:2">
      <c r="A241" s="15" t="s">
        <v>597</v>
      </c>
      <c r="B241" s="15">
        <v>0.05</v>
      </c>
    </row>
    <row r="242" spans="1:2">
      <c r="A242" s="14" t="s">
        <v>600</v>
      </c>
      <c r="B242" s="14">
        <v>0.04</v>
      </c>
    </row>
    <row r="243" spans="1:2">
      <c r="A243" s="15" t="s">
        <v>603</v>
      </c>
      <c r="B243" s="15">
        <v>0.04</v>
      </c>
    </row>
    <row r="244" spans="1:2">
      <c r="A244" s="14" t="s">
        <v>605</v>
      </c>
      <c r="B244" s="14">
        <v>0.05</v>
      </c>
    </row>
    <row r="245" spans="1:2">
      <c r="A245" s="15" t="s">
        <v>610</v>
      </c>
      <c r="B245" s="15">
        <v>0.02</v>
      </c>
    </row>
    <row r="246" spans="1:2">
      <c r="A246" s="14" t="s">
        <v>613</v>
      </c>
      <c r="B246" s="14">
        <v>0.02</v>
      </c>
    </row>
    <row r="247" spans="1:2">
      <c r="A247" s="15" t="s">
        <v>617</v>
      </c>
      <c r="B247" s="15">
        <v>0</v>
      </c>
    </row>
    <row r="248" spans="1:2">
      <c r="A248" s="14" t="s">
        <v>622</v>
      </c>
      <c r="B248" s="14">
        <v>0</v>
      </c>
    </row>
    <row r="249" spans="1:2">
      <c r="A249" s="15" t="s">
        <v>640</v>
      </c>
      <c r="B249" s="15">
        <v>0</v>
      </c>
    </row>
    <row r="250" spans="1:2">
      <c r="A250" s="14" t="s">
        <v>642</v>
      </c>
      <c r="B250" s="14">
        <v>0</v>
      </c>
    </row>
    <row r="251" spans="1:2">
      <c r="A251" s="15" t="s">
        <v>649</v>
      </c>
      <c r="B251" s="15">
        <v>0.01</v>
      </c>
    </row>
    <row r="252" spans="1:2">
      <c r="A252" s="14" t="s">
        <v>654</v>
      </c>
      <c r="B252" s="14">
        <v>0.02</v>
      </c>
    </row>
    <row r="253" spans="1:2">
      <c r="A253" s="15" t="s">
        <v>659</v>
      </c>
      <c r="B253" s="15">
        <v>0</v>
      </c>
    </row>
    <row r="254" spans="1:2">
      <c r="A254" s="14" t="s">
        <v>670</v>
      </c>
      <c r="B254" s="14">
        <v>0.02</v>
      </c>
    </row>
    <row r="255" spans="1:2">
      <c r="A255" s="15" t="s">
        <v>672</v>
      </c>
      <c r="B255" s="15">
        <v>0.02</v>
      </c>
    </row>
    <row r="256" spans="1:2">
      <c r="A256" s="14" t="s">
        <v>674</v>
      </c>
      <c r="B256" s="14">
        <v>0.04</v>
      </c>
    </row>
    <row r="257" spans="1:2">
      <c r="A257" s="15" t="s">
        <v>684</v>
      </c>
      <c r="B257" s="15">
        <v>0.04</v>
      </c>
    </row>
    <row r="258" spans="1:2">
      <c r="A258" s="14" t="s">
        <v>687</v>
      </c>
      <c r="B258" s="14">
        <v>0</v>
      </c>
    </row>
    <row r="259" spans="1:2">
      <c r="A259" s="15" t="s">
        <v>695</v>
      </c>
      <c r="B259" s="15">
        <v>0.03</v>
      </c>
    </row>
    <row r="260" spans="1:2">
      <c r="A260" s="14" t="s">
        <v>710</v>
      </c>
      <c r="B260" s="14">
        <v>0.05</v>
      </c>
    </row>
    <row r="261" spans="1:2">
      <c r="A261" s="15" t="s">
        <v>712</v>
      </c>
      <c r="B261" s="15">
        <v>0.03</v>
      </c>
    </row>
    <row r="262" spans="1:2">
      <c r="A262" s="14" t="s">
        <v>716</v>
      </c>
      <c r="B262" s="14">
        <v>0.05</v>
      </c>
    </row>
    <row r="263" spans="1:2">
      <c r="A263" s="15" t="s">
        <v>729</v>
      </c>
      <c r="B263" s="15">
        <v>0.04</v>
      </c>
    </row>
    <row r="264" spans="1:2">
      <c r="A264" s="14" t="s">
        <v>736</v>
      </c>
      <c r="B264" s="14">
        <v>0.05</v>
      </c>
    </row>
    <row r="265" spans="1:2">
      <c r="A265" s="15" t="s">
        <v>743</v>
      </c>
      <c r="B265" s="15">
        <v>0.05</v>
      </c>
    </row>
    <row r="266" spans="1:2">
      <c r="A266" s="14" t="s">
        <v>745</v>
      </c>
      <c r="B266" s="14">
        <v>0.05</v>
      </c>
    </row>
    <row r="267" spans="1:2">
      <c r="A267" s="15" t="s">
        <v>750</v>
      </c>
      <c r="B267" s="15">
        <v>0.04</v>
      </c>
    </row>
    <row r="268" spans="1:2">
      <c r="A268" s="14" t="s">
        <v>760</v>
      </c>
      <c r="B268" s="14">
        <v>0</v>
      </c>
    </row>
    <row r="269" spans="1:2">
      <c r="A269" s="15" t="s">
        <v>776</v>
      </c>
      <c r="B269" s="15">
        <v>0</v>
      </c>
    </row>
    <row r="270" spans="1:2">
      <c r="A270" s="14" t="s">
        <v>778</v>
      </c>
      <c r="B270" s="14">
        <v>0.02</v>
      </c>
    </row>
    <row r="271" spans="1:2">
      <c r="A271" s="15" t="s">
        <v>785</v>
      </c>
      <c r="B271" s="15">
        <v>0.02</v>
      </c>
    </row>
    <row r="272" spans="1:2">
      <c r="A272" s="14" t="s">
        <v>795</v>
      </c>
      <c r="B272" s="14">
        <v>0.03</v>
      </c>
    </row>
    <row r="273" spans="1:2">
      <c r="A273" s="15" t="s">
        <v>810</v>
      </c>
      <c r="B273" s="15">
        <v>0.03</v>
      </c>
    </row>
    <row r="274" spans="1:2">
      <c r="A274" s="14" t="s">
        <v>830</v>
      </c>
      <c r="B274" s="14">
        <v>0</v>
      </c>
    </row>
    <row r="275" spans="1:2">
      <c r="A275" s="15" t="s">
        <v>840</v>
      </c>
      <c r="B275" s="15">
        <v>0.02</v>
      </c>
    </row>
    <row r="276" spans="1:2">
      <c r="A276" s="14" t="s">
        <v>842</v>
      </c>
      <c r="B276" s="14">
        <v>0</v>
      </c>
    </row>
    <row r="277" spans="1:2">
      <c r="A277" s="15" t="s">
        <v>847</v>
      </c>
      <c r="B277" s="15">
        <v>0.02</v>
      </c>
    </row>
    <row r="278" spans="1:2">
      <c r="A278" s="14" t="s">
        <v>850</v>
      </c>
      <c r="B278" s="14">
        <v>0.01</v>
      </c>
    </row>
    <row r="279" spans="1:2">
      <c r="A279" s="15" t="s">
        <v>854</v>
      </c>
      <c r="B279" s="15">
        <v>0.02</v>
      </c>
    </row>
    <row r="280" spans="1:2">
      <c r="A280" s="14" t="s">
        <v>859</v>
      </c>
      <c r="B280" s="14">
        <v>0.05</v>
      </c>
    </row>
    <row r="281" spans="1:2">
      <c r="A281" s="15" t="s">
        <v>861</v>
      </c>
      <c r="B281" s="15">
        <v>0.02</v>
      </c>
    </row>
    <row r="282" spans="1:2">
      <c r="A282" s="14" t="s">
        <v>877</v>
      </c>
      <c r="B282" s="14">
        <v>0.02</v>
      </c>
    </row>
    <row r="283" spans="1:2">
      <c r="A283" s="15" t="s">
        <v>882</v>
      </c>
      <c r="B283" s="15">
        <v>0.05</v>
      </c>
    </row>
    <row r="284" spans="1:2">
      <c r="A284" s="14" t="s">
        <v>892</v>
      </c>
      <c r="B284" s="14">
        <v>0</v>
      </c>
    </row>
    <row r="285" spans="1:2">
      <c r="A285" s="15" t="s">
        <v>909</v>
      </c>
      <c r="B285" s="15">
        <v>0.02</v>
      </c>
    </row>
    <row r="286" spans="1:2">
      <c r="A286" s="14" t="s">
        <v>911</v>
      </c>
      <c r="B286" s="14">
        <v>0.03</v>
      </c>
    </row>
    <row r="287" spans="1:2">
      <c r="A287" s="15" t="s">
        <v>924</v>
      </c>
      <c r="B287" s="15">
        <v>0</v>
      </c>
    </row>
    <row r="288" spans="1:2">
      <c r="A288" s="14" t="s">
        <v>926</v>
      </c>
      <c r="B288" s="14">
        <v>0.02</v>
      </c>
    </row>
    <row r="289" spans="1:2">
      <c r="A289" s="15" t="s">
        <v>930</v>
      </c>
      <c r="B289" s="15">
        <v>0.01</v>
      </c>
    </row>
    <row r="290" spans="1:2">
      <c r="A290" s="14" t="s">
        <v>932</v>
      </c>
      <c r="B290" s="14">
        <v>0.02</v>
      </c>
    </row>
    <row r="291" spans="1:2">
      <c r="A291" s="15" t="s">
        <v>1003</v>
      </c>
      <c r="B291" s="15">
        <v>0.03</v>
      </c>
    </row>
    <row r="292" spans="1:2">
      <c r="A292" s="14" t="s">
        <v>1013</v>
      </c>
      <c r="B292" s="14">
        <v>0.05</v>
      </c>
    </row>
    <row r="293" spans="1:2">
      <c r="A293" s="15" t="s">
        <v>1026</v>
      </c>
      <c r="B293" s="15">
        <v>0.05</v>
      </c>
    </row>
    <row r="294" spans="1:2">
      <c r="A294" s="14" t="s">
        <v>1048</v>
      </c>
      <c r="B294" s="14">
        <v>0.03</v>
      </c>
    </row>
    <row r="295" spans="1:2">
      <c r="A295" s="15" t="s">
        <v>1087</v>
      </c>
      <c r="B295" s="15">
        <v>0.01</v>
      </c>
    </row>
    <row r="296" spans="1:2">
      <c r="A296" s="14" t="s">
        <v>1149</v>
      </c>
      <c r="B296" s="14">
        <v>0.03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E4ED5-6387-42A3-ACE2-01B1534A0D3B}">
  <sheetPr>
    <tabColor rgb="FFC00000"/>
  </sheetPr>
  <dimension ref="A1:B296"/>
  <sheetViews>
    <sheetView workbookViewId="0"/>
  </sheetViews>
  <sheetFormatPr defaultRowHeight="14.45"/>
  <cols>
    <col min="1" max="2" width="16.7109375" bestFit="1" customWidth="1"/>
  </cols>
  <sheetData>
    <row r="1" spans="1:2" ht="15.6">
      <c r="A1" s="13" t="s">
        <v>1704</v>
      </c>
      <c r="B1" s="13" t="s">
        <v>1705</v>
      </c>
    </row>
    <row r="2" spans="1:2">
      <c r="A2" s="14" t="s">
        <v>28</v>
      </c>
      <c r="B2" s="14">
        <v>0.01</v>
      </c>
    </row>
    <row r="3" spans="1:2">
      <c r="A3" s="15" t="s">
        <v>31</v>
      </c>
      <c r="B3" s="15">
        <v>0.01</v>
      </c>
    </row>
    <row r="4" spans="1:2">
      <c r="A4" s="14" t="s">
        <v>34</v>
      </c>
      <c r="B4" s="14">
        <v>0.01</v>
      </c>
    </row>
    <row r="5" spans="1:2">
      <c r="A5" s="15" t="s">
        <v>37</v>
      </c>
      <c r="B5" s="15">
        <v>0.03</v>
      </c>
    </row>
    <row r="6" spans="1:2">
      <c r="A6" s="14" t="s">
        <v>39</v>
      </c>
      <c r="B6" s="14">
        <v>0.05</v>
      </c>
    </row>
    <row r="7" spans="1:2">
      <c r="A7" s="15" t="s">
        <v>42</v>
      </c>
      <c r="B7" s="15">
        <v>0.03</v>
      </c>
    </row>
    <row r="8" spans="1:2">
      <c r="A8" s="14" t="s">
        <v>45</v>
      </c>
      <c r="B8" s="14">
        <v>0.04</v>
      </c>
    </row>
    <row r="9" spans="1:2">
      <c r="A9" s="15" t="s">
        <v>47</v>
      </c>
      <c r="B9" s="15">
        <v>0</v>
      </c>
    </row>
    <row r="10" spans="1:2">
      <c r="A10" s="14" t="s">
        <v>49</v>
      </c>
      <c r="B10" s="14">
        <v>0.01</v>
      </c>
    </row>
    <row r="11" spans="1:2">
      <c r="A11" s="15" t="s">
        <v>52</v>
      </c>
      <c r="B11" s="15">
        <v>0.05</v>
      </c>
    </row>
    <row r="12" spans="1:2">
      <c r="A12" s="14" t="s">
        <v>55</v>
      </c>
      <c r="B12" s="14">
        <v>0.05</v>
      </c>
    </row>
    <row r="13" spans="1:2">
      <c r="A13" s="15" t="s">
        <v>57</v>
      </c>
      <c r="B13" s="15">
        <v>0.05</v>
      </c>
    </row>
    <row r="14" spans="1:2">
      <c r="A14" s="14" t="s">
        <v>58</v>
      </c>
      <c r="B14" s="14">
        <v>0</v>
      </c>
    </row>
    <row r="15" spans="1:2">
      <c r="A15" s="15" t="s">
        <v>60</v>
      </c>
      <c r="B15" s="15">
        <v>0</v>
      </c>
    </row>
    <row r="16" spans="1:2">
      <c r="A16" s="14" t="s">
        <v>62</v>
      </c>
      <c r="B16" s="14">
        <v>0.04</v>
      </c>
    </row>
    <row r="17" spans="1:2">
      <c r="A17" s="15" t="s">
        <v>64</v>
      </c>
      <c r="B17" s="15">
        <v>0.05</v>
      </c>
    </row>
    <row r="18" spans="1:2">
      <c r="A18" s="14" t="s">
        <v>65</v>
      </c>
      <c r="B18" s="14">
        <v>0.04</v>
      </c>
    </row>
    <row r="19" spans="1:2">
      <c r="A19" s="15" t="s">
        <v>67</v>
      </c>
      <c r="B19" s="15">
        <v>0.05</v>
      </c>
    </row>
    <row r="20" spans="1:2">
      <c r="A20" s="14" t="s">
        <v>69</v>
      </c>
      <c r="B20" s="14">
        <v>0.02</v>
      </c>
    </row>
    <row r="21" spans="1:2">
      <c r="A21" s="15" t="s">
        <v>71</v>
      </c>
      <c r="B21" s="15">
        <v>0</v>
      </c>
    </row>
    <row r="22" spans="1:2">
      <c r="A22" s="14" t="s">
        <v>73</v>
      </c>
      <c r="B22" s="14">
        <v>0.04</v>
      </c>
    </row>
    <row r="23" spans="1:2">
      <c r="A23" s="15" t="s">
        <v>74</v>
      </c>
      <c r="B23" s="15">
        <v>0.02</v>
      </c>
    </row>
    <row r="24" spans="1:2">
      <c r="A24" s="14" t="s">
        <v>76</v>
      </c>
      <c r="B24" s="14">
        <v>0.03</v>
      </c>
    </row>
    <row r="25" spans="1:2">
      <c r="A25" s="15" t="s">
        <v>78</v>
      </c>
      <c r="B25" s="15">
        <v>0.04</v>
      </c>
    </row>
    <row r="26" spans="1:2">
      <c r="A26" s="14" t="s">
        <v>80</v>
      </c>
      <c r="B26" s="14">
        <v>0</v>
      </c>
    </row>
    <row r="27" spans="1:2">
      <c r="A27" s="15" t="s">
        <v>82</v>
      </c>
      <c r="B27" s="15">
        <v>0.05</v>
      </c>
    </row>
    <row r="28" spans="1:2">
      <c r="A28" s="14" t="s">
        <v>83</v>
      </c>
      <c r="B28" s="14">
        <v>0.01</v>
      </c>
    </row>
    <row r="29" spans="1:2">
      <c r="A29" s="15" t="s">
        <v>84</v>
      </c>
      <c r="B29" s="15">
        <v>0.01</v>
      </c>
    </row>
    <row r="30" spans="1:2">
      <c r="A30" s="14" t="s">
        <v>86</v>
      </c>
      <c r="B30" s="14">
        <v>0.04</v>
      </c>
    </row>
    <row r="31" spans="1:2">
      <c r="A31" s="15" t="s">
        <v>88</v>
      </c>
      <c r="B31" s="15">
        <v>0.01</v>
      </c>
    </row>
    <row r="32" spans="1:2">
      <c r="A32" s="14" t="s">
        <v>90</v>
      </c>
      <c r="B32" s="14">
        <v>0.02</v>
      </c>
    </row>
    <row r="33" spans="1:2">
      <c r="A33" s="15" t="s">
        <v>91</v>
      </c>
      <c r="B33" s="15">
        <v>0.04</v>
      </c>
    </row>
    <row r="34" spans="1:2">
      <c r="A34" s="14" t="s">
        <v>93</v>
      </c>
      <c r="B34" s="14">
        <v>0.02</v>
      </c>
    </row>
    <row r="35" spans="1:2">
      <c r="A35" s="15" t="s">
        <v>94</v>
      </c>
      <c r="B35" s="15">
        <v>0.05</v>
      </c>
    </row>
    <row r="36" spans="1:2">
      <c r="A36" s="14" t="s">
        <v>97</v>
      </c>
      <c r="B36" s="14">
        <v>0.04</v>
      </c>
    </row>
    <row r="37" spans="1:2">
      <c r="A37" s="15" t="s">
        <v>98</v>
      </c>
      <c r="B37" s="15">
        <v>0.02</v>
      </c>
    </row>
    <row r="38" spans="1:2">
      <c r="A38" s="14" t="s">
        <v>100</v>
      </c>
      <c r="B38" s="14">
        <v>0</v>
      </c>
    </row>
    <row r="39" spans="1:2">
      <c r="A39" s="15" t="s">
        <v>102</v>
      </c>
      <c r="B39" s="15">
        <v>0</v>
      </c>
    </row>
    <row r="40" spans="1:2">
      <c r="A40" s="14" t="s">
        <v>103</v>
      </c>
      <c r="B40" s="14">
        <v>0.03</v>
      </c>
    </row>
    <row r="41" spans="1:2">
      <c r="A41" s="15" t="s">
        <v>105</v>
      </c>
      <c r="B41" s="15">
        <v>0.04</v>
      </c>
    </row>
    <row r="42" spans="1:2">
      <c r="A42" s="14" t="s">
        <v>107</v>
      </c>
      <c r="B42" s="14">
        <v>0.04</v>
      </c>
    </row>
    <row r="43" spans="1:2">
      <c r="A43" s="15" t="s">
        <v>110</v>
      </c>
      <c r="B43" s="15">
        <v>0.04</v>
      </c>
    </row>
    <row r="44" spans="1:2">
      <c r="A44" s="14" t="s">
        <v>112</v>
      </c>
      <c r="B44" s="14">
        <v>0</v>
      </c>
    </row>
    <row r="45" spans="1:2">
      <c r="A45" s="15" t="s">
        <v>114</v>
      </c>
      <c r="B45" s="15">
        <v>0</v>
      </c>
    </row>
    <row r="46" spans="1:2">
      <c r="A46" s="14" t="s">
        <v>116</v>
      </c>
      <c r="B46" s="14">
        <v>0.05</v>
      </c>
    </row>
    <row r="47" spans="1:2">
      <c r="A47" s="15" t="s">
        <v>118</v>
      </c>
      <c r="B47" s="15">
        <v>0.04</v>
      </c>
    </row>
    <row r="48" spans="1:2">
      <c r="A48" s="14" t="s">
        <v>120</v>
      </c>
      <c r="B48" s="14">
        <v>0.05</v>
      </c>
    </row>
    <row r="49" spans="1:2">
      <c r="A49" s="15" t="s">
        <v>122</v>
      </c>
      <c r="B49" s="15">
        <v>0.03</v>
      </c>
    </row>
    <row r="50" spans="1:2">
      <c r="A50" s="14" t="s">
        <v>123</v>
      </c>
      <c r="B50" s="14">
        <v>0</v>
      </c>
    </row>
    <row r="51" spans="1:2">
      <c r="A51" s="15" t="s">
        <v>125</v>
      </c>
      <c r="B51" s="15">
        <v>0.02</v>
      </c>
    </row>
    <row r="52" spans="1:2">
      <c r="A52" s="14" t="s">
        <v>126</v>
      </c>
      <c r="B52" s="14">
        <v>0.03</v>
      </c>
    </row>
    <row r="53" spans="1:2">
      <c r="A53" s="15" t="s">
        <v>128</v>
      </c>
      <c r="B53" s="15">
        <v>0.01</v>
      </c>
    </row>
    <row r="54" spans="1:2">
      <c r="A54" s="14" t="s">
        <v>130</v>
      </c>
      <c r="B54" s="14">
        <v>0.02</v>
      </c>
    </row>
    <row r="55" spans="1:2">
      <c r="A55" s="15" t="s">
        <v>131</v>
      </c>
      <c r="B55" s="15">
        <v>0.01</v>
      </c>
    </row>
    <row r="56" spans="1:2">
      <c r="A56" s="14" t="s">
        <v>133</v>
      </c>
      <c r="B56" s="14">
        <v>0.01</v>
      </c>
    </row>
    <row r="57" spans="1:2">
      <c r="A57" s="15" t="s">
        <v>135</v>
      </c>
      <c r="B57" s="15">
        <v>0.04</v>
      </c>
    </row>
    <row r="58" spans="1:2">
      <c r="A58" s="14" t="s">
        <v>137</v>
      </c>
      <c r="B58" s="14">
        <v>0.04</v>
      </c>
    </row>
    <row r="59" spans="1:2">
      <c r="A59" s="15" t="s">
        <v>140</v>
      </c>
      <c r="B59" s="15">
        <v>0.03</v>
      </c>
    </row>
    <row r="60" spans="1:2">
      <c r="A60" s="14" t="s">
        <v>141</v>
      </c>
      <c r="B60" s="14">
        <v>0.05</v>
      </c>
    </row>
    <row r="61" spans="1:2">
      <c r="A61" s="15" t="s">
        <v>143</v>
      </c>
      <c r="B61" s="15">
        <v>0.03</v>
      </c>
    </row>
    <row r="62" spans="1:2">
      <c r="A62" s="14" t="s">
        <v>145</v>
      </c>
      <c r="B62" s="14">
        <v>0.05</v>
      </c>
    </row>
    <row r="63" spans="1:2">
      <c r="A63" s="15" t="s">
        <v>147</v>
      </c>
      <c r="B63" s="15">
        <v>0.05</v>
      </c>
    </row>
    <row r="64" spans="1:2">
      <c r="A64" s="14" t="s">
        <v>149</v>
      </c>
      <c r="B64" s="14">
        <v>0.03</v>
      </c>
    </row>
    <row r="65" spans="1:2">
      <c r="A65" s="15" t="s">
        <v>151</v>
      </c>
      <c r="B65" s="15">
        <v>0.05</v>
      </c>
    </row>
    <row r="66" spans="1:2">
      <c r="A66" s="14" t="s">
        <v>153</v>
      </c>
      <c r="B66" s="14">
        <v>0.02</v>
      </c>
    </row>
    <row r="67" spans="1:2">
      <c r="A67" s="15" t="s">
        <v>154</v>
      </c>
      <c r="B67" s="15">
        <v>0.02</v>
      </c>
    </row>
    <row r="68" spans="1:2">
      <c r="A68" s="14" t="s">
        <v>156</v>
      </c>
      <c r="B68" s="14">
        <v>0</v>
      </c>
    </row>
    <row r="69" spans="1:2">
      <c r="A69" s="15" t="s">
        <v>158</v>
      </c>
      <c r="B69" s="15">
        <v>0.03</v>
      </c>
    </row>
    <row r="70" spans="1:2">
      <c r="A70" s="14" t="s">
        <v>160</v>
      </c>
      <c r="B70" s="14">
        <v>0.02</v>
      </c>
    </row>
    <row r="71" spans="1:2">
      <c r="A71" s="15" t="s">
        <v>162</v>
      </c>
      <c r="B71" s="15">
        <v>0</v>
      </c>
    </row>
    <row r="72" spans="1:2">
      <c r="A72" s="14" t="s">
        <v>164</v>
      </c>
      <c r="B72" s="14">
        <v>0.02</v>
      </c>
    </row>
    <row r="73" spans="1:2">
      <c r="A73" s="15" t="s">
        <v>166</v>
      </c>
      <c r="B73" s="15">
        <v>0.01</v>
      </c>
    </row>
    <row r="74" spans="1:2">
      <c r="A74" s="14" t="s">
        <v>168</v>
      </c>
      <c r="B74" s="14">
        <v>0.01</v>
      </c>
    </row>
    <row r="75" spans="1:2">
      <c r="A75" s="15" t="s">
        <v>170</v>
      </c>
      <c r="B75" s="15">
        <v>0</v>
      </c>
    </row>
    <row r="76" spans="1:2">
      <c r="A76" s="14" t="s">
        <v>172</v>
      </c>
      <c r="B76" s="14">
        <v>0</v>
      </c>
    </row>
    <row r="77" spans="1:2">
      <c r="A77" s="15" t="s">
        <v>174</v>
      </c>
      <c r="B77" s="15">
        <v>0.01</v>
      </c>
    </row>
    <row r="78" spans="1:2">
      <c r="A78" s="14" t="s">
        <v>176</v>
      </c>
      <c r="B78" s="14">
        <v>0.04</v>
      </c>
    </row>
    <row r="79" spans="1:2">
      <c r="A79" s="15" t="s">
        <v>178</v>
      </c>
      <c r="B79" s="15">
        <v>0.01</v>
      </c>
    </row>
    <row r="80" spans="1:2">
      <c r="A80" s="14" t="s">
        <v>180</v>
      </c>
      <c r="B80" s="14">
        <v>0</v>
      </c>
    </row>
    <row r="81" spans="1:2">
      <c r="A81" s="15" t="s">
        <v>182</v>
      </c>
      <c r="B81" s="15">
        <v>0.04</v>
      </c>
    </row>
    <row r="82" spans="1:2">
      <c r="A82" s="14" t="s">
        <v>184</v>
      </c>
      <c r="B82" s="14">
        <v>0.02</v>
      </c>
    </row>
    <row r="83" spans="1:2">
      <c r="A83" s="15" t="s">
        <v>186</v>
      </c>
      <c r="B83" s="15">
        <v>0.03</v>
      </c>
    </row>
    <row r="84" spans="1:2">
      <c r="A84" s="14" t="s">
        <v>188</v>
      </c>
      <c r="B84" s="14">
        <v>0.02</v>
      </c>
    </row>
    <row r="85" spans="1:2">
      <c r="A85" s="15" t="s">
        <v>190</v>
      </c>
      <c r="B85" s="15">
        <v>0.04</v>
      </c>
    </row>
    <row r="86" spans="1:2">
      <c r="A86" s="14" t="s">
        <v>195</v>
      </c>
      <c r="B86" s="14">
        <v>0.04</v>
      </c>
    </row>
    <row r="87" spans="1:2">
      <c r="A87" s="15" t="s">
        <v>200</v>
      </c>
      <c r="B87" s="15">
        <v>0.03</v>
      </c>
    </row>
    <row r="88" spans="1:2">
      <c r="A88" s="14" t="s">
        <v>203</v>
      </c>
      <c r="B88" s="14">
        <v>0</v>
      </c>
    </row>
    <row r="89" spans="1:2">
      <c r="A89" s="15" t="s">
        <v>205</v>
      </c>
      <c r="B89" s="15">
        <v>0</v>
      </c>
    </row>
    <row r="90" spans="1:2">
      <c r="A90" s="14" t="s">
        <v>206</v>
      </c>
      <c r="B90" s="14">
        <v>0.02</v>
      </c>
    </row>
    <row r="91" spans="1:2">
      <c r="A91" s="15" t="s">
        <v>208</v>
      </c>
      <c r="B91" s="15">
        <v>0.03</v>
      </c>
    </row>
    <row r="92" spans="1:2">
      <c r="A92" s="14" t="s">
        <v>211</v>
      </c>
      <c r="B92" s="14">
        <v>0</v>
      </c>
    </row>
    <row r="93" spans="1:2">
      <c r="A93" s="15" t="s">
        <v>213</v>
      </c>
      <c r="B93" s="15">
        <v>0.03</v>
      </c>
    </row>
    <row r="94" spans="1:2">
      <c r="A94" s="14" t="s">
        <v>216</v>
      </c>
      <c r="B94" s="14">
        <v>0.02</v>
      </c>
    </row>
    <row r="95" spans="1:2">
      <c r="A95" s="15" t="s">
        <v>218</v>
      </c>
      <c r="B95" s="15">
        <v>0.01</v>
      </c>
    </row>
    <row r="96" spans="1:2">
      <c r="A96" s="14" t="s">
        <v>221</v>
      </c>
      <c r="B96" s="14">
        <v>0.03</v>
      </c>
    </row>
    <row r="97" spans="1:2">
      <c r="A97" s="15" t="s">
        <v>223</v>
      </c>
      <c r="B97" s="15">
        <v>0.02</v>
      </c>
    </row>
    <row r="98" spans="1:2">
      <c r="A98" s="14" t="s">
        <v>226</v>
      </c>
      <c r="B98" s="14">
        <v>0</v>
      </c>
    </row>
    <row r="99" spans="1:2">
      <c r="A99" s="15" t="s">
        <v>227</v>
      </c>
      <c r="B99" s="15">
        <v>0.04</v>
      </c>
    </row>
    <row r="100" spans="1:2">
      <c r="A100" s="14" t="s">
        <v>231</v>
      </c>
      <c r="B100" s="14">
        <v>0.04</v>
      </c>
    </row>
    <row r="101" spans="1:2">
      <c r="A101" s="15" t="s">
        <v>232</v>
      </c>
      <c r="B101" s="15">
        <v>0.05</v>
      </c>
    </row>
    <row r="102" spans="1:2">
      <c r="A102" s="14" t="s">
        <v>236</v>
      </c>
      <c r="B102" s="14">
        <v>0</v>
      </c>
    </row>
    <row r="103" spans="1:2">
      <c r="A103" s="15" t="s">
        <v>238</v>
      </c>
      <c r="B103" s="15">
        <v>0.02</v>
      </c>
    </row>
    <row r="104" spans="1:2">
      <c r="A104" s="14" t="s">
        <v>240</v>
      </c>
      <c r="B104" s="14">
        <v>0.02</v>
      </c>
    </row>
    <row r="105" spans="1:2">
      <c r="A105" s="15" t="s">
        <v>241</v>
      </c>
      <c r="B105" s="15">
        <v>0.04</v>
      </c>
    </row>
    <row r="106" spans="1:2">
      <c r="A106" s="14" t="s">
        <v>245</v>
      </c>
      <c r="B106" s="14">
        <v>0.04</v>
      </c>
    </row>
    <row r="107" spans="1:2">
      <c r="A107" s="15" t="s">
        <v>247</v>
      </c>
      <c r="B107" s="15">
        <v>0.02</v>
      </c>
    </row>
    <row r="108" spans="1:2">
      <c r="A108" s="14" t="s">
        <v>249</v>
      </c>
      <c r="B108" s="14">
        <v>0</v>
      </c>
    </row>
    <row r="109" spans="1:2">
      <c r="A109" s="15" t="s">
        <v>250</v>
      </c>
      <c r="B109" s="15">
        <v>0.01</v>
      </c>
    </row>
    <row r="110" spans="1:2">
      <c r="A110" s="14" t="s">
        <v>252</v>
      </c>
      <c r="B110" s="14">
        <v>0.05</v>
      </c>
    </row>
    <row r="111" spans="1:2">
      <c r="A111" s="15" t="s">
        <v>254</v>
      </c>
      <c r="B111" s="15">
        <v>0.04</v>
      </c>
    </row>
    <row r="112" spans="1:2">
      <c r="A112" s="14" t="s">
        <v>256</v>
      </c>
      <c r="B112" s="14">
        <v>0.01</v>
      </c>
    </row>
    <row r="113" spans="1:2">
      <c r="A113" s="15" t="s">
        <v>257</v>
      </c>
      <c r="B113" s="15">
        <v>0.04</v>
      </c>
    </row>
    <row r="114" spans="1:2">
      <c r="A114" s="14" t="s">
        <v>259</v>
      </c>
      <c r="B114" s="14">
        <v>0.01</v>
      </c>
    </row>
    <row r="115" spans="1:2">
      <c r="A115" s="15" t="s">
        <v>263</v>
      </c>
      <c r="B115" s="15">
        <v>0</v>
      </c>
    </row>
    <row r="116" spans="1:2">
      <c r="A116" s="14" t="s">
        <v>265</v>
      </c>
      <c r="B116" s="14">
        <v>0.04</v>
      </c>
    </row>
    <row r="117" spans="1:2">
      <c r="A117" s="15" t="s">
        <v>268</v>
      </c>
      <c r="B117" s="15">
        <v>0</v>
      </c>
    </row>
    <row r="118" spans="1:2">
      <c r="A118" s="14" t="s">
        <v>269</v>
      </c>
      <c r="B118" s="14">
        <v>0.04</v>
      </c>
    </row>
    <row r="119" spans="1:2">
      <c r="A119" s="15" t="s">
        <v>275</v>
      </c>
      <c r="B119" s="15">
        <v>0.05</v>
      </c>
    </row>
    <row r="120" spans="1:2">
      <c r="A120" s="14" t="s">
        <v>277</v>
      </c>
      <c r="B120" s="14">
        <v>0.04</v>
      </c>
    </row>
    <row r="121" spans="1:2">
      <c r="A121" s="15" t="s">
        <v>281</v>
      </c>
      <c r="B121" s="15">
        <v>0.05</v>
      </c>
    </row>
    <row r="122" spans="1:2">
      <c r="A122" s="14" t="s">
        <v>284</v>
      </c>
      <c r="B122" s="14">
        <v>0.03</v>
      </c>
    </row>
    <row r="123" spans="1:2">
      <c r="A123" s="15" t="s">
        <v>285</v>
      </c>
      <c r="B123" s="15">
        <v>0.05</v>
      </c>
    </row>
    <row r="124" spans="1:2">
      <c r="A124" s="14" t="s">
        <v>286</v>
      </c>
      <c r="B124" s="14">
        <v>0.02</v>
      </c>
    </row>
    <row r="125" spans="1:2">
      <c r="A125" s="15" t="s">
        <v>289</v>
      </c>
      <c r="B125" s="15">
        <v>0.05</v>
      </c>
    </row>
    <row r="126" spans="1:2">
      <c r="A126" s="14" t="s">
        <v>291</v>
      </c>
      <c r="B126" s="14">
        <v>0.03</v>
      </c>
    </row>
    <row r="127" spans="1:2">
      <c r="A127" s="15" t="s">
        <v>295</v>
      </c>
      <c r="B127" s="15">
        <v>0</v>
      </c>
    </row>
    <row r="128" spans="1:2">
      <c r="A128" s="14" t="s">
        <v>296</v>
      </c>
      <c r="B128" s="14">
        <v>0.01</v>
      </c>
    </row>
    <row r="129" spans="1:2">
      <c r="A129" s="15" t="s">
        <v>298</v>
      </c>
      <c r="B129" s="15">
        <v>0.05</v>
      </c>
    </row>
    <row r="130" spans="1:2">
      <c r="A130" s="14" t="s">
        <v>299</v>
      </c>
      <c r="B130" s="14">
        <v>0.02</v>
      </c>
    </row>
    <row r="131" spans="1:2">
      <c r="A131" s="15" t="s">
        <v>300</v>
      </c>
      <c r="B131" s="15">
        <v>0.03</v>
      </c>
    </row>
    <row r="132" spans="1:2">
      <c r="A132" s="14" t="s">
        <v>302</v>
      </c>
      <c r="B132" s="14">
        <v>0</v>
      </c>
    </row>
    <row r="133" spans="1:2">
      <c r="A133" s="15" t="s">
        <v>303</v>
      </c>
      <c r="B133" s="15">
        <v>0.02</v>
      </c>
    </row>
    <row r="134" spans="1:2">
      <c r="A134" s="14" t="s">
        <v>305</v>
      </c>
      <c r="B134" s="14">
        <v>0.04</v>
      </c>
    </row>
    <row r="135" spans="1:2">
      <c r="A135" s="15" t="s">
        <v>307</v>
      </c>
      <c r="B135" s="15">
        <v>0.01</v>
      </c>
    </row>
    <row r="136" spans="1:2">
      <c r="A136" s="14" t="s">
        <v>309</v>
      </c>
      <c r="B136" s="14">
        <v>0.05</v>
      </c>
    </row>
    <row r="137" spans="1:2">
      <c r="A137" s="15" t="s">
        <v>311</v>
      </c>
      <c r="B137" s="15">
        <v>0</v>
      </c>
    </row>
    <row r="138" spans="1:2">
      <c r="A138" s="14" t="s">
        <v>312</v>
      </c>
      <c r="B138" s="14">
        <v>0.02</v>
      </c>
    </row>
    <row r="139" spans="1:2">
      <c r="A139" s="15" t="s">
        <v>315</v>
      </c>
      <c r="B139" s="15">
        <v>0.04</v>
      </c>
    </row>
    <row r="140" spans="1:2">
      <c r="A140" s="14" t="s">
        <v>316</v>
      </c>
      <c r="B140" s="14">
        <v>0.04</v>
      </c>
    </row>
    <row r="141" spans="1:2">
      <c r="A141" s="15" t="s">
        <v>318</v>
      </c>
      <c r="B141" s="15">
        <v>0.01</v>
      </c>
    </row>
    <row r="142" spans="1:2">
      <c r="A142" s="14" t="s">
        <v>320</v>
      </c>
      <c r="B142" s="14">
        <v>0</v>
      </c>
    </row>
    <row r="143" spans="1:2">
      <c r="A143" s="15" t="s">
        <v>321</v>
      </c>
      <c r="B143" s="15">
        <v>0</v>
      </c>
    </row>
    <row r="144" spans="1:2">
      <c r="A144" s="14" t="s">
        <v>322</v>
      </c>
      <c r="B144" s="14">
        <v>0.01</v>
      </c>
    </row>
    <row r="145" spans="1:2">
      <c r="A145" s="15" t="s">
        <v>324</v>
      </c>
      <c r="B145" s="15">
        <v>0.05</v>
      </c>
    </row>
    <row r="146" spans="1:2">
      <c r="A146" s="14" t="s">
        <v>327</v>
      </c>
      <c r="B146" s="14">
        <v>0.01</v>
      </c>
    </row>
    <row r="147" spans="1:2">
      <c r="A147" s="15" t="s">
        <v>329</v>
      </c>
      <c r="B147" s="15">
        <v>0.04</v>
      </c>
    </row>
    <row r="148" spans="1:2">
      <c r="A148" s="14" t="s">
        <v>330</v>
      </c>
      <c r="B148" s="14">
        <v>0.05</v>
      </c>
    </row>
    <row r="149" spans="1:2">
      <c r="A149" s="15" t="s">
        <v>333</v>
      </c>
      <c r="B149" s="15">
        <v>0.03</v>
      </c>
    </row>
    <row r="150" spans="1:2">
      <c r="A150" s="14" t="s">
        <v>335</v>
      </c>
      <c r="B150" s="14">
        <v>0.04</v>
      </c>
    </row>
    <row r="151" spans="1:2">
      <c r="A151" s="15" t="s">
        <v>337</v>
      </c>
      <c r="B151" s="15">
        <v>0.05</v>
      </c>
    </row>
    <row r="152" spans="1:2">
      <c r="A152" s="14" t="s">
        <v>339</v>
      </c>
      <c r="B152" s="14">
        <v>0.02</v>
      </c>
    </row>
    <row r="153" spans="1:2">
      <c r="A153" s="15" t="s">
        <v>341</v>
      </c>
      <c r="B153" s="15">
        <v>0.04</v>
      </c>
    </row>
    <row r="154" spans="1:2">
      <c r="A154" s="14" t="s">
        <v>343</v>
      </c>
      <c r="B154" s="14">
        <v>0.01</v>
      </c>
    </row>
    <row r="155" spans="1:2">
      <c r="A155" s="15" t="s">
        <v>345</v>
      </c>
      <c r="B155" s="15">
        <v>0.03</v>
      </c>
    </row>
    <row r="156" spans="1:2">
      <c r="A156" s="14" t="s">
        <v>347</v>
      </c>
      <c r="B156" s="14">
        <v>0.01</v>
      </c>
    </row>
    <row r="157" spans="1:2">
      <c r="A157" s="15" t="s">
        <v>348</v>
      </c>
      <c r="B157" s="15">
        <v>0.01</v>
      </c>
    </row>
    <row r="158" spans="1:2">
      <c r="A158" s="14" t="s">
        <v>352</v>
      </c>
      <c r="B158" s="14">
        <v>0</v>
      </c>
    </row>
    <row r="159" spans="1:2">
      <c r="A159" s="15" t="s">
        <v>355</v>
      </c>
      <c r="B159" s="15">
        <v>0.01</v>
      </c>
    </row>
    <row r="160" spans="1:2">
      <c r="A160" s="14" t="s">
        <v>356</v>
      </c>
      <c r="B160" s="14">
        <v>0.05</v>
      </c>
    </row>
    <row r="161" spans="1:2">
      <c r="A161" s="15" t="s">
        <v>358</v>
      </c>
      <c r="B161" s="15">
        <v>0.02</v>
      </c>
    </row>
    <row r="162" spans="1:2">
      <c r="A162" s="14" t="s">
        <v>361</v>
      </c>
      <c r="B162" s="14">
        <v>0.01</v>
      </c>
    </row>
    <row r="163" spans="1:2">
      <c r="A163" s="15" t="s">
        <v>362</v>
      </c>
      <c r="B163" s="15">
        <v>0.04</v>
      </c>
    </row>
    <row r="164" spans="1:2">
      <c r="A164" s="14" t="s">
        <v>364</v>
      </c>
      <c r="B164" s="14">
        <v>0.01</v>
      </c>
    </row>
    <row r="165" spans="1:2">
      <c r="A165" s="15" t="s">
        <v>367</v>
      </c>
      <c r="B165" s="15">
        <v>0.04</v>
      </c>
    </row>
    <row r="166" spans="1:2">
      <c r="A166" s="14" t="s">
        <v>368</v>
      </c>
      <c r="B166" s="14">
        <v>0</v>
      </c>
    </row>
    <row r="167" spans="1:2">
      <c r="A167" s="15" t="s">
        <v>370</v>
      </c>
      <c r="B167" s="15">
        <v>0</v>
      </c>
    </row>
    <row r="168" spans="1:2">
      <c r="A168" s="14" t="s">
        <v>371</v>
      </c>
      <c r="B168" s="14">
        <v>0.05</v>
      </c>
    </row>
    <row r="169" spans="1:2">
      <c r="A169" s="16" t="s">
        <v>375</v>
      </c>
      <c r="B169" s="16">
        <v>0.04</v>
      </c>
    </row>
    <row r="170" spans="1:2">
      <c r="A170" s="14" t="s">
        <v>377</v>
      </c>
      <c r="B170" s="14">
        <v>0.01</v>
      </c>
    </row>
    <row r="171" spans="1:2">
      <c r="A171" s="15" t="s">
        <v>379</v>
      </c>
      <c r="B171" s="15">
        <v>0.01</v>
      </c>
    </row>
    <row r="172" spans="1:2">
      <c r="A172" s="14" t="s">
        <v>381</v>
      </c>
      <c r="B172" s="14">
        <v>0.01</v>
      </c>
    </row>
    <row r="173" spans="1:2">
      <c r="A173" s="15" t="s">
        <v>388</v>
      </c>
      <c r="B173" s="15">
        <v>0.03</v>
      </c>
    </row>
    <row r="174" spans="1:2">
      <c r="A174" s="14" t="s">
        <v>390</v>
      </c>
      <c r="B174" s="14">
        <v>0.05</v>
      </c>
    </row>
    <row r="175" spans="1:2">
      <c r="A175" s="15" t="s">
        <v>391</v>
      </c>
      <c r="B175" s="15">
        <v>0.03</v>
      </c>
    </row>
    <row r="176" spans="1:2">
      <c r="A176" s="14" t="s">
        <v>394</v>
      </c>
      <c r="B176" s="14">
        <v>0.04</v>
      </c>
    </row>
    <row r="177" spans="1:2">
      <c r="A177" s="15" t="s">
        <v>395</v>
      </c>
      <c r="B177" s="15">
        <v>0</v>
      </c>
    </row>
    <row r="178" spans="1:2">
      <c r="A178" s="14" t="s">
        <v>403</v>
      </c>
      <c r="B178" s="14">
        <v>0.01</v>
      </c>
    </row>
    <row r="179" spans="1:2">
      <c r="A179" s="15" t="s">
        <v>406</v>
      </c>
      <c r="B179" s="15">
        <v>0.05</v>
      </c>
    </row>
    <row r="180" spans="1:2">
      <c r="A180" s="14" t="s">
        <v>408</v>
      </c>
      <c r="B180" s="14">
        <v>0.05</v>
      </c>
    </row>
    <row r="181" spans="1:2">
      <c r="A181" s="15" t="s">
        <v>412</v>
      </c>
      <c r="B181" s="15">
        <v>0.05</v>
      </c>
    </row>
    <row r="182" spans="1:2">
      <c r="A182" s="14" t="s">
        <v>414</v>
      </c>
      <c r="B182" s="14">
        <v>0</v>
      </c>
    </row>
    <row r="183" spans="1:2">
      <c r="A183" s="15" t="s">
        <v>416</v>
      </c>
      <c r="B183" s="15">
        <v>0</v>
      </c>
    </row>
    <row r="184" spans="1:2">
      <c r="A184" s="14" t="s">
        <v>420</v>
      </c>
      <c r="B184" s="14">
        <v>0.04</v>
      </c>
    </row>
    <row r="185" spans="1:2">
      <c r="A185" s="15" t="s">
        <v>423</v>
      </c>
      <c r="B185" s="15">
        <v>0.05</v>
      </c>
    </row>
    <row r="186" spans="1:2">
      <c r="A186" s="14" t="s">
        <v>425</v>
      </c>
      <c r="B186" s="14">
        <v>0.04</v>
      </c>
    </row>
    <row r="187" spans="1:2">
      <c r="A187" s="15" t="s">
        <v>428</v>
      </c>
      <c r="B187" s="15">
        <v>0.05</v>
      </c>
    </row>
    <row r="188" spans="1:2">
      <c r="A188" s="14" t="s">
        <v>429</v>
      </c>
      <c r="B188" s="14">
        <v>0.02</v>
      </c>
    </row>
    <row r="189" spans="1:2">
      <c r="A189" s="15" t="s">
        <v>432</v>
      </c>
      <c r="B189" s="15">
        <v>0</v>
      </c>
    </row>
    <row r="190" spans="1:2">
      <c r="A190" s="14" t="s">
        <v>434</v>
      </c>
      <c r="B190" s="14">
        <v>0.04</v>
      </c>
    </row>
    <row r="191" spans="1:2">
      <c r="A191" s="15" t="s">
        <v>436</v>
      </c>
      <c r="B191" s="15">
        <v>0.02</v>
      </c>
    </row>
    <row r="192" spans="1:2">
      <c r="A192" s="14" t="s">
        <v>439</v>
      </c>
      <c r="B192" s="14">
        <v>0.03</v>
      </c>
    </row>
    <row r="193" spans="1:2">
      <c r="A193" s="15" t="s">
        <v>443</v>
      </c>
      <c r="B193" s="15">
        <v>0.04</v>
      </c>
    </row>
    <row r="194" spans="1:2">
      <c r="A194" s="14" t="s">
        <v>445</v>
      </c>
      <c r="B194" s="14">
        <v>0</v>
      </c>
    </row>
    <row r="195" spans="1:2">
      <c r="A195" s="15" t="s">
        <v>446</v>
      </c>
      <c r="B195" s="15">
        <v>0.05</v>
      </c>
    </row>
    <row r="196" spans="1:2">
      <c r="A196" s="14" t="s">
        <v>449</v>
      </c>
      <c r="B196" s="14">
        <v>0.01</v>
      </c>
    </row>
    <row r="197" spans="1:2">
      <c r="A197" s="15" t="s">
        <v>451</v>
      </c>
      <c r="B197" s="15">
        <v>0.01</v>
      </c>
    </row>
    <row r="198" spans="1:2">
      <c r="A198" s="14" t="s">
        <v>453</v>
      </c>
      <c r="B198" s="14">
        <v>0.04</v>
      </c>
    </row>
    <row r="199" spans="1:2">
      <c r="A199" s="15" t="s">
        <v>455</v>
      </c>
      <c r="B199" s="15">
        <v>0.01</v>
      </c>
    </row>
    <row r="200" spans="1:2">
      <c r="A200" s="14" t="s">
        <v>459</v>
      </c>
      <c r="B200" s="14">
        <v>0.02</v>
      </c>
    </row>
    <row r="201" spans="1:2">
      <c r="A201" s="15" t="s">
        <v>462</v>
      </c>
      <c r="B201" s="15">
        <v>0.04</v>
      </c>
    </row>
    <row r="202" spans="1:2">
      <c r="A202" s="14" t="s">
        <v>464</v>
      </c>
      <c r="B202" s="14">
        <v>0.02</v>
      </c>
    </row>
    <row r="203" spans="1:2">
      <c r="A203" s="15" t="s">
        <v>467</v>
      </c>
      <c r="B203" s="15">
        <v>0.05</v>
      </c>
    </row>
    <row r="204" spans="1:2">
      <c r="A204" s="14" t="s">
        <v>470</v>
      </c>
      <c r="B204" s="14">
        <v>0.04</v>
      </c>
    </row>
    <row r="205" spans="1:2">
      <c r="A205" s="15" t="s">
        <v>472</v>
      </c>
      <c r="B205" s="15">
        <v>0.02</v>
      </c>
    </row>
    <row r="206" spans="1:2">
      <c r="A206" s="14" t="s">
        <v>474</v>
      </c>
      <c r="B206" s="14">
        <v>0</v>
      </c>
    </row>
    <row r="207" spans="1:2">
      <c r="A207" s="15" t="s">
        <v>476</v>
      </c>
      <c r="B207" s="15">
        <v>0</v>
      </c>
    </row>
    <row r="208" spans="1:2">
      <c r="A208" s="14" t="s">
        <v>479</v>
      </c>
      <c r="B208" s="14">
        <v>0.03</v>
      </c>
    </row>
    <row r="209" spans="1:2">
      <c r="A209" s="15" t="s">
        <v>481</v>
      </c>
      <c r="B209" s="15">
        <v>0.04</v>
      </c>
    </row>
    <row r="210" spans="1:2">
      <c r="A210" s="14" t="s">
        <v>485</v>
      </c>
      <c r="B210" s="14">
        <v>0.04</v>
      </c>
    </row>
    <row r="211" spans="1:2">
      <c r="A211" s="15" t="s">
        <v>487</v>
      </c>
      <c r="B211" s="15">
        <v>0.04</v>
      </c>
    </row>
    <row r="212" spans="1:2">
      <c r="A212" s="14" t="s">
        <v>493</v>
      </c>
      <c r="B212" s="14">
        <v>0</v>
      </c>
    </row>
    <row r="213" spans="1:2">
      <c r="A213" s="15" t="s">
        <v>496</v>
      </c>
      <c r="B213" s="15">
        <v>0</v>
      </c>
    </row>
    <row r="214" spans="1:2">
      <c r="A214" s="14" t="s">
        <v>497</v>
      </c>
      <c r="B214" s="14">
        <v>0.05</v>
      </c>
    </row>
    <row r="215" spans="1:2">
      <c r="A215" s="15" t="s">
        <v>501</v>
      </c>
      <c r="B215" s="15">
        <v>0.04</v>
      </c>
    </row>
    <row r="216" spans="1:2">
      <c r="A216" s="14" t="s">
        <v>502</v>
      </c>
      <c r="B216" s="14">
        <v>0.05</v>
      </c>
    </row>
    <row r="217" spans="1:2">
      <c r="A217" s="15" t="s">
        <v>505</v>
      </c>
      <c r="B217" s="15">
        <v>0.03</v>
      </c>
    </row>
    <row r="218" spans="1:2">
      <c r="A218" s="14" t="s">
        <v>507</v>
      </c>
      <c r="B218" s="14">
        <v>0</v>
      </c>
    </row>
    <row r="219" spans="1:2">
      <c r="A219" s="15" t="s">
        <v>510</v>
      </c>
      <c r="B219" s="15">
        <v>0.02</v>
      </c>
    </row>
    <row r="220" spans="1:2">
      <c r="A220" s="14" t="s">
        <v>511</v>
      </c>
      <c r="B220" s="14">
        <v>0.03</v>
      </c>
    </row>
    <row r="221" spans="1:2">
      <c r="A221" s="15" t="s">
        <v>515</v>
      </c>
      <c r="B221" s="15">
        <v>0.01</v>
      </c>
    </row>
    <row r="222" spans="1:2">
      <c r="A222" s="14" t="s">
        <v>518</v>
      </c>
      <c r="B222" s="14">
        <v>0.02</v>
      </c>
    </row>
    <row r="223" spans="1:2">
      <c r="A223" s="15" t="s">
        <v>522</v>
      </c>
      <c r="B223" s="15">
        <v>0.01</v>
      </c>
    </row>
    <row r="224" spans="1:2">
      <c r="A224" s="14" t="s">
        <v>524</v>
      </c>
      <c r="B224" s="14">
        <v>0.01</v>
      </c>
    </row>
    <row r="225" spans="1:2">
      <c r="A225" s="15" t="s">
        <v>532</v>
      </c>
      <c r="B225" s="15">
        <v>0.04</v>
      </c>
    </row>
    <row r="226" spans="1:2">
      <c r="A226" s="14" t="s">
        <v>535</v>
      </c>
      <c r="B226" s="14">
        <v>0.04</v>
      </c>
    </row>
    <row r="227" spans="1:2">
      <c r="A227" s="15" t="s">
        <v>537</v>
      </c>
      <c r="B227" s="15">
        <v>0.03</v>
      </c>
    </row>
    <row r="228" spans="1:2">
      <c r="A228" s="14" t="s">
        <v>539</v>
      </c>
      <c r="B228" s="14">
        <v>0.05</v>
      </c>
    </row>
    <row r="229" spans="1:2">
      <c r="A229" s="15" t="s">
        <v>541</v>
      </c>
      <c r="B229" s="15">
        <v>0.03</v>
      </c>
    </row>
    <row r="230" spans="1:2">
      <c r="A230" s="14" t="s">
        <v>545</v>
      </c>
      <c r="B230" s="14">
        <v>0.05</v>
      </c>
    </row>
    <row r="231" spans="1:2">
      <c r="A231" s="15" t="s">
        <v>555</v>
      </c>
      <c r="B231" s="15">
        <v>0.05</v>
      </c>
    </row>
    <row r="232" spans="1:2">
      <c r="A232" s="14" t="s">
        <v>558</v>
      </c>
      <c r="B232" s="14">
        <v>0.03</v>
      </c>
    </row>
    <row r="233" spans="1:2">
      <c r="A233" s="15" t="s">
        <v>565</v>
      </c>
      <c r="B233" s="15">
        <v>0.05</v>
      </c>
    </row>
    <row r="234" spans="1:2">
      <c r="A234" s="14" t="s">
        <v>578</v>
      </c>
      <c r="B234" s="14">
        <v>0.02</v>
      </c>
    </row>
    <row r="235" spans="1:2">
      <c r="A235" s="15" t="s">
        <v>583</v>
      </c>
      <c r="B235" s="15">
        <v>0.02</v>
      </c>
    </row>
    <row r="236" spans="1:2">
      <c r="A236" s="14" t="s">
        <v>584</v>
      </c>
      <c r="B236" s="14">
        <v>0</v>
      </c>
    </row>
    <row r="237" spans="1:2">
      <c r="A237" s="15" t="s">
        <v>586</v>
      </c>
      <c r="B237" s="15">
        <v>0.03</v>
      </c>
    </row>
    <row r="238" spans="1:2">
      <c r="A238" s="14" t="s">
        <v>588</v>
      </c>
      <c r="B238" s="14">
        <v>0.02</v>
      </c>
    </row>
    <row r="239" spans="1:2">
      <c r="A239" s="15" t="s">
        <v>592</v>
      </c>
      <c r="B239" s="15">
        <v>0</v>
      </c>
    </row>
    <row r="240" spans="1:2">
      <c r="A240" s="14" t="s">
        <v>594</v>
      </c>
      <c r="B240" s="14">
        <v>0.02</v>
      </c>
    </row>
    <row r="241" spans="1:2">
      <c r="A241" s="15" t="s">
        <v>597</v>
      </c>
      <c r="B241" s="15">
        <v>0.01</v>
      </c>
    </row>
    <row r="242" spans="1:2">
      <c r="A242" s="14" t="s">
        <v>600</v>
      </c>
      <c r="B242" s="14">
        <v>0.01</v>
      </c>
    </row>
    <row r="243" spans="1:2">
      <c r="A243" s="15" t="s">
        <v>603</v>
      </c>
      <c r="B243" s="15">
        <v>0</v>
      </c>
    </row>
    <row r="244" spans="1:2">
      <c r="A244" s="14" t="s">
        <v>605</v>
      </c>
      <c r="B244" s="14">
        <v>0</v>
      </c>
    </row>
    <row r="245" spans="1:2">
      <c r="A245" s="15" t="s">
        <v>610</v>
      </c>
      <c r="B245" s="15">
        <v>0.01</v>
      </c>
    </row>
    <row r="246" spans="1:2">
      <c r="A246" s="14" t="s">
        <v>613</v>
      </c>
      <c r="B246" s="14">
        <v>0.04</v>
      </c>
    </row>
    <row r="247" spans="1:2">
      <c r="A247" s="15" t="s">
        <v>617</v>
      </c>
      <c r="B247" s="15">
        <v>0.01</v>
      </c>
    </row>
    <row r="248" spans="1:2">
      <c r="A248" s="14" t="s">
        <v>622</v>
      </c>
      <c r="B248" s="14">
        <v>0</v>
      </c>
    </row>
    <row r="249" spans="1:2">
      <c r="A249" s="15" t="s">
        <v>640</v>
      </c>
      <c r="B249" s="15">
        <v>0.04</v>
      </c>
    </row>
    <row r="250" spans="1:2">
      <c r="A250" s="14" t="s">
        <v>642</v>
      </c>
      <c r="B250" s="14">
        <v>0.02</v>
      </c>
    </row>
    <row r="251" spans="1:2">
      <c r="A251" s="15" t="s">
        <v>649</v>
      </c>
      <c r="B251" s="15">
        <v>0.03</v>
      </c>
    </row>
    <row r="252" spans="1:2">
      <c r="A252" s="14" t="s">
        <v>654</v>
      </c>
      <c r="B252" s="14">
        <v>0.02</v>
      </c>
    </row>
    <row r="253" spans="1:2">
      <c r="A253" s="15" t="s">
        <v>659</v>
      </c>
      <c r="B253" s="15">
        <v>0.04</v>
      </c>
    </row>
    <row r="254" spans="1:2">
      <c r="A254" s="14" t="s">
        <v>670</v>
      </c>
      <c r="B254" s="14">
        <v>0.04</v>
      </c>
    </row>
    <row r="255" spans="1:2">
      <c r="A255" s="15" t="s">
        <v>672</v>
      </c>
      <c r="B255" s="15">
        <v>0.03</v>
      </c>
    </row>
    <row r="256" spans="1:2">
      <c r="A256" s="14" t="s">
        <v>674</v>
      </c>
      <c r="B256" s="14">
        <v>0</v>
      </c>
    </row>
    <row r="257" spans="1:2">
      <c r="A257" s="15" t="s">
        <v>684</v>
      </c>
      <c r="B257" s="15">
        <v>0</v>
      </c>
    </row>
    <row r="258" spans="1:2">
      <c r="A258" s="14" t="s">
        <v>687</v>
      </c>
      <c r="B258" s="14">
        <v>0.02</v>
      </c>
    </row>
    <row r="259" spans="1:2">
      <c r="A259" s="15" t="s">
        <v>695</v>
      </c>
      <c r="B259" s="15">
        <v>0.03</v>
      </c>
    </row>
    <row r="260" spans="1:2">
      <c r="A260" s="14" t="s">
        <v>710</v>
      </c>
      <c r="B260" s="14">
        <v>0</v>
      </c>
    </row>
    <row r="261" spans="1:2">
      <c r="A261" s="15" t="s">
        <v>712</v>
      </c>
      <c r="B261" s="15">
        <v>0.03</v>
      </c>
    </row>
    <row r="262" spans="1:2">
      <c r="A262" s="14" t="s">
        <v>716</v>
      </c>
      <c r="B262" s="14">
        <v>0.02</v>
      </c>
    </row>
    <row r="263" spans="1:2">
      <c r="A263" s="15" t="s">
        <v>729</v>
      </c>
      <c r="B263" s="15">
        <v>0.01</v>
      </c>
    </row>
    <row r="264" spans="1:2">
      <c r="A264" s="14" t="s">
        <v>736</v>
      </c>
      <c r="B264" s="14">
        <v>0.03</v>
      </c>
    </row>
    <row r="265" spans="1:2">
      <c r="A265" s="15" t="s">
        <v>743</v>
      </c>
      <c r="B265" s="15">
        <v>0.02</v>
      </c>
    </row>
    <row r="266" spans="1:2">
      <c r="A266" s="14" t="s">
        <v>745</v>
      </c>
      <c r="B266" s="14">
        <v>0</v>
      </c>
    </row>
    <row r="267" spans="1:2">
      <c r="A267" s="15" t="s">
        <v>750</v>
      </c>
      <c r="B267" s="15">
        <v>0.04</v>
      </c>
    </row>
    <row r="268" spans="1:2">
      <c r="A268" s="14" t="s">
        <v>760</v>
      </c>
      <c r="B268" s="14">
        <v>0.04</v>
      </c>
    </row>
    <row r="269" spans="1:2">
      <c r="A269" s="15" t="s">
        <v>776</v>
      </c>
      <c r="B269" s="15">
        <v>0.05</v>
      </c>
    </row>
    <row r="270" spans="1:2">
      <c r="A270" s="14" t="s">
        <v>778</v>
      </c>
      <c r="B270" s="14">
        <v>0</v>
      </c>
    </row>
    <row r="271" spans="1:2">
      <c r="A271" s="15" t="s">
        <v>785</v>
      </c>
      <c r="B271" s="15">
        <v>0.02</v>
      </c>
    </row>
    <row r="272" spans="1:2">
      <c r="A272" s="14" t="s">
        <v>795</v>
      </c>
      <c r="B272" s="14">
        <v>0.02</v>
      </c>
    </row>
    <row r="273" spans="1:2">
      <c r="A273" s="15" t="s">
        <v>810</v>
      </c>
      <c r="B273" s="15">
        <v>0.04</v>
      </c>
    </row>
    <row r="274" spans="1:2">
      <c r="A274" s="14" t="s">
        <v>830</v>
      </c>
      <c r="B274" s="14">
        <v>0.04</v>
      </c>
    </row>
    <row r="275" spans="1:2">
      <c r="A275" s="15" t="s">
        <v>840</v>
      </c>
      <c r="B275" s="15">
        <v>0.02</v>
      </c>
    </row>
    <row r="276" spans="1:2">
      <c r="A276" s="14" t="s">
        <v>842</v>
      </c>
      <c r="B276" s="14">
        <v>0</v>
      </c>
    </row>
    <row r="277" spans="1:2">
      <c r="A277" s="15" t="s">
        <v>847</v>
      </c>
      <c r="B277" s="15">
        <v>0.01</v>
      </c>
    </row>
    <row r="278" spans="1:2">
      <c r="A278" s="14" t="s">
        <v>850</v>
      </c>
      <c r="B278" s="14">
        <v>0.05</v>
      </c>
    </row>
    <row r="279" spans="1:2">
      <c r="A279" s="15" t="s">
        <v>854</v>
      </c>
      <c r="B279" s="15">
        <v>0.04</v>
      </c>
    </row>
    <row r="280" spans="1:2">
      <c r="A280" s="14" t="s">
        <v>859</v>
      </c>
      <c r="B280" s="14">
        <v>0.01</v>
      </c>
    </row>
    <row r="281" spans="1:2">
      <c r="A281" s="15" t="s">
        <v>861</v>
      </c>
      <c r="B281" s="15">
        <v>0.04</v>
      </c>
    </row>
    <row r="282" spans="1:2">
      <c r="A282" s="14" t="s">
        <v>877</v>
      </c>
      <c r="B282" s="14">
        <v>0.01</v>
      </c>
    </row>
    <row r="283" spans="1:2">
      <c r="A283" s="15" t="s">
        <v>882</v>
      </c>
      <c r="B283" s="15">
        <v>0</v>
      </c>
    </row>
    <row r="284" spans="1:2">
      <c r="A284" s="14" t="s">
        <v>892</v>
      </c>
      <c r="B284" s="14">
        <v>0.04</v>
      </c>
    </row>
    <row r="285" spans="1:2">
      <c r="A285" s="15" t="s">
        <v>909</v>
      </c>
      <c r="B285" s="15">
        <v>0</v>
      </c>
    </row>
    <row r="286" spans="1:2">
      <c r="A286" s="14" t="s">
        <v>911</v>
      </c>
      <c r="B286" s="14">
        <v>0.04</v>
      </c>
    </row>
    <row r="287" spans="1:2">
      <c r="A287" s="15" t="s">
        <v>924</v>
      </c>
      <c r="B287" s="15">
        <v>0.05</v>
      </c>
    </row>
    <row r="288" spans="1:2">
      <c r="A288" s="14" t="s">
        <v>926</v>
      </c>
      <c r="B288" s="14">
        <v>0.04</v>
      </c>
    </row>
    <row r="289" spans="1:2">
      <c r="A289" s="15" t="s">
        <v>930</v>
      </c>
      <c r="B289" s="15">
        <v>0.05</v>
      </c>
    </row>
    <row r="290" spans="1:2">
      <c r="A290" s="14" t="s">
        <v>932</v>
      </c>
      <c r="B290" s="14">
        <v>0.03</v>
      </c>
    </row>
    <row r="291" spans="1:2">
      <c r="A291" s="15" t="s">
        <v>1003</v>
      </c>
      <c r="B291" s="15">
        <v>0.05</v>
      </c>
    </row>
    <row r="292" spans="1:2">
      <c r="A292" s="14" t="s">
        <v>1013</v>
      </c>
      <c r="B292" s="14">
        <v>0.02</v>
      </c>
    </row>
    <row r="293" spans="1:2">
      <c r="A293" s="15" t="s">
        <v>1026</v>
      </c>
      <c r="B293" s="15">
        <v>0.05</v>
      </c>
    </row>
    <row r="294" spans="1:2">
      <c r="A294" s="14" t="s">
        <v>1048</v>
      </c>
      <c r="B294" s="14">
        <v>0.03</v>
      </c>
    </row>
    <row r="295" spans="1:2">
      <c r="A295" s="15" t="s">
        <v>1087</v>
      </c>
      <c r="B295" s="15">
        <v>0</v>
      </c>
    </row>
    <row r="296" spans="1:2">
      <c r="A296" s="14" t="s">
        <v>1149</v>
      </c>
      <c r="B296" s="14">
        <v>0.01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4AB3B4-F5AB-4769-8175-D621EA9BAEAE}">
  <sheetPr>
    <tabColor theme="8" tint="-0.499984740745262"/>
  </sheetPr>
  <dimension ref="A1:B296"/>
  <sheetViews>
    <sheetView workbookViewId="0">
      <selection activeCell="E25" sqref="E25"/>
    </sheetView>
  </sheetViews>
  <sheetFormatPr defaultRowHeight="14.45"/>
  <cols>
    <col min="1" max="2" width="16.7109375" bestFit="1" customWidth="1"/>
  </cols>
  <sheetData>
    <row r="1" spans="1:2" ht="15.6">
      <c r="A1" s="13" t="s">
        <v>1704</v>
      </c>
      <c r="B1" s="13" t="s">
        <v>1705</v>
      </c>
    </row>
    <row r="2" spans="1:2">
      <c r="A2" s="14" t="s">
        <v>28</v>
      </c>
      <c r="B2" s="14">
        <v>0.05</v>
      </c>
    </row>
    <row r="3" spans="1:2">
      <c r="A3" s="15" t="s">
        <v>31</v>
      </c>
      <c r="B3" s="15">
        <v>0.02</v>
      </c>
    </row>
    <row r="4" spans="1:2">
      <c r="A4" s="14" t="s">
        <v>34</v>
      </c>
      <c r="B4" s="14">
        <v>0</v>
      </c>
    </row>
    <row r="5" spans="1:2">
      <c r="A5" s="15" t="s">
        <v>37</v>
      </c>
      <c r="B5" s="15">
        <v>0.05</v>
      </c>
    </row>
    <row r="6" spans="1:2">
      <c r="A6" s="14" t="s">
        <v>39</v>
      </c>
      <c r="B6" s="14">
        <v>0.04</v>
      </c>
    </row>
    <row r="7" spans="1:2">
      <c r="A7" s="15" t="s">
        <v>42</v>
      </c>
      <c r="B7" s="15">
        <v>0.03</v>
      </c>
    </row>
    <row r="8" spans="1:2">
      <c r="A8" s="14" t="s">
        <v>45</v>
      </c>
      <c r="B8" s="14">
        <v>0.05</v>
      </c>
    </row>
    <row r="9" spans="1:2">
      <c r="A9" s="15" t="s">
        <v>47</v>
      </c>
      <c r="B9" s="15">
        <v>0</v>
      </c>
    </row>
    <row r="10" spans="1:2">
      <c r="A10" s="14" t="s">
        <v>49</v>
      </c>
      <c r="B10" s="14">
        <v>0.01</v>
      </c>
    </row>
    <row r="11" spans="1:2">
      <c r="A11" s="15" t="s">
        <v>52</v>
      </c>
      <c r="B11" s="15">
        <v>0.03</v>
      </c>
    </row>
    <row r="12" spans="1:2">
      <c r="A12" s="14" t="s">
        <v>55</v>
      </c>
      <c r="B12" s="14">
        <v>0.01</v>
      </c>
    </row>
    <row r="13" spans="1:2">
      <c r="A13" s="15" t="s">
        <v>57</v>
      </c>
      <c r="B13" s="15">
        <v>0.02</v>
      </c>
    </row>
    <row r="14" spans="1:2">
      <c r="A14" s="14" t="s">
        <v>58</v>
      </c>
      <c r="B14" s="14">
        <v>0.04</v>
      </c>
    </row>
    <row r="15" spans="1:2">
      <c r="A15" s="15" t="s">
        <v>60</v>
      </c>
      <c r="B15" s="15">
        <v>0.03</v>
      </c>
    </row>
    <row r="16" spans="1:2">
      <c r="A16" s="14" t="s">
        <v>62</v>
      </c>
      <c r="B16" s="14">
        <v>0</v>
      </c>
    </row>
    <row r="17" spans="1:2">
      <c r="A17" s="15" t="s">
        <v>64</v>
      </c>
      <c r="B17" s="15">
        <v>0.04</v>
      </c>
    </row>
    <row r="18" spans="1:2">
      <c r="A18" s="14" t="s">
        <v>65</v>
      </c>
      <c r="B18" s="14">
        <v>0</v>
      </c>
    </row>
    <row r="19" spans="1:2">
      <c r="A19" s="15" t="s">
        <v>67</v>
      </c>
      <c r="B19" s="15">
        <v>0.02</v>
      </c>
    </row>
    <row r="20" spans="1:2">
      <c r="A20" s="14" t="s">
        <v>69</v>
      </c>
      <c r="B20" s="14">
        <v>0.03</v>
      </c>
    </row>
    <row r="21" spans="1:2">
      <c r="A21" s="15" t="s">
        <v>71</v>
      </c>
      <c r="B21" s="15">
        <v>0.05</v>
      </c>
    </row>
    <row r="22" spans="1:2">
      <c r="A22" s="14" t="s">
        <v>73</v>
      </c>
      <c r="B22" s="14">
        <v>0.03</v>
      </c>
    </row>
    <row r="23" spans="1:2">
      <c r="A23" s="15" t="s">
        <v>74</v>
      </c>
      <c r="B23" s="15">
        <v>0</v>
      </c>
    </row>
    <row r="24" spans="1:2">
      <c r="A24" s="14" t="s">
        <v>76</v>
      </c>
      <c r="B24" s="14">
        <v>0.02</v>
      </c>
    </row>
    <row r="25" spans="1:2">
      <c r="A25" s="15" t="s">
        <v>78</v>
      </c>
      <c r="B25" s="15">
        <v>0.01</v>
      </c>
    </row>
    <row r="26" spans="1:2">
      <c r="A26" s="14" t="s">
        <v>80</v>
      </c>
      <c r="B26" s="14">
        <v>0</v>
      </c>
    </row>
    <row r="27" spans="1:2">
      <c r="A27" s="15" t="s">
        <v>82</v>
      </c>
      <c r="B27" s="15">
        <v>0</v>
      </c>
    </row>
    <row r="28" spans="1:2">
      <c r="A28" s="14" t="s">
        <v>83</v>
      </c>
      <c r="B28" s="14">
        <v>0.01</v>
      </c>
    </row>
    <row r="29" spans="1:2">
      <c r="A29" s="15" t="s">
        <v>84</v>
      </c>
      <c r="B29" s="15">
        <v>0.02</v>
      </c>
    </row>
    <row r="30" spans="1:2">
      <c r="A30" s="14" t="s">
        <v>86</v>
      </c>
      <c r="B30" s="14">
        <v>0.01</v>
      </c>
    </row>
    <row r="31" spans="1:2">
      <c r="A31" s="15" t="s">
        <v>88</v>
      </c>
      <c r="B31" s="15">
        <v>0</v>
      </c>
    </row>
    <row r="32" spans="1:2">
      <c r="A32" s="14" t="s">
        <v>90</v>
      </c>
      <c r="B32" s="14">
        <v>0</v>
      </c>
    </row>
    <row r="33" spans="1:2">
      <c r="A33" s="15" t="s">
        <v>91</v>
      </c>
      <c r="B33" s="15">
        <v>0.02</v>
      </c>
    </row>
    <row r="34" spans="1:2">
      <c r="A34" s="14" t="s">
        <v>93</v>
      </c>
      <c r="B34" s="14">
        <v>0.03</v>
      </c>
    </row>
    <row r="35" spans="1:2">
      <c r="A35" s="15" t="s">
        <v>94</v>
      </c>
      <c r="B35" s="15">
        <v>0.05</v>
      </c>
    </row>
    <row r="36" spans="1:2">
      <c r="A36" s="14" t="s">
        <v>97</v>
      </c>
      <c r="B36" s="14">
        <v>0.05</v>
      </c>
    </row>
    <row r="37" spans="1:2">
      <c r="A37" s="15" t="s">
        <v>98</v>
      </c>
      <c r="B37" s="15">
        <v>0.04</v>
      </c>
    </row>
    <row r="38" spans="1:2">
      <c r="A38" s="14" t="s">
        <v>100</v>
      </c>
      <c r="B38" s="14">
        <v>0.02</v>
      </c>
    </row>
    <row r="39" spans="1:2">
      <c r="A39" s="15" t="s">
        <v>102</v>
      </c>
      <c r="B39" s="15">
        <v>0.01</v>
      </c>
    </row>
    <row r="40" spans="1:2">
      <c r="A40" s="14" t="s">
        <v>103</v>
      </c>
      <c r="B40" s="14">
        <v>0.04</v>
      </c>
    </row>
    <row r="41" spans="1:2">
      <c r="A41" s="15" t="s">
        <v>105</v>
      </c>
      <c r="B41" s="15">
        <v>0.04</v>
      </c>
    </row>
    <row r="42" spans="1:2">
      <c r="A42" s="14" t="s">
        <v>107</v>
      </c>
      <c r="B42" s="14">
        <v>0.05</v>
      </c>
    </row>
    <row r="43" spans="1:2">
      <c r="A43" s="15" t="s">
        <v>110</v>
      </c>
      <c r="B43" s="15">
        <v>0.04</v>
      </c>
    </row>
    <row r="44" spans="1:2">
      <c r="A44" s="14" t="s">
        <v>112</v>
      </c>
      <c r="B44" s="14">
        <v>0</v>
      </c>
    </row>
    <row r="45" spans="1:2">
      <c r="A45" s="15" t="s">
        <v>114</v>
      </c>
      <c r="B45" s="15">
        <v>0.03</v>
      </c>
    </row>
    <row r="46" spans="1:2">
      <c r="A46" s="14" t="s">
        <v>116</v>
      </c>
      <c r="B46" s="14">
        <v>0.03</v>
      </c>
    </row>
    <row r="47" spans="1:2">
      <c r="A47" s="15" t="s">
        <v>118</v>
      </c>
      <c r="B47" s="15">
        <v>0.01</v>
      </c>
    </row>
    <row r="48" spans="1:2">
      <c r="A48" s="14" t="s">
        <v>120</v>
      </c>
      <c r="B48" s="14">
        <v>0.05</v>
      </c>
    </row>
    <row r="49" spans="1:2">
      <c r="A49" s="15" t="s">
        <v>122</v>
      </c>
      <c r="B49" s="15">
        <v>0.01</v>
      </c>
    </row>
    <row r="50" spans="1:2">
      <c r="A50" s="14" t="s">
        <v>123</v>
      </c>
      <c r="B50" s="14">
        <v>0.02</v>
      </c>
    </row>
    <row r="51" spans="1:2">
      <c r="A51" s="15" t="s">
        <v>125</v>
      </c>
      <c r="B51" s="15">
        <v>0</v>
      </c>
    </row>
    <row r="52" spans="1:2">
      <c r="A52" s="14" t="s">
        <v>126</v>
      </c>
      <c r="B52" s="14">
        <v>0.03</v>
      </c>
    </row>
    <row r="53" spans="1:2">
      <c r="A53" s="15" t="s">
        <v>128</v>
      </c>
      <c r="B53" s="15">
        <v>0.04</v>
      </c>
    </row>
    <row r="54" spans="1:2">
      <c r="A54" s="14" t="s">
        <v>130</v>
      </c>
      <c r="B54" s="14">
        <v>0.01</v>
      </c>
    </row>
    <row r="55" spans="1:2">
      <c r="A55" s="15" t="s">
        <v>131</v>
      </c>
      <c r="B55" s="15">
        <v>0.01</v>
      </c>
    </row>
    <row r="56" spans="1:2">
      <c r="A56" s="14" t="s">
        <v>133</v>
      </c>
      <c r="B56" s="14">
        <v>0.02</v>
      </c>
    </row>
    <row r="57" spans="1:2">
      <c r="A57" s="15" t="s">
        <v>135</v>
      </c>
      <c r="B57" s="15">
        <v>0.01</v>
      </c>
    </row>
    <row r="58" spans="1:2">
      <c r="A58" s="14" t="s">
        <v>137</v>
      </c>
      <c r="B58" s="14">
        <v>0.04</v>
      </c>
    </row>
    <row r="59" spans="1:2">
      <c r="A59" s="15" t="s">
        <v>140</v>
      </c>
      <c r="B59" s="15">
        <v>0.01</v>
      </c>
    </row>
    <row r="60" spans="1:2">
      <c r="A60" s="14" t="s">
        <v>141</v>
      </c>
      <c r="B60" s="14">
        <v>0.03</v>
      </c>
    </row>
    <row r="61" spans="1:2">
      <c r="A61" s="15" t="s">
        <v>143</v>
      </c>
      <c r="B61" s="15">
        <v>0.01</v>
      </c>
    </row>
    <row r="62" spans="1:2">
      <c r="A62" s="14" t="s">
        <v>145</v>
      </c>
      <c r="B62" s="14">
        <v>0.03</v>
      </c>
    </row>
    <row r="63" spans="1:2">
      <c r="A63" s="15" t="s">
        <v>147</v>
      </c>
      <c r="B63" s="15">
        <v>0.04</v>
      </c>
    </row>
    <row r="64" spans="1:2">
      <c r="A64" s="14" t="s">
        <v>149</v>
      </c>
      <c r="B64" s="14">
        <v>0.01</v>
      </c>
    </row>
    <row r="65" spans="1:2">
      <c r="A65" s="15" t="s">
        <v>151</v>
      </c>
      <c r="B65" s="15">
        <v>0.03</v>
      </c>
    </row>
    <row r="66" spans="1:2">
      <c r="A66" s="14" t="s">
        <v>153</v>
      </c>
      <c r="B66" s="14">
        <v>0</v>
      </c>
    </row>
    <row r="67" spans="1:2">
      <c r="A67" s="15" t="s">
        <v>154</v>
      </c>
      <c r="B67" s="15">
        <v>0.01</v>
      </c>
    </row>
    <row r="68" spans="1:2">
      <c r="A68" s="14" t="s">
        <v>156</v>
      </c>
      <c r="B68" s="14">
        <v>0</v>
      </c>
    </row>
    <row r="69" spans="1:2">
      <c r="A69" s="15" t="s">
        <v>158</v>
      </c>
      <c r="B69" s="15">
        <v>0.05</v>
      </c>
    </row>
    <row r="70" spans="1:2">
      <c r="A70" s="14" t="s">
        <v>160</v>
      </c>
      <c r="B70" s="14">
        <v>0.01</v>
      </c>
    </row>
    <row r="71" spans="1:2">
      <c r="A71" s="15" t="s">
        <v>162</v>
      </c>
      <c r="B71" s="15">
        <v>0.05</v>
      </c>
    </row>
    <row r="72" spans="1:2">
      <c r="A72" s="14" t="s">
        <v>164</v>
      </c>
      <c r="B72" s="14">
        <v>0.04</v>
      </c>
    </row>
    <row r="73" spans="1:2">
      <c r="A73" s="15" t="s">
        <v>166</v>
      </c>
      <c r="B73" s="15">
        <v>0.05</v>
      </c>
    </row>
    <row r="74" spans="1:2">
      <c r="A74" s="14" t="s">
        <v>168</v>
      </c>
      <c r="B74" s="14">
        <v>0.05</v>
      </c>
    </row>
    <row r="75" spans="1:2">
      <c r="A75" s="15" t="s">
        <v>170</v>
      </c>
      <c r="B75" s="15">
        <v>0.05</v>
      </c>
    </row>
    <row r="76" spans="1:2">
      <c r="A76" s="14" t="s">
        <v>172</v>
      </c>
      <c r="B76" s="14">
        <v>0.04</v>
      </c>
    </row>
    <row r="77" spans="1:2">
      <c r="A77" s="15" t="s">
        <v>174</v>
      </c>
      <c r="B77" s="15">
        <v>0.05</v>
      </c>
    </row>
    <row r="78" spans="1:2">
      <c r="A78" s="14" t="s">
        <v>176</v>
      </c>
      <c r="B78" s="14">
        <v>0</v>
      </c>
    </row>
    <row r="79" spans="1:2">
      <c r="A79" s="15" t="s">
        <v>178</v>
      </c>
      <c r="B79" s="15">
        <v>0.05</v>
      </c>
    </row>
    <row r="80" spans="1:2">
      <c r="A80" s="14" t="s">
        <v>180</v>
      </c>
      <c r="B80" s="14">
        <v>0.01</v>
      </c>
    </row>
    <row r="81" spans="1:2">
      <c r="A81" s="15" t="s">
        <v>182</v>
      </c>
      <c r="B81" s="15">
        <v>0.05</v>
      </c>
    </row>
    <row r="82" spans="1:2">
      <c r="A82" s="14" t="s">
        <v>184</v>
      </c>
      <c r="B82" s="14">
        <v>0.02</v>
      </c>
    </row>
    <row r="83" spans="1:2">
      <c r="A83" s="15" t="s">
        <v>186</v>
      </c>
      <c r="B83" s="15">
        <v>0.05</v>
      </c>
    </row>
    <row r="84" spans="1:2">
      <c r="A84" s="14" t="s">
        <v>188</v>
      </c>
      <c r="B84" s="14">
        <v>0</v>
      </c>
    </row>
    <row r="85" spans="1:2">
      <c r="A85" s="15" t="s">
        <v>190</v>
      </c>
      <c r="B85" s="15">
        <v>0.04</v>
      </c>
    </row>
    <row r="86" spans="1:2">
      <c r="A86" s="14" t="s">
        <v>195</v>
      </c>
      <c r="B86" s="14">
        <v>0.02</v>
      </c>
    </row>
    <row r="87" spans="1:2">
      <c r="A87" s="15" t="s">
        <v>200</v>
      </c>
      <c r="B87" s="15">
        <v>0.04</v>
      </c>
    </row>
    <row r="88" spans="1:2">
      <c r="A88" s="14" t="s">
        <v>203</v>
      </c>
      <c r="B88" s="14">
        <v>0.04</v>
      </c>
    </row>
    <row r="89" spans="1:2">
      <c r="A89" s="15" t="s">
        <v>205</v>
      </c>
      <c r="B89" s="15">
        <v>0.03</v>
      </c>
    </row>
    <row r="90" spans="1:2">
      <c r="A90" s="14" t="s">
        <v>206</v>
      </c>
      <c r="B90" s="14">
        <v>0.05</v>
      </c>
    </row>
    <row r="91" spans="1:2">
      <c r="A91" s="15" t="s">
        <v>208</v>
      </c>
      <c r="B91" s="15">
        <v>0.01</v>
      </c>
    </row>
    <row r="92" spans="1:2">
      <c r="A92" s="14" t="s">
        <v>211</v>
      </c>
      <c r="B92" s="14">
        <v>0.02</v>
      </c>
    </row>
    <row r="93" spans="1:2">
      <c r="A93" s="15" t="s">
        <v>213</v>
      </c>
      <c r="B93" s="15">
        <v>0.01</v>
      </c>
    </row>
    <row r="94" spans="1:2">
      <c r="A94" s="14" t="s">
        <v>216</v>
      </c>
      <c r="B94" s="14">
        <v>0.04</v>
      </c>
    </row>
    <row r="95" spans="1:2">
      <c r="A95" s="15" t="s">
        <v>218</v>
      </c>
      <c r="B95" s="15">
        <v>0.05</v>
      </c>
    </row>
    <row r="96" spans="1:2">
      <c r="A96" s="14" t="s">
        <v>221</v>
      </c>
      <c r="B96" s="14">
        <v>0.05</v>
      </c>
    </row>
    <row r="97" spans="1:2">
      <c r="A97" s="15" t="s">
        <v>223</v>
      </c>
      <c r="B97" s="15">
        <v>0.04</v>
      </c>
    </row>
    <row r="98" spans="1:2">
      <c r="A98" s="14" t="s">
        <v>226</v>
      </c>
      <c r="B98" s="14">
        <v>0.01</v>
      </c>
    </row>
    <row r="99" spans="1:2">
      <c r="A99" s="15" t="s">
        <v>227</v>
      </c>
      <c r="B99" s="15">
        <v>0.05</v>
      </c>
    </row>
    <row r="100" spans="1:2">
      <c r="A100" s="14" t="s">
        <v>231</v>
      </c>
      <c r="B100" s="14">
        <v>0</v>
      </c>
    </row>
    <row r="101" spans="1:2">
      <c r="A101" s="15" t="s">
        <v>232</v>
      </c>
      <c r="B101" s="15">
        <v>0.01</v>
      </c>
    </row>
    <row r="102" spans="1:2">
      <c r="A102" s="14" t="s">
        <v>236</v>
      </c>
      <c r="B102" s="14">
        <v>0.01</v>
      </c>
    </row>
    <row r="103" spans="1:2">
      <c r="A103" s="15" t="s">
        <v>238</v>
      </c>
      <c r="B103" s="15">
        <v>0.05</v>
      </c>
    </row>
    <row r="104" spans="1:2">
      <c r="A104" s="14" t="s">
        <v>240</v>
      </c>
      <c r="B104" s="14">
        <v>0.03</v>
      </c>
    </row>
    <row r="105" spans="1:2">
      <c r="A105" s="15" t="s">
        <v>241</v>
      </c>
      <c r="B105" s="15">
        <v>0.01</v>
      </c>
    </row>
    <row r="106" spans="1:2">
      <c r="A106" s="14" t="s">
        <v>245</v>
      </c>
      <c r="B106" s="14">
        <v>0.05</v>
      </c>
    </row>
    <row r="107" spans="1:2">
      <c r="A107" s="15" t="s">
        <v>247</v>
      </c>
      <c r="B107" s="15">
        <v>0</v>
      </c>
    </row>
    <row r="108" spans="1:2">
      <c r="A108" s="14" t="s">
        <v>249</v>
      </c>
      <c r="B108" s="14">
        <v>0.05</v>
      </c>
    </row>
    <row r="109" spans="1:2">
      <c r="A109" s="15" t="s">
        <v>250</v>
      </c>
      <c r="B109" s="15">
        <v>0.02</v>
      </c>
    </row>
    <row r="110" spans="1:2">
      <c r="A110" s="14" t="s">
        <v>252</v>
      </c>
      <c r="B110" s="14">
        <v>0.03</v>
      </c>
    </row>
    <row r="111" spans="1:2">
      <c r="A111" s="15" t="s">
        <v>254</v>
      </c>
      <c r="B111" s="15">
        <v>0</v>
      </c>
    </row>
    <row r="112" spans="1:2">
      <c r="A112" s="14" t="s">
        <v>256</v>
      </c>
      <c r="B112" s="14">
        <v>0</v>
      </c>
    </row>
    <row r="113" spans="1:2">
      <c r="A113" s="15" t="s">
        <v>257</v>
      </c>
      <c r="B113" s="15">
        <v>0.01</v>
      </c>
    </row>
    <row r="114" spans="1:2">
      <c r="A114" s="14" t="s">
        <v>259</v>
      </c>
      <c r="B114" s="14">
        <v>0.03</v>
      </c>
    </row>
    <row r="115" spans="1:2">
      <c r="A115" s="15" t="s">
        <v>263</v>
      </c>
      <c r="B115" s="15">
        <v>0.04</v>
      </c>
    </row>
    <row r="116" spans="1:2">
      <c r="A116" s="14" t="s">
        <v>265</v>
      </c>
      <c r="B116" s="14">
        <v>0.05</v>
      </c>
    </row>
    <row r="117" spans="1:2">
      <c r="A117" s="15" t="s">
        <v>268</v>
      </c>
      <c r="B117" s="15">
        <v>0.04</v>
      </c>
    </row>
    <row r="118" spans="1:2">
      <c r="A118" s="14" t="s">
        <v>269</v>
      </c>
      <c r="B118" s="14">
        <v>0.02</v>
      </c>
    </row>
    <row r="119" spans="1:2">
      <c r="A119" s="15" t="s">
        <v>275</v>
      </c>
      <c r="B119" s="15">
        <v>0.04</v>
      </c>
    </row>
    <row r="120" spans="1:2">
      <c r="A120" s="14" t="s">
        <v>277</v>
      </c>
      <c r="B120" s="14">
        <v>0.05</v>
      </c>
    </row>
    <row r="121" spans="1:2">
      <c r="A121" s="15" t="s">
        <v>281</v>
      </c>
      <c r="B121" s="15">
        <v>0.01</v>
      </c>
    </row>
    <row r="122" spans="1:2">
      <c r="A122" s="14" t="s">
        <v>284</v>
      </c>
      <c r="B122" s="14">
        <v>0.05</v>
      </c>
    </row>
    <row r="123" spans="1:2">
      <c r="A123" s="15" t="s">
        <v>285</v>
      </c>
      <c r="B123" s="15">
        <v>0.02</v>
      </c>
    </row>
    <row r="124" spans="1:2">
      <c r="A124" s="14" t="s">
        <v>286</v>
      </c>
      <c r="B124" s="14">
        <v>0.02</v>
      </c>
    </row>
    <row r="125" spans="1:2">
      <c r="A125" s="15" t="s">
        <v>289</v>
      </c>
      <c r="B125" s="15">
        <v>0.02</v>
      </c>
    </row>
    <row r="126" spans="1:2">
      <c r="A126" s="14" t="s">
        <v>291</v>
      </c>
      <c r="B126" s="14">
        <v>0.03</v>
      </c>
    </row>
    <row r="127" spans="1:2">
      <c r="A127" s="15" t="s">
        <v>295</v>
      </c>
      <c r="B127" s="15">
        <v>0.01</v>
      </c>
    </row>
    <row r="128" spans="1:2">
      <c r="A128" s="14" t="s">
        <v>296</v>
      </c>
      <c r="B128" s="14">
        <v>0.05</v>
      </c>
    </row>
    <row r="129" spans="1:2">
      <c r="A129" s="15" t="s">
        <v>298</v>
      </c>
      <c r="B129" s="15">
        <v>0</v>
      </c>
    </row>
    <row r="130" spans="1:2">
      <c r="A130" s="14" t="s">
        <v>299</v>
      </c>
      <c r="B130" s="14">
        <v>0.05</v>
      </c>
    </row>
    <row r="131" spans="1:2">
      <c r="A131" s="15" t="s">
        <v>300</v>
      </c>
      <c r="B131" s="15">
        <v>0.02</v>
      </c>
    </row>
    <row r="132" spans="1:2">
      <c r="A132" s="14" t="s">
        <v>302</v>
      </c>
      <c r="B132" s="14">
        <v>0</v>
      </c>
    </row>
    <row r="133" spans="1:2">
      <c r="A133" s="15" t="s">
        <v>303</v>
      </c>
      <c r="B133" s="15">
        <v>0.04</v>
      </c>
    </row>
    <row r="134" spans="1:2">
      <c r="A134" s="14" t="s">
        <v>305</v>
      </c>
      <c r="B134" s="14">
        <v>0.03</v>
      </c>
    </row>
    <row r="135" spans="1:2">
      <c r="A135" s="15" t="s">
        <v>307</v>
      </c>
      <c r="B135" s="15">
        <v>0.05</v>
      </c>
    </row>
    <row r="136" spans="1:2">
      <c r="A136" s="14" t="s">
        <v>309</v>
      </c>
      <c r="B136" s="14">
        <v>0.04</v>
      </c>
    </row>
    <row r="137" spans="1:2">
      <c r="A137" s="15" t="s">
        <v>311</v>
      </c>
      <c r="B137" s="15">
        <v>0</v>
      </c>
    </row>
    <row r="138" spans="1:2">
      <c r="A138" s="14" t="s">
        <v>312</v>
      </c>
      <c r="B138" s="14">
        <v>0.01</v>
      </c>
    </row>
    <row r="139" spans="1:2">
      <c r="A139" s="15" t="s">
        <v>315</v>
      </c>
      <c r="B139" s="15">
        <v>0.02</v>
      </c>
    </row>
    <row r="140" spans="1:2">
      <c r="A140" s="14" t="s">
        <v>316</v>
      </c>
      <c r="B140" s="14">
        <v>0.04</v>
      </c>
    </row>
    <row r="141" spans="1:2">
      <c r="A141" s="15" t="s">
        <v>318</v>
      </c>
      <c r="B141" s="15">
        <v>0</v>
      </c>
    </row>
    <row r="142" spans="1:2">
      <c r="A142" s="14" t="s">
        <v>320</v>
      </c>
      <c r="B142" s="14">
        <v>0.05</v>
      </c>
    </row>
    <row r="143" spans="1:2">
      <c r="A143" s="15" t="s">
        <v>321</v>
      </c>
      <c r="B143" s="15">
        <v>0</v>
      </c>
    </row>
    <row r="144" spans="1:2">
      <c r="A144" s="14" t="s">
        <v>322</v>
      </c>
      <c r="B144" s="14">
        <v>0.05</v>
      </c>
    </row>
    <row r="145" spans="1:2">
      <c r="A145" s="15" t="s">
        <v>324</v>
      </c>
      <c r="B145" s="15">
        <v>0.05</v>
      </c>
    </row>
    <row r="146" spans="1:2">
      <c r="A146" s="14" t="s">
        <v>327</v>
      </c>
      <c r="B146" s="14">
        <v>0.05</v>
      </c>
    </row>
    <row r="147" spans="1:2">
      <c r="A147" s="15" t="s">
        <v>329</v>
      </c>
      <c r="B147" s="15">
        <v>0.03</v>
      </c>
    </row>
    <row r="148" spans="1:2">
      <c r="A148" s="14" t="s">
        <v>330</v>
      </c>
      <c r="B148" s="14">
        <v>0</v>
      </c>
    </row>
    <row r="149" spans="1:2">
      <c r="A149" s="15" t="s">
        <v>333</v>
      </c>
      <c r="B149" s="15">
        <v>0.03</v>
      </c>
    </row>
    <row r="150" spans="1:2">
      <c r="A150" s="14" t="s">
        <v>335</v>
      </c>
      <c r="B150" s="14">
        <v>0.02</v>
      </c>
    </row>
    <row r="151" spans="1:2">
      <c r="A151" s="15" t="s">
        <v>337</v>
      </c>
      <c r="B151" s="15">
        <v>0.01</v>
      </c>
    </row>
    <row r="152" spans="1:2">
      <c r="A152" s="14" t="s">
        <v>339</v>
      </c>
      <c r="B152" s="14">
        <v>0.03</v>
      </c>
    </row>
    <row r="153" spans="1:2">
      <c r="A153" s="15" t="s">
        <v>341</v>
      </c>
      <c r="B153" s="15">
        <v>0.02</v>
      </c>
    </row>
    <row r="154" spans="1:2">
      <c r="A154" s="14" t="s">
        <v>343</v>
      </c>
      <c r="B154" s="14">
        <v>0.01</v>
      </c>
    </row>
    <row r="155" spans="1:2">
      <c r="A155" s="15" t="s">
        <v>345</v>
      </c>
      <c r="B155" s="15">
        <v>0.03</v>
      </c>
    </row>
    <row r="156" spans="1:2">
      <c r="A156" s="14" t="s">
        <v>347</v>
      </c>
      <c r="B156" s="14">
        <v>0.02</v>
      </c>
    </row>
    <row r="157" spans="1:2">
      <c r="A157" s="15" t="s">
        <v>348</v>
      </c>
      <c r="B157" s="15">
        <v>0.01</v>
      </c>
    </row>
    <row r="158" spans="1:2">
      <c r="A158" s="14" t="s">
        <v>352</v>
      </c>
      <c r="B158" s="14">
        <v>0.01</v>
      </c>
    </row>
    <row r="159" spans="1:2">
      <c r="A159" s="15" t="s">
        <v>355</v>
      </c>
      <c r="B159" s="15">
        <v>0.04</v>
      </c>
    </row>
    <row r="160" spans="1:2">
      <c r="A160" s="14" t="s">
        <v>356</v>
      </c>
      <c r="B160" s="14">
        <v>0.02</v>
      </c>
    </row>
    <row r="161" spans="1:2">
      <c r="A161" s="15" t="s">
        <v>358</v>
      </c>
      <c r="B161" s="15">
        <v>0</v>
      </c>
    </row>
    <row r="162" spans="1:2">
      <c r="A162" s="14" t="s">
        <v>361</v>
      </c>
      <c r="B162" s="14">
        <v>0.03</v>
      </c>
    </row>
    <row r="163" spans="1:2">
      <c r="A163" s="15" t="s">
        <v>362</v>
      </c>
      <c r="B163" s="15">
        <v>0.04</v>
      </c>
    </row>
    <row r="164" spans="1:2">
      <c r="A164" s="14" t="s">
        <v>364</v>
      </c>
      <c r="B164" s="14">
        <v>0.04</v>
      </c>
    </row>
    <row r="165" spans="1:2">
      <c r="A165" s="15" t="s">
        <v>367</v>
      </c>
      <c r="B165" s="15">
        <v>0.02</v>
      </c>
    </row>
    <row r="166" spans="1:2">
      <c r="A166" s="14" t="s">
        <v>368</v>
      </c>
      <c r="B166" s="14">
        <v>0.01</v>
      </c>
    </row>
    <row r="167" spans="1:2">
      <c r="A167" s="15" t="s">
        <v>370</v>
      </c>
      <c r="B167" s="15">
        <v>0.01</v>
      </c>
    </row>
    <row r="168" spans="1:2">
      <c r="A168" s="14" t="s">
        <v>371</v>
      </c>
      <c r="B168" s="14">
        <v>0.05</v>
      </c>
    </row>
    <row r="169" spans="1:2">
      <c r="A169" s="16" t="s">
        <v>375</v>
      </c>
      <c r="B169" s="16">
        <v>0.01</v>
      </c>
    </row>
    <row r="170" spans="1:2">
      <c r="A170" s="14" t="s">
        <v>377</v>
      </c>
      <c r="B170" s="14">
        <v>0.05</v>
      </c>
    </row>
    <row r="171" spans="1:2">
      <c r="A171" s="15" t="s">
        <v>379</v>
      </c>
      <c r="B171" s="15">
        <v>0.02</v>
      </c>
    </row>
    <row r="172" spans="1:2">
      <c r="A172" s="14" t="s">
        <v>381</v>
      </c>
      <c r="B172" s="14">
        <v>0</v>
      </c>
    </row>
    <row r="173" spans="1:2">
      <c r="A173" s="15" t="s">
        <v>388</v>
      </c>
      <c r="B173" s="15">
        <v>0.05</v>
      </c>
    </row>
    <row r="174" spans="1:2">
      <c r="A174" s="14" t="s">
        <v>390</v>
      </c>
      <c r="B174" s="14">
        <v>0.04</v>
      </c>
    </row>
    <row r="175" spans="1:2">
      <c r="A175" s="15" t="s">
        <v>391</v>
      </c>
      <c r="B175" s="15">
        <v>0.03</v>
      </c>
    </row>
    <row r="176" spans="1:2">
      <c r="A176" s="14" t="s">
        <v>394</v>
      </c>
      <c r="B176" s="14">
        <v>0.05</v>
      </c>
    </row>
    <row r="177" spans="1:2">
      <c r="A177" s="15" t="s">
        <v>395</v>
      </c>
      <c r="B177" s="15">
        <v>0</v>
      </c>
    </row>
    <row r="178" spans="1:2">
      <c r="A178" s="14" t="s">
        <v>403</v>
      </c>
      <c r="B178" s="14">
        <v>0.01</v>
      </c>
    </row>
    <row r="179" spans="1:2">
      <c r="A179" s="15" t="s">
        <v>406</v>
      </c>
      <c r="B179" s="15">
        <v>0.03</v>
      </c>
    </row>
    <row r="180" spans="1:2">
      <c r="A180" s="14" t="s">
        <v>408</v>
      </c>
      <c r="B180" s="14">
        <v>0.01</v>
      </c>
    </row>
    <row r="181" spans="1:2">
      <c r="A181" s="15" t="s">
        <v>412</v>
      </c>
      <c r="B181" s="15">
        <v>0.02</v>
      </c>
    </row>
    <row r="182" spans="1:2">
      <c r="A182" s="14" t="s">
        <v>414</v>
      </c>
      <c r="B182" s="14">
        <v>0.04</v>
      </c>
    </row>
    <row r="183" spans="1:2">
      <c r="A183" s="15" t="s">
        <v>416</v>
      </c>
      <c r="B183" s="15">
        <v>0.03</v>
      </c>
    </row>
    <row r="184" spans="1:2">
      <c r="A184" s="14" t="s">
        <v>420</v>
      </c>
      <c r="B184" s="14">
        <v>0</v>
      </c>
    </row>
    <row r="185" spans="1:2">
      <c r="A185" s="15" t="s">
        <v>423</v>
      </c>
      <c r="B185" s="15">
        <v>0.04</v>
      </c>
    </row>
    <row r="186" spans="1:2">
      <c r="A186" s="14" t="s">
        <v>425</v>
      </c>
      <c r="B186" s="14">
        <v>0</v>
      </c>
    </row>
    <row r="187" spans="1:2">
      <c r="A187" s="15" t="s">
        <v>428</v>
      </c>
      <c r="B187" s="15">
        <v>0.02</v>
      </c>
    </row>
    <row r="188" spans="1:2">
      <c r="A188" s="14" t="s">
        <v>429</v>
      </c>
      <c r="B188" s="14">
        <v>0.03</v>
      </c>
    </row>
    <row r="189" spans="1:2">
      <c r="A189" s="15" t="s">
        <v>432</v>
      </c>
      <c r="B189" s="15">
        <v>0.05</v>
      </c>
    </row>
    <row r="190" spans="1:2">
      <c r="A190" s="14" t="s">
        <v>434</v>
      </c>
      <c r="B190" s="14">
        <v>0.03</v>
      </c>
    </row>
    <row r="191" spans="1:2">
      <c r="A191" s="15" t="s">
        <v>436</v>
      </c>
      <c r="B191" s="15">
        <v>0</v>
      </c>
    </row>
    <row r="192" spans="1:2">
      <c r="A192" s="14" t="s">
        <v>439</v>
      </c>
      <c r="B192" s="14">
        <v>0.02</v>
      </c>
    </row>
    <row r="193" spans="1:2">
      <c r="A193" s="15" t="s">
        <v>443</v>
      </c>
      <c r="B193" s="15">
        <v>0.01</v>
      </c>
    </row>
    <row r="194" spans="1:2">
      <c r="A194" s="14" t="s">
        <v>445</v>
      </c>
      <c r="B194" s="14">
        <v>0</v>
      </c>
    </row>
    <row r="195" spans="1:2">
      <c r="A195" s="15" t="s">
        <v>446</v>
      </c>
      <c r="B195" s="15">
        <v>0</v>
      </c>
    </row>
    <row r="196" spans="1:2">
      <c r="A196" s="14" t="s">
        <v>449</v>
      </c>
      <c r="B196" s="14">
        <v>0.01</v>
      </c>
    </row>
    <row r="197" spans="1:2">
      <c r="A197" s="15" t="s">
        <v>451</v>
      </c>
      <c r="B197" s="15">
        <v>0.02</v>
      </c>
    </row>
    <row r="198" spans="1:2">
      <c r="A198" s="14" t="s">
        <v>453</v>
      </c>
      <c r="B198" s="14">
        <v>0.01</v>
      </c>
    </row>
    <row r="199" spans="1:2">
      <c r="A199" s="15" t="s">
        <v>455</v>
      </c>
      <c r="B199" s="15">
        <v>0</v>
      </c>
    </row>
    <row r="200" spans="1:2">
      <c r="A200" s="14" t="s">
        <v>459</v>
      </c>
      <c r="B200" s="14">
        <v>0</v>
      </c>
    </row>
    <row r="201" spans="1:2">
      <c r="A201" s="15" t="s">
        <v>462</v>
      </c>
      <c r="B201" s="15">
        <v>0.02</v>
      </c>
    </row>
    <row r="202" spans="1:2">
      <c r="A202" s="14" t="s">
        <v>464</v>
      </c>
      <c r="B202" s="14">
        <v>0.03</v>
      </c>
    </row>
    <row r="203" spans="1:2">
      <c r="A203" s="15" t="s">
        <v>467</v>
      </c>
      <c r="B203" s="15">
        <v>0.05</v>
      </c>
    </row>
    <row r="204" spans="1:2">
      <c r="A204" s="14" t="s">
        <v>470</v>
      </c>
      <c r="B204" s="14">
        <v>0.05</v>
      </c>
    </row>
    <row r="205" spans="1:2">
      <c r="A205" s="15" t="s">
        <v>472</v>
      </c>
      <c r="B205" s="15">
        <v>0.04</v>
      </c>
    </row>
    <row r="206" spans="1:2">
      <c r="A206" s="14" t="s">
        <v>474</v>
      </c>
      <c r="B206" s="14">
        <v>0.02</v>
      </c>
    </row>
    <row r="207" spans="1:2">
      <c r="A207" s="15" t="s">
        <v>476</v>
      </c>
      <c r="B207" s="15">
        <v>0.01</v>
      </c>
    </row>
    <row r="208" spans="1:2">
      <c r="A208" s="14" t="s">
        <v>479</v>
      </c>
      <c r="B208" s="14">
        <v>0.04</v>
      </c>
    </row>
    <row r="209" spans="1:2">
      <c r="A209" s="15" t="s">
        <v>481</v>
      </c>
      <c r="B209" s="15">
        <v>0.04</v>
      </c>
    </row>
    <row r="210" spans="1:2">
      <c r="A210" s="14" t="s">
        <v>485</v>
      </c>
      <c r="B210" s="14">
        <v>0.05</v>
      </c>
    </row>
    <row r="211" spans="1:2">
      <c r="A211" s="15" t="s">
        <v>487</v>
      </c>
      <c r="B211" s="15">
        <v>0.04</v>
      </c>
    </row>
    <row r="212" spans="1:2">
      <c r="A212" s="14" t="s">
        <v>493</v>
      </c>
      <c r="B212" s="14">
        <v>0</v>
      </c>
    </row>
    <row r="213" spans="1:2">
      <c r="A213" s="15" t="s">
        <v>496</v>
      </c>
      <c r="B213" s="15">
        <v>0.03</v>
      </c>
    </row>
    <row r="214" spans="1:2">
      <c r="A214" s="14" t="s">
        <v>497</v>
      </c>
      <c r="B214" s="14">
        <v>0.03</v>
      </c>
    </row>
    <row r="215" spans="1:2">
      <c r="A215" s="15" t="s">
        <v>501</v>
      </c>
      <c r="B215" s="15">
        <v>0.01</v>
      </c>
    </row>
    <row r="216" spans="1:2">
      <c r="A216" s="14" t="s">
        <v>502</v>
      </c>
      <c r="B216" s="14">
        <v>0.05</v>
      </c>
    </row>
    <row r="217" spans="1:2">
      <c r="A217" s="15" t="s">
        <v>505</v>
      </c>
      <c r="B217" s="15">
        <v>0.01</v>
      </c>
    </row>
    <row r="218" spans="1:2">
      <c r="A218" s="14" t="s">
        <v>507</v>
      </c>
      <c r="B218" s="14">
        <v>0.02</v>
      </c>
    </row>
    <row r="219" spans="1:2">
      <c r="A219" s="15" t="s">
        <v>510</v>
      </c>
      <c r="B219" s="15">
        <v>0</v>
      </c>
    </row>
    <row r="220" spans="1:2">
      <c r="A220" s="14" t="s">
        <v>511</v>
      </c>
      <c r="B220" s="14">
        <v>0.03</v>
      </c>
    </row>
    <row r="221" spans="1:2">
      <c r="A221" s="15" t="s">
        <v>515</v>
      </c>
      <c r="B221" s="15">
        <v>0.04</v>
      </c>
    </row>
    <row r="222" spans="1:2">
      <c r="A222" s="14" t="s">
        <v>518</v>
      </c>
      <c r="B222" s="14">
        <v>0.01</v>
      </c>
    </row>
    <row r="223" spans="1:2">
      <c r="A223" s="15" t="s">
        <v>522</v>
      </c>
      <c r="B223" s="15">
        <v>0.01</v>
      </c>
    </row>
    <row r="224" spans="1:2">
      <c r="A224" s="14" t="s">
        <v>524</v>
      </c>
      <c r="B224" s="14">
        <v>0.02</v>
      </c>
    </row>
    <row r="225" spans="1:2">
      <c r="A225" s="15" t="s">
        <v>532</v>
      </c>
      <c r="B225" s="15">
        <v>0.01</v>
      </c>
    </row>
    <row r="226" spans="1:2">
      <c r="A226" s="14" t="s">
        <v>535</v>
      </c>
      <c r="B226" s="14">
        <v>0.04</v>
      </c>
    </row>
    <row r="227" spans="1:2">
      <c r="A227" s="15" t="s">
        <v>537</v>
      </c>
      <c r="B227" s="15">
        <v>0.01</v>
      </c>
    </row>
    <row r="228" spans="1:2">
      <c r="A228" s="14" t="s">
        <v>539</v>
      </c>
      <c r="B228" s="14">
        <v>0.03</v>
      </c>
    </row>
    <row r="229" spans="1:2">
      <c r="A229" s="15" t="s">
        <v>541</v>
      </c>
      <c r="B229" s="15">
        <v>0.01</v>
      </c>
    </row>
    <row r="230" spans="1:2">
      <c r="A230" s="14" t="s">
        <v>545</v>
      </c>
      <c r="B230" s="14">
        <v>0.03</v>
      </c>
    </row>
    <row r="231" spans="1:2">
      <c r="A231" s="15" t="s">
        <v>555</v>
      </c>
      <c r="B231" s="15">
        <v>0.04</v>
      </c>
    </row>
    <row r="232" spans="1:2">
      <c r="A232" s="14" t="s">
        <v>558</v>
      </c>
      <c r="B232" s="14">
        <v>0.01</v>
      </c>
    </row>
    <row r="233" spans="1:2">
      <c r="A233" s="15" t="s">
        <v>565</v>
      </c>
      <c r="B233" s="15">
        <v>0.03</v>
      </c>
    </row>
    <row r="234" spans="1:2">
      <c r="A234" s="14" t="s">
        <v>578</v>
      </c>
      <c r="B234" s="14">
        <v>0</v>
      </c>
    </row>
    <row r="235" spans="1:2">
      <c r="A235" s="15" t="s">
        <v>583</v>
      </c>
      <c r="B235" s="15">
        <v>0.01</v>
      </c>
    </row>
    <row r="236" spans="1:2">
      <c r="A236" s="14" t="s">
        <v>584</v>
      </c>
      <c r="B236" s="14">
        <v>0</v>
      </c>
    </row>
    <row r="237" spans="1:2">
      <c r="A237" s="15" t="s">
        <v>586</v>
      </c>
      <c r="B237" s="15">
        <v>0.05</v>
      </c>
    </row>
    <row r="238" spans="1:2">
      <c r="A238" s="14" t="s">
        <v>588</v>
      </c>
      <c r="B238" s="14">
        <v>0.01</v>
      </c>
    </row>
    <row r="239" spans="1:2">
      <c r="A239" s="15" t="s">
        <v>592</v>
      </c>
      <c r="B239" s="15">
        <v>0.05</v>
      </c>
    </row>
    <row r="240" spans="1:2">
      <c r="A240" s="14" t="s">
        <v>594</v>
      </c>
      <c r="B240" s="14">
        <v>0.04</v>
      </c>
    </row>
    <row r="241" spans="1:2">
      <c r="A241" s="15" t="s">
        <v>597</v>
      </c>
      <c r="B241" s="15">
        <v>0.05</v>
      </c>
    </row>
    <row r="242" spans="1:2">
      <c r="A242" s="14" t="s">
        <v>600</v>
      </c>
      <c r="B242" s="14">
        <v>0.05</v>
      </c>
    </row>
    <row r="243" spans="1:2">
      <c r="A243" s="15" t="s">
        <v>603</v>
      </c>
      <c r="B243" s="15">
        <v>0.05</v>
      </c>
    </row>
    <row r="244" spans="1:2">
      <c r="A244" s="14" t="s">
        <v>605</v>
      </c>
      <c r="B244" s="14">
        <v>0.04</v>
      </c>
    </row>
    <row r="245" spans="1:2">
      <c r="A245" s="15" t="s">
        <v>610</v>
      </c>
      <c r="B245" s="15">
        <v>0.05</v>
      </c>
    </row>
    <row r="246" spans="1:2">
      <c r="A246" s="14" t="s">
        <v>613</v>
      </c>
      <c r="B246" s="14">
        <v>0</v>
      </c>
    </row>
    <row r="247" spans="1:2">
      <c r="A247" s="15" t="s">
        <v>617</v>
      </c>
      <c r="B247" s="15">
        <v>0.05</v>
      </c>
    </row>
    <row r="248" spans="1:2">
      <c r="A248" s="14" t="s">
        <v>622</v>
      </c>
      <c r="B248" s="14">
        <v>0.01</v>
      </c>
    </row>
    <row r="249" spans="1:2">
      <c r="A249" s="15" t="s">
        <v>640</v>
      </c>
      <c r="B249" s="15">
        <v>0.05</v>
      </c>
    </row>
    <row r="250" spans="1:2">
      <c r="A250" s="14" t="s">
        <v>642</v>
      </c>
      <c r="B250" s="14">
        <v>0.02</v>
      </c>
    </row>
    <row r="251" spans="1:2">
      <c r="A251" s="15" t="s">
        <v>649</v>
      </c>
      <c r="B251" s="15">
        <v>0.05</v>
      </c>
    </row>
    <row r="252" spans="1:2">
      <c r="A252" s="14" t="s">
        <v>654</v>
      </c>
      <c r="B252" s="14">
        <v>0</v>
      </c>
    </row>
    <row r="253" spans="1:2">
      <c r="A253" s="15" t="s">
        <v>659</v>
      </c>
      <c r="B253" s="15">
        <v>0.04</v>
      </c>
    </row>
    <row r="254" spans="1:2">
      <c r="A254" s="14" t="s">
        <v>670</v>
      </c>
      <c r="B254" s="14">
        <v>0.02</v>
      </c>
    </row>
    <row r="255" spans="1:2">
      <c r="A255" s="15" t="s">
        <v>672</v>
      </c>
      <c r="B255" s="15">
        <v>0.04</v>
      </c>
    </row>
    <row r="256" spans="1:2">
      <c r="A256" s="14" t="s">
        <v>674</v>
      </c>
      <c r="B256" s="14">
        <v>0.04</v>
      </c>
    </row>
    <row r="257" spans="1:2">
      <c r="A257" s="15" t="s">
        <v>684</v>
      </c>
      <c r="B257" s="15">
        <v>0.03</v>
      </c>
    </row>
    <row r="258" spans="1:2">
      <c r="A258" s="14" t="s">
        <v>687</v>
      </c>
      <c r="B258" s="14">
        <v>0.05</v>
      </c>
    </row>
    <row r="259" spans="1:2">
      <c r="A259" s="15" t="s">
        <v>695</v>
      </c>
      <c r="B259" s="15">
        <v>0.01</v>
      </c>
    </row>
    <row r="260" spans="1:2">
      <c r="A260" s="14" t="s">
        <v>710</v>
      </c>
      <c r="B260" s="14">
        <v>0.02</v>
      </c>
    </row>
    <row r="261" spans="1:2">
      <c r="A261" s="15" t="s">
        <v>712</v>
      </c>
      <c r="B261" s="15">
        <v>0.01</v>
      </c>
    </row>
    <row r="262" spans="1:2">
      <c r="A262" s="14" t="s">
        <v>716</v>
      </c>
      <c r="B262" s="14">
        <v>0.04</v>
      </c>
    </row>
    <row r="263" spans="1:2">
      <c r="A263" s="15" t="s">
        <v>729</v>
      </c>
      <c r="B263" s="15">
        <v>0.05</v>
      </c>
    </row>
    <row r="264" spans="1:2">
      <c r="A264" s="14" t="s">
        <v>736</v>
      </c>
      <c r="B264" s="14">
        <v>0.05</v>
      </c>
    </row>
    <row r="265" spans="1:2">
      <c r="A265" s="15" t="s">
        <v>743</v>
      </c>
      <c r="B265" s="15">
        <v>0.04</v>
      </c>
    </row>
    <row r="266" spans="1:2">
      <c r="A266" s="14" t="s">
        <v>745</v>
      </c>
      <c r="B266" s="14">
        <v>0.01</v>
      </c>
    </row>
    <row r="267" spans="1:2">
      <c r="A267" s="15" t="s">
        <v>750</v>
      </c>
      <c r="B267" s="15">
        <v>0.05</v>
      </c>
    </row>
    <row r="268" spans="1:2">
      <c r="A268" s="14" t="s">
        <v>760</v>
      </c>
      <c r="B268" s="14">
        <v>0</v>
      </c>
    </row>
    <row r="269" spans="1:2">
      <c r="A269" s="15" t="s">
        <v>776</v>
      </c>
      <c r="B269" s="15">
        <v>0.01</v>
      </c>
    </row>
    <row r="270" spans="1:2">
      <c r="A270" s="14" t="s">
        <v>778</v>
      </c>
      <c r="B270" s="14">
        <v>0.01</v>
      </c>
    </row>
    <row r="271" spans="1:2">
      <c r="A271" s="15" t="s">
        <v>785</v>
      </c>
      <c r="B271" s="15">
        <v>0.05</v>
      </c>
    </row>
    <row r="272" spans="1:2">
      <c r="A272" s="14" t="s">
        <v>795</v>
      </c>
      <c r="B272" s="14">
        <v>0.03</v>
      </c>
    </row>
    <row r="273" spans="1:2">
      <c r="A273" s="15" t="s">
        <v>810</v>
      </c>
      <c r="B273" s="15">
        <v>0.01</v>
      </c>
    </row>
    <row r="274" spans="1:2">
      <c r="A274" s="14" t="s">
        <v>830</v>
      </c>
      <c r="B274" s="14">
        <v>0.05</v>
      </c>
    </row>
    <row r="275" spans="1:2">
      <c r="A275" s="15" t="s">
        <v>840</v>
      </c>
      <c r="B275" s="15">
        <v>0</v>
      </c>
    </row>
    <row r="276" spans="1:2">
      <c r="A276" s="14" t="s">
        <v>842</v>
      </c>
      <c r="B276" s="14">
        <v>0.05</v>
      </c>
    </row>
    <row r="277" spans="1:2">
      <c r="A277" s="15" t="s">
        <v>847</v>
      </c>
      <c r="B277" s="15">
        <v>0.02</v>
      </c>
    </row>
    <row r="278" spans="1:2">
      <c r="A278" s="14" t="s">
        <v>850</v>
      </c>
      <c r="B278" s="14">
        <v>0.03</v>
      </c>
    </row>
    <row r="279" spans="1:2">
      <c r="A279" s="15" t="s">
        <v>854</v>
      </c>
      <c r="B279" s="15">
        <v>0</v>
      </c>
    </row>
    <row r="280" spans="1:2">
      <c r="A280" s="14" t="s">
        <v>859</v>
      </c>
      <c r="B280" s="14">
        <v>0</v>
      </c>
    </row>
    <row r="281" spans="1:2">
      <c r="A281" s="15" t="s">
        <v>861</v>
      </c>
      <c r="B281" s="15">
        <v>0.01</v>
      </c>
    </row>
    <row r="282" spans="1:2">
      <c r="A282" s="14" t="s">
        <v>877</v>
      </c>
      <c r="B282" s="14">
        <v>0.03</v>
      </c>
    </row>
    <row r="283" spans="1:2">
      <c r="A283" s="15" t="s">
        <v>882</v>
      </c>
      <c r="B283" s="15">
        <v>0.04</v>
      </c>
    </row>
    <row r="284" spans="1:2">
      <c r="A284" s="14" t="s">
        <v>892</v>
      </c>
      <c r="B284" s="14">
        <v>0.05</v>
      </c>
    </row>
    <row r="285" spans="1:2">
      <c r="A285" s="15" t="s">
        <v>909</v>
      </c>
      <c r="B285" s="15">
        <v>0.04</v>
      </c>
    </row>
    <row r="286" spans="1:2">
      <c r="A286" s="14" t="s">
        <v>911</v>
      </c>
      <c r="B286" s="14">
        <v>0.02</v>
      </c>
    </row>
    <row r="287" spans="1:2">
      <c r="A287" s="15" t="s">
        <v>924</v>
      </c>
      <c r="B287" s="15">
        <v>0.04</v>
      </c>
    </row>
    <row r="288" spans="1:2">
      <c r="A288" s="14" t="s">
        <v>926</v>
      </c>
      <c r="B288" s="14">
        <v>0.05</v>
      </c>
    </row>
    <row r="289" spans="1:2">
      <c r="A289" s="15" t="s">
        <v>930</v>
      </c>
      <c r="B289" s="15">
        <v>0.01</v>
      </c>
    </row>
    <row r="290" spans="1:2">
      <c r="A290" s="14" t="s">
        <v>932</v>
      </c>
      <c r="B290" s="14">
        <v>0.05</v>
      </c>
    </row>
    <row r="291" spans="1:2">
      <c r="A291" s="15" t="s">
        <v>1003</v>
      </c>
      <c r="B291" s="15">
        <v>0.02</v>
      </c>
    </row>
    <row r="292" spans="1:2">
      <c r="A292" s="14" t="s">
        <v>1013</v>
      </c>
      <c r="B292" s="14">
        <v>0.02</v>
      </c>
    </row>
    <row r="293" spans="1:2">
      <c r="A293" s="15" t="s">
        <v>1026</v>
      </c>
      <c r="B293" s="15">
        <v>0.02</v>
      </c>
    </row>
    <row r="294" spans="1:2">
      <c r="A294" s="14" t="s">
        <v>1048</v>
      </c>
      <c r="B294" s="14">
        <v>0.03</v>
      </c>
    </row>
    <row r="295" spans="1:2">
      <c r="A295" s="15" t="s">
        <v>1087</v>
      </c>
      <c r="B295" s="15">
        <v>0.01</v>
      </c>
    </row>
    <row r="296" spans="1:2">
      <c r="A296" s="14" t="s">
        <v>1149</v>
      </c>
      <c r="B296" s="14">
        <v>0.05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MANJU MITTAL</dc:creator>
  <cp:keywords/>
  <dc:description/>
  <cp:lastModifiedBy/>
  <cp:revision/>
  <dcterms:created xsi:type="dcterms:W3CDTF">2019-08-19T07:49:15Z</dcterms:created>
  <dcterms:modified xsi:type="dcterms:W3CDTF">2025-12-06T08:56:30Z</dcterms:modified>
  <cp:category/>
  <cp:contentStatus/>
</cp:coreProperties>
</file>