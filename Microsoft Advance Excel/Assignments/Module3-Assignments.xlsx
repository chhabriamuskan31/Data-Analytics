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D719633F-F8F6-49B4-8832-8DD2B43A41E2}" xr6:coauthVersionLast="47" xr6:coauthVersionMax="47" xr10:uidLastSave="{00000000-0000-0000-0000-000000000000}"/>
  <bookViews>
    <workbookView xWindow="-108" yWindow="-108" windowWidth="23256" windowHeight="12576" activeTab="2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K12" i="5"/>
  <c r="K11" i="5"/>
  <c r="K10" i="5"/>
  <c r="K9" i="5"/>
  <c r="K8" i="5"/>
  <c r="K7" i="5"/>
  <c r="K6" i="5"/>
  <c r="K5" i="5"/>
  <c r="K4" i="5"/>
  <c r="J4" i="5"/>
  <c r="K3" i="5"/>
  <c r="R17" i="3"/>
  <c r="R18" i="3"/>
  <c r="R19" i="3"/>
  <c r="R20" i="3"/>
  <c r="R21" i="3"/>
  <c r="R22" i="3"/>
  <c r="R23" i="3"/>
  <c r="R24" i="3"/>
  <c r="R25" i="3"/>
  <c r="R16" i="3"/>
  <c r="Q16" i="3"/>
  <c r="Q17" i="3"/>
  <c r="Q18" i="3"/>
  <c r="Q19" i="3"/>
  <c r="Q20" i="3"/>
  <c r="Q21" i="3"/>
  <c r="Q22" i="3"/>
  <c r="Q23" i="3"/>
  <c r="Q24" i="3"/>
  <c r="Q25" i="3"/>
  <c r="P17" i="3"/>
  <c r="P18" i="3"/>
  <c r="P19" i="3"/>
  <c r="P20" i="3"/>
  <c r="P21" i="3"/>
  <c r="P22" i="3"/>
  <c r="P23" i="3"/>
  <c r="P24" i="3"/>
  <c r="P25" i="3"/>
  <c r="P16" i="3"/>
  <c r="O17" i="3"/>
  <c r="O18" i="3"/>
  <c r="O19" i="3"/>
  <c r="O20" i="3"/>
  <c r="O21" i="3"/>
  <c r="O22" i="3"/>
  <c r="O23" i="3"/>
  <c r="O24" i="3"/>
  <c r="O25" i="3"/>
  <c r="O16" i="3"/>
  <c r="M17" i="3"/>
  <c r="M18" i="3"/>
  <c r="M19" i="3"/>
  <c r="M20" i="3"/>
  <c r="M21" i="3"/>
  <c r="M22" i="3"/>
  <c r="M23" i="3"/>
  <c r="M24" i="3"/>
  <c r="M25" i="3"/>
  <c r="M16" i="3"/>
  <c r="K17" i="3"/>
  <c r="K18" i="3"/>
  <c r="K19" i="3"/>
  <c r="K20" i="3"/>
  <c r="K21" i="3"/>
  <c r="K22" i="3"/>
  <c r="K23" i="3"/>
  <c r="K24" i="3"/>
  <c r="K25" i="3"/>
  <c r="K16" i="3"/>
  <c r="I17" i="3"/>
  <c r="I18" i="3"/>
  <c r="I19" i="3"/>
  <c r="I20" i="3"/>
  <c r="I21" i="3"/>
  <c r="I22" i="3"/>
  <c r="I23" i="3"/>
  <c r="I24" i="3"/>
  <c r="I25" i="3"/>
  <c r="I16" i="3"/>
  <c r="H17" i="3"/>
  <c r="H18" i="3"/>
  <c r="H19" i="3"/>
  <c r="H20" i="3"/>
  <c r="H21" i="3"/>
  <c r="H22" i="3"/>
  <c r="H23" i="3"/>
  <c r="H24" i="3"/>
  <c r="H25" i="3"/>
  <c r="H16" i="3"/>
  <c r="G17" i="3"/>
  <c r="G18" i="3"/>
  <c r="G19" i="3"/>
  <c r="G20" i="3"/>
  <c r="G21" i="3"/>
  <c r="G22" i="3"/>
  <c r="G23" i="3"/>
  <c r="G24" i="3"/>
  <c r="G25" i="3"/>
  <c r="G16" i="3"/>
  <c r="C17" i="3"/>
  <c r="C18" i="3"/>
  <c r="C19" i="3"/>
  <c r="C20" i="3"/>
  <c r="C21" i="3"/>
  <c r="C22" i="3"/>
  <c r="C23" i="3"/>
  <c r="C24" i="3"/>
  <c r="C25" i="3"/>
  <c r="C16" i="3"/>
  <c r="B17" i="3"/>
  <c r="B18" i="3"/>
  <c r="B19" i="3"/>
  <c r="B20" i="3"/>
  <c r="B21" i="3"/>
  <c r="B22" i="3"/>
  <c r="B23" i="3"/>
  <c r="B24" i="3"/>
  <c r="B25" i="3"/>
  <c r="B16" i="3"/>
  <c r="L17" i="1"/>
  <c r="L18" i="1"/>
  <c r="L19" i="1"/>
  <c r="L20" i="1"/>
  <c r="L21" i="1"/>
  <c r="L22" i="1"/>
  <c r="L23" i="1"/>
  <c r="L24" i="1"/>
  <c r="L25" i="1"/>
  <c r="L16" i="1"/>
  <c r="K17" i="1"/>
  <c r="K18" i="1"/>
  <c r="K19" i="1"/>
  <c r="K20" i="1"/>
  <c r="K21" i="1"/>
  <c r="K22" i="1"/>
  <c r="K23" i="1"/>
  <c r="K24" i="1"/>
  <c r="K25" i="1"/>
  <c r="K16" i="1"/>
  <c r="J17" i="1"/>
  <c r="J18" i="1"/>
  <c r="J19" i="1"/>
  <c r="J20" i="1"/>
  <c r="J21" i="1"/>
  <c r="J22" i="1"/>
  <c r="J23" i="1"/>
  <c r="J24" i="1"/>
  <c r="J25" i="1"/>
  <c r="J16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W25" i="3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J18" i="5"/>
  <c r="J12" i="5"/>
  <c r="J11" i="5"/>
  <c r="J10" i="5"/>
  <c r="J9" i="5"/>
  <c r="J8" i="5"/>
  <c r="J7" i="5"/>
  <c r="J6" i="5"/>
  <c r="J5" i="5"/>
  <c r="J3" i="5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B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<sst xmlns="http://schemas.openxmlformats.org/spreadsheetml/2006/main" count="642" uniqueCount="122">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</sst>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8" fontId="0" fillId="0" borderId="2" xfId="0" applyNumberFormat="1" applyBorder="1"/>
    <xf numFmtId="9" fontId="0" fillId="0" borderId="2" xfId="0" applyNumberFormat="1" applyBorder="1"/>
    <xf numFmtId="6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4" fontId="1" fillId="0" borderId="2" xfId="1" applyNumberFormat="1" applyBorder="1"/>
    <xf numFmtId="43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topLeftCell="A13" workbookViewId="0">
      <selection activeCell="I15" sqref="I15"/>
    </sheetView>
  </sheetViews>
  <sheetFormatPr defaultRowHeight="14.4" x14ac:dyDescent="0.3"/>
  <cols>
    <col min="1" max="1" width="13.88671875" bestFit="1" customWidth="1"/>
    <col min="2" max="2" width="11.44140625" bestFit="1" customWidth="1"/>
    <col min="3" max="3" width="10" bestFit="1" customWidth="1"/>
    <col min="4" max="4" width="21" bestFit="1" customWidth="1"/>
    <col min="5" max="5" width="18.77734375" bestFit="1" customWidth="1"/>
    <col min="6" max="6" width="14.21875" bestFit="1" customWidth="1"/>
    <col min="7" max="7" width="4.5546875" bestFit="1" customWidth="1"/>
    <col min="8" max="8" width="11.44140625" bestFit="1" customWidth="1"/>
    <col min="9" max="9" width="10" bestFit="1" customWidth="1"/>
    <col min="10" max="10" width="14" bestFit="1" customWidth="1"/>
    <col min="11" max="11" width="23" bestFit="1" customWidth="1"/>
    <col min="12" max="12" width="23.88671875" bestFit="1" customWidth="1"/>
    <col min="13" max="13" width="12.88671875" bestFit="1" customWidth="1"/>
    <col min="14" max="14" width="17.33203125" bestFit="1" customWidth="1"/>
    <col min="15" max="15" width="13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3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3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3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3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3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3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3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3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3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" thickBot="1" x14ac:dyDescent="0.35"/>
    <row r="15" spans="1:15" ht="15.6" x14ac:dyDescent="0.3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3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TEXT(B16,"mmm")</f>
        <v>Dec</v>
      </c>
      <c r="G16" s="3">
        <f>WEEKDAY(B16)</f>
        <v>2</v>
      </c>
      <c r="H16" s="3" t="str">
        <f>TEXT(B16,"DDDD")</f>
        <v>Monday</v>
      </c>
      <c r="I16" s="4">
        <f>EOMONTH(B16,0)</f>
        <v>43465</v>
      </c>
      <c r="J16" s="3">
        <f>NETWORKDAYS(B16,C16)</f>
        <v>1</v>
      </c>
      <c r="K16" s="4">
        <f>WORKDAY(B16,2)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3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TEXT(B17,"mmm")</f>
        <v>Jul</v>
      </c>
      <c r="G17" s="3">
        <f t="shared" ref="G17:G25" si="12">WEEKDAY(B17)</f>
        <v>6</v>
      </c>
      <c r="H17" s="3" t="str">
        <f t="shared" ref="H17:H25" si="13">TEXT(B17,"DDDD")</f>
        <v>Friday</v>
      </c>
      <c r="I17" s="4">
        <f t="shared" ref="I17:I25" si="14">EOMONTH(B17,0)</f>
        <v>43312</v>
      </c>
      <c r="J17" s="3">
        <f t="shared" ref="J17:J25" si="15">NETWORKDAYS(B17,C17)</f>
        <v>4</v>
      </c>
      <c r="K17" s="4">
        <f t="shared" ref="K17:K25" si="16">WORKDAY(B17,2)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3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3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3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3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3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3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3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3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workbookViewId="0">
      <selection activeCell="U18" sqref="U18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4.109375" bestFit="1" customWidth="1"/>
    <col min="4" max="4" width="11.44140625" bestFit="1" customWidth="1"/>
    <col min="5" max="5" width="10" bestFit="1" customWidth="1"/>
    <col min="6" max="6" width="17.33203125" bestFit="1" customWidth="1"/>
    <col min="7" max="7" width="14.88671875" bestFit="1" customWidth="1"/>
    <col min="8" max="8" width="12.6640625" bestFit="1" customWidth="1"/>
    <col min="9" max="9" width="13.109375" bestFit="1" customWidth="1"/>
    <col min="10" max="10" width="13.88671875" bestFit="1" customWidth="1"/>
    <col min="11" max="11" width="14.44140625" bestFit="1" customWidth="1"/>
    <col min="12" max="12" width="13.21875" bestFit="1" customWidth="1"/>
    <col min="13" max="13" width="8.21875" bestFit="1" customWidth="1"/>
    <col min="14" max="14" width="16.21875" bestFit="1" customWidth="1"/>
    <col min="15" max="15" width="4.44140625" bestFit="1" customWidth="1"/>
    <col min="16" max="16" width="4.6640625" bestFit="1" customWidth="1"/>
    <col min="17" max="17" width="9" bestFit="1" customWidth="1"/>
    <col min="18" max="18" width="20" bestFit="1" customWidth="1"/>
    <col min="19" max="19" width="5.5546875" bestFit="1" customWidth="1"/>
    <col min="20" max="20" width="5.109375" bestFit="1" customWidth="1"/>
    <col min="21" max="21" width="9.21875" bestFit="1" customWidth="1"/>
    <col min="22" max="23" width="11" bestFit="1" customWidth="1"/>
    <col min="24" max="24" width="9.21875" bestFit="1" customWidth="1"/>
    <col min="25" max="25" width="12.44140625" bestFit="1" customWidth="1"/>
    <col min="26" max="26" width="15" bestFit="1" customWidth="1"/>
    <col min="27" max="27" width="6.88671875" bestFit="1" customWidth="1"/>
    <col min="28" max="28" width="14" bestFit="1" customWidth="1"/>
  </cols>
  <sheetData>
    <row r="1" spans="1:28" ht="15.6" x14ac:dyDescent="0.3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3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3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3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3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3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3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3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3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3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3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" thickBot="1" x14ac:dyDescent="0.35"/>
    <row r="15" spans="1:28" ht="15.6" x14ac:dyDescent="0.3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3">
      <c r="A16" s="3" t="s">
        <v>34</v>
      </c>
      <c r="B16" s="3" t="str">
        <f>REPLACE(A16,3,1,"/")</f>
        <v>AU/2019-44759</v>
      </c>
      <c r="C16" s="3" t="str">
        <f>SUBSTITUTE(A16,"-","/",2)</f>
        <v>AU-2019/44759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PROPER(F16)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FIND("-",L16,1)</f>
        <v>3</v>
      </c>
      <c r="N16" s="3" t="s">
        <v>66</v>
      </c>
      <c r="O16" s="3" t="str">
        <f>LEFT(N16,3)</f>
        <v>FUR</v>
      </c>
      <c r="P16" s="3" t="str">
        <f>MID(N16,5,2)</f>
        <v>BO</v>
      </c>
      <c r="Q16" s="3" t="str">
        <f>RIGHT(N16,8)</f>
        <v>10004762</v>
      </c>
      <c r="R16" s="3" t="str">
        <f>O16&amp;"-"&amp;P16&amp;"-"&amp;Q16</f>
        <v>FUR-BO-10004762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3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SUBSTITUTE(A17,"-","/",2)</f>
        <v>CH-19/95235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PROPER(F17)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FIND("-",L17,1)</f>
        <v>3</v>
      </c>
      <c r="N17" s="3" t="s">
        <v>71</v>
      </c>
      <c r="O17" s="3" t="str">
        <f t="shared" ref="O17:O25" si="26">LEFT(N17,3)</f>
        <v>FUR</v>
      </c>
      <c r="P17" s="3" t="str">
        <f t="shared" ref="P17:P25" si="27">MID(N17,5,2)</f>
        <v>BO</v>
      </c>
      <c r="Q17" s="3" t="str">
        <f t="shared" ref="Q17:Q25" si="28">RIGHT(N17,8)</f>
        <v>10001336</v>
      </c>
      <c r="R17" s="3" t="str">
        <f t="shared" ref="R17:R25" si="29">O17&amp;"-"&amp;P17&amp;"-"&amp;Q17</f>
        <v>FUR-BO-10001336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3">
      <c r="A18" s="3" t="s">
        <v>72</v>
      </c>
      <c r="B18" s="3" t="str">
        <f t="shared" si="19"/>
        <v>CH/20-66247</v>
      </c>
      <c r="C18" s="3" t="str">
        <f t="shared" si="20"/>
        <v>CH-20/66247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OFF</v>
      </c>
      <c r="P18" s="3" t="str">
        <f t="shared" si="27"/>
        <v>BI</v>
      </c>
      <c r="Q18" s="3" t="str">
        <f t="shared" si="28"/>
        <v>10002559</v>
      </c>
      <c r="R18" s="3" t="str">
        <f t="shared" si="29"/>
        <v>OFF-BI-10002559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3">
      <c r="A19" s="3" t="s">
        <v>38</v>
      </c>
      <c r="B19" s="3" t="str">
        <f t="shared" si="19"/>
        <v>ID/2018-31300</v>
      </c>
      <c r="C19" s="3" t="str">
        <f t="shared" si="20"/>
        <v>ID-2018/31300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OFF</v>
      </c>
      <c r="P19" s="3" t="str">
        <f t="shared" si="27"/>
        <v>ST</v>
      </c>
      <c r="Q19" s="3" t="str">
        <f t="shared" si="28"/>
        <v>10008153</v>
      </c>
      <c r="R19" s="3" t="str">
        <f t="shared" si="29"/>
        <v>OFF-ST-10008153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3">
      <c r="A20" s="3" t="s">
        <v>79</v>
      </c>
      <c r="B20" s="3" t="str">
        <f t="shared" si="19"/>
        <v>ID/18-99362</v>
      </c>
      <c r="C20" s="3" t="str">
        <f t="shared" si="20"/>
        <v>ID-18/99362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FUR</v>
      </c>
      <c r="P20" s="3" t="str">
        <f t="shared" si="27"/>
        <v>FU</v>
      </c>
      <c r="Q20" s="3" t="str">
        <f t="shared" si="28"/>
        <v>10007219</v>
      </c>
      <c r="R20" s="3" t="str">
        <f t="shared" si="29"/>
        <v>FUR-FU-10007219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3">
      <c r="A21" s="3" t="s">
        <v>40</v>
      </c>
      <c r="B21" s="3" t="str">
        <f t="shared" si="19"/>
        <v>ID/2020-49481</v>
      </c>
      <c r="C21" s="3" t="str">
        <f t="shared" si="20"/>
        <v>ID-2020/49481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FUR</v>
      </c>
      <c r="P21" s="3" t="str">
        <f t="shared" si="27"/>
        <v>FU</v>
      </c>
      <c r="Q21" s="3" t="str">
        <f t="shared" si="28"/>
        <v>10005268</v>
      </c>
      <c r="R21" s="3" t="str">
        <f t="shared" si="29"/>
        <v>FUR-FU-10005268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3">
      <c r="A22" s="3" t="s">
        <v>39</v>
      </c>
      <c r="B22" s="3" t="str">
        <f t="shared" si="19"/>
        <v>ID/2019-72749</v>
      </c>
      <c r="C22" s="3" t="str">
        <f t="shared" si="20"/>
        <v>ID-2019/72749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FUR</v>
      </c>
      <c r="P22" s="3" t="str">
        <f t="shared" si="27"/>
        <v>BO</v>
      </c>
      <c r="Q22" s="3" t="str">
        <f t="shared" si="28"/>
        <v>10008662</v>
      </c>
      <c r="R22" s="3" t="str">
        <f t="shared" si="29"/>
        <v>FUR-BO-10008662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3">
      <c r="A23" s="3" t="s">
        <v>35</v>
      </c>
      <c r="B23" s="3" t="str">
        <f t="shared" si="19"/>
        <v>AU/2019-71900</v>
      </c>
      <c r="C23" s="3" t="str">
        <f t="shared" si="20"/>
        <v>AU-2019/71900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OFF</v>
      </c>
      <c r="P23" s="3" t="str">
        <f t="shared" si="27"/>
        <v>ST</v>
      </c>
      <c r="Q23" s="3" t="str">
        <f t="shared" si="28"/>
        <v>10001557</v>
      </c>
      <c r="R23" s="3" t="str">
        <f t="shared" si="29"/>
        <v>OFF-ST-10001557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3">
      <c r="A24" s="3" t="s">
        <v>36</v>
      </c>
      <c r="B24" s="3" t="str">
        <f t="shared" si="19"/>
        <v>CH/2018-50887</v>
      </c>
      <c r="C24" s="3" t="str">
        <f t="shared" si="20"/>
        <v>CH-2018/50887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OFF</v>
      </c>
      <c r="P24" s="3" t="str">
        <f t="shared" si="27"/>
        <v>FA</v>
      </c>
      <c r="Q24" s="3" t="str">
        <f t="shared" si="28"/>
        <v>10008410</v>
      </c>
      <c r="R24" s="3" t="str">
        <f t="shared" si="29"/>
        <v>OFF-FA-10008410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3">
      <c r="A25" s="3" t="s">
        <v>37</v>
      </c>
      <c r="B25" s="3" t="str">
        <f t="shared" si="19"/>
        <v>GE/2018-20428</v>
      </c>
      <c r="C25" s="3" t="str">
        <f t="shared" si="20"/>
        <v>GE-2018/20428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OFF</v>
      </c>
      <c r="P25" s="3" t="str">
        <f t="shared" si="27"/>
        <v>AR</v>
      </c>
      <c r="Q25" s="3" t="str">
        <f t="shared" si="28"/>
        <v>10008010</v>
      </c>
      <c r="R25" s="3" t="str">
        <f t="shared" si="29"/>
        <v>OFF-AR-10008010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abSelected="1" workbookViewId="0">
      <selection activeCell="M18" sqref="M18"/>
    </sheetView>
  </sheetViews>
  <sheetFormatPr defaultRowHeight="14.4" x14ac:dyDescent="0.3"/>
  <cols>
    <col min="2" max="2" width="6.6640625" bestFit="1" customWidth="1"/>
    <col min="3" max="3" width="15.88671875" bestFit="1" customWidth="1"/>
    <col min="4" max="4" width="19.33203125" bestFit="1" customWidth="1"/>
    <col min="5" max="5" width="12.33203125" bestFit="1" customWidth="1"/>
    <col min="6" max="6" width="3.88671875" customWidth="1"/>
    <col min="7" max="7" width="11.33203125" bestFit="1" customWidth="1"/>
    <col min="8" max="8" width="2.88671875" customWidth="1"/>
    <col min="9" max="9" width="62.77734375" customWidth="1"/>
    <col min="10" max="10" width="13.88671875" bestFit="1" customWidth="1"/>
    <col min="11" max="11" width="18.21875" customWidth="1"/>
  </cols>
  <sheetData>
    <row r="1" spans="1:11" ht="15.6" x14ac:dyDescent="0.3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3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3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SUMIF(Total_Sales_Amount,"&gt;500000")</f>
        <v>9959676</v>
      </c>
    </row>
    <row r="4" spans="1:11" x14ac:dyDescent="0.3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SUMIF(Item,"laptop",Total_Sales_Amount)</f>
        <v>15114742</v>
      </c>
    </row>
    <row r="5" spans="1:11" x14ac:dyDescent="0.3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COUNTIF(Item,"laptop")</f>
        <v>44</v>
      </c>
    </row>
    <row r="6" spans="1:11" x14ac:dyDescent="0.3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3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3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3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3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3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AVERAGEIFS(Commission,Item,"laptop")</f>
        <v>23617.810909090909</v>
      </c>
    </row>
    <row r="12" spans="1:11" x14ac:dyDescent="0.3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3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3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3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102</v>
      </c>
      <c r="K15" s="16"/>
    </row>
    <row r="16" spans="1:11" x14ac:dyDescent="0.3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/>
    </row>
    <row r="17" spans="1:11" x14ac:dyDescent="0.3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107</v>
      </c>
      <c r="K17" s="16"/>
    </row>
    <row r="18" spans="1:11" ht="15.6" x14ac:dyDescent="0.3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SUMIFS(D2:D119,A2:A119,J15,B2:B119,J16,C2:C119,J17)</f>
        <v>518474</v>
      </c>
      <c r="K18" s="11">
        <f>SUMIFS(D2:D119,A2:A119,J15,B2:B119,J16,C2:C119,J17)</f>
        <v>518474</v>
      </c>
    </row>
    <row r="19" spans="1:11" x14ac:dyDescent="0.3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3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3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3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3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3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3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3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3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3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3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3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3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3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3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3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3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3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3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3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3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3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3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3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3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3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3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3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3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3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3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3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3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3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3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3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3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3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3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3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3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3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3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3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3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3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3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3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3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3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3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3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3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3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3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3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3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3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3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3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3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3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3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3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3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3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3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3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3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3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3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3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3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3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3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3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3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3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3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3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3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3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3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3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3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3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3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3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3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3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3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3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3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3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3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3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3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3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3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3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3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Chhabria</cp:lastModifiedBy>
  <dcterms:created xsi:type="dcterms:W3CDTF">2023-07-03T18:11:14Z</dcterms:created>
  <dcterms:modified xsi:type="dcterms:W3CDTF">2025-01-19T08:48:24Z</dcterms:modified>
</cp:coreProperties>
</file>